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men" sheetId="1" r:id="rId1"/>
    <sheet name="Simulador" sheetId="2" r:id="rId2"/>
    <sheet name="Escenarios" sheetId="3" r:id="rId3"/>
    <sheet name="Sensibilidad" sheetId="4" r:id="rId4"/>
    <sheet name="Flujos_traslado" sheetId="5" r:id="rId5"/>
    <sheet name="Flujos_distribucion" sheetId="6" r:id="rId6"/>
    <sheet name="Almacenes" sheetId="7" r:id="rId7"/>
    <sheet name="Calidad_datos" sheetId="8" r:id="rId8"/>
    <sheet name="Plantas" sheetId="9" r:id="rId9"/>
    <sheet name="Nodos" sheetId="10" r:id="rId10"/>
    <sheet name="Tarifas_observadas" sheetId="11" r:id="rId11"/>
    <sheet name="Tiempos_TMS" sheetId="12" r:id="rId12"/>
    <sheet name="Homologaciones" sheetId="13" r:id="rId13"/>
    <sheet name="Demanda" sheetId="14" r:id="rId14"/>
    <sheet name="Parametros" sheetId="15" r:id="rId15"/>
    <sheet name="Tarifas_traslado" sheetId="16" r:id="rId16"/>
    <sheet name="Tarifas_zona" sheetId="17" r:id="rId17"/>
  </sheets>
  <calcPr calcId="124519" fullCalcOnLoad="1"/>
</workbook>
</file>

<file path=xl/sharedStrings.xml><?xml version="1.0" encoding="utf-8"?>
<sst xmlns="http://schemas.openxmlformats.org/spreadsheetml/2006/main" count="62320" uniqueCount="721">
  <si>
    <t>Modelo de optimización de red logística — cierre de planta CO10</t>
  </si>
  <si>
    <t>Periodo base 2025-07 a 2026-06 · costos en COP por mes promedio · días de inventario 24.7</t>
  </si>
  <si>
    <t>Recomendación</t>
  </si>
  <si>
    <t>Con 24,7 días de inventario, la alternativa de menor costo es traslado a CEDI de otra ciudad (Opción B): 12.876 MCOP/mes frente a 13.436 MCOP/mes de bodega externa (Opción A); diferencia 560 MCOP/mes (6.721 MCOP/año). Aun con costo fijo cero, la bodega externa quedaría 18 MCOP/mes por encima del traslado: limitar los traslados y manejar el producto en un nodo adicional cuesta más que llevarlo a un CEDI con espacio. El óptimo libre no usa bodegas externas: absorbe el volumen con el CEDI de la planta y CEDIs con capacidad libre, cerrando la bodega externa actual. Costo 12.876 MCOP/mes. Frente a la red AS-IS optimizada con CO10 operando (14.116 MCOP/mes), el TO-BE ahorra 1.240 MCOP/mes, incluyendo el costo fijo de CO10 que desaparece. Reasignar producción entre plantas con familias compatibles ahorraría 1.120 MCOP/mes adicionales (validar capacidades: capacidad_plantas muestra filas idénticas para CO02 y CO04). Sensibilidad: en todo el rango evaluado (10-35 días) el traslado a CEDI sigue siendo más económico que la bodega externa.</t>
  </si>
  <si>
    <t>Hallazgos</t>
  </si>
  <si>
    <t>• 46% de las líneas SAP tienen flete en 0/1 peso: se excluyeron de las tarifas (solo 1.031.819 líneas válidas).</t>
  </si>
  <si>
    <t>• El cruce SAP-TMS por viaje sube de 60.806 a 75.354 viajes (96.2%) al quitar ceros a la izquierda del viaje en SAP.</t>
  </si>
  <si>
    <t>• El maestro de referencias usa códigos de planta que no existen en la homologación (CO05, CO06, CO12, ...): se homologaron por volumen SAP (ej. CO06-&gt;CO01 Cajicá, CO12-&gt;CO02 Rionegro).</t>
  </si>
  <si>
    <t>• Con el traslado de referencias, CO01 pasa de 73% a 89% de su capacidad de producción (63.272 m3/mes).</t>
  </si>
  <si>
    <t>• Días de inventario implícitos en Cajicá (CEDI lleno + uso de bodega externa CO99): 24,7 días; m3 por posición de estiba según maestro: 2,26.</t>
  </si>
  <si>
    <t>• CEDIs con capacidad libre en TO-BE: CO15 (0%), CO16 (0%), CO02 (25%), CO04 (39%).</t>
  </si>
  <si>
    <t>• Traslados entre nodos: 39.865 m3/mes AS-IS optimizado vs 20.658 m3/mes en el óptimo TO-BE (~375 viajes/mes).</t>
  </si>
  <si>
    <t>• Traslados XI de flota propia (viajes con flete en 0/1 peso): 12.796 viajes en el periodo base, 51.522 m3/mes (62% del XI). Flete imputado: 1.187 MCOP/mes por viajes similares o 1.013 MCOP/mes por km (583.775 COP fijo + 3.849 COP/km); se usa 'similares'.</t>
  </si>
  <si>
    <t>• Costo actual real: transporte 8.912 MCOP/mes, almacenamiento 1.167 MCOP/mes y fijos de plantas/CEDI 6.352 MCOP/mes. Flete registrado en SAP: 6.898 MCOP/mes + XI imputado 1.187 MCOP/mes.</t>
  </si>
  <si>
    <t>• Si se cierra CO10 sin re-optimizar la red (14.988 MCOP/mes), el costo es 2.112 MCOP/mes mayor que el óptimo TO-BE: ese es el valor de rediseñar la red.</t>
  </si>
  <si>
    <t>Comparación de escenarios (COP/mes)</t>
  </si>
  <si>
    <t>Componente</t>
  </si>
  <si>
    <t>Actual real (flujos observados SAP)</t>
  </si>
  <si>
    <t>AS-IS optimizado (CO10 operando)</t>
  </si>
  <si>
    <t>Cierre CO10 sin re-optimizar (red de distribución actual)</t>
  </si>
  <si>
    <t>Opción B: traslado a CEDI de otra ciudad (sin bodega externa)</t>
  </si>
  <si>
    <t>Opción A: bodega externa (se mantiene CO99; traslados a otros CEDI limitados al nivel AS-IS)</t>
  </si>
  <si>
    <t>Óptimo TO-BE (el modelo combina libremente)</t>
  </si>
  <si>
    <t>Óptimo TO-BE reasignando producción entre plantas compatibles</t>
  </si>
  <si>
    <t>Traslado XI terceros</t>
  </si>
  <si>
    <t>Traslado XI flota propia</t>
  </si>
  <si>
    <t>Distribución</t>
  </si>
  <si>
    <t>Manejo en almacén</t>
  </si>
  <si>
    <t>Posiciones bodega externa</t>
  </si>
  <si>
    <t>Fijo bodegas externas</t>
  </si>
  <si>
    <t>Fijo nodos (plantas y CEDI)</t>
  </si>
  <si>
    <t>Penalización déficit capacidad</t>
  </si>
  <si>
    <t>Total transporte</t>
  </si>
  <si>
    <t>Total almacenamiento</t>
  </si>
  <si>
    <t>Total fijo nodos</t>
  </si>
  <si>
    <t>Total</t>
  </si>
  <si>
    <t>Simulador de decisión: ¿dónde ubicar el volumen que deja la planta cerrada?</t>
  </si>
  <si>
    <t>Celdas amarillas = editables. Compara bodega externa vs traslado a CEDI de otra ciudad para un volumen mensual, con restricción de posiciones libres. Las fórmulas se recalculan al instante.</t>
  </si>
  <si>
    <t>Días de inventario (cobertura)</t>
  </si>
  <si>
    <t>Utilización máxima de posiciones</t>
  </si>
  <si>
    <t>m3 por posición de estiba</t>
  </si>
  <si>
    <t>Factor flete traslado (1 = tarifa actual)</t>
  </si>
  <si>
    <t>Factor flete distribución (1 = tarifa actual)</t>
  </si>
  <si>
    <t>Planta origen del volumen</t>
  </si>
  <si>
    <t>CO01</t>
  </si>
  <si>
    <t>Volumen a ubicar (m3/mes)</t>
  </si>
  <si>
    <t>Crecimiento del volumen</t>
  </si>
  <si>
    <t>Volumen efectivo (m3/mes)</t>
  </si>
  <si>
    <t>Zona comercial</t>
  </si>
  <si>
    <t>% del volumen</t>
  </si>
  <si>
    <t>m3/mes</t>
  </si>
  <si>
    <t>Centro</t>
  </si>
  <si>
    <t>Exportación</t>
  </si>
  <si>
    <t>Antioquia</t>
  </si>
  <si>
    <t>Caribe</t>
  </si>
  <si>
    <t>Suroccidente</t>
  </si>
  <si>
    <t>Santanderes</t>
  </si>
  <si>
    <t>Eje Cafetero</t>
  </si>
  <si>
    <t>Llanos Orientales</t>
  </si>
  <si>
    <t>Amazonía y Guaviare</t>
  </si>
  <si>
    <t>Pacífico</t>
  </si>
  <si>
    <t>Archipiélago De San Andrés, Providencia Y Santa Catalina</t>
  </si>
  <si>
    <t>Internacional</t>
  </si>
  <si>
    <t>Total (debe ser 100 %)</t>
  </si>
  <si>
    <t>Opciones de almacenamiento</t>
  </si>
  <si>
    <t>Almacén</t>
  </si>
  <si>
    <t>Nombre</t>
  </si>
  <si>
    <t>Tipo</t>
  </si>
  <si>
    <t>Posiciones totales</t>
  </si>
  <si>
    <t>Ocupación base (m3/mes despachados)</t>
  </si>
  <si>
    <t>Posiciones libres</t>
  </si>
  <si>
    <t>Posiciones requeridas</t>
  </si>
  <si>
    <t>¿Cabe?</t>
  </si>
  <si>
    <t>Manejo COP/m3</t>
  </si>
  <si>
    <t>Costo posición COP/mes</t>
  </si>
  <si>
    <t>Costo fijo incremental COP/mes</t>
  </si>
  <si>
    <t>Tarifa traslado desde planta COP/m3</t>
  </si>
  <si>
    <t>Distribución ponderada COP/m3</t>
  </si>
  <si>
    <t>Costo unitario total COP/m3</t>
  </si>
  <si>
    <t>Costo variable COP/mes</t>
  </si>
  <si>
    <t>Costo total COP/mes</t>
  </si>
  <si>
    <t>Ranking (si cabe)</t>
  </si>
  <si>
    <t>Costo transporte COP/mes</t>
  </si>
  <si>
    <t>Costo almacenamiento COP/mes</t>
  </si>
  <si>
    <t>CO01 Cajica</t>
  </si>
  <si>
    <t>CEDI propio</t>
  </si>
  <si>
    <t>CO02</t>
  </si>
  <si>
    <t>CO02 Rionegro</t>
  </si>
  <si>
    <t>CO03</t>
  </si>
  <si>
    <t>CO03 Caloto</t>
  </si>
  <si>
    <t>CO04</t>
  </si>
  <si>
    <t>CO04 Girardota</t>
  </si>
  <si>
    <t>CO14</t>
  </si>
  <si>
    <t>CO14 Cali</t>
  </si>
  <si>
    <t>CO15</t>
  </si>
  <si>
    <t>CO15 Barranquilla</t>
  </si>
  <si>
    <t>CEDI 3PL</t>
  </si>
  <si>
    <t>CO16</t>
  </si>
  <si>
    <t>CO16 Bucaramanga</t>
  </si>
  <si>
    <t>CO29</t>
  </si>
  <si>
    <t>CO29 Ibague</t>
  </si>
  <si>
    <t>CO99</t>
  </si>
  <si>
    <t>CO99 Tocancipa</t>
  </si>
  <si>
    <t>Bodega externa actual</t>
  </si>
  <si>
    <t>BE_ANTIOQUIA</t>
  </si>
  <si>
    <t>BE_ANTIOQUIA Itagui</t>
  </si>
  <si>
    <t>Bodega externa candidata</t>
  </si>
  <si>
    <t>BE_SABANA</t>
  </si>
  <si>
    <t>BE_SABANA Funza</t>
  </si>
  <si>
    <t>Resultado</t>
  </si>
  <si>
    <t>Mejor opción (que cabe)</t>
  </si>
  <si>
    <t>Costo total mejor opción (COP/mes)</t>
  </si>
  <si>
    <t>Segunda mejor opción</t>
  </si>
  <si>
    <t>Ahorro vs. segunda opción (COP/mes)</t>
  </si>
  <si>
    <t>Mejor bodega externa (COP/mes)</t>
  </si>
  <si>
    <t>Mejor traslado a CEDI de otra ciudad (COP/mes)</t>
  </si>
  <si>
    <t>Decisión: ¿bodega externa o traslado a CEDI?</t>
  </si>
  <si>
    <t>Costo fijo máximo de bodega externa para empatar (COP/mes)</t>
  </si>
  <si>
    <t>Si una opción dice 'Sin capacidad', amplíe sus posiciones (columna D) o reduzca el volumen (B10).</t>
  </si>
  <si>
    <t>Nota: la ocupación base es el despacho AS-IS del almacén sin el volumen de la planta cerrada. El costo fijo incremental de CEDIs existentes es 0 (ya se paga). El modelo completo (MILP) reparte el volumen entre varios almacenes; este simulador evalúa cada opción por separado.</t>
  </si>
  <si>
    <t>Costo unitario por zona (COP/m3) y mejor almacén por zona, sin restricción de capacidad</t>
  </si>
  <si>
    <t>Zona</t>
  </si>
  <si>
    <t>Mejor almacén</t>
  </si>
  <si>
    <t>Indicadores por escenario</t>
  </si>
  <si>
    <t>Escenario</t>
  </si>
  <si>
    <t>Costo variable + fijo opcional COP/mes</t>
  </si>
  <si>
    <t>Demanda m3/mes</t>
  </si>
  <si>
    <t>Traslados m3/mes</t>
  </si>
  <si>
    <t>Viajes de traslado/mes</t>
  </si>
  <si>
    <t>Costo COP/m3</t>
  </si>
  <si>
    <t>Tránsito promedio h</t>
  </si>
  <si>
    <t>Déficit capacidad m3</t>
  </si>
  <si>
    <t>Bodegas abiertas</t>
  </si>
  <si>
    <t>Bodegas cerradas</t>
  </si>
  <si>
    <t>Días inventario</t>
  </si>
  <si>
    <t>Estado solver</t>
  </si>
  <si>
    <t>ASIS_REAL</t>
  </si>
  <si>
    <t>-</t>
  </si>
  <si>
    <t>observado</t>
  </si>
  <si>
    <t>E0_ASIS_OPT</t>
  </si>
  <si>
    <t>Optimal</t>
  </si>
  <si>
    <t>E5_CIERRE_RED_ACTUAL</t>
  </si>
  <si>
    <t>evaluación (sin optimizar)</t>
  </si>
  <si>
    <t>E1_TRASLADO_CEDI</t>
  </si>
  <si>
    <t>E2_BODEGA_EXTERNA</t>
  </si>
  <si>
    <t>BE_ANTIOQUIA, BE_SABANA</t>
  </si>
  <si>
    <t>E3_OPTIMO</t>
  </si>
  <si>
    <t>CO99, BE_ANTIOQUIA, BE_SABANA</t>
  </si>
  <si>
    <t>E4_OPTIMO_FLEX</t>
  </si>
  <si>
    <t>Sensibilidad: costo total por opción</t>
  </si>
  <si>
    <t>variable</t>
  </si>
  <si>
    <t>valor</t>
  </si>
  <si>
    <t>escenario</t>
  </si>
  <si>
    <t>nombre</t>
  </si>
  <si>
    <t>costo_total_cop</t>
  </si>
  <si>
    <t>costo_variable_cop</t>
  </si>
  <si>
    <t>fijo_bodegas_externas</t>
  </si>
  <si>
    <t>deficit_m3</t>
  </si>
  <si>
    <t>bodegas_abiertas</t>
  </si>
  <si>
    <t>dias_inventario</t>
  </si>
  <si>
    <t>factor_flete</t>
  </si>
  <si>
    <t>Traslados planta -&gt; almacén (m3/mes)</t>
  </si>
  <si>
    <t>planta</t>
  </si>
  <si>
    <t>almacen</t>
  </si>
  <si>
    <t>m3_mes</t>
  </si>
  <si>
    <t>costo_terceros_cop</t>
  </si>
  <si>
    <t>costo_flota_propia_cop</t>
  </si>
  <si>
    <t>producto</t>
  </si>
  <si>
    <t>pct_flota_propia</t>
  </si>
  <si>
    <t>costo_cop_mes</t>
  </si>
  <si>
    <t>tarifa_cop_m3</t>
  </si>
  <si>
    <t>fuente_tarifa</t>
  </si>
  <si>
    <t>viajes_mes</t>
  </si>
  <si>
    <t>transito_h</t>
  </si>
  <si>
    <t>AS-IS</t>
  </si>
  <si>
    <t>SAP real (+ imputación flota propia)</t>
  </si>
  <si>
    <t>EXTERNO</t>
  </si>
  <si>
    <t>CO10</t>
  </si>
  <si>
    <t>mismo sitio</t>
  </si>
  <si>
    <t>observada SAP</t>
  </si>
  <si>
    <t>estimada por distancia</t>
  </si>
  <si>
    <t>BaCa</t>
  </si>
  <si>
    <t>BaPr</t>
  </si>
  <si>
    <t>BeCa</t>
  </si>
  <si>
    <t>FaCa</t>
  </si>
  <si>
    <t>FaPr</t>
  </si>
  <si>
    <t>FeCa</t>
  </si>
  <si>
    <t>FePr</t>
  </si>
  <si>
    <t>InHe</t>
  </si>
  <si>
    <t>InRe</t>
  </si>
  <si>
    <t>PrHy</t>
  </si>
  <si>
    <t>Distribución almacén -&gt; ciudad (m3/mes)</t>
  </si>
  <si>
    <t>ciudad</t>
  </si>
  <si>
    <t>zona</t>
  </si>
  <si>
    <t>ACACIAS</t>
  </si>
  <si>
    <t>AGUACHICA</t>
  </si>
  <si>
    <t>ANDRES IBANEZ</t>
  </si>
  <si>
    <t>APARTADO</t>
  </si>
  <si>
    <t>ARAUCA</t>
  </si>
  <si>
    <t>ARMENIA</t>
  </si>
  <si>
    <t>ASUNCION</t>
  </si>
  <si>
    <t>BARRANCABERMEJA</t>
  </si>
  <si>
    <t>BARRANQUILLA</t>
  </si>
  <si>
    <t>BELLO</t>
  </si>
  <si>
    <t>BOGOTA</t>
  </si>
  <si>
    <t>BUCARAMANGA</t>
  </si>
  <si>
    <t>BUENAVENTURA</t>
  </si>
  <si>
    <t>CAICEDONIA</t>
  </si>
  <si>
    <t>CAJICA</t>
  </si>
  <si>
    <t>CALARCA</t>
  </si>
  <si>
    <t>CALDAS</t>
  </si>
  <si>
    <t>CALI</t>
  </si>
  <si>
    <t>CANDELARIA</t>
  </si>
  <si>
    <t>CARACAS</t>
  </si>
  <si>
    <t>CAREPA</t>
  </si>
  <si>
    <t>CARTAGENA</t>
  </si>
  <si>
    <t>CARTAGO</t>
  </si>
  <si>
    <t>CAUCASIA</t>
  </si>
  <si>
    <t>CERETE</t>
  </si>
  <si>
    <t>CHIA</t>
  </si>
  <si>
    <t>CHINCHINA</t>
  </si>
  <si>
    <t>CHIQUINQUIRA</t>
  </si>
  <si>
    <t>CIRCASIA</t>
  </si>
  <si>
    <t>COPACABANA</t>
  </si>
  <si>
    <t>COTA</t>
  </si>
  <si>
    <t>COVENAS</t>
  </si>
  <si>
    <t>CUCUTA</t>
  </si>
  <si>
    <t>DOSQUEBRADAS</t>
  </si>
  <si>
    <t>DUITAMA</t>
  </si>
  <si>
    <t>EL CARMEN DE VIBORAL</t>
  </si>
  <si>
    <t>ENVIGADO</t>
  </si>
  <si>
    <t>ESTADO BARINAS</t>
  </si>
  <si>
    <t>FACATATIVA</t>
  </si>
  <si>
    <t>FLORENCIA</t>
  </si>
  <si>
    <t>FLORIDABLANCA</t>
  </si>
  <si>
    <t>FREDONIA</t>
  </si>
  <si>
    <t>FUNZA</t>
  </si>
  <si>
    <t>FUSAGASUGA</t>
  </si>
  <si>
    <t>GACHANCIPA</t>
  </si>
  <si>
    <t>GALAPA</t>
  </si>
  <si>
    <t>GIRARDOT</t>
  </si>
  <si>
    <t>GIRARDOTA</t>
  </si>
  <si>
    <t>GIRON</t>
  </si>
  <si>
    <t>GRANADA</t>
  </si>
  <si>
    <t>GUADALAJARA DE BUGA</t>
  </si>
  <si>
    <t>GUARNE</t>
  </si>
  <si>
    <t>GUATAPE</t>
  </si>
  <si>
    <t>IBAGUE</t>
  </si>
  <si>
    <t>IPIALES</t>
  </si>
  <si>
    <t>ITAGUI</t>
  </si>
  <si>
    <t>JAMUNDI</t>
  </si>
  <si>
    <t>LA CEJA</t>
  </si>
  <si>
    <t>LA DORADA</t>
  </si>
  <si>
    <t>LA ESTRELLA</t>
  </si>
  <si>
    <t>LA MESA</t>
  </si>
  <si>
    <t>LA PLATA</t>
  </si>
  <si>
    <t>LA TEBAIDA</t>
  </si>
  <si>
    <t>LARA</t>
  </si>
  <si>
    <t>LASSO DE LA VEGA</t>
  </si>
  <si>
    <t>LEBRIJA</t>
  </si>
  <si>
    <t>LIMA</t>
  </si>
  <si>
    <t>LORICA</t>
  </si>
  <si>
    <t>MADRID</t>
  </si>
  <si>
    <t>MAGANGUE</t>
  </si>
  <si>
    <t>MAICAO</t>
  </si>
  <si>
    <t>MALAMBO</t>
  </si>
  <si>
    <t>MANIZALES</t>
  </si>
  <si>
    <t>MEDELLIN</t>
  </si>
  <si>
    <t>MELGAR</t>
  </si>
  <si>
    <t>MERIDA</t>
  </si>
  <si>
    <t>MOCOA</t>
  </si>
  <si>
    <t>MONTERIA</t>
  </si>
  <si>
    <t>MOSQUERA</t>
  </si>
  <si>
    <t>NEIVA</t>
  </si>
  <si>
    <t>OCANA</t>
  </si>
  <si>
    <t>PAIPA</t>
  </si>
  <si>
    <t>PALERMO</t>
  </si>
  <si>
    <t>PALESTINA</t>
  </si>
  <si>
    <t>PALMIRA</t>
  </si>
  <si>
    <t>PANAMA</t>
  </si>
  <si>
    <t>PASTO</t>
  </si>
  <si>
    <t>PEREIRA</t>
  </si>
  <si>
    <t>PIEDECUESTA</t>
  </si>
  <si>
    <t>PITALITO</t>
  </si>
  <si>
    <t>POPAYAN</t>
  </si>
  <si>
    <t>PORT AU PRINCE</t>
  </si>
  <si>
    <t>PUERTO ASIS</t>
  </si>
  <si>
    <t>PUERTO BERRIO</t>
  </si>
  <si>
    <t>PUERTO GAITAN</t>
  </si>
  <si>
    <t>QUITO</t>
  </si>
  <si>
    <t>RETIRO</t>
  </si>
  <si>
    <t>RICAURTE</t>
  </si>
  <si>
    <t>RIOHACHA</t>
  </si>
  <si>
    <t>RIONEGRO</t>
  </si>
  <si>
    <t>SABANALARGA</t>
  </si>
  <si>
    <t>SABANETA</t>
  </si>
  <si>
    <t>SAN ANDRES</t>
  </si>
  <si>
    <t>SAN CRISTOBAL</t>
  </si>
  <si>
    <t>SAN GIL</t>
  </si>
  <si>
    <t>SAN JERONIMO</t>
  </si>
  <si>
    <t>SAN JOSE DE COSTA RICA</t>
  </si>
  <si>
    <t>SAN JOSE DEL GUAVIARE</t>
  </si>
  <si>
    <t>SAN JUAN</t>
  </si>
  <si>
    <t>SAN PEDRO</t>
  </si>
  <si>
    <t>SANTA CRUZ</t>
  </si>
  <si>
    <t>SANTA MARTA</t>
  </si>
  <si>
    <t>SANTA ROSA DE CABAL</t>
  </si>
  <si>
    <t>SANTAFE DE ANTIOQUIA</t>
  </si>
  <si>
    <t>SANTIAGO DE TOLU</t>
  </si>
  <si>
    <t>SANTO DOMINGO</t>
  </si>
  <si>
    <t>SAO PAULO</t>
  </si>
  <si>
    <t>SIBATE</t>
  </si>
  <si>
    <t>SINCELEJO</t>
  </si>
  <si>
    <t>SOACHA</t>
  </si>
  <si>
    <t>SOATA</t>
  </si>
  <si>
    <t>SOGAMOSO</t>
  </si>
  <si>
    <t>SOLEDAD</t>
  </si>
  <si>
    <t>SOPO</t>
  </si>
  <si>
    <t>ST. ANN</t>
  </si>
  <si>
    <t>SURINAME</t>
  </si>
  <si>
    <t>TENJO</t>
  </si>
  <si>
    <t>TIERRALTA</t>
  </si>
  <si>
    <t>TOCANCIPA</t>
  </si>
  <si>
    <t>TULUA</t>
  </si>
  <si>
    <t>TUNJA</t>
  </si>
  <si>
    <t>TURBO</t>
  </si>
  <si>
    <t>VALLEDUPAR</t>
  </si>
  <si>
    <t>VILLAMARIA</t>
  </si>
  <si>
    <t>VILLANUEVA</t>
  </si>
  <si>
    <t>VILLAVICENCIO</t>
  </si>
  <si>
    <t>WILLEMSTAD</t>
  </si>
  <si>
    <t>YOPAL</t>
  </si>
  <si>
    <t>YUMBO</t>
  </si>
  <si>
    <t>ZIPAQUIRA</t>
  </si>
  <si>
    <t>AGUSTIN CODAZZI</t>
  </si>
  <si>
    <t>ALCALDIA CU</t>
  </si>
  <si>
    <t>ALCALDIA CUAUHTEMOC</t>
  </si>
  <si>
    <t>ARUBA</t>
  </si>
  <si>
    <t>BONAIRE</t>
  </si>
  <si>
    <t>BRIDGETOWN</t>
  </si>
  <si>
    <t>BUENOS AIRES</t>
  </si>
  <si>
    <t>CASTRIES</t>
  </si>
  <si>
    <t>CIUDAD BOLIVAR</t>
  </si>
  <si>
    <t>CIUDAD DE PANAMA</t>
  </si>
  <si>
    <t>CURAZAO</t>
  </si>
  <si>
    <t>DON MATIAS</t>
  </si>
  <si>
    <t>ESTADO MIRANDA</t>
  </si>
  <si>
    <t>GEORGETOWN</t>
  </si>
  <si>
    <t>GUIARENAS</t>
  </si>
  <si>
    <t>HABANA CUBA</t>
  </si>
  <si>
    <t>HONDURAS</t>
  </si>
  <si>
    <t>ITUANGO</t>
  </si>
  <si>
    <t>JAMAICA</t>
  </si>
  <si>
    <t>LA HABANA</t>
  </si>
  <si>
    <t>MARIQUITA</t>
  </si>
  <si>
    <t>MATURIN</t>
  </si>
  <si>
    <t>MIXCO</t>
  </si>
  <si>
    <t>PUERTO ESPANA</t>
  </si>
  <si>
    <t>QUEZALTEPEQUE</t>
  </si>
  <si>
    <t>QUIBDO</t>
  </si>
  <si>
    <t>REVUCA</t>
  </si>
  <si>
    <t>SANTA CRUZ DE LA SIERRA</t>
  </si>
  <si>
    <t>SANTIAGO</t>
  </si>
  <si>
    <t>TEGUCIGALPA</t>
  </si>
  <si>
    <t>URAB</t>
  </si>
  <si>
    <t>YARUMAL</t>
  </si>
  <si>
    <t>MELBOURNE</t>
  </si>
  <si>
    <t>EL CERRITO</t>
  </si>
  <si>
    <t>GINEBRA</t>
  </si>
  <si>
    <t>GUACARI</t>
  </si>
  <si>
    <t>PUERTO TEJADA</t>
  </si>
  <si>
    <t>ROLDANILLO</t>
  </si>
  <si>
    <t>TUQUERRES</t>
  </si>
  <si>
    <t>VIJES</t>
  </si>
  <si>
    <t>VILLA RICA</t>
  </si>
  <si>
    <t>ZARZAL</t>
  </si>
  <si>
    <t>PUERTO COLOMBIA</t>
  </si>
  <si>
    <t>CAMPOALEGRE</t>
  </si>
  <si>
    <t>ESPINAL</t>
  </si>
  <si>
    <t>GARZON</t>
  </si>
  <si>
    <t>observada CO01</t>
  </si>
  <si>
    <t>Uso de almacenes por escenario</t>
  </si>
  <si>
    <t>tipo</t>
  </si>
  <si>
    <t>abierto</t>
  </si>
  <si>
    <t>decision</t>
  </si>
  <si>
    <t>throughput_m3_mes</t>
  </si>
  <si>
    <t>inventario_m3</t>
  </si>
  <si>
    <t>capacidad_m3</t>
  </si>
  <si>
    <t>posiciones_requeridas</t>
  </si>
  <si>
    <t>posiciones_disponibles</t>
  </si>
  <si>
    <t>utilizacion</t>
  </si>
  <si>
    <t>costo_manejo_cop</t>
  </si>
  <si>
    <t>costo_posiciones_cop</t>
  </si>
  <si>
    <t>costo_fijo_cop</t>
  </si>
  <si>
    <t>entrada_traslado_m3_mes</t>
  </si>
  <si>
    <t>Propio</t>
  </si>
  <si>
    <t>fija</t>
  </si>
  <si>
    <t>CO10 Medellín</t>
  </si>
  <si>
    <t>Operador logístico (3PL)</t>
  </si>
  <si>
    <t>binaria</t>
  </si>
  <si>
    <t>Validaciones de calidad de la información</t>
  </si>
  <si>
    <t>Fuente</t>
  </si>
  <si>
    <t>Validación</t>
  </si>
  <si>
    <t>Registros afectados</t>
  </si>
  <si>
    <t>% afectado</t>
  </si>
  <si>
    <t>Severidad</t>
  </si>
  <si>
    <t>Tratamiento en el modelo</t>
  </si>
  <si>
    <t>SAP</t>
  </si>
  <si>
    <t>Registros duplicados exactos (todas las columnas iguales)</t>
  </si>
  <si>
    <t>204 de 1,920,259 (0.0%)</t>
  </si>
  <si>
    <t>Baja</t>
  </si>
  <si>
    <t>Eliminados</t>
  </si>
  <si>
    <t>IMPORTE SAP &lt;= 1 COP (fletes en 0 / 1 peso)</t>
  </si>
  <si>
    <t>888,236 de 1,920,055 (46.3%)</t>
  </si>
  <si>
    <t>Alta</t>
  </si>
  <si>
    <t>Omitidos del cálculo de tarifas (numerador y denominador). Su volumen sí cuenta como demanda</t>
  </si>
  <si>
    <t>IMPORTE SAP con decimales entre 0 y 1 (0,8 / 0,9 COP)</t>
  </si>
  <si>
    <t>2,522 de 1,920,055 (0.1%)</t>
  </si>
  <si>
    <t>Media</t>
  </si>
  <si>
    <t>Tratados como importe inválido (misma regla de 0/1 peso)</t>
  </si>
  <si>
    <t>Traslados XI con flete inválido</t>
  </si>
  <si>
    <t>92,668 de 157,835 (58.7%)</t>
  </si>
  <si>
    <t>Son viajes de flota propia: se imputa su flete (viajes similares o por km); la tarifa de terceros usa solo líneas válidas</t>
  </si>
  <si>
    <t>Líneas con tarifa COP/m3 atípica (fuera de percentiles configurados)</t>
  </si>
  <si>
    <t>20,637 de 1,031,819 (2.0%)</t>
  </si>
  <si>
    <t>Excluidas de tarifas. Rango XI 6,186-172,865; distribución 10,148-179,710 COP/m3</t>
  </si>
  <si>
    <t>Viaje vacío</t>
  </si>
  <si>
    <t>6,030 de 1,920,055 (0.3%)</t>
  </si>
  <si>
    <t>No se cruzan con TMS; se usan para demanda y tarifas</t>
  </si>
  <si>
    <t>Viaje con ceros a la izquierda (formato distinto a TMS)</t>
  </si>
  <si>
    <t>361,947 de 1,920,055 (18.9%)</t>
  </si>
  <si>
    <t>Normalizado. Match de viajes pasa de 60,806 a 75,354</t>
  </si>
  <si>
    <t>Centro productor vacío</t>
  </si>
  <si>
    <t>1,121 de 1,920,259 (0.1%)</t>
  </si>
  <si>
    <t>Completado con planta del maestro de referencias (homologada)</t>
  </si>
  <si>
    <t>Población vacía</t>
  </si>
  <si>
    <t>9,945 de 1,920,055 (0.5%)</t>
  </si>
  <si>
    <t>La demanda usa la ciudad del maestro de clientes; 9,463 completadas con TMS</t>
  </si>
  <si>
    <t>CorredorTransporte vacío</t>
  </si>
  <si>
    <t>2,414 de 1,920,055 (0.1%)</t>
  </si>
  <si>
    <t>No se usa para el modelo (se usa origen-destino)</t>
  </si>
  <si>
    <t>Cantidad no entera (cajas fraccionadas)</t>
  </si>
  <si>
    <t>4 de 1,920,259 (0.0%)</t>
  </si>
  <si>
    <t>Se conserva</t>
  </si>
  <si>
    <t>Volumen SAP difiere &gt; 5 % de Cantidad x Volumen_Caja del maestro</t>
  </si>
  <si>
    <t>35,628 de 1,920,055 (1.9%)</t>
  </si>
  <si>
    <t>Se usa el volumen SAP (fuente principal)</t>
  </si>
  <si>
    <t>Referencias SAP sin maestro de referencias</t>
  </si>
  <si>
    <t>0 de 1,920,055 (0.0%)</t>
  </si>
  <si>
    <t>OK</t>
  </si>
  <si>
    <t>Sin planta TO-BE: se asigna por familia</t>
  </si>
  <si>
    <t>Unidad Negocio SAP distinta a Familia del maestro</t>
  </si>
  <si>
    <t>Se usa Unidad Negocio SAP</t>
  </si>
  <si>
    <t>Mes parcial al final de la serie (datos hasta 2026-10-07)</t>
  </si>
  <si>
    <t>23,616 de 1,920,055 (1.2%)</t>
  </si>
  <si>
    <t>Periodo base 2025-07 a 2026-06 (12 meses completos)</t>
  </si>
  <si>
    <t>Producción de CO10 registrada después de su cierre (2026-07-15)</t>
  </si>
  <si>
    <t>41,424 de 351,692 (11.8%)</t>
  </si>
  <si>
    <t>46,067 m3 tras el cierre: transición gradual. El TO-BE asume cierre total</t>
  </si>
  <si>
    <t>CEDI CO14 (Cali) aparece como Centro productor sin capacidad de planta definida</t>
  </si>
  <si>
    <t>5,177 de 1,920,055 (0.3%)</t>
  </si>
  <si>
    <t>Se mantiene como origen con su volumen histórico</t>
  </si>
  <si>
    <t>Traslados XI cuyo origen real (TMS) difiere del campo CEDI</t>
  </si>
  <si>
    <t>1,447 de 157,835 (0.9%)</t>
  </si>
  <si>
    <t>Origen corregido con Población Origen de TMS (ej. CO99 sale desde Cajicá)</t>
  </si>
  <si>
    <t>Traslados XI cuyo cliente destino no corresponde a ningún nodo</t>
  </si>
  <si>
    <t>93 de 157,835 (0.1%)</t>
  </si>
  <si>
    <t>Excluidos de tarifas XI (destinos Funza/Bogotá)</t>
  </si>
  <si>
    <t>Cliente C720 (Tocancipá) registrado con Poblacion 'ANTIOQUIA'</t>
  </si>
  <si>
    <t>977 de 977 (100.0%)</t>
  </si>
  <si>
    <t>Homologado al nodo CO99 (bodega externa Tocancipá) por parametros.yaml</t>
  </si>
  <si>
    <t>Viajes con más de un CEDI</t>
  </si>
  <si>
    <t>836 de 78,336 (1.1%)</t>
  </si>
  <si>
    <t>Se toma el primer CEDI para el cruce con TMS</t>
  </si>
  <si>
    <t>Traslados XI de flota propia: viajes con todas sus líneas en 0/1 peso</t>
  </si>
  <si>
    <t>15,409 de 26,829 (57.4%)</t>
  </si>
  <si>
    <t>Flete imputado (similares): 1,187 MCOP/mes por viajes similares / 1,013 MCOP/mes por km. 3,125 viajes dentro del mismo nodo sin costo</t>
  </si>
  <si>
    <t>Tipo XA (clientes regulares, no nodos)</t>
  </si>
  <si>
    <t>1,728 de 1,920,055 (0.1%)</t>
  </si>
  <si>
    <t>Tratado como distribución, no como traslado</t>
  </si>
  <si>
    <t>TMS</t>
  </si>
  <si>
    <t>Viajes duplicados</t>
  </si>
  <si>
    <t>0 de 184,670 (0.0%)</t>
  </si>
  <si>
    <t>Se conserva el primero</t>
  </si>
  <si>
    <t>Fechas centinela (año 1953)</t>
  </si>
  <si>
    <t>74 de 184,670 (0.0%)</t>
  </si>
  <si>
    <t>Tiempo de tránsito no calculado para esos viajes</t>
  </si>
  <si>
    <t>Tiempo de tránsito negativo, &lt; 0,5 h o &gt; 15 días</t>
  </si>
  <si>
    <t>14,204 de 184,670 (7.7%)</t>
  </si>
  <si>
    <t>Excluidos del cálculo de tiempos</t>
  </si>
  <si>
    <t>Fechas reales vacías</t>
  </si>
  <si>
    <t>3,581 de 184,670 (1.9%)</t>
  </si>
  <si>
    <t>Sin tiempo de tránsito</t>
  </si>
  <si>
    <t>Volumen = 0</t>
  </si>
  <si>
    <t>2,389 de 184,670 (1.3%)</t>
  </si>
  <si>
    <t>No se usan para m3 por viaje</t>
  </si>
  <si>
    <t>Peso = 0</t>
  </si>
  <si>
    <t>2,261 de 184,670 (1.2%)</t>
  </si>
  <si>
    <t>Peso no se usa en el modelo</t>
  </si>
  <si>
    <t>Volumen distinto de 'Volumen viaje'</t>
  </si>
  <si>
    <t>774 de 184,670 (0.4%)</t>
  </si>
  <si>
    <t>Se usa 'Volumen'</t>
  </si>
  <si>
    <t>'Usuario Creación' vacío</t>
  </si>
  <si>
    <t>184,670 de 184,670 (100.0%)</t>
  </si>
  <si>
    <t>Campo no usado</t>
  </si>
  <si>
    <t>Centro TMS numérico (1..6) sin homologación a código SAP</t>
  </si>
  <si>
    <t>Origen se toma de 'Población Origen' homologada a nodo</t>
  </si>
  <si>
    <t>SAP-TMS</t>
  </si>
  <si>
    <t>Viajes SAP sin match en TMS (después de normalizar)</t>
  </si>
  <si>
    <t>2,982 de 78,336 (3.8%)</t>
  </si>
  <si>
    <t>Para estos viajes se usa solo SAP (fuente principal)</t>
  </si>
  <si>
    <t>Viajes TMS sin SAP (TMS cubre 2025-01-02 a 2026-09-17)</t>
  </si>
  <si>
    <t>109,316 de 184,670 (59.2%)</t>
  </si>
  <si>
    <t>No se usan (SAP es la fuente principal)</t>
  </si>
  <si>
    <t>Volumen del viaje SAP vs TMS dentro de ±10 %</t>
  </si>
  <si>
    <t>96.5% de los viajes cruzados</t>
  </si>
  <si>
    <t>Validación de consistencia</t>
  </si>
  <si>
    <t>Maestro referencias</t>
  </si>
  <si>
    <t>Referencias sin familia / planta / volumen</t>
  </si>
  <si>
    <t>15 de 1,817 (0.8%)</t>
  </si>
  <si>
    <t>Planta asignada por familia</t>
  </si>
  <si>
    <t>Volumen_Caja_m3 = 0</t>
  </si>
  <si>
    <t>63 de 1,817 (3.5%)</t>
  </si>
  <si>
    <t>Excluidas del cálculo de m3 por posición</t>
  </si>
  <si>
    <t>Códigos de planta (CO05, CO06, CO12...) no existen en homologacion_centros</t>
  </si>
  <si>
    <t>9 de 11 (81.8%)</t>
  </si>
  <si>
    <t>Homologación inferida por volumen SAP: CO05-&gt;CO01 (98%), CO06-&gt;CO01 (100%), CO10-&gt;CO10 (78%), CO12-&gt;CO02 (96%), CO14-&gt;CO14 (99%), CO30-&gt;CO04 (99%), CO45-&gt;CO04 (90%), CO46-&gt;CO02 (89%), CO48-&gt;CO01 (99%), CO50-&gt;CO02 (99%), CO60-&gt;CO03 (97%)</t>
  </si>
  <si>
    <t>Fecha_Efectiva_Cambio como número serial Excel (46310 = 2026-10-15) distinta al cierre del maestro de nodos</t>
  </si>
  <si>
    <t>331 de 1,817 (18.2%)</t>
  </si>
  <si>
    <t>Se toma la fecha del maestro de nodos para el cierre</t>
  </si>
  <si>
    <t>Trasladadas/sin cambio sin Planta_Produccion_Nueva</t>
  </si>
  <si>
    <t>Se mantiene la planta AS-IS</t>
  </si>
  <si>
    <t>Campos logísticos vacíos (dimensiones, peso, ABC, vida útil)</t>
  </si>
  <si>
    <t>1,817 de 1,817 (100.0%)</t>
  </si>
  <si>
    <t>No se usan</t>
  </si>
  <si>
    <t>Maestro clientes</t>
  </si>
  <si>
    <t>Clientes sin coordenadas</t>
  </si>
  <si>
    <t>56 de 892 (6.3%)</t>
  </si>
  <si>
    <t>Coordenadas de la ciudad / departamento</t>
  </si>
  <si>
    <t>Clientes sin Zona_Comercial</t>
  </si>
  <si>
    <t>163 de 892 (18.3%)</t>
  </si>
  <si>
    <t>Zona inferida por departamento</t>
  </si>
  <si>
    <t>Campos de servicio vacíos (frecuencia, ventana, lead time, prioridad)</t>
  </si>
  <si>
    <t>892 de 892 (100.0%)</t>
  </si>
  <si>
    <t>El modelo no impone restricción de servicio</t>
  </si>
  <si>
    <t>Maestro nodos</t>
  </si>
  <si>
    <t>Nodos de ciudades distintas con coordenadas idénticas (CO01 Cajicá / CO99 Tocancipá)</t>
  </si>
  <si>
    <t>2 de 10 (20.0%)</t>
  </si>
  <si>
    <t>CO99 toma coordenadas de Tocancipá (maestro de clientes)</t>
  </si>
  <si>
    <t>Departamento mal escrito ('Cuandinamarca')</t>
  </si>
  <si>
    <t>No afecta el modelo</t>
  </si>
  <si>
    <t>Info CEDI</t>
  </si>
  <si>
    <t>Campos de capacidad 100 % vacíos: Volumen_Util_m3, Ocupacion_Promedio_Pct, Ocupacion_Pico_Pct, Utilizacion_Max_Operable_Pct, Area_m2</t>
  </si>
  <si>
    <t>5 de 5 (100.0%)</t>
  </si>
  <si>
    <t>Capacidad = posiciones x m3/posición (maestro) x utilización máx. (parámetro)</t>
  </si>
  <si>
    <t>Niveles en texto ('3, 4, y 5')</t>
  </si>
  <si>
    <t>4 de 10 (40.0%)</t>
  </si>
  <si>
    <t>No se usa</t>
  </si>
  <si>
    <t>Capacidad plantas</t>
  </si>
  <si>
    <t>Plantas con familias y capacidad idénticas (posible copia: CO02, CO04)</t>
  </si>
  <si>
    <t>2 de 5 (40.0%)</t>
  </si>
  <si>
    <t>Se usan tal cual; validar antes de usar el escenario de producción flexible</t>
  </si>
  <si>
    <t>Familias vendidas sin planta con capacidad declarada: BeCa, PeCa</t>
  </si>
  <si>
    <t>2 de 11 (18.2%)</t>
  </si>
  <si>
    <t>Se producen en su planta actual</t>
  </si>
  <si>
    <t>Parámetros plantas</t>
  </si>
  <si>
    <t>Factor_Costo_Variable y Max_Lineas_Recibir vacíos</t>
  </si>
  <si>
    <t>10 de 10 (100.0%)</t>
  </si>
  <si>
    <t>Costos variables por modalidad (parametros.yaml)</t>
  </si>
  <si>
    <t>Costo fijo idéntico en varios nodos (445 MCOP: posible valor por defecto)</t>
  </si>
  <si>
    <t>6 de 10 (60.0%)</t>
  </si>
  <si>
    <t>Se usa tal cual</t>
  </si>
  <si>
    <t>Nodos cuyo despacho real supera la capacidad de despacho declarada (estibas/día): CO01, CO02, CO03, CO04, CO10</t>
  </si>
  <si>
    <t>5 de 10 (50.0%)</t>
  </si>
  <si>
    <t>Capacidad de muelles reportada como indicador, no como restricción</t>
  </si>
  <si>
    <t>Producción vs capacidad de planta (m3/mes)</t>
  </si>
  <si>
    <t>capacidad_m3_mes</t>
  </si>
  <si>
    <t>familias</t>
  </si>
  <si>
    <t>produccion_asis_m3_mes</t>
  </si>
  <si>
    <t>produccion_tobe_m3_mes</t>
  </si>
  <si>
    <t>util_asis</t>
  </si>
  <si>
    <t>util_tobe</t>
  </si>
  <si>
    <t>FaCa, FaPr, PrHy</t>
  </si>
  <si>
    <t>FaCa, FeCa, FePr, InHe, InRe, PrHy</t>
  </si>
  <si>
    <t>BaCa, BaPr, FeCa, FePr, InHe, InRe, PrHy</t>
  </si>
  <si>
    <t>Nodos y capacidades</t>
  </si>
  <si>
    <t>ID_Nodo</t>
  </si>
  <si>
    <t>Tipo_Nodo</t>
  </si>
  <si>
    <t>Modalidad</t>
  </si>
  <si>
    <t>Estado</t>
  </si>
  <si>
    <t>Ciudad</t>
  </si>
  <si>
    <t>lat</t>
  </si>
  <si>
    <t>lon</t>
  </si>
  <si>
    <t>posiciones_total</t>
  </si>
  <si>
    <t>cap_inv_m3</t>
  </si>
  <si>
    <t>cap_despacho_m3_mes</t>
  </si>
  <si>
    <t>despacho_asis_m3_mes</t>
  </si>
  <si>
    <t>traslado_salida_asis_m3_mes</t>
  </si>
  <si>
    <t>costo_fijo</t>
  </si>
  <si>
    <t>manejo_cop_m3</t>
  </si>
  <si>
    <t>posicion_cop_mes</t>
  </si>
  <si>
    <t>coord_corregida</t>
  </si>
  <si>
    <t>Planta; CEDI</t>
  </si>
  <si>
    <t>Activo</t>
  </si>
  <si>
    <t>Cajica</t>
  </si>
  <si>
    <t>Rionegro</t>
  </si>
  <si>
    <t>Caloto</t>
  </si>
  <si>
    <t>Girardota</t>
  </si>
  <si>
    <t>Cerrado</t>
  </si>
  <si>
    <t>Medellín</t>
  </si>
  <si>
    <t>CEDI</t>
  </si>
  <si>
    <t>Cali</t>
  </si>
  <si>
    <t>Barranquilla</t>
  </si>
  <si>
    <t>Bucaramanga</t>
  </si>
  <si>
    <t>Ibague</t>
  </si>
  <si>
    <t>Tocancipa</t>
  </si>
  <si>
    <t>Candidata</t>
  </si>
  <si>
    <t>Itagui</t>
  </si>
  <si>
    <t>Funza</t>
  </si>
  <si>
    <t>Tarifas observadas SAP (solo líneas con flete válido y sin atípicos)</t>
  </si>
  <si>
    <t>origen</t>
  </si>
  <si>
    <t>destino</t>
  </si>
  <si>
    <t>imp_terc</t>
  </si>
  <si>
    <t>vol_terc</t>
  </si>
  <si>
    <t>lineas</t>
  </si>
  <si>
    <t>imp_prop</t>
  </si>
  <si>
    <t>vol_prop</t>
  </si>
  <si>
    <t>imp</t>
  </si>
  <si>
    <t>vol</t>
  </si>
  <si>
    <t>tarifa</t>
  </si>
  <si>
    <t>tarifa_tercero</t>
  </si>
  <si>
    <t>tarifa_propia</t>
  </si>
  <si>
    <t>km</t>
  </si>
  <si>
    <t>m3_viaje_propia</t>
  </si>
  <si>
    <t>confiable</t>
  </si>
  <si>
    <t>Traslado XI</t>
  </si>
  <si>
    <t>Tiempos de tránsito y m3 por viaje (TMS, viajes cruzados con SAP)</t>
  </si>
  <si>
    <t>es_xi</t>
  </si>
  <si>
    <t>viajes</t>
  </si>
  <si>
    <t>transito_h_mediana</t>
  </si>
  <si>
    <t>m3_por_viaje</t>
  </si>
  <si>
    <t>Homologación planta maestro de referencias -&gt; centro SAP</t>
  </si>
  <si>
    <t>codigo_maestro</t>
  </si>
  <si>
    <t>nodo_sap</t>
  </si>
  <si>
    <t>vol_m3</t>
  </si>
  <si>
    <t>participacion</t>
  </si>
  <si>
    <t>CO05</t>
  </si>
  <si>
    <t>inferido SAP</t>
  </si>
  <si>
    <t>CO06</t>
  </si>
  <si>
    <t>CO12</t>
  </si>
  <si>
    <t>CO30</t>
  </si>
  <si>
    <t>CO45</t>
  </si>
  <si>
    <t>CO46</t>
  </si>
  <si>
    <t>CO48</t>
  </si>
  <si>
    <t>CO50</t>
  </si>
  <si>
    <t>CO60</t>
  </si>
  <si>
    <t>Homologación cliente destino de traslados XI -&gt; nodo</t>
  </si>
  <si>
    <t>Cliente</t>
  </si>
  <si>
    <t>nodo_destino</t>
  </si>
  <si>
    <t>ciudad_maestro</t>
  </si>
  <si>
    <t>C716</t>
  </si>
  <si>
    <t>ciudad del nodo</t>
  </si>
  <si>
    <t>C717</t>
  </si>
  <si>
    <t>parametros.yaml</t>
  </si>
  <si>
    <t>C718</t>
  </si>
  <si>
    <t>C719</t>
  </si>
  <si>
    <t>C720</t>
  </si>
  <si>
    <t>C721</t>
  </si>
  <si>
    <t>C722</t>
  </si>
  <si>
    <t>C723</t>
  </si>
  <si>
    <t>C724</t>
  </si>
  <si>
    <t>(sin nodo)</t>
  </si>
  <si>
    <t>sin nodo (destino externo)</t>
  </si>
  <si>
    <t>C725</t>
  </si>
  <si>
    <t>C726</t>
  </si>
  <si>
    <t>C727</t>
  </si>
  <si>
    <t>GUACHENÉ</t>
  </si>
  <si>
    <t>C728</t>
  </si>
  <si>
    <t>C729</t>
  </si>
  <si>
    <t>Demanda base por ciudad, familia y planta (m3/mes)</t>
  </si>
  <si>
    <t>familia</t>
  </si>
  <si>
    <t>planta_asis</t>
  </si>
  <si>
    <t>planta_tobe</t>
  </si>
  <si>
    <t>descontinuada</t>
  </si>
  <si>
    <t>vol_mes</t>
  </si>
  <si>
    <t>(descontinuada)</t>
  </si>
  <si>
    <t>Parámetros y supuestos usados</t>
  </si>
  <si>
    <t>Parámetro</t>
  </si>
  <si>
    <t>Valor</t>
  </si>
  <si>
    <t>Periodo base</t>
  </si>
  <si>
    <t>2025-07 a 2026-06 (12 meses)</t>
  </si>
  <si>
    <t>Días de inventario usados</t>
  </si>
  <si>
    <t>24.7</t>
  </si>
  <si>
    <t>DOI implícito AS-IS (calibración)</t>
  </si>
  <si>
    <t>24.73945205677741</t>
  </si>
  <si>
    <t>m3 por posición</t>
  </si>
  <si>
    <t>2.263962004707765</t>
  </si>
  <si>
    <t>Utilización máxima</t>
  </si>
  <si>
    <t>0.85</t>
  </si>
  <si>
    <t>Umbral importe inválido</t>
  </si>
  <si>
    <t>1</t>
  </si>
  <si>
    <t>Regresión distribución (COP/m3 = a + b*km)</t>
  </si>
  <si>
    <t>a=28,995  b=66.0  R2=0.50</t>
  </si>
  <si>
    <t>Regresión traslado (COP/m3 = a + b*km)</t>
  </si>
  <si>
    <t>a=9,195  b=100.9  R2=0.91</t>
  </si>
  <si>
    <t>Factor km carretera</t>
  </si>
  <si>
    <t>1.3</t>
  </si>
  <si>
    <t>Penalidad déficit COP/m3</t>
  </si>
  <si>
    <t>400000</t>
  </si>
  <si>
    <t>costo_total_traslado</t>
  </si>
  <si>
    <t>12875797107.715385</t>
  </si>
  <si>
    <t>costo_bodega_sin_fijo</t>
  </si>
  <si>
    <t>12893873119.738836</t>
  </si>
  <si>
    <t>fijo_bodega_actual</t>
  </si>
  <si>
    <t>542000000.0</t>
  </si>
  <si>
    <t>fijo_maximo_bodega_para_empatar</t>
  </si>
  <si>
    <t>-18076012.02345085</t>
  </si>
  <si>
    <t>Planta \ Almacén</t>
  </si>
  <si>
    <t>COP/m3. Ponderada terceros (flete SAP válido) + flota propia (flete imputado). Rutas sin historia: estimada por distancia.</t>
  </si>
  <si>
    <t>Zona \ Almacén</t>
  </si>
  <si>
    <t>COP/m3 promedio ponderado por la demanda de cada ciudad de la zona.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</si>
</sst>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#,##0.00"/>
    <numFmt numFmtId="166" formatCode="0.0%"/>
    <numFmt numFmtId="167" formatCode="#,##0.0"/>
  </numFmts>
  <fonts count="6">
    <font>
      <sz val="11"/>
      <color theme="1"/>
      <name val="Calibri"/>
      <family val="2"/>
      <scheme val="minor"/>
    </font>
    <font>
      <b/>
      <sz val="16"/>
      <color rgb="FF184F95"/>
      <name val="Calibri"/>
      <family val="2"/>
      <scheme val="minor"/>
    </font>
    <font>
      <i/>
      <sz val="11"/>
      <color rgb="FF52514E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84F95"/>
        <bgColor indexed="64"/>
      </patternFill>
    </fill>
    <fill>
      <patternFill patternType="solid">
        <fgColor rgb="FFFFF2B3"/>
        <bgColor indexed="64"/>
      </patternFill>
    </fill>
    <fill>
      <patternFill patternType="solid">
        <fgColor rgb="FFCDE2FB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 wrapText="1"/>
    </xf>
    <xf numFmtId="0" fontId="4" fillId="2" borderId="1" xfId="0" applyFont="1" applyFill="1" applyBorder="1" applyAlignment="1">
      <alignment vertical="center" wrapText="1"/>
    </xf>
    <xf numFmtId="0" fontId="0" fillId="0" borderId="1" xfId="0" applyBorder="1"/>
    <xf numFmtId="164" fontId="0" fillId="0" borderId="1" xfId="0" applyNumberFormat="1" applyBorder="1"/>
    <xf numFmtId="165" fontId="0" fillId="3" borderId="1" xfId="0" applyNumberFormat="1" applyFill="1" applyBorder="1"/>
    <xf numFmtId="166" fontId="0" fillId="3" borderId="1" xfId="0" applyNumberFormat="1" applyFill="1" applyBorder="1"/>
    <xf numFmtId="0" fontId="0" fillId="3" borderId="1" xfId="0" applyFill="1" applyBorder="1"/>
    <xf numFmtId="164" fontId="0" fillId="3" borderId="1" xfId="0" applyNumberFormat="1" applyFill="1" applyBorder="1"/>
    <xf numFmtId="166" fontId="0" fillId="0" borderId="1" xfId="0" applyNumberFormat="1" applyBorder="1"/>
    <xf numFmtId="0" fontId="5" fillId="4" borderId="2" xfId="0" applyFont="1" applyFill="1" applyBorder="1"/>
    <xf numFmtId="164" fontId="5" fillId="4" borderId="2" xfId="0" applyNumberFormat="1" applyFont="1" applyFill="1" applyBorder="1"/>
    <xf numFmtId="167" fontId="0" fillId="0" borderId="1" xfId="0" applyNumberFormat="1" applyBorder="1"/>
  </cellXfs>
  <cellStyles count="1">
    <cellStyle name="Normal" xfId="0" builtinId="0"/>
  </cellStyles>
  <dxfs count="8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#,##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7" formatCode="#,##0.0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6" formatCode="0.0%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4B6B5"/>
        </patternFill>
      </fill>
    </dxf>
    <dxf>
      <fill>
        <patternFill>
          <bgColor rgb="FFFFE3A3"/>
        </patternFill>
      </fill>
    </dxf>
    <dxf>
      <fill>
        <patternFill>
          <bgColor rgb="FFE1E0D9"/>
        </patternFill>
      </fill>
    </dxf>
    <dxf>
      <fill>
        <patternFill>
          <bgColor rgb="FFC9ECD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theme" Target="theme/theme1.xml"/><Relationship Id="rId19" Type="http://schemas.openxmlformats.org/officeDocument/2006/relationships/styles" Target="styles.xml"/><Relationship Id="rId2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Costo mensual por escenario y componente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strRef>
              <c:f>Resumen!$A$26</c:f>
              <c:strCache>
                <c:ptCount val="1"/>
                <c:pt idx="0">
                  <c:v>Traslado XI terceros</c:v>
                </c:pt>
              </c:strCache>
            </c:strRef>
          </c:tx>
          <c:spPr>
            <a:solidFill>
              <a:srgbClr val="2A78D6"/>
            </a:solidFill>
            <a:ln w="19050">
              <a:solidFill>
                <a:srgbClr val="FFFFFF"/>
              </a:solidFill>
            </a:ln>
          </c:spPr>
          <c:cat>
            <c:strRef>
              <c:f>Resumen!$B$25:$H$25</c:f>
              <c:strCache>
                <c:ptCount val="7"/>
                <c:pt idx="0">
                  <c:v>Actual real (flujos observados SAP)</c:v>
                </c:pt>
                <c:pt idx="1">
                  <c:v>AS-IS optimizado (CO10 operando)</c:v>
                </c:pt>
                <c:pt idx="2">
                  <c:v>Cierre CO10 sin re-optimizar (red de distribución actual)</c:v>
                </c:pt>
                <c:pt idx="3">
                  <c:v>Opción B: traslado a CEDI de otra ciudad (sin bodega externa)</c:v>
                </c:pt>
                <c:pt idx="4">
                  <c:v>Opción A: bodega externa (se mantiene CO99; traslados a otros CEDI limitados al nivel AS-IS)</c:v>
                </c:pt>
                <c:pt idx="5">
                  <c:v>Óptimo TO-BE (el modelo combina libremente)</c:v>
                </c:pt>
                <c:pt idx="6">
                  <c:v>Óptimo TO-BE reasignando producción entre plantas compatibles</c:v>
                </c:pt>
              </c:strCache>
            </c:strRef>
          </c:cat>
          <c:val>
            <c:numRef>
              <c:f>Resumen!$B$26:$H$26</c:f>
              <c:numCache>
                <c:formatCode>General</c:formatCode>
                <c:ptCount val="7"/>
                <c:pt idx="0">
                  <c:v>1000734406.233333</c:v>
                </c:pt>
                <c:pt idx="1">
                  <c:v>246688910.5150144</c:v>
                </c:pt>
                <c:pt idx="2">
                  <c:v>1017548028.892273</c:v>
                </c:pt>
                <c:pt idx="3">
                  <c:v>287151743.09633</c:v>
                </c:pt>
                <c:pt idx="4">
                  <c:v>253011471.2488695</c:v>
                </c:pt>
                <c:pt idx="5">
                  <c:v>287151743.0963299</c:v>
                </c:pt>
                <c:pt idx="6">
                  <c:v>143870887.3089826</c:v>
                </c:pt>
              </c:numCache>
            </c:numRef>
          </c:val>
        </c:ser>
        <c:ser>
          <c:idx val="1"/>
          <c:order val="1"/>
          <c:tx>
            <c:strRef>
              <c:f>Resumen!$A$27</c:f>
              <c:strCache>
                <c:ptCount val="1"/>
                <c:pt idx="0">
                  <c:v>Traslado XI flota propia</c:v>
                </c:pt>
              </c:strCache>
            </c:strRef>
          </c:tx>
          <c:spPr>
            <a:solidFill>
              <a:srgbClr val="EB6834"/>
            </a:solidFill>
            <a:ln w="19050">
              <a:solidFill>
                <a:srgbClr val="FFFFFF"/>
              </a:solidFill>
            </a:ln>
          </c:spPr>
          <c:cat>
            <c:strRef>
              <c:f>Resumen!$B$25:$H$25</c:f>
              <c:strCache>
                <c:ptCount val="7"/>
                <c:pt idx="0">
                  <c:v>Actual real (flujos observados SAP)</c:v>
                </c:pt>
                <c:pt idx="1">
                  <c:v>AS-IS optimizado (CO10 operando)</c:v>
                </c:pt>
                <c:pt idx="2">
                  <c:v>Cierre CO10 sin re-optimizar (red de distribución actual)</c:v>
                </c:pt>
                <c:pt idx="3">
                  <c:v>Opción B: traslado a CEDI de otra ciudad (sin bodega externa)</c:v>
                </c:pt>
                <c:pt idx="4">
                  <c:v>Opción A: bodega externa (se mantiene CO99; traslados a otros CEDI limitados al nivel AS-IS)</c:v>
                </c:pt>
                <c:pt idx="5">
                  <c:v>Óptimo TO-BE (el modelo combina libremente)</c:v>
                </c:pt>
                <c:pt idx="6">
                  <c:v>Óptimo TO-BE reasignando producción entre plantas compatibles</c:v>
                </c:pt>
              </c:strCache>
            </c:strRef>
          </c:cat>
          <c:val>
            <c:numRef>
              <c:f>Resumen!$B$27:$H$27</c:f>
              <c:numCache>
                <c:formatCode>General</c:formatCode>
                <c:ptCount val="7"/>
                <c:pt idx="0">
                  <c:v>1186697616.557964</c:v>
                </c:pt>
                <c:pt idx="1">
                  <c:v>589706417.0823499</c:v>
                </c:pt>
                <c:pt idx="2">
                  <c:v>838067836.7871565</c:v>
                </c:pt>
                <c:pt idx="3">
                  <c:v>164466586.4836278</c:v>
                </c:pt>
                <c:pt idx="4">
                  <c:v>162946621.7604836</c:v>
                </c:pt>
                <c:pt idx="5">
                  <c:v>164466586.4836277</c:v>
                </c:pt>
                <c:pt idx="6">
                  <c:v>4440951.119811874</c:v>
                </c:pt>
              </c:numCache>
            </c:numRef>
          </c:val>
        </c:ser>
        <c:ser>
          <c:idx val="2"/>
          <c:order val="2"/>
          <c:tx>
            <c:strRef>
              <c:f>Resumen!$A$28</c:f>
              <c:strCache>
                <c:ptCount val="1"/>
                <c:pt idx="0">
                  <c:v>Distribución</c:v>
                </c:pt>
              </c:strCache>
            </c:strRef>
          </c:tx>
          <c:spPr>
            <a:solidFill>
              <a:srgbClr val="1BAF7A"/>
            </a:solidFill>
            <a:ln w="19050">
              <a:solidFill>
                <a:srgbClr val="FFFFFF"/>
              </a:solidFill>
            </a:ln>
          </c:spPr>
          <c:cat>
            <c:strRef>
              <c:f>Resumen!$B$25:$H$25</c:f>
              <c:strCache>
                <c:ptCount val="7"/>
                <c:pt idx="0">
                  <c:v>Actual real (flujos observados SAP)</c:v>
                </c:pt>
                <c:pt idx="1">
                  <c:v>AS-IS optimizado (CO10 operando)</c:v>
                </c:pt>
                <c:pt idx="2">
                  <c:v>Cierre CO10 sin re-optimizar (red de distribución actual)</c:v>
                </c:pt>
                <c:pt idx="3">
                  <c:v>Opción B: traslado a CEDI de otra ciudad (sin bodega externa)</c:v>
                </c:pt>
                <c:pt idx="4">
                  <c:v>Opción A: bodega externa (se mantiene CO99; traslados a otros CEDI limitados al nivel AS-IS)</c:v>
                </c:pt>
                <c:pt idx="5">
                  <c:v>Óptimo TO-BE (el modelo combina libremente)</c:v>
                </c:pt>
                <c:pt idx="6">
                  <c:v>Óptimo TO-BE reasignando producción entre plantas compatibles</c:v>
                </c:pt>
              </c:strCache>
            </c:strRef>
          </c:cat>
          <c:val>
            <c:numRef>
              <c:f>Resumen!$B$28:$H$28</c:f>
              <c:numCache>
                <c:formatCode>General</c:formatCode>
                <c:ptCount val="7"/>
                <c:pt idx="0">
                  <c:v>6724100100.017531</c:v>
                </c:pt>
                <c:pt idx="1">
                  <c:v>5843220798.247883</c:v>
                </c:pt>
                <c:pt idx="2">
                  <c:v>6133481667.736738</c:v>
                </c:pt>
                <c:pt idx="3">
                  <c:v>5974332473.414499</c:v>
                </c:pt>
                <c:pt idx="4">
                  <c:v>6026137658.998279</c:v>
                </c:pt>
                <c:pt idx="5">
                  <c:v>5974332473.414499</c:v>
                </c:pt>
                <c:pt idx="6">
                  <c:v>5162356683.074028</c:v>
                </c:pt>
              </c:numCache>
            </c:numRef>
          </c:val>
        </c:ser>
        <c:ser>
          <c:idx val="3"/>
          <c:order val="3"/>
          <c:tx>
            <c:strRef>
              <c:f>Resumen!$A$29</c:f>
              <c:strCache>
                <c:ptCount val="1"/>
                <c:pt idx="0">
                  <c:v>Manejo en almacén</c:v>
                </c:pt>
              </c:strCache>
            </c:strRef>
          </c:tx>
          <c:spPr>
            <a:solidFill>
              <a:srgbClr val="EDA100"/>
            </a:solidFill>
            <a:ln w="19050">
              <a:solidFill>
                <a:srgbClr val="FFFFFF"/>
              </a:solidFill>
            </a:ln>
          </c:spPr>
          <c:cat>
            <c:strRef>
              <c:f>Resumen!$B$25:$H$25</c:f>
              <c:strCache>
                <c:ptCount val="7"/>
                <c:pt idx="0">
                  <c:v>Actual real (flujos observados SAP)</c:v>
                </c:pt>
                <c:pt idx="1">
                  <c:v>AS-IS optimizado (CO10 operando)</c:v>
                </c:pt>
                <c:pt idx="2">
                  <c:v>Cierre CO10 sin re-optimizar (red de distribución actual)</c:v>
                </c:pt>
                <c:pt idx="3">
                  <c:v>Opción B: traslado a CEDI de otra ciudad (sin bodega externa)</c:v>
                </c:pt>
                <c:pt idx="4">
                  <c:v>Opción A: bodega externa (se mantiene CO99; traslados a otros CEDI limitados al nivel AS-IS)</c:v>
                </c:pt>
                <c:pt idx="5">
                  <c:v>Óptimo TO-BE (el modelo combina libremente)</c:v>
                </c:pt>
                <c:pt idx="6">
                  <c:v>Óptimo TO-BE reasignando producción entre plantas compatibles</c:v>
                </c:pt>
              </c:strCache>
            </c:strRef>
          </c:cat>
          <c:val>
            <c:numRef>
              <c:f>Resumen!$B$29:$H$29</c:f>
              <c:numCache>
                <c:formatCode>General</c:formatCode>
                <c:ptCount val="7"/>
                <c:pt idx="0">
                  <c:v>624694625.125</c:v>
                </c:pt>
                <c:pt idx="1">
                  <c:v>542534891.6666666</c:v>
                </c:pt>
                <c:pt idx="2">
                  <c:v>549672012.6162483</c:v>
                </c:pt>
                <c:pt idx="3">
                  <c:v>542846304.7209276</c:v>
                </c:pt>
                <c:pt idx="4">
                  <c:v>544777367.7312046</c:v>
                </c:pt>
                <c:pt idx="5">
                  <c:v>542846304.7209277</c:v>
                </c:pt>
                <c:pt idx="6">
                  <c:v>538199467.625</c:v>
                </c:pt>
              </c:numCache>
            </c:numRef>
          </c:val>
        </c:ser>
        <c:ser>
          <c:idx val="4"/>
          <c:order val="4"/>
          <c:tx>
            <c:strRef>
              <c:f>Resumen!$A$30</c:f>
              <c:strCache>
                <c:ptCount val="1"/>
                <c:pt idx="0">
                  <c:v>Posiciones bodega externa</c:v>
                </c:pt>
              </c:strCache>
            </c:strRef>
          </c:tx>
          <c:spPr>
            <a:solidFill>
              <a:srgbClr val="E87BA4"/>
            </a:solidFill>
            <a:ln w="19050">
              <a:solidFill>
                <a:srgbClr val="FFFFFF"/>
              </a:solidFill>
            </a:ln>
          </c:spPr>
          <c:cat>
            <c:strRef>
              <c:f>Resumen!$B$25:$H$25</c:f>
              <c:strCache>
                <c:ptCount val="7"/>
                <c:pt idx="0">
                  <c:v>Actual real (flujos observados SAP)</c:v>
                </c:pt>
                <c:pt idx="1">
                  <c:v>AS-IS optimizado (CO10 operando)</c:v>
                </c:pt>
                <c:pt idx="2">
                  <c:v>Cierre CO10 sin re-optimizar (red de distribución actual)</c:v>
                </c:pt>
                <c:pt idx="3">
                  <c:v>Opción B: traslado a CEDI de otra ciudad (sin bodega externa)</c:v>
                </c:pt>
                <c:pt idx="4">
                  <c:v>Opción A: bodega externa (se mantiene CO99; traslados a otros CEDI limitados al nivel AS-IS)</c:v>
                </c:pt>
                <c:pt idx="5">
                  <c:v>Óptimo TO-BE (el modelo combina libremente)</c:v>
                </c:pt>
                <c:pt idx="6">
                  <c:v>Óptimo TO-BE reasignando producción entre plantas compatibles</c:v>
                </c:pt>
              </c:strCache>
            </c:strRef>
          </c:cat>
          <c:val>
            <c:numRef>
              <c:f>Resumen!$B$30:$H$30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5"/>
          <c:order val="5"/>
          <c:tx>
            <c:strRef>
              <c:f>Resumen!$A$31</c:f>
              <c:strCache>
                <c:ptCount val="1"/>
                <c:pt idx="0">
                  <c:v>Fijo bodegas externas</c:v>
                </c:pt>
              </c:strCache>
            </c:strRef>
          </c:tx>
          <c:spPr>
            <a:solidFill>
              <a:srgbClr val="008300"/>
            </a:solidFill>
            <a:ln w="19050">
              <a:solidFill>
                <a:srgbClr val="FFFFFF"/>
              </a:solidFill>
            </a:ln>
          </c:spPr>
          <c:cat>
            <c:strRef>
              <c:f>Resumen!$B$25:$H$25</c:f>
              <c:strCache>
                <c:ptCount val="7"/>
                <c:pt idx="0">
                  <c:v>Actual real (flujos observados SAP)</c:v>
                </c:pt>
                <c:pt idx="1">
                  <c:v>AS-IS optimizado (CO10 operando)</c:v>
                </c:pt>
                <c:pt idx="2">
                  <c:v>Cierre CO10 sin re-optimizar (red de distribución actual)</c:v>
                </c:pt>
                <c:pt idx="3">
                  <c:v>Opción B: traslado a CEDI de otra ciudad (sin bodega externa)</c:v>
                </c:pt>
                <c:pt idx="4">
                  <c:v>Opción A: bodega externa (se mantiene CO99; traslados a otros CEDI limitados al nivel AS-IS)</c:v>
                </c:pt>
                <c:pt idx="5">
                  <c:v>Óptimo TO-BE (el modelo combina libremente)</c:v>
                </c:pt>
                <c:pt idx="6">
                  <c:v>Óptimo TO-BE reasignando producción entre plantas compatibles</c:v>
                </c:pt>
              </c:strCache>
            </c:strRef>
          </c:cat>
          <c:val>
            <c:numRef>
              <c:f>Resumen!$B$31:$H$31</c:f>
              <c:numCache>
                <c:formatCode>General</c:formatCode>
                <c:ptCount val="7"/>
                <c:pt idx="0">
                  <c:v>542000000</c:v>
                </c:pt>
                <c:pt idx="1">
                  <c:v>542000000</c:v>
                </c:pt>
                <c:pt idx="2">
                  <c:v>542000000</c:v>
                </c:pt>
                <c:pt idx="3">
                  <c:v>0</c:v>
                </c:pt>
                <c:pt idx="4">
                  <c:v>542000000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6"/>
          <c:order val="6"/>
          <c:tx>
            <c:strRef>
              <c:f>Resumen!$A$32</c:f>
              <c:strCache>
                <c:ptCount val="1"/>
                <c:pt idx="0">
                  <c:v>Fijo nodos (plantas y CEDI)</c:v>
                </c:pt>
              </c:strCache>
            </c:strRef>
          </c:tx>
          <c:spPr>
            <a:solidFill>
              <a:srgbClr val="6250D6"/>
            </a:solidFill>
            <a:ln w="19050">
              <a:solidFill>
                <a:srgbClr val="FFFFFF"/>
              </a:solidFill>
            </a:ln>
          </c:spPr>
          <c:cat>
            <c:strRef>
              <c:f>Resumen!$B$25:$H$25</c:f>
              <c:strCache>
                <c:ptCount val="7"/>
                <c:pt idx="0">
                  <c:v>Actual real (flujos observados SAP)</c:v>
                </c:pt>
                <c:pt idx="1">
                  <c:v>AS-IS optimizado (CO10 operando)</c:v>
                </c:pt>
                <c:pt idx="2">
                  <c:v>Cierre CO10 sin re-optimizar (red de distribución actual)</c:v>
                </c:pt>
                <c:pt idx="3">
                  <c:v>Opción B: traslado a CEDI de otra ciudad (sin bodega externa)</c:v>
                </c:pt>
                <c:pt idx="4">
                  <c:v>Opción A: bodega externa (se mantiene CO99; traslados a otros CEDI limitados al nivel AS-IS)</c:v>
                </c:pt>
                <c:pt idx="5">
                  <c:v>Óptimo TO-BE (el modelo combina libremente)</c:v>
                </c:pt>
                <c:pt idx="6">
                  <c:v>Óptimo TO-BE reasignando producción entre plantas compatibles</c:v>
                </c:pt>
              </c:strCache>
            </c:strRef>
          </c:cat>
          <c:val>
            <c:numRef>
              <c:f>Resumen!$B$32:$H$32</c:f>
              <c:numCache>
                <c:formatCode>General</c:formatCode>
                <c:ptCount val="7"/>
                <c:pt idx="0">
                  <c:v>6352000000</c:v>
                </c:pt>
                <c:pt idx="1">
                  <c:v>6352000000</c:v>
                </c:pt>
                <c:pt idx="2">
                  <c:v>5907000000</c:v>
                </c:pt>
                <c:pt idx="3">
                  <c:v>5907000000</c:v>
                </c:pt>
                <c:pt idx="4">
                  <c:v>5907000000</c:v>
                </c:pt>
                <c:pt idx="5">
                  <c:v>5907000000</c:v>
                </c:pt>
                <c:pt idx="6">
                  <c:v>5907000000</c:v>
                </c:pt>
              </c:numCache>
            </c:numRef>
          </c:val>
        </c:ser>
        <c:ser>
          <c:idx val="7"/>
          <c:order val="7"/>
          <c:tx>
            <c:strRef>
              <c:f>Resumen!$A$33</c:f>
              <c:strCache>
                <c:ptCount val="1"/>
                <c:pt idx="0">
                  <c:v>Penalización déficit capacidad</c:v>
                </c:pt>
              </c:strCache>
            </c:strRef>
          </c:tx>
          <c:spPr>
            <a:solidFill>
              <a:srgbClr val="E34948"/>
            </a:solidFill>
            <a:ln w="19050">
              <a:solidFill>
                <a:srgbClr val="FFFFFF"/>
              </a:solidFill>
            </a:ln>
          </c:spPr>
          <c:cat>
            <c:strRef>
              <c:f>Resumen!$B$25:$H$25</c:f>
              <c:strCache>
                <c:ptCount val="7"/>
                <c:pt idx="0">
                  <c:v>Actual real (flujos observados SAP)</c:v>
                </c:pt>
                <c:pt idx="1">
                  <c:v>AS-IS optimizado (CO10 operando)</c:v>
                </c:pt>
                <c:pt idx="2">
                  <c:v>Cierre CO10 sin re-optimizar (red de distribución actual)</c:v>
                </c:pt>
                <c:pt idx="3">
                  <c:v>Opción B: traslado a CEDI de otra ciudad (sin bodega externa)</c:v>
                </c:pt>
                <c:pt idx="4">
                  <c:v>Opción A: bodega externa (se mantiene CO99; traslados a otros CEDI limitados al nivel AS-IS)</c:v>
                </c:pt>
                <c:pt idx="5">
                  <c:v>Óptimo TO-BE (el modelo combina libremente)</c:v>
                </c:pt>
                <c:pt idx="6">
                  <c:v>Óptimo TO-BE reasignando producción entre plantas compatibles</c:v>
                </c:pt>
              </c:strCache>
            </c:strRef>
          </c:cat>
          <c:val>
            <c:numRef>
              <c:f>Resumen!$B$33:$H$33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50"/>
        <c:overlap val="100"/>
        <c:axId val="50010001"/>
        <c:axId val="50010002"/>
      </c:barChart>
      <c:catAx>
        <c:axId val="50010001"/>
        <c:scaling>
          <c:orientation val="maxMin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t"/>
        <c:majorGridlines/>
        <c:numFmt formatCode="#,##0,,&quot; M&quot;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Costo mensual por opción (se actualiza con los parámetros)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Costo total COP/mes</c:v>
          </c:tx>
          <c:spPr>
            <a:solidFill>
              <a:srgbClr val="2A78D6"/>
            </a:solidFill>
          </c:spPr>
          <c:cat>
            <c:strRef>
              <c:f>Simulador!$A$21:$A$31</c:f>
              <c:strCache>
                <c:ptCount val="11"/>
                <c:pt idx="0">
                  <c:v>CO01</c:v>
                </c:pt>
                <c:pt idx="1">
                  <c:v>CO02</c:v>
                </c:pt>
                <c:pt idx="2">
                  <c:v>CO03</c:v>
                </c:pt>
                <c:pt idx="3">
                  <c:v>CO04</c:v>
                </c:pt>
                <c:pt idx="4">
                  <c:v>CO14</c:v>
                </c:pt>
                <c:pt idx="5">
                  <c:v>CO15</c:v>
                </c:pt>
                <c:pt idx="6">
                  <c:v>CO16</c:v>
                </c:pt>
                <c:pt idx="7">
                  <c:v>CO29</c:v>
                </c:pt>
                <c:pt idx="8">
                  <c:v>CO99</c:v>
                </c:pt>
                <c:pt idx="9">
                  <c:v>BE_ANTIOQUIA</c:v>
                </c:pt>
                <c:pt idx="10">
                  <c:v>BE_SABANA</c:v>
                </c:pt>
              </c:strCache>
            </c:strRef>
          </c:cat>
          <c:val>
            <c:numRef>
              <c:f>Simulador!$P$21:$P$31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gapWidth val="6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>
          <c:spPr>
            <a:ln>
              <a:solidFill>
                <a:srgbClr val="E1E0D9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Costo total vs días de inventario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Sensibilidad!$M$3</c:f>
              <c:strCache>
                <c:ptCount val="1"/>
                <c:pt idx="0">
                  <c:v>E1_TRASLADO_CEDI</c:v>
                </c:pt>
              </c:strCache>
            </c:strRef>
          </c:tx>
          <c:spPr>
            <a:ln w="28575">
              <a:solidFill>
                <a:srgbClr val="2A78D6"/>
              </a:solidFill>
            </a:ln>
          </c:spPr>
          <c:marker>
            <c:symbol val="circle"/>
            <c:size val="6"/>
          </c:marker>
          <c:cat>
            <c:numRef>
              <c:f>Sensibilidad!$L$4:$L$9</c:f>
              <c:numCache>
                <c:formatCode>General</c:formatCode>
                <c:ptCount val="6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</c:numCache>
            </c:numRef>
          </c:cat>
          <c:val>
            <c:numRef>
              <c:f>Sensibilidad!$M$4:$M$9</c:f>
              <c:numCache>
                <c:formatCode>General</c:formatCode>
                <c:ptCount val="6"/>
                <c:pt idx="0">
                  <c:v>12572139925.60163</c:v>
                </c:pt>
                <c:pt idx="1">
                  <c:v>12646677814.99671</c:v>
                </c:pt>
                <c:pt idx="2">
                  <c:v>12760432763.46354</c:v>
                </c:pt>
                <c:pt idx="3">
                  <c:v>12892014633.77786</c:v>
                </c:pt>
                <c:pt idx="4">
                  <c:v>13137574502.05045</c:v>
                </c:pt>
                <c:pt idx="5">
                  <c:v>13408521134.70495</c:v>
                </c:pt>
              </c:numCache>
            </c:numRef>
          </c:val>
        </c:ser>
        <c:ser>
          <c:idx val="1"/>
          <c:order val="1"/>
          <c:tx>
            <c:strRef>
              <c:f>Sensibilidad!$N$3</c:f>
              <c:strCache>
                <c:ptCount val="1"/>
                <c:pt idx="0">
                  <c:v>E2_BODEGA_EXTERNA</c:v>
                </c:pt>
              </c:strCache>
            </c:strRef>
          </c:tx>
          <c:spPr>
            <a:ln w="28575">
              <a:solidFill>
                <a:srgbClr val="EB6834"/>
              </a:solidFill>
            </a:ln>
          </c:spPr>
          <c:marker>
            <c:symbol val="circle"/>
            <c:size val="6"/>
          </c:marker>
          <c:cat>
            <c:numRef>
              <c:f>Sensibilidad!$L$4:$L$9</c:f>
              <c:numCache>
                <c:formatCode>General</c:formatCode>
                <c:ptCount val="6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</c:numCache>
            </c:numRef>
          </c:cat>
          <c:val>
            <c:numRef>
              <c:f>Sensibilidad!$N$4:$N$9</c:f>
              <c:numCache>
                <c:formatCode>General</c:formatCode>
                <c:ptCount val="6"/>
                <c:pt idx="0">
                  <c:v>13141346932.7369</c:v>
                </c:pt>
                <c:pt idx="1">
                  <c:v>13189444061.27228</c:v>
                </c:pt>
                <c:pt idx="2">
                  <c:v>13302564096.93641</c:v>
                </c:pt>
                <c:pt idx="3">
                  <c:v>13451571116.20386</c:v>
                </c:pt>
                <c:pt idx="4">
                  <c:v>13690097254.42094</c:v>
                </c:pt>
                <c:pt idx="5">
                  <c:v>13903104490.29962</c:v>
                </c:pt>
              </c:numCache>
            </c:numRef>
          </c:val>
        </c:ser>
        <c:ser>
          <c:idx val="2"/>
          <c:order val="2"/>
          <c:tx>
            <c:strRef>
              <c:f>Sensibilidad!$O$3</c:f>
              <c:strCache>
                <c:ptCount val="1"/>
                <c:pt idx="0">
                  <c:v>E3_OPTIMO</c:v>
                </c:pt>
              </c:strCache>
            </c:strRef>
          </c:tx>
          <c:spPr>
            <a:ln w="28575">
              <a:solidFill>
                <a:srgbClr val="1BAF7A"/>
              </a:solidFill>
            </a:ln>
          </c:spPr>
          <c:marker>
            <c:symbol val="circle"/>
            <c:size val="6"/>
          </c:marker>
          <c:cat>
            <c:numRef>
              <c:f>Sensibilidad!$L$4:$L$9</c:f>
              <c:numCache>
                <c:formatCode>General</c:formatCode>
                <c:ptCount val="6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</c:numCache>
            </c:numRef>
          </c:cat>
          <c:val>
            <c:numRef>
              <c:f>Sensibilidad!$O$4:$O$9</c:f>
              <c:numCache>
                <c:formatCode>General</c:formatCode>
                <c:ptCount val="6"/>
                <c:pt idx="0">
                  <c:v>12572139925.60163</c:v>
                </c:pt>
                <c:pt idx="1">
                  <c:v>12646677814.99671</c:v>
                </c:pt>
                <c:pt idx="2">
                  <c:v>12760432763.46354</c:v>
                </c:pt>
                <c:pt idx="3">
                  <c:v>12892014633.77786</c:v>
                </c:pt>
                <c:pt idx="4">
                  <c:v>13137574502.05045</c:v>
                </c:pt>
                <c:pt idx="5">
                  <c:v>13408521134.70495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Días de inventario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#,##0,,&quot; M&quot;" sourceLinked="0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0</xdr:rowOff>
    </xdr:from>
    <xdr:to>
      <xdr:col>5</xdr:col>
      <xdr:colOff>962025</xdr:colOff>
      <xdr:row>61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45</xdr:row>
      <xdr:rowOff>0</xdr:rowOff>
    </xdr:from>
    <xdr:to>
      <xdr:col>4</xdr:col>
      <xdr:colOff>381000</xdr:colOff>
      <xdr:row>66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10</xdr:row>
      <xdr:rowOff>0</xdr:rowOff>
    </xdr:from>
    <xdr:to>
      <xdr:col>22</xdr:col>
      <xdr:colOff>533400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3:N10" totalsRowShown="0">
  <autoFilter ref="A3:N10"/>
  <tableColumns count="14">
    <tableColumn id="1" name="Escenario" dataDxfId="0"/>
    <tableColumn id="2" name="Nombre" dataDxfId="0"/>
    <tableColumn id="3" name="Costo total COP/mes" dataDxfId="1"/>
    <tableColumn id="4" name="Costo variable + fijo opcional COP/mes" dataDxfId="1"/>
    <tableColumn id="5" name="Demanda m3/mes" dataDxfId="1"/>
    <tableColumn id="6" name="Traslados m3/mes" dataDxfId="1"/>
    <tableColumn id="7" name="Viajes de traslado/mes" dataDxfId="1"/>
    <tableColumn id="8" name="Costo COP/m3" dataDxfId="1"/>
    <tableColumn id="9" name="Tránsito promedio h" dataDxfId="2"/>
    <tableColumn id="10" name="Déficit capacidad m3" dataDxfId="2"/>
    <tableColumn id="11" name="Bodegas abiertas" dataDxfId="0"/>
    <tableColumn id="12" name="Bodegas cerradas" dataDxfId="0"/>
    <tableColumn id="13" name="Días inventario" dataDxfId="2"/>
    <tableColumn id="14" name="Estado solver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3:I33" totalsRowShown="0">
  <autoFilter ref="A3:I33"/>
  <tableColumns count="9">
    <tableColumn id="1" name="variable" dataDxfId="0"/>
    <tableColumn id="2" name="valor" dataDxfId="2"/>
    <tableColumn id="3" name="escenario" dataDxfId="0"/>
    <tableColumn id="4" name="nombre" dataDxfId="0"/>
    <tableColumn id="5" name="costo_total_cop" dataDxfId="1"/>
    <tableColumn id="6" name="costo_variable_cop" dataDxfId="1"/>
    <tableColumn id="7" name="fijo_bodegas_externas" dataDxfId="1"/>
    <tableColumn id="8" name="deficit_m3" dataDxfId="2"/>
    <tableColumn id="9" name="bodegas_abierta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3:M201" totalsRowShown="0">
  <autoFilter ref="A3:M201"/>
  <tableColumns count="13">
    <tableColumn id="1" name="Escenario" dataDxfId="0"/>
    <tableColumn id="2" name="planta" dataDxfId="0"/>
    <tableColumn id="3" name="almacen" dataDxfId="0"/>
    <tableColumn id="4" name="m3_mes" dataDxfId="0"/>
    <tableColumn id="5" name="costo_terceros_cop" dataDxfId="1"/>
    <tableColumn id="6" name="costo_flota_propia_cop" dataDxfId="1"/>
    <tableColumn id="7" name="producto" dataDxfId="0"/>
    <tableColumn id="8" name="pct_flota_propia" dataDxfId="0"/>
    <tableColumn id="9" name="costo_cop_mes" dataDxfId="1"/>
    <tableColumn id="10" name="tarifa_cop_m3" dataDxfId="0"/>
    <tableColumn id="11" name="fuente_tarifa" dataDxfId="0"/>
    <tableColumn id="12" name="viajes_mes" dataDxfId="2"/>
    <tableColumn id="13" name="transito_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3:J6504" totalsRowShown="0">
  <autoFilter ref="A3:J6504"/>
  <tableColumns count="10">
    <tableColumn id="1" name="Escenario" dataDxfId="0"/>
    <tableColumn id="2" name="almacen" dataDxfId="0"/>
    <tableColumn id="3" name="ciudad" dataDxfId="0"/>
    <tableColumn id="4" name="m3_mes" dataDxfId="0"/>
    <tableColumn id="5" name="producto" dataDxfId="0"/>
    <tableColumn id="6" name="zona" dataDxfId="0"/>
    <tableColumn id="7" name="tarifa_cop_m3" dataDxfId="1"/>
    <tableColumn id="8" name="costo_cop_mes" dataDxfId="0"/>
    <tableColumn id="9" name="fuente_tarifa" dataDxfId="0"/>
    <tableColumn id="10" name="transito_h" dataDxfId="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3:Q73" totalsRowShown="0">
  <autoFilter ref="A3:Q73"/>
  <tableColumns count="17">
    <tableColumn id="1" name="Escenario" dataDxfId="0"/>
    <tableColumn id="2" name="almacen" dataDxfId="0"/>
    <tableColumn id="3" name="nombre" dataDxfId="0"/>
    <tableColumn id="4" name="tipo" dataDxfId="0"/>
    <tableColumn id="5" name="abierto" dataDxfId="0"/>
    <tableColumn id="6" name="decision" dataDxfId="0"/>
    <tableColumn id="7" name="throughput_m3_mes" dataDxfId="0"/>
    <tableColumn id="8" name="inventario_m3" dataDxfId="0"/>
    <tableColumn id="9" name="capacidad_m3" dataDxfId="0"/>
    <tableColumn id="10" name="posiciones_requeridas" dataDxfId="0"/>
    <tableColumn id="11" name="posiciones_disponibles" dataDxfId="0"/>
    <tableColumn id="12" name="utilizacion" dataDxfId="3"/>
    <tableColumn id="13" name="deficit_m3" dataDxfId="2"/>
    <tableColumn id="14" name="costo_manejo_cop" dataDxfId="0"/>
    <tableColumn id="15" name="costo_posiciones_cop" dataDxfId="0"/>
    <tableColumn id="16" name="costo_fijo_cop" dataDxfId="1"/>
    <tableColumn id="17" name="entrada_traslado_m3_mes" dataDxfId="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3:G56" totalsRowShown="0">
  <autoFilter ref="A3:G56"/>
  <tableColumns count="7">
    <tableColumn id="1" name="Fuente" dataDxfId="0"/>
    <tableColumn id="2" name="Validación" dataDxfId="0"/>
    <tableColumn id="3" name="Resultado" dataDxfId="0"/>
    <tableColumn id="4" name="Registros afectados" dataDxfId="1"/>
    <tableColumn id="5" name="% afectado" dataDxfId="3"/>
    <tableColumn id="6" name="Severidad" dataDxfId="0"/>
    <tableColumn id="7" name="Tratamiento en el modelo" dataDxfId="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e7" displayName="Table7" ref="A3:G9" totalsRowShown="0">
  <autoFilter ref="A3:G9"/>
  <tableColumns count="7">
    <tableColumn id="1" name="planta" dataDxfId="0"/>
    <tableColumn id="2" name="capacidad_m3_mes" dataDxfId="0"/>
    <tableColumn id="3" name="familias" dataDxfId="0"/>
    <tableColumn id="4" name="produccion_asis_m3_mes" dataDxfId="0"/>
    <tableColumn id="5" name="produccion_tobe_m3_mes" dataDxfId="0"/>
    <tableColumn id="6" name="util_asis" dataDxfId="3"/>
    <tableColumn id="7" name="util_tobe" dataDxfId="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e8" displayName="Table8" ref="A3:Q15" totalsRowShown="0">
  <autoFilter ref="A3:Q15"/>
  <tableColumns count="17">
    <tableColumn id="1" name="ID_Nodo" dataDxfId="0"/>
    <tableColumn id="2" name="nombre" dataDxfId="0"/>
    <tableColumn id="3" name="Tipo_Nodo" dataDxfId="0"/>
    <tableColumn id="4" name="Modalidad" dataDxfId="0"/>
    <tableColumn id="5" name="Estado" dataDxfId="0"/>
    <tableColumn id="6" name="Ciudad" dataDxfId="0"/>
    <tableColumn id="7" name="lat" dataDxfId="0"/>
    <tableColumn id="8" name="lon" dataDxfId="0"/>
    <tableColumn id="9" name="posiciones_total" dataDxfId="0"/>
    <tableColumn id="10" name="cap_inv_m3" dataDxfId="0"/>
    <tableColumn id="11" name="cap_despacho_m3_mes" dataDxfId="0"/>
    <tableColumn id="12" name="despacho_asis_m3_mes" dataDxfId="0"/>
    <tableColumn id="13" name="traslado_salida_asis_m3_mes" dataDxfId="0"/>
    <tableColumn id="14" name="costo_fijo" dataDxfId="0"/>
    <tableColumn id="15" name="manejo_cop_m3" dataDxfId="1"/>
    <tableColumn id="16" name="posicion_cop_mes" dataDxfId="1"/>
    <tableColumn id="17" name="coord_corregida" dataDxfId="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able9" displayName="Table9" ref="A3:Q587" totalsRowShown="0">
  <autoFilter ref="A3:Q587"/>
  <tableColumns count="17">
    <tableColumn id="1" name="tipo" dataDxfId="0"/>
    <tableColumn id="2" name="origen" dataDxfId="0"/>
    <tableColumn id="3" name="destino" dataDxfId="0"/>
    <tableColumn id="4" name="imp_terc" dataDxfId="0"/>
    <tableColumn id="5" name="vol_terc" dataDxfId="0"/>
    <tableColumn id="6" name="lineas" dataDxfId="0"/>
    <tableColumn id="7" name="imp_prop" dataDxfId="1"/>
    <tableColumn id="8" name="vol_prop" dataDxfId="0"/>
    <tableColumn id="9" name="imp" dataDxfId="0"/>
    <tableColumn id="10" name="vol" dataDxfId="0"/>
    <tableColumn id="11" name="tarifa" dataDxfId="0"/>
    <tableColumn id="12" name="tarifa_tercero" dataDxfId="0"/>
    <tableColumn id="13" name="tarifa_propia" dataDxfId="0"/>
    <tableColumn id="14" name="pct_flota_propia" dataDxfId="0"/>
    <tableColumn id="15" name="km" dataDxfId="1"/>
    <tableColumn id="16" name="m3_viaje_propia" dataDxfId="2"/>
    <tableColumn id="17" name="confiable" dataDxfId="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able10" displayName="Table10" ref="A3:F490" totalsRowShown="0">
  <autoFilter ref="A3:F490"/>
  <tableColumns count="6">
    <tableColumn id="1" name="es_xi" dataDxfId="0"/>
    <tableColumn id="2" name="origen" dataDxfId="0"/>
    <tableColumn id="3" name="destino" dataDxfId="0"/>
    <tableColumn id="4" name="viajes" dataDxfId="1"/>
    <tableColumn id="5" name="transito_h_mediana" dataDxfId="2"/>
    <tableColumn id="6" name="m3_por_viaje" dataDxfId="0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able11" displayName="Table11" ref="A3:E14" totalsRowShown="0">
  <autoFilter ref="A3:E14"/>
  <tableColumns count="5">
    <tableColumn id="1" name="codigo_maestro" dataDxfId="0"/>
    <tableColumn id="2" name="nodo_sap" dataDxfId="0"/>
    <tableColumn id="3" name="vol_m3" dataDxfId="0"/>
    <tableColumn id="4" name="participacion" dataDxfId="3"/>
    <tableColumn id="5" name="origen" dataDxfId="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able12" displayName="Table12" ref="A18:F32" totalsRowShown="0">
  <autoFilter ref="A18:F32"/>
  <tableColumns count="6">
    <tableColumn id="1" name="Cliente"/>
    <tableColumn id="2" name="nodo_destino"/>
    <tableColumn id="3" name="lineas"/>
    <tableColumn id="4" name="vol_m3"/>
    <tableColumn id="5" name="ciudad_maestro"/>
    <tableColumn id="6" name="origen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able13" displayName="Table13" ref="A3:G3658" totalsRowShown="0">
  <autoFilter ref="A3:G3658"/>
  <tableColumns count="7">
    <tableColumn id="1" name="ciudad" dataDxfId="0"/>
    <tableColumn id="2" name="zona" dataDxfId="0"/>
    <tableColumn id="3" name="familia" dataDxfId="0"/>
    <tableColumn id="4" name="planta_asis" dataDxfId="0"/>
    <tableColumn id="5" name="planta_tobe" dataDxfId="0"/>
    <tableColumn id="6" name="descontinuada" dataDxfId="0"/>
    <tableColumn id="7" name="vol_mes" dataDxfId="0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able14" displayName="Table14" ref="A3:B17" totalsRowShown="0">
  <autoFilter ref="A3:B17"/>
  <tableColumns count="2">
    <tableColumn id="1" name="Parámetro" dataDxfId="0"/>
    <tableColumn id="2" name="Valo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Relationship Id="rId2" Type="http://schemas.openxmlformats.org/officeDocument/2006/relationships/table" Target="../tables/table12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37"/>
  <sheetViews>
    <sheetView tabSelected="1" workbookViewId="0"/>
  </sheetViews>
  <sheetFormatPr defaultRowHeight="15"/>
  <cols>
    <col min="1" max="1" width="34.7109375" customWidth="1"/>
    <col min="2" max="8" width="22.7109375" customWidth="1"/>
  </cols>
  <sheetData>
    <row r="1" spans="1:9">
      <c r="A1" s="1" t="s">
        <v>0</v>
      </c>
    </row>
    <row r="2" spans="1:9">
      <c r="A2" s="2" t="s">
        <v>1</v>
      </c>
    </row>
    <row r="4" spans="1:9">
      <c r="A4" s="3" t="s">
        <v>2</v>
      </c>
    </row>
    <row r="5" spans="1:9">
      <c r="A5" s="4" t="s">
        <v>3</v>
      </c>
      <c r="B5" s="4"/>
      <c r="C5" s="4"/>
      <c r="D5" s="4"/>
      <c r="E5" s="4"/>
      <c r="F5" s="4"/>
      <c r="G5" s="4"/>
      <c r="H5" s="4"/>
      <c r="I5" s="4"/>
    </row>
    <row r="6" spans="1:9">
      <c r="A6" s="4"/>
      <c r="B6" s="4"/>
      <c r="C6" s="4"/>
      <c r="D6" s="4"/>
      <c r="E6" s="4"/>
      <c r="F6" s="4"/>
      <c r="G6" s="4"/>
      <c r="H6" s="4"/>
      <c r="I6" s="4"/>
    </row>
    <row r="7" spans="1:9">
      <c r="A7" s="4"/>
      <c r="B7" s="4"/>
      <c r="C7" s="4"/>
      <c r="D7" s="4"/>
      <c r="E7" s="4"/>
      <c r="F7" s="4"/>
      <c r="G7" s="4"/>
      <c r="H7" s="4"/>
      <c r="I7" s="4"/>
    </row>
    <row r="8" spans="1:9">
      <c r="A8" s="4"/>
      <c r="B8" s="4"/>
      <c r="C8" s="4"/>
      <c r="D8" s="4"/>
      <c r="E8" s="4"/>
      <c r="F8" s="4"/>
      <c r="G8" s="4"/>
      <c r="H8" s="4"/>
      <c r="I8" s="4"/>
    </row>
    <row r="9" spans="1:9">
      <c r="A9" s="4"/>
      <c r="B9" s="4"/>
      <c r="C9" s="4"/>
      <c r="D9" s="4"/>
      <c r="E9" s="4"/>
      <c r="F9" s="4"/>
      <c r="G9" s="4"/>
      <c r="H9" s="4"/>
      <c r="I9" s="4"/>
    </row>
    <row r="10" spans="1:9">
      <c r="A10" s="4"/>
      <c r="B10" s="4"/>
      <c r="C10" s="4"/>
      <c r="D10" s="4"/>
      <c r="E10" s="4"/>
      <c r="F10" s="4"/>
      <c r="G10" s="4"/>
      <c r="H10" s="4"/>
      <c r="I10" s="4"/>
    </row>
    <row r="12" spans="1:9">
      <c r="A12" s="3" t="s">
        <v>4</v>
      </c>
    </row>
    <row r="13" spans="1:9" ht="30" customHeight="1">
      <c r="A13" s="4" t="s">
        <v>5</v>
      </c>
      <c r="B13" s="4"/>
      <c r="C13" s="4"/>
      <c r="D13" s="4"/>
      <c r="E13" s="4"/>
      <c r="F13" s="4"/>
      <c r="G13" s="4"/>
      <c r="H13" s="4"/>
      <c r="I13" s="4"/>
    </row>
    <row r="14" spans="1:9" ht="30" customHeight="1">
      <c r="A14" s="4" t="s">
        <v>6</v>
      </c>
      <c r="B14" s="4"/>
      <c r="C14" s="4"/>
      <c r="D14" s="4"/>
      <c r="E14" s="4"/>
      <c r="F14" s="4"/>
      <c r="G14" s="4"/>
      <c r="H14" s="4"/>
      <c r="I14" s="4"/>
    </row>
    <row r="15" spans="1:9" ht="30" customHeight="1">
      <c r="A15" s="4" t="s">
        <v>7</v>
      </c>
      <c r="B15" s="4"/>
      <c r="C15" s="4"/>
      <c r="D15" s="4"/>
      <c r="E15" s="4"/>
      <c r="F15" s="4"/>
      <c r="G15" s="4"/>
      <c r="H15" s="4"/>
      <c r="I15" s="4"/>
    </row>
    <row r="16" spans="1:9" ht="30" customHeight="1">
      <c r="A16" s="4" t="s">
        <v>8</v>
      </c>
      <c r="B16" s="4"/>
      <c r="C16" s="4"/>
      <c r="D16" s="4"/>
      <c r="E16" s="4"/>
      <c r="F16" s="4"/>
      <c r="G16" s="4"/>
      <c r="H16" s="4"/>
      <c r="I16" s="4"/>
    </row>
    <row r="17" spans="1:9" ht="30" customHeight="1">
      <c r="A17" s="4" t="s">
        <v>9</v>
      </c>
      <c r="B17" s="4"/>
      <c r="C17" s="4"/>
      <c r="D17" s="4"/>
      <c r="E17" s="4"/>
      <c r="F17" s="4"/>
      <c r="G17" s="4"/>
      <c r="H17" s="4"/>
      <c r="I17" s="4"/>
    </row>
    <row r="18" spans="1:9" ht="30" customHeight="1">
      <c r="A18" s="4" t="s">
        <v>10</v>
      </c>
      <c r="B18" s="4"/>
      <c r="C18" s="4"/>
      <c r="D18" s="4"/>
      <c r="E18" s="4"/>
      <c r="F18" s="4"/>
      <c r="G18" s="4"/>
      <c r="H18" s="4"/>
      <c r="I18" s="4"/>
    </row>
    <row r="19" spans="1:9" ht="30" customHeight="1">
      <c r="A19" s="4" t="s">
        <v>11</v>
      </c>
      <c r="B19" s="4"/>
      <c r="C19" s="4"/>
      <c r="D19" s="4"/>
      <c r="E19" s="4"/>
      <c r="F19" s="4"/>
      <c r="G19" s="4"/>
      <c r="H19" s="4"/>
      <c r="I19" s="4"/>
    </row>
    <row r="20" spans="1:9" ht="30" customHeight="1">
      <c r="A20" s="4" t="s">
        <v>12</v>
      </c>
      <c r="B20" s="4"/>
      <c r="C20" s="4"/>
      <c r="D20" s="4"/>
      <c r="E20" s="4"/>
      <c r="F20" s="4"/>
      <c r="G20" s="4"/>
      <c r="H20" s="4"/>
      <c r="I20" s="4"/>
    </row>
    <row r="21" spans="1:9" ht="30" customHeight="1">
      <c r="A21" s="4" t="s">
        <v>13</v>
      </c>
      <c r="B21" s="4"/>
      <c r="C21" s="4"/>
      <c r="D21" s="4"/>
      <c r="E21" s="4"/>
      <c r="F21" s="4"/>
      <c r="G21" s="4"/>
      <c r="H21" s="4"/>
      <c r="I21" s="4"/>
    </row>
    <row r="22" spans="1:9" ht="30" customHeight="1">
      <c r="A22" s="4" t="s">
        <v>14</v>
      </c>
      <c r="B22" s="4"/>
      <c r="C22" s="4"/>
      <c r="D22" s="4"/>
      <c r="E22" s="4"/>
      <c r="F22" s="4"/>
      <c r="G22" s="4"/>
      <c r="H22" s="4"/>
      <c r="I22" s="4"/>
    </row>
    <row r="24" spans="1:9">
      <c r="A24" s="3" t="s">
        <v>15</v>
      </c>
    </row>
    <row r="25" spans="1:9" ht="60" customHeight="1">
      <c r="A25" s="5" t="s">
        <v>16</v>
      </c>
      <c r="B25" s="5" t="s">
        <v>17</v>
      </c>
      <c r="C25" s="5" t="s">
        <v>18</v>
      </c>
      <c r="D25" s="5" t="s">
        <v>19</v>
      </c>
      <c r="E25" s="5" t="s">
        <v>20</v>
      </c>
      <c r="F25" s="5" t="s">
        <v>21</v>
      </c>
      <c r="G25" s="5" t="s">
        <v>22</v>
      </c>
      <c r="H25" s="5" t="s">
        <v>23</v>
      </c>
    </row>
    <row r="26" spans="1:9">
      <c r="A26" s="6" t="s">
        <v>24</v>
      </c>
      <c r="B26" s="7">
        <v>1000734406.233333</v>
      </c>
      <c r="C26" s="7">
        <v>246688910.5150144</v>
      </c>
      <c r="D26" s="7">
        <v>1017548028.892273</v>
      </c>
      <c r="E26" s="7">
        <v>287151743.09633</v>
      </c>
      <c r="F26" s="7">
        <v>253011471.2488695</v>
      </c>
      <c r="G26" s="7">
        <v>287151743.0963299</v>
      </c>
      <c r="H26" s="7">
        <v>143870887.3089826</v>
      </c>
    </row>
    <row r="27" spans="1:9">
      <c r="A27" s="6" t="s">
        <v>25</v>
      </c>
      <c r="B27" s="7">
        <v>1186697616.557964</v>
      </c>
      <c r="C27" s="7">
        <v>589706417.0823499</v>
      </c>
      <c r="D27" s="7">
        <v>838067836.7871565</v>
      </c>
      <c r="E27" s="7">
        <v>164466586.4836278</v>
      </c>
      <c r="F27" s="7">
        <v>162946621.7604836</v>
      </c>
      <c r="G27" s="7">
        <v>164466586.4836277</v>
      </c>
      <c r="H27" s="7">
        <v>4440951.119811874</v>
      </c>
    </row>
    <row r="28" spans="1:9">
      <c r="A28" s="6" t="s">
        <v>26</v>
      </c>
      <c r="B28" s="7">
        <v>6724100100.017531</v>
      </c>
      <c r="C28" s="7">
        <v>5843220798.247883</v>
      </c>
      <c r="D28" s="7">
        <v>6133481667.736738</v>
      </c>
      <c r="E28" s="7">
        <v>5974332473.414499</v>
      </c>
      <c r="F28" s="7">
        <v>6026137658.998279</v>
      </c>
      <c r="G28" s="7">
        <v>5974332473.414499</v>
      </c>
      <c r="H28" s="7">
        <v>5162356683.074028</v>
      </c>
    </row>
    <row r="29" spans="1:9">
      <c r="A29" s="6" t="s">
        <v>27</v>
      </c>
      <c r="B29" s="7">
        <v>624694625.125</v>
      </c>
      <c r="C29" s="7">
        <v>542534891.6666666</v>
      </c>
      <c r="D29" s="7">
        <v>549672012.6162483</v>
      </c>
      <c r="E29" s="7">
        <v>542846304.7209276</v>
      </c>
      <c r="F29" s="7">
        <v>544777367.7312046</v>
      </c>
      <c r="G29" s="7">
        <v>542846304.7209277</v>
      </c>
      <c r="H29" s="7">
        <v>538199467.625</v>
      </c>
    </row>
    <row r="30" spans="1:9">
      <c r="A30" s="6" t="s">
        <v>28</v>
      </c>
      <c r="B30" s="7">
        <v>0</v>
      </c>
      <c r="C30" s="7">
        <v>0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</row>
    <row r="31" spans="1:9">
      <c r="A31" s="6" t="s">
        <v>29</v>
      </c>
      <c r="B31" s="7">
        <v>542000000</v>
      </c>
      <c r="C31" s="7">
        <v>542000000</v>
      </c>
      <c r="D31" s="7">
        <v>542000000</v>
      </c>
      <c r="E31" s="7">
        <v>0</v>
      </c>
      <c r="F31" s="7">
        <v>542000000</v>
      </c>
      <c r="G31" s="7">
        <v>0</v>
      </c>
      <c r="H31" s="7">
        <v>0</v>
      </c>
    </row>
    <row r="32" spans="1:9">
      <c r="A32" s="6" t="s">
        <v>30</v>
      </c>
      <c r="B32" s="7">
        <v>6352000000</v>
      </c>
      <c r="C32" s="7">
        <v>6352000000</v>
      </c>
      <c r="D32" s="7">
        <v>5907000000</v>
      </c>
      <c r="E32" s="7">
        <v>5907000000</v>
      </c>
      <c r="F32" s="7">
        <v>5907000000</v>
      </c>
      <c r="G32" s="7">
        <v>5907000000</v>
      </c>
      <c r="H32" s="7">
        <v>5907000000</v>
      </c>
    </row>
    <row r="33" spans="1:8">
      <c r="A33" s="6" t="s">
        <v>31</v>
      </c>
      <c r="B33" s="7">
        <v>0</v>
      </c>
      <c r="C33" s="7">
        <v>0</v>
      </c>
      <c r="D33" s="7">
        <v>0</v>
      </c>
      <c r="E33" s="7">
        <v>0</v>
      </c>
      <c r="F33" s="7">
        <v>0</v>
      </c>
      <c r="G33" s="7">
        <v>0</v>
      </c>
      <c r="H33" s="7">
        <v>0</v>
      </c>
    </row>
    <row r="34" spans="1:8">
      <c r="A34" s="3" t="s">
        <v>32</v>
      </c>
      <c r="B34" s="7">
        <v>8911532122.808828</v>
      </c>
      <c r="C34" s="7">
        <v>6679616125.845247</v>
      </c>
      <c r="D34" s="7">
        <v>7989097533.416167</v>
      </c>
      <c r="E34" s="7">
        <v>6425950802.994457</v>
      </c>
      <c r="F34" s="7">
        <v>6442095752.007631</v>
      </c>
      <c r="G34" s="7">
        <v>6425950802.994457</v>
      </c>
      <c r="H34" s="7">
        <v>5310668521.502823</v>
      </c>
    </row>
    <row r="35" spans="1:8">
      <c r="A35" s="3" t="s">
        <v>33</v>
      </c>
      <c r="B35" s="7">
        <v>1166694625.125</v>
      </c>
      <c r="C35" s="7">
        <v>1084534891.666667</v>
      </c>
      <c r="D35" s="7">
        <v>1091672012.616248</v>
      </c>
      <c r="E35" s="7">
        <v>542846304.7209276</v>
      </c>
      <c r="F35" s="7">
        <v>1086777367.731205</v>
      </c>
      <c r="G35" s="7">
        <v>542846304.7209277</v>
      </c>
      <c r="H35" s="7">
        <v>538199467.625</v>
      </c>
    </row>
    <row r="36" spans="1:8">
      <c r="A36" s="3" t="s">
        <v>34</v>
      </c>
      <c r="B36" s="7">
        <v>6352000000</v>
      </c>
      <c r="C36" s="7">
        <v>6352000000</v>
      </c>
      <c r="D36" s="7">
        <v>5907000000</v>
      </c>
      <c r="E36" s="7">
        <v>5907000000</v>
      </c>
      <c r="F36" s="7">
        <v>5907000000</v>
      </c>
      <c r="G36" s="7">
        <v>5907000000</v>
      </c>
      <c r="H36" s="7">
        <v>5907000000</v>
      </c>
    </row>
    <row r="37" spans="1:8">
      <c r="A37" s="3" t="s">
        <v>35</v>
      </c>
      <c r="B37" s="7">
        <v>16430226747.93383</v>
      </c>
      <c r="C37" s="7">
        <v>14116151017.51191</v>
      </c>
      <c r="D37" s="7">
        <v>14987769546.03242</v>
      </c>
      <c r="E37" s="7">
        <v>12875797107.71539</v>
      </c>
      <c r="F37" s="7">
        <v>13435873119.73884</v>
      </c>
      <c r="G37" s="7">
        <v>12875797107.71539</v>
      </c>
      <c r="H37" s="7">
        <v>11755867989.12782</v>
      </c>
    </row>
  </sheetData>
  <mergeCells count="11">
    <mergeCell ref="A5:I10"/>
    <mergeCell ref="A13:I13"/>
    <mergeCell ref="A14:I14"/>
    <mergeCell ref="A15:I15"/>
    <mergeCell ref="A16:I16"/>
    <mergeCell ref="A17:I17"/>
    <mergeCell ref="A18:I18"/>
    <mergeCell ref="A19:I19"/>
    <mergeCell ref="A20:I20"/>
    <mergeCell ref="A21:I21"/>
    <mergeCell ref="A22:I2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S82"/>
  <sheetViews>
    <sheetView workbookViewId="0"/>
  </sheetViews>
  <sheetFormatPr defaultRowHeight="15"/>
  <cols>
    <col min="1" max="1" width="34.7109375" customWidth="1"/>
    <col min="2" max="2" width="26.7109375" customWidth="1"/>
    <col min="3" max="3" width="24.7109375" customWidth="1"/>
    <col min="4" max="19" width="16.7109375" customWidth="1"/>
  </cols>
  <sheetData>
    <row r="1" spans="1:6">
      <c r="A1" s="1" t="s">
        <v>36</v>
      </c>
    </row>
    <row r="2" spans="1:6">
      <c r="A2" s="2" t="s">
        <v>37</v>
      </c>
    </row>
    <row r="4" spans="1:6">
      <c r="A4" s="3" t="s">
        <v>38</v>
      </c>
      <c r="B4" s="8">
        <v>24.7</v>
      </c>
      <c r="D4" s="5" t="s">
        <v>48</v>
      </c>
      <c r="E4" s="5" t="s">
        <v>49</v>
      </c>
      <c r="F4" s="5" t="s">
        <v>50</v>
      </c>
    </row>
    <row r="5" spans="1:6">
      <c r="A5" s="3" t="s">
        <v>39</v>
      </c>
      <c r="B5" s="9">
        <v>0.85</v>
      </c>
      <c r="D5" s="6" t="s">
        <v>51</v>
      </c>
      <c r="E5" s="9">
        <v>0.2619251727435336</v>
      </c>
      <c r="F5" s="7">
        <f>$B$12*E5</f>
        <v>0</v>
      </c>
    </row>
    <row r="6" spans="1:6">
      <c r="A6" s="3" t="s">
        <v>40</v>
      </c>
      <c r="B6" s="8">
        <v>2.263962004707765</v>
      </c>
      <c r="D6" s="6" t="s">
        <v>52</v>
      </c>
      <c r="E6" s="9">
        <v>0.0197666399663269</v>
      </c>
      <c r="F6" s="7">
        <f>$B$12*E6</f>
        <v>0</v>
      </c>
    </row>
    <row r="7" spans="1:6">
      <c r="A7" s="3" t="s">
        <v>41</v>
      </c>
      <c r="B7" s="8">
        <v>1</v>
      </c>
      <c r="D7" s="6" t="s">
        <v>53</v>
      </c>
      <c r="E7" s="9">
        <v>0.2347109629431898</v>
      </c>
      <c r="F7" s="7">
        <f>$B$12*E7</f>
        <v>0</v>
      </c>
    </row>
    <row r="8" spans="1:6">
      <c r="A8" s="3" t="s">
        <v>42</v>
      </c>
      <c r="B8" s="8">
        <v>1</v>
      </c>
      <c r="D8" s="6" t="s">
        <v>54</v>
      </c>
      <c r="E8" s="9">
        <v>0.1625609218300449</v>
      </c>
      <c r="F8" s="7">
        <f>$B$12*E8</f>
        <v>0</v>
      </c>
    </row>
    <row r="9" spans="1:6">
      <c r="A9" s="3" t="s">
        <v>43</v>
      </c>
      <c r="B9" s="10" t="s">
        <v>44</v>
      </c>
      <c r="D9" s="6" t="s">
        <v>55</v>
      </c>
      <c r="E9" s="9">
        <v>0.1528101344981711</v>
      </c>
      <c r="F9" s="7">
        <f>$B$12*E9</f>
        <v>0</v>
      </c>
    </row>
    <row r="10" spans="1:6">
      <c r="A10" s="3" t="s">
        <v>45</v>
      </c>
      <c r="B10" s="11">
        <v>23447.99541666666</v>
      </c>
      <c r="D10" s="6" t="s">
        <v>56</v>
      </c>
      <c r="E10" s="9">
        <v>0.06209867016172971</v>
      </c>
      <c r="F10" s="7">
        <f>$B$12*E10</f>
        <v>0</v>
      </c>
    </row>
    <row r="11" spans="1:6">
      <c r="A11" s="3" t="s">
        <v>46</v>
      </c>
      <c r="B11" s="9">
        <v>0</v>
      </c>
      <c r="D11" s="6" t="s">
        <v>57</v>
      </c>
      <c r="E11" s="9">
        <v>0.0521704796051418</v>
      </c>
      <c r="F11" s="7">
        <f>$B$12*E11</f>
        <v>0</v>
      </c>
    </row>
    <row r="12" spans="1:6">
      <c r="A12" s="3" t="s">
        <v>47</v>
      </c>
      <c r="B12" s="7">
        <f>B10*(1+B11)</f>
        <v>0</v>
      </c>
      <c r="D12" s="6" t="s">
        <v>58</v>
      </c>
      <c r="E12" s="9">
        <v>0.03276925467100608</v>
      </c>
      <c r="F12" s="7">
        <f>$B$12*E12</f>
        <v>0</v>
      </c>
    </row>
    <row r="13" spans="1:6">
      <c r="D13" s="6" t="s">
        <v>59</v>
      </c>
      <c r="E13" s="9">
        <v>0.01791268617507442</v>
      </c>
      <c r="F13" s="7">
        <f>$B$12*E13</f>
        <v>0</v>
      </c>
    </row>
    <row r="14" spans="1:6">
      <c r="D14" s="6" t="s">
        <v>60</v>
      </c>
      <c r="E14" s="9">
        <v>0.003096341444539618</v>
      </c>
      <c r="F14" s="7">
        <f>$B$12*E14</f>
        <v>0</v>
      </c>
    </row>
    <row r="15" spans="1:6">
      <c r="D15" s="6" t="s">
        <v>61</v>
      </c>
      <c r="E15" s="9">
        <v>0</v>
      </c>
      <c r="F15" s="7">
        <f>$B$12*E15</f>
        <v>0</v>
      </c>
    </row>
    <row r="16" spans="1:6">
      <c r="D16" s="6" t="s">
        <v>62</v>
      </c>
      <c r="E16" s="9">
        <v>0.0001787359612421737</v>
      </c>
      <c r="F16" s="7">
        <f>$B$12*E16</f>
        <v>0</v>
      </c>
    </row>
    <row r="17" spans="1:19">
      <c r="D17" s="3" t="s">
        <v>63</v>
      </c>
      <c r="E17" s="12">
        <f>SUM(E5:E16)</f>
        <v>0</v>
      </c>
      <c r="F17" s="7">
        <f>SUM(F5:F16)</f>
        <v>0</v>
      </c>
    </row>
    <row r="19" spans="1:19">
      <c r="A19" s="1" t="s">
        <v>64</v>
      </c>
    </row>
    <row r="20" spans="1:19" ht="45" customHeight="1">
      <c r="A20" s="5" t="s">
        <v>65</v>
      </c>
      <c r="B20" s="5" t="s">
        <v>66</v>
      </c>
      <c r="C20" s="5" t="s">
        <v>67</v>
      </c>
      <c r="D20" s="5" t="s">
        <v>68</v>
      </c>
      <c r="E20" s="5" t="s">
        <v>69</v>
      </c>
      <c r="F20" s="5" t="s">
        <v>70</v>
      </c>
      <c r="G20" s="5" t="s">
        <v>71</v>
      </c>
      <c r="H20" s="5" t="s">
        <v>72</v>
      </c>
      <c r="I20" s="5" t="s">
        <v>73</v>
      </c>
      <c r="J20" s="5" t="s">
        <v>74</v>
      </c>
      <c r="K20" s="5" t="s">
        <v>75</v>
      </c>
      <c r="L20" s="5" t="s">
        <v>76</v>
      </c>
      <c r="M20" s="5" t="s">
        <v>77</v>
      </c>
      <c r="N20" s="5" t="s">
        <v>78</v>
      </c>
      <c r="O20" s="5" t="s">
        <v>79</v>
      </c>
      <c r="P20" s="5" t="s">
        <v>80</v>
      </c>
      <c r="Q20" s="5" t="s">
        <v>81</v>
      </c>
      <c r="R20" s="5" t="s">
        <v>82</v>
      </c>
      <c r="S20" s="5" t="s">
        <v>83</v>
      </c>
    </row>
    <row r="21" spans="1:19">
      <c r="A21" s="6" t="s">
        <v>44</v>
      </c>
      <c r="B21" s="6" t="s">
        <v>84</v>
      </c>
      <c r="C21" s="6" t="s">
        <v>85</v>
      </c>
      <c r="D21" s="11">
        <v>24300</v>
      </c>
      <c r="E21" s="11">
        <v>38415.28858333333</v>
      </c>
      <c r="F21" s="7">
        <f>MAX(0,D21*$B$5-E21*$B$4/30/$B$6)</f>
        <v>0</v>
      </c>
      <c r="G21" s="7">
        <f>$B$12*$B$4/30/$B$6</f>
        <v>0</v>
      </c>
      <c r="H21" s="6">
        <f>IF(F21&gt;=G21,"Sí","No")</f>
        <v>0</v>
      </c>
      <c r="I21" s="11">
        <v>4500</v>
      </c>
      <c r="J21" s="11">
        <v>0</v>
      </c>
      <c r="K21" s="11">
        <v>0</v>
      </c>
      <c r="L21" s="7">
        <f>IF($B$9=A21,0,INDEX(Tarifas_traslado!$B$2:$L$7,MATCH($B$9,Tarifas_traslado!$A$2:$A$7,0),MATCH(A21,Tarifas_traslado!$B$1:$L$1,0)))*$B$7</f>
        <v>0</v>
      </c>
      <c r="M21" s="7">
        <f>IF($B$12&gt;0,SUMPRODUCT($F$5:$F$16,INDEX(Tarifas_zona!$B$2:$L$13,0,MATCH(A21,Tarifas_zona!$B$1:$L$1,0)))/$B$12,0)*$B$8</f>
        <v>0</v>
      </c>
      <c r="N21" s="7">
        <f>L21+I21+J21*$B$4/30/$B$6+M21</f>
        <v>0</v>
      </c>
      <c r="O21" s="7">
        <f>N21*$B$12</f>
        <v>0</v>
      </c>
      <c r="P21" s="7">
        <f>O21+K21</f>
        <v>0</v>
      </c>
      <c r="Q21" s="6">
        <f>IF(H21="Sí",COUNTIFS($H$21:$H$31,"Sí",$P$21:$P$31,"&lt;"&amp;P21)+1,"-")</f>
        <v>0</v>
      </c>
      <c r="R21" s="7">
        <f>(L21+M21)*$B$12</f>
        <v>0</v>
      </c>
      <c r="S21" s="7">
        <f>(I21+J21*$B$4/30/$B$6)*$B$12+K21</f>
        <v>0</v>
      </c>
    </row>
    <row r="22" spans="1:19">
      <c r="A22" s="6" t="s">
        <v>86</v>
      </c>
      <c r="B22" s="6" t="s">
        <v>87</v>
      </c>
      <c r="C22" s="6" t="s">
        <v>85</v>
      </c>
      <c r="D22" s="11">
        <v>38688</v>
      </c>
      <c r="E22" s="11">
        <v>33720.72475</v>
      </c>
      <c r="F22" s="7">
        <f>MAX(0,D22*$B$5-E22*$B$4/30/$B$6)</f>
        <v>0</v>
      </c>
      <c r="G22" s="7">
        <f>$B$12*$B$4/30/$B$6</f>
        <v>0</v>
      </c>
      <c r="H22" s="6">
        <f>IF(F22&gt;=G22,"Sí","No")</f>
        <v>0</v>
      </c>
      <c r="I22" s="11">
        <v>4500</v>
      </c>
      <c r="J22" s="11">
        <v>0</v>
      </c>
      <c r="K22" s="11">
        <v>0</v>
      </c>
      <c r="L22" s="7">
        <f>IF($B$9=A22,0,INDEX(Tarifas_traslado!$B$2:$L$7,MATCH($B$9,Tarifas_traslado!$A$2:$A$7,0),MATCH(A22,Tarifas_traslado!$B$1:$L$1,0)))*$B$7</f>
        <v>0</v>
      </c>
      <c r="M22" s="7">
        <f>IF($B$12&gt;0,SUMPRODUCT($F$5:$F$16,INDEX(Tarifas_zona!$B$2:$L$13,0,MATCH(A22,Tarifas_zona!$B$1:$L$1,0)))/$B$12,0)*$B$8</f>
        <v>0</v>
      </c>
      <c r="N22" s="7">
        <f>L22+I22+J22*$B$4/30/$B$6+M22</f>
        <v>0</v>
      </c>
      <c r="O22" s="7">
        <f>N22*$B$12</f>
        <v>0</v>
      </c>
      <c r="P22" s="7">
        <f>O22+K22</f>
        <v>0</v>
      </c>
      <c r="Q22" s="6">
        <f>IF(H22="Sí",COUNTIFS($H$21:$H$31,"Sí",$P$21:$P$31,"&lt;"&amp;P22)+1,"-")</f>
        <v>0</v>
      </c>
      <c r="R22" s="7">
        <f>(L22+M22)*$B$12</f>
        <v>0</v>
      </c>
      <c r="S22" s="7">
        <f>(I22+J22*$B$4/30/$B$6)*$B$12+K22</f>
        <v>0</v>
      </c>
    </row>
    <row r="23" spans="1:19">
      <c r="A23" s="6" t="s">
        <v>88</v>
      </c>
      <c r="B23" s="6" t="s">
        <v>89</v>
      </c>
      <c r="C23" s="6" t="s">
        <v>85</v>
      </c>
      <c r="D23" s="11">
        <v>4471</v>
      </c>
      <c r="E23" s="11">
        <v>6643.030750000001</v>
      </c>
      <c r="F23" s="7">
        <f>MAX(0,D23*$B$5-E23*$B$4/30/$B$6)</f>
        <v>0</v>
      </c>
      <c r="G23" s="7">
        <f>$B$12*$B$4/30/$B$6</f>
        <v>0</v>
      </c>
      <c r="H23" s="6">
        <f>IF(F23&gt;=G23,"Sí","No")</f>
        <v>0</v>
      </c>
      <c r="I23" s="11">
        <v>4500</v>
      </c>
      <c r="J23" s="11">
        <v>0</v>
      </c>
      <c r="K23" s="11">
        <v>0</v>
      </c>
      <c r="L23" s="7">
        <f>IF($B$9=A23,0,INDEX(Tarifas_traslado!$B$2:$L$7,MATCH($B$9,Tarifas_traslado!$A$2:$A$7,0),MATCH(A23,Tarifas_traslado!$B$1:$L$1,0)))*$B$7</f>
        <v>0</v>
      </c>
      <c r="M23" s="7">
        <f>IF($B$12&gt;0,SUMPRODUCT($F$5:$F$16,INDEX(Tarifas_zona!$B$2:$L$13,0,MATCH(A23,Tarifas_zona!$B$1:$L$1,0)))/$B$12,0)*$B$8</f>
        <v>0</v>
      </c>
      <c r="N23" s="7">
        <f>L23+I23+J23*$B$4/30/$B$6+M23</f>
        <v>0</v>
      </c>
      <c r="O23" s="7">
        <f>N23*$B$12</f>
        <v>0</v>
      </c>
      <c r="P23" s="7">
        <f>O23+K23</f>
        <v>0</v>
      </c>
      <c r="Q23" s="6">
        <f>IF(H23="Sí",COUNTIFS($H$21:$H$31,"Sí",$P$21:$P$31,"&lt;"&amp;P23)+1,"-")</f>
        <v>0</v>
      </c>
      <c r="R23" s="7">
        <f>(L23+M23)*$B$12</f>
        <v>0</v>
      </c>
      <c r="S23" s="7">
        <f>(I23+J23*$B$4/30/$B$6)*$B$12+K23</f>
        <v>0</v>
      </c>
    </row>
    <row r="24" spans="1:19">
      <c r="A24" s="6" t="s">
        <v>90</v>
      </c>
      <c r="B24" s="6" t="s">
        <v>91</v>
      </c>
      <c r="C24" s="6" t="s">
        <v>85</v>
      </c>
      <c r="D24" s="11">
        <v>11062</v>
      </c>
      <c r="E24" s="11">
        <v>3383.190666666667</v>
      </c>
      <c r="F24" s="7">
        <f>MAX(0,D24*$B$5-E24*$B$4/30/$B$6)</f>
        <v>0</v>
      </c>
      <c r="G24" s="7">
        <f>$B$12*$B$4/30/$B$6</f>
        <v>0</v>
      </c>
      <c r="H24" s="6">
        <f>IF(F24&gt;=G24,"Sí","No")</f>
        <v>0</v>
      </c>
      <c r="I24" s="11">
        <v>4500</v>
      </c>
      <c r="J24" s="11">
        <v>0</v>
      </c>
      <c r="K24" s="11">
        <v>0</v>
      </c>
      <c r="L24" s="7">
        <f>IF($B$9=A24,0,INDEX(Tarifas_traslado!$B$2:$L$7,MATCH($B$9,Tarifas_traslado!$A$2:$A$7,0),MATCH(A24,Tarifas_traslado!$B$1:$L$1,0)))*$B$7</f>
        <v>0</v>
      </c>
      <c r="M24" s="7">
        <f>IF($B$12&gt;0,SUMPRODUCT($F$5:$F$16,INDEX(Tarifas_zona!$B$2:$L$13,0,MATCH(A24,Tarifas_zona!$B$1:$L$1,0)))/$B$12,0)*$B$8</f>
        <v>0</v>
      </c>
      <c r="N24" s="7">
        <f>L24+I24+J24*$B$4/30/$B$6+M24</f>
        <v>0</v>
      </c>
      <c r="O24" s="7">
        <f>N24*$B$12</f>
        <v>0</v>
      </c>
      <c r="P24" s="7">
        <f>O24+K24</f>
        <v>0</v>
      </c>
      <c r="Q24" s="6">
        <f>IF(H24="Sí",COUNTIFS($H$21:$H$31,"Sí",$P$21:$P$31,"&lt;"&amp;P24)+1,"-")</f>
        <v>0</v>
      </c>
      <c r="R24" s="7">
        <f>(L24+M24)*$B$12</f>
        <v>0</v>
      </c>
      <c r="S24" s="7">
        <f>(I24+J24*$B$4/30/$B$6)*$B$12+K24</f>
        <v>0</v>
      </c>
    </row>
    <row r="25" spans="1:19">
      <c r="A25" s="6" t="s">
        <v>92</v>
      </c>
      <c r="B25" s="6" t="s">
        <v>93</v>
      </c>
      <c r="C25" s="6" t="s">
        <v>85</v>
      </c>
      <c r="D25" s="11">
        <v>7172</v>
      </c>
      <c r="E25" s="11">
        <v>10805.70266666667</v>
      </c>
      <c r="F25" s="7">
        <f>MAX(0,D25*$B$5-E25*$B$4/30/$B$6)</f>
        <v>0</v>
      </c>
      <c r="G25" s="7">
        <f>$B$12*$B$4/30/$B$6</f>
        <v>0</v>
      </c>
      <c r="H25" s="6">
        <f>IF(F25&gt;=G25,"Sí","No")</f>
        <v>0</v>
      </c>
      <c r="I25" s="11">
        <v>4500</v>
      </c>
      <c r="J25" s="11">
        <v>0</v>
      </c>
      <c r="K25" s="11">
        <v>0</v>
      </c>
      <c r="L25" s="7">
        <f>IF($B$9=A25,0,INDEX(Tarifas_traslado!$B$2:$L$7,MATCH($B$9,Tarifas_traslado!$A$2:$A$7,0),MATCH(A25,Tarifas_traslado!$B$1:$L$1,0)))*$B$7</f>
        <v>0</v>
      </c>
      <c r="M25" s="7">
        <f>IF($B$12&gt;0,SUMPRODUCT($F$5:$F$16,INDEX(Tarifas_zona!$B$2:$L$13,0,MATCH(A25,Tarifas_zona!$B$1:$L$1,0)))/$B$12,0)*$B$8</f>
        <v>0</v>
      </c>
      <c r="N25" s="7">
        <f>L25+I25+J25*$B$4/30/$B$6+M25</f>
        <v>0</v>
      </c>
      <c r="O25" s="7">
        <f>N25*$B$12</f>
        <v>0</v>
      </c>
      <c r="P25" s="7">
        <f>O25+K25</f>
        <v>0</v>
      </c>
      <c r="Q25" s="6">
        <f>IF(H25="Sí",COUNTIFS($H$21:$H$31,"Sí",$P$21:$P$31,"&lt;"&amp;P25)+1,"-")</f>
        <v>0</v>
      </c>
      <c r="R25" s="7">
        <f>(L25+M25)*$B$12</f>
        <v>0</v>
      </c>
      <c r="S25" s="7">
        <f>(I25+J25*$B$4/30/$B$6)*$B$12+K25</f>
        <v>0</v>
      </c>
    </row>
    <row r="26" spans="1:19">
      <c r="A26" s="6" t="s">
        <v>94</v>
      </c>
      <c r="B26" s="6" t="s">
        <v>95</v>
      </c>
      <c r="C26" s="6" t="s">
        <v>96</v>
      </c>
      <c r="D26" s="11">
        <v>1496</v>
      </c>
      <c r="E26" s="11">
        <v>1218.405833333333</v>
      </c>
      <c r="F26" s="7">
        <f>MAX(0,D26*$B$5-E26*$B$4/30/$B$6)</f>
        <v>0</v>
      </c>
      <c r="G26" s="7">
        <f>$B$12*$B$4/30/$B$6</f>
        <v>0</v>
      </c>
      <c r="H26" s="6">
        <f>IF(F26&gt;=G26,"Sí","No")</f>
        <v>0</v>
      </c>
      <c r="I26" s="11">
        <v>8000</v>
      </c>
      <c r="J26" s="11">
        <v>0</v>
      </c>
      <c r="K26" s="11">
        <v>0</v>
      </c>
      <c r="L26" s="7">
        <f>IF($B$9=A26,0,INDEX(Tarifas_traslado!$B$2:$L$7,MATCH($B$9,Tarifas_traslado!$A$2:$A$7,0),MATCH(A26,Tarifas_traslado!$B$1:$L$1,0)))*$B$7</f>
        <v>0</v>
      </c>
      <c r="M26" s="7">
        <f>IF($B$12&gt;0,SUMPRODUCT($F$5:$F$16,INDEX(Tarifas_zona!$B$2:$L$13,0,MATCH(A26,Tarifas_zona!$B$1:$L$1,0)))/$B$12,0)*$B$8</f>
        <v>0</v>
      </c>
      <c r="N26" s="7">
        <f>L26+I26+J26*$B$4/30/$B$6+M26</f>
        <v>0</v>
      </c>
      <c r="O26" s="7">
        <f>N26*$B$12</f>
        <v>0</v>
      </c>
      <c r="P26" s="7">
        <f>O26+K26</f>
        <v>0</v>
      </c>
      <c r="Q26" s="6">
        <f>IF(H26="Sí",COUNTIFS($H$21:$H$31,"Sí",$P$21:$P$31,"&lt;"&amp;P26)+1,"-")</f>
        <v>0</v>
      </c>
      <c r="R26" s="7">
        <f>(L26+M26)*$B$12</f>
        <v>0</v>
      </c>
      <c r="S26" s="7">
        <f>(I26+J26*$B$4/30/$B$6)*$B$12+K26</f>
        <v>0</v>
      </c>
    </row>
    <row r="27" spans="1:19">
      <c r="A27" s="6" t="s">
        <v>97</v>
      </c>
      <c r="B27" s="6" t="s">
        <v>98</v>
      </c>
      <c r="C27" s="6" t="s">
        <v>96</v>
      </c>
      <c r="D27" s="11">
        <v>665</v>
      </c>
      <c r="E27" s="11">
        <v>3.72475</v>
      </c>
      <c r="F27" s="7">
        <f>MAX(0,D27*$B$5-E27*$B$4/30/$B$6)</f>
        <v>0</v>
      </c>
      <c r="G27" s="7">
        <f>$B$12*$B$4/30/$B$6</f>
        <v>0</v>
      </c>
      <c r="H27" s="6">
        <f>IF(F27&gt;=G27,"Sí","No")</f>
        <v>0</v>
      </c>
      <c r="I27" s="11">
        <v>8000</v>
      </c>
      <c r="J27" s="11">
        <v>0</v>
      </c>
      <c r="K27" s="11">
        <v>0</v>
      </c>
      <c r="L27" s="7">
        <f>IF($B$9=A27,0,INDEX(Tarifas_traslado!$B$2:$L$7,MATCH($B$9,Tarifas_traslado!$A$2:$A$7,0),MATCH(A27,Tarifas_traslado!$B$1:$L$1,0)))*$B$7</f>
        <v>0</v>
      </c>
      <c r="M27" s="7">
        <f>IF($B$12&gt;0,SUMPRODUCT($F$5:$F$16,INDEX(Tarifas_zona!$B$2:$L$13,0,MATCH(A27,Tarifas_zona!$B$1:$L$1,0)))/$B$12,0)*$B$8</f>
        <v>0</v>
      </c>
      <c r="N27" s="7">
        <f>L27+I27+J27*$B$4/30/$B$6+M27</f>
        <v>0</v>
      </c>
      <c r="O27" s="7">
        <f>N27*$B$12</f>
        <v>0</v>
      </c>
      <c r="P27" s="7">
        <f>O27+K27</f>
        <v>0</v>
      </c>
      <c r="Q27" s="6">
        <f>IF(H27="Sí",COUNTIFS($H$21:$H$31,"Sí",$P$21:$P$31,"&lt;"&amp;P27)+1,"-")</f>
        <v>0</v>
      </c>
      <c r="R27" s="7">
        <f>(L27+M27)*$B$12</f>
        <v>0</v>
      </c>
      <c r="S27" s="7">
        <f>(I27+J27*$B$4/30/$B$6)*$B$12+K27</f>
        <v>0</v>
      </c>
    </row>
    <row r="28" spans="1:19">
      <c r="A28" s="6" t="s">
        <v>99</v>
      </c>
      <c r="B28" s="6" t="s">
        <v>100</v>
      </c>
      <c r="C28" s="6" t="s">
        <v>96</v>
      </c>
      <c r="D28" s="11">
        <v>665</v>
      </c>
      <c r="E28" s="11">
        <v>1109.104083333333</v>
      </c>
      <c r="F28" s="7">
        <f>MAX(0,D28*$B$5-E28*$B$4/30/$B$6)</f>
        <v>0</v>
      </c>
      <c r="G28" s="7">
        <f>$B$12*$B$4/30/$B$6</f>
        <v>0</v>
      </c>
      <c r="H28" s="6">
        <f>IF(F28&gt;=G28,"Sí","No")</f>
        <v>0</v>
      </c>
      <c r="I28" s="11">
        <v>8000</v>
      </c>
      <c r="J28" s="11">
        <v>0</v>
      </c>
      <c r="K28" s="11">
        <v>0</v>
      </c>
      <c r="L28" s="7">
        <f>IF($B$9=A28,0,INDEX(Tarifas_traslado!$B$2:$L$7,MATCH($B$9,Tarifas_traslado!$A$2:$A$7,0),MATCH(A28,Tarifas_traslado!$B$1:$L$1,0)))*$B$7</f>
        <v>0</v>
      </c>
      <c r="M28" s="7">
        <f>IF($B$12&gt;0,SUMPRODUCT($F$5:$F$16,INDEX(Tarifas_zona!$B$2:$L$13,0,MATCH(A28,Tarifas_zona!$B$1:$L$1,0)))/$B$12,0)*$B$8</f>
        <v>0</v>
      </c>
      <c r="N28" s="7">
        <f>L28+I28+J28*$B$4/30/$B$6+M28</f>
        <v>0</v>
      </c>
      <c r="O28" s="7">
        <f>N28*$B$12</f>
        <v>0</v>
      </c>
      <c r="P28" s="7">
        <f>O28+K28</f>
        <v>0</v>
      </c>
      <c r="Q28" s="6">
        <f>IF(H28="Sí",COUNTIFS($H$21:$H$31,"Sí",$P$21:$P$31,"&lt;"&amp;P28)+1,"-")</f>
        <v>0</v>
      </c>
      <c r="R28" s="7">
        <f>(L28+M28)*$B$12</f>
        <v>0</v>
      </c>
      <c r="S28" s="7">
        <f>(I28+J28*$B$4/30/$B$6)*$B$12+K28</f>
        <v>0</v>
      </c>
    </row>
    <row r="29" spans="1:19">
      <c r="A29" s="6" t="s">
        <v>101</v>
      </c>
      <c r="B29" s="6" t="s">
        <v>102</v>
      </c>
      <c r="C29" s="6" t="s">
        <v>103</v>
      </c>
      <c r="D29" s="11">
        <v>9176</v>
      </c>
      <c r="E29" s="11">
        <v>1744.32525</v>
      </c>
      <c r="F29" s="7">
        <f>MAX(0,D29*$B$5-E29*$B$4/30/$B$6)</f>
        <v>0</v>
      </c>
      <c r="G29" s="7">
        <f>$B$12*$B$4/30/$B$6</f>
        <v>0</v>
      </c>
      <c r="H29" s="6">
        <f>IF(F29&gt;=G29,"Sí","No")</f>
        <v>0</v>
      </c>
      <c r="I29" s="11">
        <v>8000</v>
      </c>
      <c r="J29" s="11">
        <v>0</v>
      </c>
      <c r="K29" s="11">
        <v>542000000</v>
      </c>
      <c r="L29" s="7">
        <f>IF($B$9=A29,0,INDEX(Tarifas_traslado!$B$2:$L$7,MATCH($B$9,Tarifas_traslado!$A$2:$A$7,0),MATCH(A29,Tarifas_traslado!$B$1:$L$1,0)))*$B$7</f>
        <v>0</v>
      </c>
      <c r="M29" s="7">
        <f>IF($B$12&gt;0,SUMPRODUCT($F$5:$F$16,INDEX(Tarifas_zona!$B$2:$L$13,0,MATCH(A29,Tarifas_zona!$B$1:$L$1,0)))/$B$12,0)*$B$8</f>
        <v>0</v>
      </c>
      <c r="N29" s="7">
        <f>L29+I29+J29*$B$4/30/$B$6+M29</f>
        <v>0</v>
      </c>
      <c r="O29" s="7">
        <f>N29*$B$12</f>
        <v>0</v>
      </c>
      <c r="P29" s="7">
        <f>O29+K29</f>
        <v>0</v>
      </c>
      <c r="Q29" s="6">
        <f>IF(H29="Sí",COUNTIFS($H$21:$H$31,"Sí",$P$21:$P$31,"&lt;"&amp;P29)+1,"-")</f>
        <v>0</v>
      </c>
      <c r="R29" s="7">
        <f>(L29+M29)*$B$12</f>
        <v>0</v>
      </c>
      <c r="S29" s="7">
        <f>(I29+J29*$B$4/30/$B$6)*$B$12+K29</f>
        <v>0</v>
      </c>
    </row>
    <row r="30" spans="1:19">
      <c r="A30" s="6" t="s">
        <v>104</v>
      </c>
      <c r="B30" s="6" t="s">
        <v>105</v>
      </c>
      <c r="C30" s="6" t="s">
        <v>106</v>
      </c>
      <c r="D30" s="11">
        <v>6000</v>
      </c>
      <c r="E30" s="11">
        <v>0</v>
      </c>
      <c r="F30" s="7">
        <f>MAX(0,D30*$B$5-E30*$B$4/30/$B$6)</f>
        <v>0</v>
      </c>
      <c r="G30" s="7">
        <f>$B$12*$B$4/30/$B$6</f>
        <v>0</v>
      </c>
      <c r="H30" s="6">
        <f>IF(F30&gt;=G30,"Sí","No")</f>
        <v>0</v>
      </c>
      <c r="I30" s="11">
        <v>9000</v>
      </c>
      <c r="J30" s="11">
        <v>38000</v>
      </c>
      <c r="K30" s="11">
        <v>60000000</v>
      </c>
      <c r="L30" s="7">
        <f>IF($B$9=A30,0,INDEX(Tarifas_traslado!$B$2:$L$7,MATCH($B$9,Tarifas_traslado!$A$2:$A$7,0),MATCH(A30,Tarifas_traslado!$B$1:$L$1,0)))*$B$7</f>
        <v>0</v>
      </c>
      <c r="M30" s="7">
        <f>IF($B$12&gt;0,SUMPRODUCT($F$5:$F$16,INDEX(Tarifas_zona!$B$2:$L$13,0,MATCH(A30,Tarifas_zona!$B$1:$L$1,0)))/$B$12,0)*$B$8</f>
        <v>0</v>
      </c>
      <c r="N30" s="7">
        <f>L30+I30+J30*$B$4/30/$B$6+M30</f>
        <v>0</v>
      </c>
      <c r="O30" s="7">
        <f>N30*$B$12</f>
        <v>0</v>
      </c>
      <c r="P30" s="7">
        <f>O30+K30</f>
        <v>0</v>
      </c>
      <c r="Q30" s="6">
        <f>IF(H30="Sí",COUNTIFS($H$21:$H$31,"Sí",$P$21:$P$31,"&lt;"&amp;P30)+1,"-")</f>
        <v>0</v>
      </c>
      <c r="R30" s="7">
        <f>(L30+M30)*$B$12</f>
        <v>0</v>
      </c>
      <c r="S30" s="7">
        <f>(I30+J30*$B$4/30/$B$6)*$B$12+K30</f>
        <v>0</v>
      </c>
    </row>
    <row r="31" spans="1:19">
      <c r="A31" s="6" t="s">
        <v>107</v>
      </c>
      <c r="B31" s="6" t="s">
        <v>108</v>
      </c>
      <c r="C31" s="6" t="s">
        <v>106</v>
      </c>
      <c r="D31" s="11">
        <v>8000</v>
      </c>
      <c r="E31" s="11">
        <v>0</v>
      </c>
      <c r="F31" s="7">
        <f>MAX(0,D31*$B$5-E31*$B$4/30/$B$6)</f>
        <v>0</v>
      </c>
      <c r="G31" s="7">
        <f>$B$12*$B$4/30/$B$6</f>
        <v>0</v>
      </c>
      <c r="H31" s="6">
        <f>IF(F31&gt;=G31,"Sí","No")</f>
        <v>0</v>
      </c>
      <c r="I31" s="11">
        <v>9000</v>
      </c>
      <c r="J31" s="11">
        <v>36000</v>
      </c>
      <c r="K31" s="11">
        <v>70000000</v>
      </c>
      <c r="L31" s="7">
        <f>IF($B$9=A31,0,INDEX(Tarifas_traslado!$B$2:$L$7,MATCH($B$9,Tarifas_traslado!$A$2:$A$7,0),MATCH(A31,Tarifas_traslado!$B$1:$L$1,0)))*$B$7</f>
        <v>0</v>
      </c>
      <c r="M31" s="7">
        <f>IF($B$12&gt;0,SUMPRODUCT($F$5:$F$16,INDEX(Tarifas_zona!$B$2:$L$13,0,MATCH(A31,Tarifas_zona!$B$1:$L$1,0)))/$B$12,0)*$B$8</f>
        <v>0</v>
      </c>
      <c r="N31" s="7">
        <f>L31+I31+J31*$B$4/30/$B$6+M31</f>
        <v>0</v>
      </c>
      <c r="O31" s="7">
        <f>N31*$B$12</f>
        <v>0</v>
      </c>
      <c r="P31" s="7">
        <f>O31+K31</f>
        <v>0</v>
      </c>
      <c r="Q31" s="6">
        <f>IF(H31="Sí",COUNTIFS($H$21:$H$31,"Sí",$P$21:$P$31,"&lt;"&amp;P31)+1,"-")</f>
        <v>0</v>
      </c>
      <c r="R31" s="7">
        <f>(L31+M31)*$B$12</f>
        <v>0</v>
      </c>
      <c r="S31" s="7">
        <f>(I31+J31*$B$4/30/$B$6)*$B$12+K31</f>
        <v>0</v>
      </c>
    </row>
    <row r="34" spans="1:3">
      <c r="A34" s="1" t="s">
        <v>109</v>
      </c>
    </row>
    <row r="35" spans="1:3">
      <c r="A35" s="3" t="s">
        <v>110</v>
      </c>
      <c r="B35" s="13">
        <f>IFERROR(INDEX($A$21:$A$31,MATCH(1,$Q$21:$Q$31,0)),"Ninguna opción tiene capacidad")</f>
        <v>0</v>
      </c>
    </row>
    <row r="36" spans="1:3">
      <c r="A36" s="3" t="s">
        <v>111</v>
      </c>
      <c r="B36" s="14">
        <f>IFERROR(INDEX($P$21:$P$31,MATCH(1,$Q$21:$Q$31,0)),0)</f>
        <v>0</v>
      </c>
    </row>
    <row r="37" spans="1:3">
      <c r="A37" s="3" t="s">
        <v>112</v>
      </c>
      <c r="B37" s="13">
        <f>IFERROR(INDEX($A$21:$A$31,MATCH(2,$Q$21:$Q$31,0)),"-")</f>
        <v>0</v>
      </c>
    </row>
    <row r="38" spans="1:3">
      <c r="A38" s="3" t="s">
        <v>113</v>
      </c>
      <c r="B38" s="14">
        <f>IFERROR(INDEX($P$21:$P$31,MATCH(2,$Q$21:$Q$31,0))-INDEX($P$21:$P$31,MATCH(1,$Q$21:$Q$31,0)),0)</f>
        <v>0</v>
      </c>
    </row>
    <row r="39" spans="1:3">
      <c r="A39" s="3" t="s">
        <v>114</v>
      </c>
      <c r="B39" s="14">
        <f>IF(COUNTIFS($C$21:$C$31,"Bodega externa*",$H$21:$H$31,"Sí")=0,"Sin capacidad",_xlfn.MINIFS($P$21:$P$31,$C$21:$C$31,"Bodega externa*",$H$21:$H$31,"Sí"))</f>
        <v>0</v>
      </c>
    </row>
    <row r="40" spans="1:3">
      <c r="A40" s="3" t="s">
        <v>115</v>
      </c>
      <c r="B40" s="14">
        <f>IF(COUNTIFS($C$21:$C$31,"CEDI*",$H$21:$H$31,"Sí",$A$21:$A$31,"&lt;&gt;"&amp;$B$9)=0,"Sin capacidad",_xlfn.MINIFS($P$21:$P$31,$C$21:$C$31,"CEDI*",$H$21:$H$31,"Sí",$A$21:$A$31,"&lt;&gt;"&amp;$B$9))</f>
        <v>0</v>
      </c>
    </row>
    <row r="41" spans="1:3">
      <c r="A41" s="3" t="s">
        <v>116</v>
      </c>
      <c r="B41" s="13">
        <f>IF(AND(ISNUMBER(B39),ISNUMBER(B40)),IF(B39&lt;B40,"BODEGA EXTERNA","TRASLADO A CEDI"),IF(ISNUMBER(B39),"BODEGA EXTERNA",IF(ISNUMBER(B40),"TRASLADO A CEDI","AMPLIAR CAPACIDAD")))</f>
        <v>0</v>
      </c>
    </row>
    <row r="42" spans="1:3">
      <c r="A42" s="3" t="s">
        <v>117</v>
      </c>
      <c r="B42" s="14">
        <f>IF(AND(ISNUMBER(B39),ISNUMBER(B40)),B40-(B39-INDEX($K$21:$K$31,MATCH(B39,$P$21:$P$31,0))),"-")</f>
        <v>0</v>
      </c>
    </row>
    <row r="43" spans="1:3">
      <c r="C43" s="2" t="s">
        <v>118</v>
      </c>
    </row>
    <row r="44" spans="1:3">
      <c r="A44" s="2" t="s">
        <v>119</v>
      </c>
    </row>
    <row r="69" spans="1:13">
      <c r="A69" s="1" t="s">
        <v>120</v>
      </c>
    </row>
    <row r="70" spans="1:13">
      <c r="A70" s="5" t="s">
        <v>121</v>
      </c>
      <c r="B70" s="5" t="s">
        <v>44</v>
      </c>
      <c r="C70" s="5" t="s">
        <v>86</v>
      </c>
      <c r="D70" s="5" t="s">
        <v>88</v>
      </c>
      <c r="E70" s="5" t="s">
        <v>90</v>
      </c>
      <c r="F70" s="5" t="s">
        <v>92</v>
      </c>
      <c r="G70" s="5" t="s">
        <v>94</v>
      </c>
      <c r="H70" s="5" t="s">
        <v>97</v>
      </c>
      <c r="I70" s="5" t="s">
        <v>99</v>
      </c>
      <c r="J70" s="5" t="s">
        <v>101</v>
      </c>
      <c r="K70" s="5" t="s">
        <v>104</v>
      </c>
      <c r="L70" s="5" t="s">
        <v>107</v>
      </c>
      <c r="M70" s="5" t="s">
        <v>122</v>
      </c>
    </row>
    <row r="71" spans="1:13">
      <c r="A71" s="6" t="s">
        <v>51</v>
      </c>
      <c r="B71" s="7">
        <f>L21+I21+J21*$B$4/30/$B$6+INDEX(Tarifas_zona!$B$2:$L$13,MATCH($A71,Tarifas_zona!$A$2:$A$13,0),MATCH(B$70,Tarifas_zona!$B$1:$L$1,0))*$B$8</f>
        <v>0</v>
      </c>
      <c r="C71" s="7">
        <f>L22+I22+J22*$B$4/30/$B$6+INDEX(Tarifas_zona!$B$2:$L$13,MATCH($A71,Tarifas_zona!$A$2:$A$13,0),MATCH(C$70,Tarifas_zona!$B$1:$L$1,0))*$B$8</f>
        <v>0</v>
      </c>
      <c r="D71" s="7">
        <f>L23+I23+J23*$B$4/30/$B$6+INDEX(Tarifas_zona!$B$2:$L$13,MATCH($A71,Tarifas_zona!$A$2:$A$13,0),MATCH(D$70,Tarifas_zona!$B$1:$L$1,0))*$B$8</f>
        <v>0</v>
      </c>
      <c r="E71" s="7">
        <f>L24+I24+J24*$B$4/30/$B$6+INDEX(Tarifas_zona!$B$2:$L$13,MATCH($A71,Tarifas_zona!$A$2:$A$13,0),MATCH(E$70,Tarifas_zona!$B$1:$L$1,0))*$B$8</f>
        <v>0</v>
      </c>
      <c r="F71" s="7">
        <f>L25+I25+J25*$B$4/30/$B$6+INDEX(Tarifas_zona!$B$2:$L$13,MATCH($A71,Tarifas_zona!$A$2:$A$13,0),MATCH(F$70,Tarifas_zona!$B$1:$L$1,0))*$B$8</f>
        <v>0</v>
      </c>
      <c r="G71" s="7">
        <f>L26+I26+J26*$B$4/30/$B$6+INDEX(Tarifas_zona!$B$2:$L$13,MATCH($A71,Tarifas_zona!$A$2:$A$13,0),MATCH(G$70,Tarifas_zona!$B$1:$L$1,0))*$B$8</f>
        <v>0</v>
      </c>
      <c r="H71" s="7">
        <f>L27+I27+J27*$B$4/30/$B$6+INDEX(Tarifas_zona!$B$2:$L$13,MATCH($A71,Tarifas_zona!$A$2:$A$13,0),MATCH(H$70,Tarifas_zona!$B$1:$L$1,0))*$B$8</f>
        <v>0</v>
      </c>
      <c r="I71" s="7">
        <f>L28+I28+J28*$B$4/30/$B$6+INDEX(Tarifas_zona!$B$2:$L$13,MATCH($A71,Tarifas_zona!$A$2:$A$13,0),MATCH(I$70,Tarifas_zona!$B$1:$L$1,0))*$B$8</f>
        <v>0</v>
      </c>
      <c r="J71" s="7">
        <f>L29+I29+J29*$B$4/30/$B$6+INDEX(Tarifas_zona!$B$2:$L$13,MATCH($A71,Tarifas_zona!$A$2:$A$13,0),MATCH(J$70,Tarifas_zona!$B$1:$L$1,0))*$B$8</f>
        <v>0</v>
      </c>
      <c r="K71" s="7">
        <f>L30+I30+J30*$B$4/30/$B$6+INDEX(Tarifas_zona!$B$2:$L$13,MATCH($A71,Tarifas_zona!$A$2:$A$13,0),MATCH(K$70,Tarifas_zona!$B$1:$L$1,0))*$B$8</f>
        <v>0</v>
      </c>
      <c r="L71" s="7">
        <f>L31+I31+J31*$B$4/30/$B$6+INDEX(Tarifas_zona!$B$2:$L$13,MATCH($A71,Tarifas_zona!$A$2:$A$13,0),MATCH(L$70,Tarifas_zona!$B$1:$L$1,0))*$B$8</f>
        <v>0</v>
      </c>
      <c r="M71" s="6">
        <f>INDEX($B$70:$L$70,MATCH(MIN(B71:L71),B71:L71,0))</f>
        <v>0</v>
      </c>
    </row>
    <row r="72" spans="1:13">
      <c r="A72" s="6" t="s">
        <v>52</v>
      </c>
      <c r="B72" s="7">
        <f>L21+I21+J21*$B$4/30/$B$6+INDEX(Tarifas_zona!$B$2:$L$13,MATCH($A72,Tarifas_zona!$A$2:$A$13,0),MATCH(B$70,Tarifas_zona!$B$1:$L$1,0))*$B$8</f>
        <v>0</v>
      </c>
      <c r="C72" s="7">
        <f>L22+I22+J22*$B$4/30/$B$6+INDEX(Tarifas_zona!$B$2:$L$13,MATCH($A72,Tarifas_zona!$A$2:$A$13,0),MATCH(C$70,Tarifas_zona!$B$1:$L$1,0))*$B$8</f>
        <v>0</v>
      </c>
      <c r="D72" s="7">
        <f>L23+I23+J23*$B$4/30/$B$6+INDEX(Tarifas_zona!$B$2:$L$13,MATCH($A72,Tarifas_zona!$A$2:$A$13,0),MATCH(D$70,Tarifas_zona!$B$1:$L$1,0))*$B$8</f>
        <v>0</v>
      </c>
      <c r="E72" s="7">
        <f>L24+I24+J24*$B$4/30/$B$6+INDEX(Tarifas_zona!$B$2:$L$13,MATCH($A72,Tarifas_zona!$A$2:$A$13,0),MATCH(E$70,Tarifas_zona!$B$1:$L$1,0))*$B$8</f>
        <v>0</v>
      </c>
      <c r="F72" s="7">
        <f>L25+I25+J25*$B$4/30/$B$6+INDEX(Tarifas_zona!$B$2:$L$13,MATCH($A72,Tarifas_zona!$A$2:$A$13,0),MATCH(F$70,Tarifas_zona!$B$1:$L$1,0))*$B$8</f>
        <v>0</v>
      </c>
      <c r="G72" s="7">
        <f>L26+I26+J26*$B$4/30/$B$6+INDEX(Tarifas_zona!$B$2:$L$13,MATCH($A72,Tarifas_zona!$A$2:$A$13,0),MATCH(G$70,Tarifas_zona!$B$1:$L$1,0))*$B$8</f>
        <v>0</v>
      </c>
      <c r="H72" s="7">
        <f>L27+I27+J27*$B$4/30/$B$6+INDEX(Tarifas_zona!$B$2:$L$13,MATCH($A72,Tarifas_zona!$A$2:$A$13,0),MATCH(H$70,Tarifas_zona!$B$1:$L$1,0))*$B$8</f>
        <v>0</v>
      </c>
      <c r="I72" s="7">
        <f>L28+I28+J28*$B$4/30/$B$6+INDEX(Tarifas_zona!$B$2:$L$13,MATCH($A72,Tarifas_zona!$A$2:$A$13,0),MATCH(I$70,Tarifas_zona!$B$1:$L$1,0))*$B$8</f>
        <v>0</v>
      </c>
      <c r="J72" s="7">
        <f>L29+I29+J29*$B$4/30/$B$6+INDEX(Tarifas_zona!$B$2:$L$13,MATCH($A72,Tarifas_zona!$A$2:$A$13,0),MATCH(J$70,Tarifas_zona!$B$1:$L$1,0))*$B$8</f>
        <v>0</v>
      </c>
      <c r="K72" s="7">
        <f>L30+I30+J30*$B$4/30/$B$6+INDEX(Tarifas_zona!$B$2:$L$13,MATCH($A72,Tarifas_zona!$A$2:$A$13,0),MATCH(K$70,Tarifas_zona!$B$1:$L$1,0))*$B$8</f>
        <v>0</v>
      </c>
      <c r="L72" s="7">
        <f>L31+I31+J31*$B$4/30/$B$6+INDEX(Tarifas_zona!$B$2:$L$13,MATCH($A72,Tarifas_zona!$A$2:$A$13,0),MATCH(L$70,Tarifas_zona!$B$1:$L$1,0))*$B$8</f>
        <v>0</v>
      </c>
      <c r="M72" s="6">
        <f>INDEX($B$70:$L$70,MATCH(MIN(B72:L72),B72:L72,0))</f>
        <v>0</v>
      </c>
    </row>
    <row r="73" spans="1:13">
      <c r="A73" s="6" t="s">
        <v>53</v>
      </c>
      <c r="B73" s="7">
        <f>L21+I21+J21*$B$4/30/$B$6+INDEX(Tarifas_zona!$B$2:$L$13,MATCH($A73,Tarifas_zona!$A$2:$A$13,0),MATCH(B$70,Tarifas_zona!$B$1:$L$1,0))*$B$8</f>
        <v>0</v>
      </c>
      <c r="C73" s="7">
        <f>L22+I22+J22*$B$4/30/$B$6+INDEX(Tarifas_zona!$B$2:$L$13,MATCH($A73,Tarifas_zona!$A$2:$A$13,0),MATCH(C$70,Tarifas_zona!$B$1:$L$1,0))*$B$8</f>
        <v>0</v>
      </c>
      <c r="D73" s="7">
        <f>L23+I23+J23*$B$4/30/$B$6+INDEX(Tarifas_zona!$B$2:$L$13,MATCH($A73,Tarifas_zona!$A$2:$A$13,0),MATCH(D$70,Tarifas_zona!$B$1:$L$1,0))*$B$8</f>
        <v>0</v>
      </c>
      <c r="E73" s="7">
        <f>L24+I24+J24*$B$4/30/$B$6+INDEX(Tarifas_zona!$B$2:$L$13,MATCH($A73,Tarifas_zona!$A$2:$A$13,0),MATCH(E$70,Tarifas_zona!$B$1:$L$1,0))*$B$8</f>
        <v>0</v>
      </c>
      <c r="F73" s="7">
        <f>L25+I25+J25*$B$4/30/$B$6+INDEX(Tarifas_zona!$B$2:$L$13,MATCH($A73,Tarifas_zona!$A$2:$A$13,0),MATCH(F$70,Tarifas_zona!$B$1:$L$1,0))*$B$8</f>
        <v>0</v>
      </c>
      <c r="G73" s="7">
        <f>L26+I26+J26*$B$4/30/$B$6+INDEX(Tarifas_zona!$B$2:$L$13,MATCH($A73,Tarifas_zona!$A$2:$A$13,0),MATCH(G$70,Tarifas_zona!$B$1:$L$1,0))*$B$8</f>
        <v>0</v>
      </c>
      <c r="H73" s="7">
        <f>L27+I27+J27*$B$4/30/$B$6+INDEX(Tarifas_zona!$B$2:$L$13,MATCH($A73,Tarifas_zona!$A$2:$A$13,0),MATCH(H$70,Tarifas_zona!$B$1:$L$1,0))*$B$8</f>
        <v>0</v>
      </c>
      <c r="I73" s="7">
        <f>L28+I28+J28*$B$4/30/$B$6+INDEX(Tarifas_zona!$B$2:$L$13,MATCH($A73,Tarifas_zona!$A$2:$A$13,0),MATCH(I$70,Tarifas_zona!$B$1:$L$1,0))*$B$8</f>
        <v>0</v>
      </c>
      <c r="J73" s="7">
        <f>L29+I29+J29*$B$4/30/$B$6+INDEX(Tarifas_zona!$B$2:$L$13,MATCH($A73,Tarifas_zona!$A$2:$A$13,0),MATCH(J$70,Tarifas_zona!$B$1:$L$1,0))*$B$8</f>
        <v>0</v>
      </c>
      <c r="K73" s="7">
        <f>L30+I30+J30*$B$4/30/$B$6+INDEX(Tarifas_zona!$B$2:$L$13,MATCH($A73,Tarifas_zona!$A$2:$A$13,0),MATCH(K$70,Tarifas_zona!$B$1:$L$1,0))*$B$8</f>
        <v>0</v>
      </c>
      <c r="L73" s="7">
        <f>L31+I31+J31*$B$4/30/$B$6+INDEX(Tarifas_zona!$B$2:$L$13,MATCH($A73,Tarifas_zona!$A$2:$A$13,0),MATCH(L$70,Tarifas_zona!$B$1:$L$1,0))*$B$8</f>
        <v>0</v>
      </c>
      <c r="M73" s="6">
        <f>INDEX($B$70:$L$70,MATCH(MIN(B73:L73),B73:L73,0))</f>
        <v>0</v>
      </c>
    </row>
    <row r="74" spans="1:13">
      <c r="A74" s="6" t="s">
        <v>54</v>
      </c>
      <c r="B74" s="7">
        <f>L21+I21+J21*$B$4/30/$B$6+INDEX(Tarifas_zona!$B$2:$L$13,MATCH($A74,Tarifas_zona!$A$2:$A$13,0),MATCH(B$70,Tarifas_zona!$B$1:$L$1,0))*$B$8</f>
        <v>0</v>
      </c>
      <c r="C74" s="7">
        <f>L22+I22+J22*$B$4/30/$B$6+INDEX(Tarifas_zona!$B$2:$L$13,MATCH($A74,Tarifas_zona!$A$2:$A$13,0),MATCH(C$70,Tarifas_zona!$B$1:$L$1,0))*$B$8</f>
        <v>0</v>
      </c>
      <c r="D74" s="7">
        <f>L23+I23+J23*$B$4/30/$B$6+INDEX(Tarifas_zona!$B$2:$L$13,MATCH($A74,Tarifas_zona!$A$2:$A$13,0),MATCH(D$70,Tarifas_zona!$B$1:$L$1,0))*$B$8</f>
        <v>0</v>
      </c>
      <c r="E74" s="7">
        <f>L24+I24+J24*$B$4/30/$B$6+INDEX(Tarifas_zona!$B$2:$L$13,MATCH($A74,Tarifas_zona!$A$2:$A$13,0),MATCH(E$70,Tarifas_zona!$B$1:$L$1,0))*$B$8</f>
        <v>0</v>
      </c>
      <c r="F74" s="7">
        <f>L25+I25+J25*$B$4/30/$B$6+INDEX(Tarifas_zona!$B$2:$L$13,MATCH($A74,Tarifas_zona!$A$2:$A$13,0),MATCH(F$70,Tarifas_zona!$B$1:$L$1,0))*$B$8</f>
        <v>0</v>
      </c>
      <c r="G74" s="7">
        <f>L26+I26+J26*$B$4/30/$B$6+INDEX(Tarifas_zona!$B$2:$L$13,MATCH($A74,Tarifas_zona!$A$2:$A$13,0),MATCH(G$70,Tarifas_zona!$B$1:$L$1,0))*$B$8</f>
        <v>0</v>
      </c>
      <c r="H74" s="7">
        <f>L27+I27+J27*$B$4/30/$B$6+INDEX(Tarifas_zona!$B$2:$L$13,MATCH($A74,Tarifas_zona!$A$2:$A$13,0),MATCH(H$70,Tarifas_zona!$B$1:$L$1,0))*$B$8</f>
        <v>0</v>
      </c>
      <c r="I74" s="7">
        <f>L28+I28+J28*$B$4/30/$B$6+INDEX(Tarifas_zona!$B$2:$L$13,MATCH($A74,Tarifas_zona!$A$2:$A$13,0),MATCH(I$70,Tarifas_zona!$B$1:$L$1,0))*$B$8</f>
        <v>0</v>
      </c>
      <c r="J74" s="7">
        <f>L29+I29+J29*$B$4/30/$B$6+INDEX(Tarifas_zona!$B$2:$L$13,MATCH($A74,Tarifas_zona!$A$2:$A$13,0),MATCH(J$70,Tarifas_zona!$B$1:$L$1,0))*$B$8</f>
        <v>0</v>
      </c>
      <c r="K74" s="7">
        <f>L30+I30+J30*$B$4/30/$B$6+INDEX(Tarifas_zona!$B$2:$L$13,MATCH($A74,Tarifas_zona!$A$2:$A$13,0),MATCH(K$70,Tarifas_zona!$B$1:$L$1,0))*$B$8</f>
        <v>0</v>
      </c>
      <c r="L74" s="7">
        <f>L31+I31+J31*$B$4/30/$B$6+INDEX(Tarifas_zona!$B$2:$L$13,MATCH($A74,Tarifas_zona!$A$2:$A$13,0),MATCH(L$70,Tarifas_zona!$B$1:$L$1,0))*$B$8</f>
        <v>0</v>
      </c>
      <c r="M74" s="6">
        <f>INDEX($B$70:$L$70,MATCH(MIN(B74:L74),B74:L74,0))</f>
        <v>0</v>
      </c>
    </row>
    <row r="75" spans="1:13">
      <c r="A75" s="6" t="s">
        <v>55</v>
      </c>
      <c r="B75" s="7">
        <f>L21+I21+J21*$B$4/30/$B$6+INDEX(Tarifas_zona!$B$2:$L$13,MATCH($A75,Tarifas_zona!$A$2:$A$13,0),MATCH(B$70,Tarifas_zona!$B$1:$L$1,0))*$B$8</f>
        <v>0</v>
      </c>
      <c r="C75" s="7">
        <f>L22+I22+J22*$B$4/30/$B$6+INDEX(Tarifas_zona!$B$2:$L$13,MATCH($A75,Tarifas_zona!$A$2:$A$13,0),MATCH(C$70,Tarifas_zona!$B$1:$L$1,0))*$B$8</f>
        <v>0</v>
      </c>
      <c r="D75" s="7">
        <f>L23+I23+J23*$B$4/30/$B$6+INDEX(Tarifas_zona!$B$2:$L$13,MATCH($A75,Tarifas_zona!$A$2:$A$13,0),MATCH(D$70,Tarifas_zona!$B$1:$L$1,0))*$B$8</f>
        <v>0</v>
      </c>
      <c r="E75" s="7">
        <f>L24+I24+J24*$B$4/30/$B$6+INDEX(Tarifas_zona!$B$2:$L$13,MATCH($A75,Tarifas_zona!$A$2:$A$13,0),MATCH(E$70,Tarifas_zona!$B$1:$L$1,0))*$B$8</f>
        <v>0</v>
      </c>
      <c r="F75" s="7">
        <f>L25+I25+J25*$B$4/30/$B$6+INDEX(Tarifas_zona!$B$2:$L$13,MATCH($A75,Tarifas_zona!$A$2:$A$13,0),MATCH(F$70,Tarifas_zona!$B$1:$L$1,0))*$B$8</f>
        <v>0</v>
      </c>
      <c r="G75" s="7">
        <f>L26+I26+J26*$B$4/30/$B$6+INDEX(Tarifas_zona!$B$2:$L$13,MATCH($A75,Tarifas_zona!$A$2:$A$13,0),MATCH(G$70,Tarifas_zona!$B$1:$L$1,0))*$B$8</f>
        <v>0</v>
      </c>
      <c r="H75" s="7">
        <f>L27+I27+J27*$B$4/30/$B$6+INDEX(Tarifas_zona!$B$2:$L$13,MATCH($A75,Tarifas_zona!$A$2:$A$13,0),MATCH(H$70,Tarifas_zona!$B$1:$L$1,0))*$B$8</f>
        <v>0</v>
      </c>
      <c r="I75" s="7">
        <f>L28+I28+J28*$B$4/30/$B$6+INDEX(Tarifas_zona!$B$2:$L$13,MATCH($A75,Tarifas_zona!$A$2:$A$13,0),MATCH(I$70,Tarifas_zona!$B$1:$L$1,0))*$B$8</f>
        <v>0</v>
      </c>
      <c r="J75" s="7">
        <f>L29+I29+J29*$B$4/30/$B$6+INDEX(Tarifas_zona!$B$2:$L$13,MATCH($A75,Tarifas_zona!$A$2:$A$13,0),MATCH(J$70,Tarifas_zona!$B$1:$L$1,0))*$B$8</f>
        <v>0</v>
      </c>
      <c r="K75" s="7">
        <f>L30+I30+J30*$B$4/30/$B$6+INDEX(Tarifas_zona!$B$2:$L$13,MATCH($A75,Tarifas_zona!$A$2:$A$13,0),MATCH(K$70,Tarifas_zona!$B$1:$L$1,0))*$B$8</f>
        <v>0</v>
      </c>
      <c r="L75" s="7">
        <f>L31+I31+J31*$B$4/30/$B$6+INDEX(Tarifas_zona!$B$2:$L$13,MATCH($A75,Tarifas_zona!$A$2:$A$13,0),MATCH(L$70,Tarifas_zona!$B$1:$L$1,0))*$B$8</f>
        <v>0</v>
      </c>
      <c r="M75" s="6">
        <f>INDEX($B$70:$L$70,MATCH(MIN(B75:L75),B75:L75,0))</f>
        <v>0</v>
      </c>
    </row>
    <row r="76" spans="1:13">
      <c r="A76" s="6" t="s">
        <v>56</v>
      </c>
      <c r="B76" s="7">
        <f>L21+I21+J21*$B$4/30/$B$6+INDEX(Tarifas_zona!$B$2:$L$13,MATCH($A76,Tarifas_zona!$A$2:$A$13,0),MATCH(B$70,Tarifas_zona!$B$1:$L$1,0))*$B$8</f>
        <v>0</v>
      </c>
      <c r="C76" s="7">
        <f>L22+I22+J22*$B$4/30/$B$6+INDEX(Tarifas_zona!$B$2:$L$13,MATCH($A76,Tarifas_zona!$A$2:$A$13,0),MATCH(C$70,Tarifas_zona!$B$1:$L$1,0))*$B$8</f>
        <v>0</v>
      </c>
      <c r="D76" s="7">
        <f>L23+I23+J23*$B$4/30/$B$6+INDEX(Tarifas_zona!$B$2:$L$13,MATCH($A76,Tarifas_zona!$A$2:$A$13,0),MATCH(D$70,Tarifas_zona!$B$1:$L$1,0))*$B$8</f>
        <v>0</v>
      </c>
      <c r="E76" s="7">
        <f>L24+I24+J24*$B$4/30/$B$6+INDEX(Tarifas_zona!$B$2:$L$13,MATCH($A76,Tarifas_zona!$A$2:$A$13,0),MATCH(E$70,Tarifas_zona!$B$1:$L$1,0))*$B$8</f>
        <v>0</v>
      </c>
      <c r="F76" s="7">
        <f>L25+I25+J25*$B$4/30/$B$6+INDEX(Tarifas_zona!$B$2:$L$13,MATCH($A76,Tarifas_zona!$A$2:$A$13,0),MATCH(F$70,Tarifas_zona!$B$1:$L$1,0))*$B$8</f>
        <v>0</v>
      </c>
      <c r="G76" s="7">
        <f>L26+I26+J26*$B$4/30/$B$6+INDEX(Tarifas_zona!$B$2:$L$13,MATCH($A76,Tarifas_zona!$A$2:$A$13,0),MATCH(G$70,Tarifas_zona!$B$1:$L$1,0))*$B$8</f>
        <v>0</v>
      </c>
      <c r="H76" s="7">
        <f>L27+I27+J27*$B$4/30/$B$6+INDEX(Tarifas_zona!$B$2:$L$13,MATCH($A76,Tarifas_zona!$A$2:$A$13,0),MATCH(H$70,Tarifas_zona!$B$1:$L$1,0))*$B$8</f>
        <v>0</v>
      </c>
      <c r="I76" s="7">
        <f>L28+I28+J28*$B$4/30/$B$6+INDEX(Tarifas_zona!$B$2:$L$13,MATCH($A76,Tarifas_zona!$A$2:$A$13,0),MATCH(I$70,Tarifas_zona!$B$1:$L$1,0))*$B$8</f>
        <v>0</v>
      </c>
      <c r="J76" s="7">
        <f>L29+I29+J29*$B$4/30/$B$6+INDEX(Tarifas_zona!$B$2:$L$13,MATCH($A76,Tarifas_zona!$A$2:$A$13,0),MATCH(J$70,Tarifas_zona!$B$1:$L$1,0))*$B$8</f>
        <v>0</v>
      </c>
      <c r="K76" s="7">
        <f>L30+I30+J30*$B$4/30/$B$6+INDEX(Tarifas_zona!$B$2:$L$13,MATCH($A76,Tarifas_zona!$A$2:$A$13,0),MATCH(K$70,Tarifas_zona!$B$1:$L$1,0))*$B$8</f>
        <v>0</v>
      </c>
      <c r="L76" s="7">
        <f>L31+I31+J31*$B$4/30/$B$6+INDEX(Tarifas_zona!$B$2:$L$13,MATCH($A76,Tarifas_zona!$A$2:$A$13,0),MATCH(L$70,Tarifas_zona!$B$1:$L$1,0))*$B$8</f>
        <v>0</v>
      </c>
      <c r="M76" s="6">
        <f>INDEX($B$70:$L$70,MATCH(MIN(B76:L76),B76:L76,0))</f>
        <v>0</v>
      </c>
    </row>
    <row r="77" spans="1:13">
      <c r="A77" s="6" t="s">
        <v>57</v>
      </c>
      <c r="B77" s="7">
        <f>L21+I21+J21*$B$4/30/$B$6+INDEX(Tarifas_zona!$B$2:$L$13,MATCH($A77,Tarifas_zona!$A$2:$A$13,0),MATCH(B$70,Tarifas_zona!$B$1:$L$1,0))*$B$8</f>
        <v>0</v>
      </c>
      <c r="C77" s="7">
        <f>L22+I22+J22*$B$4/30/$B$6+INDEX(Tarifas_zona!$B$2:$L$13,MATCH($A77,Tarifas_zona!$A$2:$A$13,0),MATCH(C$70,Tarifas_zona!$B$1:$L$1,0))*$B$8</f>
        <v>0</v>
      </c>
      <c r="D77" s="7">
        <f>L23+I23+J23*$B$4/30/$B$6+INDEX(Tarifas_zona!$B$2:$L$13,MATCH($A77,Tarifas_zona!$A$2:$A$13,0),MATCH(D$70,Tarifas_zona!$B$1:$L$1,0))*$B$8</f>
        <v>0</v>
      </c>
      <c r="E77" s="7">
        <f>L24+I24+J24*$B$4/30/$B$6+INDEX(Tarifas_zona!$B$2:$L$13,MATCH($A77,Tarifas_zona!$A$2:$A$13,0),MATCH(E$70,Tarifas_zona!$B$1:$L$1,0))*$B$8</f>
        <v>0</v>
      </c>
      <c r="F77" s="7">
        <f>L25+I25+J25*$B$4/30/$B$6+INDEX(Tarifas_zona!$B$2:$L$13,MATCH($A77,Tarifas_zona!$A$2:$A$13,0),MATCH(F$70,Tarifas_zona!$B$1:$L$1,0))*$B$8</f>
        <v>0</v>
      </c>
      <c r="G77" s="7">
        <f>L26+I26+J26*$B$4/30/$B$6+INDEX(Tarifas_zona!$B$2:$L$13,MATCH($A77,Tarifas_zona!$A$2:$A$13,0),MATCH(G$70,Tarifas_zona!$B$1:$L$1,0))*$B$8</f>
        <v>0</v>
      </c>
      <c r="H77" s="7">
        <f>L27+I27+J27*$B$4/30/$B$6+INDEX(Tarifas_zona!$B$2:$L$13,MATCH($A77,Tarifas_zona!$A$2:$A$13,0),MATCH(H$70,Tarifas_zona!$B$1:$L$1,0))*$B$8</f>
        <v>0</v>
      </c>
      <c r="I77" s="7">
        <f>L28+I28+J28*$B$4/30/$B$6+INDEX(Tarifas_zona!$B$2:$L$13,MATCH($A77,Tarifas_zona!$A$2:$A$13,0),MATCH(I$70,Tarifas_zona!$B$1:$L$1,0))*$B$8</f>
        <v>0</v>
      </c>
      <c r="J77" s="7">
        <f>L29+I29+J29*$B$4/30/$B$6+INDEX(Tarifas_zona!$B$2:$L$13,MATCH($A77,Tarifas_zona!$A$2:$A$13,0),MATCH(J$70,Tarifas_zona!$B$1:$L$1,0))*$B$8</f>
        <v>0</v>
      </c>
      <c r="K77" s="7">
        <f>L30+I30+J30*$B$4/30/$B$6+INDEX(Tarifas_zona!$B$2:$L$13,MATCH($A77,Tarifas_zona!$A$2:$A$13,0),MATCH(K$70,Tarifas_zona!$B$1:$L$1,0))*$B$8</f>
        <v>0</v>
      </c>
      <c r="L77" s="7">
        <f>L31+I31+J31*$B$4/30/$B$6+INDEX(Tarifas_zona!$B$2:$L$13,MATCH($A77,Tarifas_zona!$A$2:$A$13,0),MATCH(L$70,Tarifas_zona!$B$1:$L$1,0))*$B$8</f>
        <v>0</v>
      </c>
      <c r="M77" s="6">
        <f>INDEX($B$70:$L$70,MATCH(MIN(B77:L77),B77:L77,0))</f>
        <v>0</v>
      </c>
    </row>
    <row r="78" spans="1:13">
      <c r="A78" s="6" t="s">
        <v>58</v>
      </c>
      <c r="B78" s="7">
        <f>L21+I21+J21*$B$4/30/$B$6+INDEX(Tarifas_zona!$B$2:$L$13,MATCH($A78,Tarifas_zona!$A$2:$A$13,0),MATCH(B$70,Tarifas_zona!$B$1:$L$1,0))*$B$8</f>
        <v>0</v>
      </c>
      <c r="C78" s="7">
        <f>L22+I22+J22*$B$4/30/$B$6+INDEX(Tarifas_zona!$B$2:$L$13,MATCH($A78,Tarifas_zona!$A$2:$A$13,0),MATCH(C$70,Tarifas_zona!$B$1:$L$1,0))*$B$8</f>
        <v>0</v>
      </c>
      <c r="D78" s="7">
        <f>L23+I23+J23*$B$4/30/$B$6+INDEX(Tarifas_zona!$B$2:$L$13,MATCH($A78,Tarifas_zona!$A$2:$A$13,0),MATCH(D$70,Tarifas_zona!$B$1:$L$1,0))*$B$8</f>
        <v>0</v>
      </c>
      <c r="E78" s="7">
        <f>L24+I24+J24*$B$4/30/$B$6+INDEX(Tarifas_zona!$B$2:$L$13,MATCH($A78,Tarifas_zona!$A$2:$A$13,0),MATCH(E$70,Tarifas_zona!$B$1:$L$1,0))*$B$8</f>
        <v>0</v>
      </c>
      <c r="F78" s="7">
        <f>L25+I25+J25*$B$4/30/$B$6+INDEX(Tarifas_zona!$B$2:$L$13,MATCH($A78,Tarifas_zona!$A$2:$A$13,0),MATCH(F$70,Tarifas_zona!$B$1:$L$1,0))*$B$8</f>
        <v>0</v>
      </c>
      <c r="G78" s="7">
        <f>L26+I26+J26*$B$4/30/$B$6+INDEX(Tarifas_zona!$B$2:$L$13,MATCH($A78,Tarifas_zona!$A$2:$A$13,0),MATCH(G$70,Tarifas_zona!$B$1:$L$1,0))*$B$8</f>
        <v>0</v>
      </c>
      <c r="H78" s="7">
        <f>L27+I27+J27*$B$4/30/$B$6+INDEX(Tarifas_zona!$B$2:$L$13,MATCH($A78,Tarifas_zona!$A$2:$A$13,0),MATCH(H$70,Tarifas_zona!$B$1:$L$1,0))*$B$8</f>
        <v>0</v>
      </c>
      <c r="I78" s="7">
        <f>L28+I28+J28*$B$4/30/$B$6+INDEX(Tarifas_zona!$B$2:$L$13,MATCH($A78,Tarifas_zona!$A$2:$A$13,0),MATCH(I$70,Tarifas_zona!$B$1:$L$1,0))*$B$8</f>
        <v>0</v>
      </c>
      <c r="J78" s="7">
        <f>L29+I29+J29*$B$4/30/$B$6+INDEX(Tarifas_zona!$B$2:$L$13,MATCH($A78,Tarifas_zona!$A$2:$A$13,0),MATCH(J$70,Tarifas_zona!$B$1:$L$1,0))*$B$8</f>
        <v>0</v>
      </c>
      <c r="K78" s="7">
        <f>L30+I30+J30*$B$4/30/$B$6+INDEX(Tarifas_zona!$B$2:$L$13,MATCH($A78,Tarifas_zona!$A$2:$A$13,0),MATCH(K$70,Tarifas_zona!$B$1:$L$1,0))*$B$8</f>
        <v>0</v>
      </c>
      <c r="L78" s="7">
        <f>L31+I31+J31*$B$4/30/$B$6+INDEX(Tarifas_zona!$B$2:$L$13,MATCH($A78,Tarifas_zona!$A$2:$A$13,0),MATCH(L$70,Tarifas_zona!$B$1:$L$1,0))*$B$8</f>
        <v>0</v>
      </c>
      <c r="M78" s="6">
        <f>INDEX($B$70:$L$70,MATCH(MIN(B78:L78),B78:L78,0))</f>
        <v>0</v>
      </c>
    </row>
    <row r="79" spans="1:13">
      <c r="A79" s="6" t="s">
        <v>59</v>
      </c>
      <c r="B79" s="7">
        <f>L21+I21+J21*$B$4/30/$B$6+INDEX(Tarifas_zona!$B$2:$L$13,MATCH($A79,Tarifas_zona!$A$2:$A$13,0),MATCH(B$70,Tarifas_zona!$B$1:$L$1,0))*$B$8</f>
        <v>0</v>
      </c>
      <c r="C79" s="7">
        <f>L22+I22+J22*$B$4/30/$B$6+INDEX(Tarifas_zona!$B$2:$L$13,MATCH($A79,Tarifas_zona!$A$2:$A$13,0),MATCH(C$70,Tarifas_zona!$B$1:$L$1,0))*$B$8</f>
        <v>0</v>
      </c>
      <c r="D79" s="7">
        <f>L23+I23+J23*$B$4/30/$B$6+INDEX(Tarifas_zona!$B$2:$L$13,MATCH($A79,Tarifas_zona!$A$2:$A$13,0),MATCH(D$70,Tarifas_zona!$B$1:$L$1,0))*$B$8</f>
        <v>0</v>
      </c>
      <c r="E79" s="7">
        <f>L24+I24+J24*$B$4/30/$B$6+INDEX(Tarifas_zona!$B$2:$L$13,MATCH($A79,Tarifas_zona!$A$2:$A$13,0),MATCH(E$70,Tarifas_zona!$B$1:$L$1,0))*$B$8</f>
        <v>0</v>
      </c>
      <c r="F79" s="7">
        <f>L25+I25+J25*$B$4/30/$B$6+INDEX(Tarifas_zona!$B$2:$L$13,MATCH($A79,Tarifas_zona!$A$2:$A$13,0),MATCH(F$70,Tarifas_zona!$B$1:$L$1,0))*$B$8</f>
        <v>0</v>
      </c>
      <c r="G79" s="7">
        <f>L26+I26+J26*$B$4/30/$B$6+INDEX(Tarifas_zona!$B$2:$L$13,MATCH($A79,Tarifas_zona!$A$2:$A$13,0),MATCH(G$70,Tarifas_zona!$B$1:$L$1,0))*$B$8</f>
        <v>0</v>
      </c>
      <c r="H79" s="7">
        <f>L27+I27+J27*$B$4/30/$B$6+INDEX(Tarifas_zona!$B$2:$L$13,MATCH($A79,Tarifas_zona!$A$2:$A$13,0),MATCH(H$70,Tarifas_zona!$B$1:$L$1,0))*$B$8</f>
        <v>0</v>
      </c>
      <c r="I79" s="7">
        <f>L28+I28+J28*$B$4/30/$B$6+INDEX(Tarifas_zona!$B$2:$L$13,MATCH($A79,Tarifas_zona!$A$2:$A$13,0),MATCH(I$70,Tarifas_zona!$B$1:$L$1,0))*$B$8</f>
        <v>0</v>
      </c>
      <c r="J79" s="7">
        <f>L29+I29+J29*$B$4/30/$B$6+INDEX(Tarifas_zona!$B$2:$L$13,MATCH($A79,Tarifas_zona!$A$2:$A$13,0),MATCH(J$70,Tarifas_zona!$B$1:$L$1,0))*$B$8</f>
        <v>0</v>
      </c>
      <c r="K79" s="7">
        <f>L30+I30+J30*$B$4/30/$B$6+INDEX(Tarifas_zona!$B$2:$L$13,MATCH($A79,Tarifas_zona!$A$2:$A$13,0),MATCH(K$70,Tarifas_zona!$B$1:$L$1,0))*$B$8</f>
        <v>0</v>
      </c>
      <c r="L79" s="7">
        <f>L31+I31+J31*$B$4/30/$B$6+INDEX(Tarifas_zona!$B$2:$L$13,MATCH($A79,Tarifas_zona!$A$2:$A$13,0),MATCH(L$70,Tarifas_zona!$B$1:$L$1,0))*$B$8</f>
        <v>0</v>
      </c>
      <c r="M79" s="6">
        <f>INDEX($B$70:$L$70,MATCH(MIN(B79:L79),B79:L79,0))</f>
        <v>0</v>
      </c>
    </row>
    <row r="80" spans="1:13">
      <c r="A80" s="6" t="s">
        <v>60</v>
      </c>
      <c r="B80" s="7">
        <f>L21+I21+J21*$B$4/30/$B$6+INDEX(Tarifas_zona!$B$2:$L$13,MATCH($A80,Tarifas_zona!$A$2:$A$13,0),MATCH(B$70,Tarifas_zona!$B$1:$L$1,0))*$B$8</f>
        <v>0</v>
      </c>
      <c r="C80" s="7">
        <f>L22+I22+J22*$B$4/30/$B$6+INDEX(Tarifas_zona!$B$2:$L$13,MATCH($A80,Tarifas_zona!$A$2:$A$13,0),MATCH(C$70,Tarifas_zona!$B$1:$L$1,0))*$B$8</f>
        <v>0</v>
      </c>
      <c r="D80" s="7">
        <f>L23+I23+J23*$B$4/30/$B$6+INDEX(Tarifas_zona!$B$2:$L$13,MATCH($A80,Tarifas_zona!$A$2:$A$13,0),MATCH(D$70,Tarifas_zona!$B$1:$L$1,0))*$B$8</f>
        <v>0</v>
      </c>
      <c r="E80" s="7">
        <f>L24+I24+J24*$B$4/30/$B$6+INDEX(Tarifas_zona!$B$2:$L$13,MATCH($A80,Tarifas_zona!$A$2:$A$13,0),MATCH(E$70,Tarifas_zona!$B$1:$L$1,0))*$B$8</f>
        <v>0</v>
      </c>
      <c r="F80" s="7">
        <f>L25+I25+J25*$B$4/30/$B$6+INDEX(Tarifas_zona!$B$2:$L$13,MATCH($A80,Tarifas_zona!$A$2:$A$13,0),MATCH(F$70,Tarifas_zona!$B$1:$L$1,0))*$B$8</f>
        <v>0</v>
      </c>
      <c r="G80" s="7">
        <f>L26+I26+J26*$B$4/30/$B$6+INDEX(Tarifas_zona!$B$2:$L$13,MATCH($A80,Tarifas_zona!$A$2:$A$13,0),MATCH(G$70,Tarifas_zona!$B$1:$L$1,0))*$B$8</f>
        <v>0</v>
      </c>
      <c r="H80" s="7">
        <f>L27+I27+J27*$B$4/30/$B$6+INDEX(Tarifas_zona!$B$2:$L$13,MATCH($A80,Tarifas_zona!$A$2:$A$13,0),MATCH(H$70,Tarifas_zona!$B$1:$L$1,0))*$B$8</f>
        <v>0</v>
      </c>
      <c r="I80" s="7">
        <f>L28+I28+J28*$B$4/30/$B$6+INDEX(Tarifas_zona!$B$2:$L$13,MATCH($A80,Tarifas_zona!$A$2:$A$13,0),MATCH(I$70,Tarifas_zona!$B$1:$L$1,0))*$B$8</f>
        <v>0</v>
      </c>
      <c r="J80" s="7">
        <f>L29+I29+J29*$B$4/30/$B$6+INDEX(Tarifas_zona!$B$2:$L$13,MATCH($A80,Tarifas_zona!$A$2:$A$13,0),MATCH(J$70,Tarifas_zona!$B$1:$L$1,0))*$B$8</f>
        <v>0</v>
      </c>
      <c r="K80" s="7">
        <f>L30+I30+J30*$B$4/30/$B$6+INDEX(Tarifas_zona!$B$2:$L$13,MATCH($A80,Tarifas_zona!$A$2:$A$13,0),MATCH(K$70,Tarifas_zona!$B$1:$L$1,0))*$B$8</f>
        <v>0</v>
      </c>
      <c r="L80" s="7">
        <f>L31+I31+J31*$B$4/30/$B$6+INDEX(Tarifas_zona!$B$2:$L$13,MATCH($A80,Tarifas_zona!$A$2:$A$13,0),MATCH(L$70,Tarifas_zona!$B$1:$L$1,0))*$B$8</f>
        <v>0</v>
      </c>
      <c r="M80" s="6">
        <f>INDEX($B$70:$L$70,MATCH(MIN(B80:L80),B80:L80,0))</f>
        <v>0</v>
      </c>
    </row>
    <row r="81" spans="1:13">
      <c r="A81" s="6" t="s">
        <v>61</v>
      </c>
      <c r="B81" s="7">
        <f>L21+I21+J21*$B$4/30/$B$6+INDEX(Tarifas_zona!$B$2:$L$13,MATCH($A81,Tarifas_zona!$A$2:$A$13,0),MATCH(B$70,Tarifas_zona!$B$1:$L$1,0))*$B$8</f>
        <v>0</v>
      </c>
      <c r="C81" s="7">
        <f>L22+I22+J22*$B$4/30/$B$6+INDEX(Tarifas_zona!$B$2:$L$13,MATCH($A81,Tarifas_zona!$A$2:$A$13,0),MATCH(C$70,Tarifas_zona!$B$1:$L$1,0))*$B$8</f>
        <v>0</v>
      </c>
      <c r="D81" s="7">
        <f>L23+I23+J23*$B$4/30/$B$6+INDEX(Tarifas_zona!$B$2:$L$13,MATCH($A81,Tarifas_zona!$A$2:$A$13,0),MATCH(D$70,Tarifas_zona!$B$1:$L$1,0))*$B$8</f>
        <v>0</v>
      </c>
      <c r="E81" s="7">
        <f>L24+I24+J24*$B$4/30/$B$6+INDEX(Tarifas_zona!$B$2:$L$13,MATCH($A81,Tarifas_zona!$A$2:$A$13,0),MATCH(E$70,Tarifas_zona!$B$1:$L$1,0))*$B$8</f>
        <v>0</v>
      </c>
      <c r="F81" s="7">
        <f>L25+I25+J25*$B$4/30/$B$6+INDEX(Tarifas_zona!$B$2:$L$13,MATCH($A81,Tarifas_zona!$A$2:$A$13,0),MATCH(F$70,Tarifas_zona!$B$1:$L$1,0))*$B$8</f>
        <v>0</v>
      </c>
      <c r="G81" s="7">
        <f>L26+I26+J26*$B$4/30/$B$6+INDEX(Tarifas_zona!$B$2:$L$13,MATCH($A81,Tarifas_zona!$A$2:$A$13,0),MATCH(G$70,Tarifas_zona!$B$1:$L$1,0))*$B$8</f>
        <v>0</v>
      </c>
      <c r="H81" s="7">
        <f>L27+I27+J27*$B$4/30/$B$6+INDEX(Tarifas_zona!$B$2:$L$13,MATCH($A81,Tarifas_zona!$A$2:$A$13,0),MATCH(H$70,Tarifas_zona!$B$1:$L$1,0))*$B$8</f>
        <v>0</v>
      </c>
      <c r="I81" s="7">
        <f>L28+I28+J28*$B$4/30/$B$6+INDEX(Tarifas_zona!$B$2:$L$13,MATCH($A81,Tarifas_zona!$A$2:$A$13,0),MATCH(I$70,Tarifas_zona!$B$1:$L$1,0))*$B$8</f>
        <v>0</v>
      </c>
      <c r="J81" s="7">
        <f>L29+I29+J29*$B$4/30/$B$6+INDEX(Tarifas_zona!$B$2:$L$13,MATCH($A81,Tarifas_zona!$A$2:$A$13,0),MATCH(J$70,Tarifas_zona!$B$1:$L$1,0))*$B$8</f>
        <v>0</v>
      </c>
      <c r="K81" s="7">
        <f>L30+I30+J30*$B$4/30/$B$6+INDEX(Tarifas_zona!$B$2:$L$13,MATCH($A81,Tarifas_zona!$A$2:$A$13,0),MATCH(K$70,Tarifas_zona!$B$1:$L$1,0))*$B$8</f>
        <v>0</v>
      </c>
      <c r="L81" s="7">
        <f>L31+I31+J31*$B$4/30/$B$6+INDEX(Tarifas_zona!$B$2:$L$13,MATCH($A81,Tarifas_zona!$A$2:$A$13,0),MATCH(L$70,Tarifas_zona!$B$1:$L$1,0))*$B$8</f>
        <v>0</v>
      </c>
      <c r="M81" s="6">
        <f>INDEX($B$70:$L$70,MATCH(MIN(B81:L81),B81:L81,0))</f>
        <v>0</v>
      </c>
    </row>
    <row r="82" spans="1:13">
      <c r="A82" s="6" t="s">
        <v>62</v>
      </c>
      <c r="B82" s="7">
        <f>L21+I21+J21*$B$4/30/$B$6+INDEX(Tarifas_zona!$B$2:$L$13,MATCH($A82,Tarifas_zona!$A$2:$A$13,0),MATCH(B$70,Tarifas_zona!$B$1:$L$1,0))*$B$8</f>
        <v>0</v>
      </c>
      <c r="C82" s="7">
        <f>L22+I22+J22*$B$4/30/$B$6+INDEX(Tarifas_zona!$B$2:$L$13,MATCH($A82,Tarifas_zona!$A$2:$A$13,0),MATCH(C$70,Tarifas_zona!$B$1:$L$1,0))*$B$8</f>
        <v>0</v>
      </c>
      <c r="D82" s="7">
        <f>L23+I23+J23*$B$4/30/$B$6+INDEX(Tarifas_zona!$B$2:$L$13,MATCH($A82,Tarifas_zona!$A$2:$A$13,0),MATCH(D$70,Tarifas_zona!$B$1:$L$1,0))*$B$8</f>
        <v>0</v>
      </c>
      <c r="E82" s="7">
        <f>L24+I24+J24*$B$4/30/$B$6+INDEX(Tarifas_zona!$B$2:$L$13,MATCH($A82,Tarifas_zona!$A$2:$A$13,0),MATCH(E$70,Tarifas_zona!$B$1:$L$1,0))*$B$8</f>
        <v>0</v>
      </c>
      <c r="F82" s="7">
        <f>L25+I25+J25*$B$4/30/$B$6+INDEX(Tarifas_zona!$B$2:$L$13,MATCH($A82,Tarifas_zona!$A$2:$A$13,0),MATCH(F$70,Tarifas_zona!$B$1:$L$1,0))*$B$8</f>
        <v>0</v>
      </c>
      <c r="G82" s="7">
        <f>L26+I26+J26*$B$4/30/$B$6+INDEX(Tarifas_zona!$B$2:$L$13,MATCH($A82,Tarifas_zona!$A$2:$A$13,0),MATCH(G$70,Tarifas_zona!$B$1:$L$1,0))*$B$8</f>
        <v>0</v>
      </c>
      <c r="H82" s="7">
        <f>L27+I27+J27*$B$4/30/$B$6+INDEX(Tarifas_zona!$B$2:$L$13,MATCH($A82,Tarifas_zona!$A$2:$A$13,0),MATCH(H$70,Tarifas_zona!$B$1:$L$1,0))*$B$8</f>
        <v>0</v>
      </c>
      <c r="I82" s="7">
        <f>L28+I28+J28*$B$4/30/$B$6+INDEX(Tarifas_zona!$B$2:$L$13,MATCH($A82,Tarifas_zona!$A$2:$A$13,0),MATCH(I$70,Tarifas_zona!$B$1:$L$1,0))*$B$8</f>
        <v>0</v>
      </c>
      <c r="J82" s="7">
        <f>L29+I29+J29*$B$4/30/$B$6+INDEX(Tarifas_zona!$B$2:$L$13,MATCH($A82,Tarifas_zona!$A$2:$A$13,0),MATCH(J$70,Tarifas_zona!$B$1:$L$1,0))*$B$8</f>
        <v>0</v>
      </c>
      <c r="K82" s="7">
        <f>L30+I30+J30*$B$4/30/$B$6+INDEX(Tarifas_zona!$B$2:$L$13,MATCH($A82,Tarifas_zona!$A$2:$A$13,0),MATCH(K$70,Tarifas_zona!$B$1:$L$1,0))*$B$8</f>
        <v>0</v>
      </c>
      <c r="L82" s="7">
        <f>L31+I31+J31*$B$4/30/$B$6+INDEX(Tarifas_zona!$B$2:$L$13,MATCH($A82,Tarifas_zona!$A$2:$A$13,0),MATCH(L$70,Tarifas_zona!$B$1:$L$1,0))*$B$8</f>
        <v>0</v>
      </c>
      <c r="M82" s="6">
        <f>INDEX($B$70:$L$70,MATCH(MIN(B82:L82),B82:L82,0))</f>
        <v>0</v>
      </c>
    </row>
  </sheetData>
  <conditionalFormatting sqref="B71:L82">
    <cfRule type="colorScale" priority="1">
      <colorScale>
        <cfvo type="min" val="0"/>
        <cfvo type="percentile" val="50"/>
        <cfvo type="max" val="0"/>
        <color rgb="FFCDE2FB"/>
        <color rgb="FFF0EFEC"/>
        <color rgb="FFF4B6B5"/>
      </colorScale>
    </cfRule>
  </conditionalFormatting>
  <dataValidations count="1">
    <dataValidation type="list" allowBlank="1" showInputMessage="1" showErrorMessage="1" sqref="B9">
      <formula1>"CO01,CO02,CO03,CO04,CO14"</formula1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0"/>
  <sheetViews>
    <sheetView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3" width="21.7109375" customWidth="1"/>
    <col min="4" max="4" width="40.7109375" customWidth="1"/>
    <col min="5" max="5" width="16.7109375" customWidth="1"/>
    <col min="6" max="6" width="18.7109375" customWidth="1"/>
    <col min="7" max="7" width="24.7109375" customWidth="1"/>
    <col min="8" max="8" width="14.7109375" customWidth="1"/>
    <col min="9" max="9" width="21.7109375" customWidth="1"/>
    <col min="10" max="10" width="22.7109375" customWidth="1"/>
    <col min="11" max="12" width="18.7109375" customWidth="1"/>
    <col min="13" max="13" width="17.7109375" customWidth="1"/>
    <col min="14" max="14" width="15.7109375" customWidth="1"/>
  </cols>
  <sheetData>
    <row r="1" spans="1:14">
      <c r="A1" s="1" t="s">
        <v>123</v>
      </c>
    </row>
    <row r="3" spans="1:14">
      <c r="A3" t="s">
        <v>124</v>
      </c>
      <c r="B3" t="s">
        <v>66</v>
      </c>
      <c r="C3" t="s">
        <v>80</v>
      </c>
      <c r="D3" t="s">
        <v>125</v>
      </c>
      <c r="E3" t="s">
        <v>126</v>
      </c>
      <c r="F3" t="s">
        <v>127</v>
      </c>
      <c r="G3" t="s">
        <v>128</v>
      </c>
      <c r="H3" t="s">
        <v>129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</row>
    <row r="4" spans="1:14">
      <c r="A4" s="6" t="s">
        <v>136</v>
      </c>
      <c r="B4" s="6" t="s">
        <v>17</v>
      </c>
      <c r="C4" s="7">
        <v>16430226747.93383</v>
      </c>
      <c r="D4" s="7">
        <v>10078226747.93383</v>
      </c>
      <c r="E4" s="7">
        <v>133079.8818333333</v>
      </c>
      <c r="F4" s="7">
        <v>74687.67441666668</v>
      </c>
      <c r="G4" s="7">
        <v>1360.139108762509</v>
      </c>
      <c r="H4" s="7">
        <v>123461.3866618151</v>
      </c>
      <c r="I4" s="15">
        <v>48.22895423497448</v>
      </c>
      <c r="J4" s="15">
        <v>0</v>
      </c>
      <c r="K4" s="6" t="s">
        <v>101</v>
      </c>
      <c r="L4" s="6" t="s">
        <v>137</v>
      </c>
      <c r="M4" s="15">
        <v>24.7</v>
      </c>
      <c r="N4" s="6" t="s">
        <v>138</v>
      </c>
    </row>
    <row r="5" spans="1:14">
      <c r="A5" s="6" t="s">
        <v>139</v>
      </c>
      <c r="B5" s="6" t="s">
        <v>18</v>
      </c>
      <c r="C5" s="7">
        <v>14116151017.51191</v>
      </c>
      <c r="D5" s="7">
        <v>7764151017.511913</v>
      </c>
      <c r="E5" s="7">
        <v>119423.6145</v>
      </c>
      <c r="F5" s="7">
        <v>39864.88701146735</v>
      </c>
      <c r="G5" s="7">
        <v>688.6609412035318</v>
      </c>
      <c r="H5" s="7">
        <v>118202.3427829838</v>
      </c>
      <c r="I5" s="15">
        <v>41.98910857379704</v>
      </c>
      <c r="J5" s="15">
        <v>0</v>
      </c>
      <c r="K5" s="6" t="s">
        <v>137</v>
      </c>
      <c r="L5" s="6" t="s">
        <v>137</v>
      </c>
      <c r="M5" s="15">
        <v>24.7</v>
      </c>
      <c r="N5" s="6" t="s">
        <v>140</v>
      </c>
    </row>
    <row r="6" spans="1:14">
      <c r="A6" s="6" t="s">
        <v>141</v>
      </c>
      <c r="B6" s="6" t="s">
        <v>19</v>
      </c>
      <c r="C6" s="7">
        <v>14987769546.03242</v>
      </c>
      <c r="D6" s="7">
        <v>9080769546.032415</v>
      </c>
      <c r="E6" s="7">
        <v>119423.6145</v>
      </c>
      <c r="F6" s="7">
        <v>50825.1128117129</v>
      </c>
      <c r="G6" s="7">
        <v>863.5806461057531</v>
      </c>
      <c r="H6" s="7">
        <v>125500.8869793705</v>
      </c>
      <c r="I6" s="15">
        <v>51.91916589651959</v>
      </c>
      <c r="J6" s="15">
        <v>78.58199292559902</v>
      </c>
      <c r="K6" s="6" t="s">
        <v>101</v>
      </c>
      <c r="L6" s="6" t="s">
        <v>137</v>
      </c>
      <c r="M6" s="15">
        <v>24.7</v>
      </c>
      <c r="N6" s="6" t="s">
        <v>142</v>
      </c>
    </row>
    <row r="7" spans="1:14">
      <c r="A7" s="6" t="s">
        <v>143</v>
      </c>
      <c r="B7" s="6" t="s">
        <v>20</v>
      </c>
      <c r="C7" s="7">
        <v>12875797107.71539</v>
      </c>
      <c r="D7" s="7">
        <v>6968797107.715385</v>
      </c>
      <c r="E7" s="7">
        <v>119423.6145</v>
      </c>
      <c r="F7" s="7">
        <v>20658.486794336</v>
      </c>
      <c r="G7" s="7">
        <v>374.9465088606305</v>
      </c>
      <c r="H7" s="7">
        <v>107816.1732218831</v>
      </c>
      <c r="I7" s="15">
        <v>42.64274515536468</v>
      </c>
      <c r="J7" s="15">
        <v>0</v>
      </c>
      <c r="K7" s="6" t="s">
        <v>137</v>
      </c>
      <c r="L7" s="6" t="s">
        <v>137</v>
      </c>
      <c r="M7" s="15">
        <v>24.7</v>
      </c>
      <c r="N7" s="6" t="s">
        <v>140</v>
      </c>
    </row>
    <row r="8" spans="1:14">
      <c r="A8" s="6" t="s">
        <v>144</v>
      </c>
      <c r="B8" s="6" t="s">
        <v>21</v>
      </c>
      <c r="C8" s="7">
        <v>13435873119.73884</v>
      </c>
      <c r="D8" s="7">
        <v>7528873119.738836</v>
      </c>
      <c r="E8" s="7">
        <v>119423.6145</v>
      </c>
      <c r="F8" s="7">
        <v>20802.30396100267</v>
      </c>
      <c r="G8" s="7">
        <v>380.552113653524</v>
      </c>
      <c r="H8" s="7">
        <v>112505.9995545423</v>
      </c>
      <c r="I8" s="15">
        <v>42.11530108478051</v>
      </c>
      <c r="J8" s="15">
        <v>0</v>
      </c>
      <c r="K8" s="6" t="s">
        <v>137</v>
      </c>
      <c r="L8" s="6" t="s">
        <v>145</v>
      </c>
      <c r="M8" s="15">
        <v>24.7</v>
      </c>
      <c r="N8" s="6" t="s">
        <v>140</v>
      </c>
    </row>
    <row r="9" spans="1:14">
      <c r="A9" s="6" t="s">
        <v>146</v>
      </c>
      <c r="B9" s="6" t="s">
        <v>22</v>
      </c>
      <c r="C9" s="7">
        <v>12875797107.71539</v>
      </c>
      <c r="D9" s="7">
        <v>6968797107.715385</v>
      </c>
      <c r="E9" s="7">
        <v>119423.6145</v>
      </c>
      <c r="F9" s="7">
        <v>20658.486794336</v>
      </c>
      <c r="G9" s="7">
        <v>374.9465088606304</v>
      </c>
      <c r="H9" s="7">
        <v>107816.1732218831</v>
      </c>
      <c r="I9" s="15">
        <v>42.64274515536469</v>
      </c>
      <c r="J9" s="15">
        <v>0</v>
      </c>
      <c r="K9" s="6" t="s">
        <v>137</v>
      </c>
      <c r="L9" s="6" t="s">
        <v>147</v>
      </c>
      <c r="M9" s="15">
        <v>24.7</v>
      </c>
      <c r="N9" s="6" t="s">
        <v>140</v>
      </c>
    </row>
    <row r="10" spans="1:14">
      <c r="A10" s="6" t="s">
        <v>148</v>
      </c>
      <c r="B10" s="6" t="s">
        <v>23</v>
      </c>
      <c r="C10" s="7">
        <v>11755867989.12782</v>
      </c>
      <c r="D10" s="7">
        <v>5848867989.127823</v>
      </c>
      <c r="E10" s="7">
        <v>119423.6145</v>
      </c>
      <c r="F10" s="7">
        <v>13004.81558333333</v>
      </c>
      <c r="G10" s="7">
        <v>220.3417511898957</v>
      </c>
      <c r="H10" s="7">
        <v>98438.38706730671</v>
      </c>
      <c r="I10" s="15">
        <v>40.26728168122526</v>
      </c>
      <c r="J10" s="15">
        <v>0</v>
      </c>
      <c r="K10" s="6" t="s">
        <v>137</v>
      </c>
      <c r="L10" s="6" t="s">
        <v>147</v>
      </c>
      <c r="M10" s="15">
        <v>24.7</v>
      </c>
      <c r="N10" s="6" t="s">
        <v>140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3"/>
  <sheetViews>
    <sheetView workbookViewId="0">
      <pane ySplit="3" topLeftCell="A4" activePane="bottomLeft" state="frozen"/>
      <selection pane="bottomLeft"/>
    </sheetView>
  </sheetViews>
  <sheetFormatPr defaultRowHeight="15"/>
  <cols>
    <col min="1" max="4" width="12.7109375" customWidth="1"/>
    <col min="5" max="5" width="17.7109375" customWidth="1"/>
    <col min="6" max="6" width="20.7109375" customWidth="1"/>
    <col min="7" max="7" width="23.7109375" customWidth="1"/>
    <col min="8" max="8" width="12.7109375" customWidth="1"/>
    <col min="9" max="9" width="18.7109375" customWidth="1"/>
  </cols>
  <sheetData>
    <row r="1" spans="1:15">
      <c r="A1" s="1" t="s">
        <v>149</v>
      </c>
    </row>
    <row r="3" spans="1:15">
      <c r="A3" t="s">
        <v>150</v>
      </c>
      <c r="B3" t="s">
        <v>151</v>
      </c>
      <c r="C3" t="s">
        <v>152</v>
      </c>
      <c r="D3" t="s">
        <v>153</v>
      </c>
      <c r="E3" t="s">
        <v>154</v>
      </c>
      <c r="F3" t="s">
        <v>155</v>
      </c>
      <c r="G3" t="s">
        <v>156</v>
      </c>
      <c r="H3" t="s">
        <v>157</v>
      </c>
      <c r="I3" t="s">
        <v>158</v>
      </c>
      <c r="L3" s="5" t="s">
        <v>134</v>
      </c>
      <c r="M3" s="5" t="s">
        <v>143</v>
      </c>
      <c r="N3" s="5" t="s">
        <v>144</v>
      </c>
      <c r="O3" s="5" t="s">
        <v>146</v>
      </c>
    </row>
    <row r="4" spans="1:15">
      <c r="A4" s="6" t="s">
        <v>159</v>
      </c>
      <c r="B4" s="15">
        <v>10</v>
      </c>
      <c r="C4" s="6" t="s">
        <v>143</v>
      </c>
      <c r="D4" s="6" t="s">
        <v>20</v>
      </c>
      <c r="E4" s="7">
        <v>12572139925.60163</v>
      </c>
      <c r="F4" s="7">
        <v>6665139925.601629</v>
      </c>
      <c r="G4" s="7">
        <v>0</v>
      </c>
      <c r="H4" s="15">
        <v>0</v>
      </c>
      <c r="I4" s="6" t="s">
        <v>137</v>
      </c>
      <c r="L4" s="15">
        <v>10</v>
      </c>
      <c r="M4" s="7">
        <v>12572139925.60163</v>
      </c>
      <c r="N4" s="7">
        <v>13141346932.7369</v>
      </c>
      <c r="O4" s="7">
        <v>12572139925.60163</v>
      </c>
    </row>
    <row r="5" spans="1:15">
      <c r="A5" s="6" t="s">
        <v>159</v>
      </c>
      <c r="B5" s="15">
        <v>10</v>
      </c>
      <c r="C5" s="6" t="s">
        <v>144</v>
      </c>
      <c r="D5" s="6" t="s">
        <v>21</v>
      </c>
      <c r="E5" s="7">
        <v>13141346932.7369</v>
      </c>
      <c r="F5" s="7">
        <v>7234346932.736902</v>
      </c>
      <c r="G5" s="7">
        <v>542000000</v>
      </c>
      <c r="H5" s="15">
        <v>0</v>
      </c>
      <c r="I5" s="6" t="s">
        <v>137</v>
      </c>
      <c r="L5" s="15">
        <v>15</v>
      </c>
      <c r="M5" s="7">
        <v>12646677814.99671</v>
      </c>
      <c r="N5" s="7">
        <v>13189444061.27228</v>
      </c>
      <c r="O5" s="7">
        <v>12646677814.99671</v>
      </c>
    </row>
    <row r="6" spans="1:15">
      <c r="A6" s="6" t="s">
        <v>159</v>
      </c>
      <c r="B6" s="15">
        <v>10</v>
      </c>
      <c r="C6" s="6" t="s">
        <v>146</v>
      </c>
      <c r="D6" s="6" t="s">
        <v>22</v>
      </c>
      <c r="E6" s="7">
        <v>12572139925.60163</v>
      </c>
      <c r="F6" s="7">
        <v>6665139925.601629</v>
      </c>
      <c r="G6" s="7">
        <v>0</v>
      </c>
      <c r="H6" s="15">
        <v>0</v>
      </c>
      <c r="I6" s="6" t="s">
        <v>137</v>
      </c>
      <c r="L6" s="15">
        <v>20</v>
      </c>
      <c r="M6" s="7">
        <v>12760432763.46354</v>
      </c>
      <c r="N6" s="7">
        <v>13302564096.93641</v>
      </c>
      <c r="O6" s="7">
        <v>12760432763.46354</v>
      </c>
    </row>
    <row r="7" spans="1:15">
      <c r="A7" s="6" t="s">
        <v>159</v>
      </c>
      <c r="B7" s="15">
        <v>15</v>
      </c>
      <c r="C7" s="6" t="s">
        <v>143</v>
      </c>
      <c r="D7" s="6" t="s">
        <v>20</v>
      </c>
      <c r="E7" s="7">
        <v>12646677814.99671</v>
      </c>
      <c r="F7" s="7">
        <v>6739677814.99671</v>
      </c>
      <c r="G7" s="7">
        <v>0</v>
      </c>
      <c r="H7" s="15">
        <v>0</v>
      </c>
      <c r="I7" s="6" t="s">
        <v>137</v>
      </c>
      <c r="L7" s="15">
        <v>25</v>
      </c>
      <c r="M7" s="7">
        <v>12892014633.77786</v>
      </c>
      <c r="N7" s="7">
        <v>13451571116.20386</v>
      </c>
      <c r="O7" s="7">
        <v>12892014633.77786</v>
      </c>
    </row>
    <row r="8" spans="1:15">
      <c r="A8" s="6" t="s">
        <v>159</v>
      </c>
      <c r="B8" s="15">
        <v>15</v>
      </c>
      <c r="C8" s="6" t="s">
        <v>144</v>
      </c>
      <c r="D8" s="6" t="s">
        <v>21</v>
      </c>
      <c r="E8" s="7">
        <v>13189444061.27228</v>
      </c>
      <c r="F8" s="7">
        <v>7282444061.272278</v>
      </c>
      <c r="G8" s="7">
        <v>542000000</v>
      </c>
      <c r="H8" s="15">
        <v>0</v>
      </c>
      <c r="I8" s="6" t="s">
        <v>137</v>
      </c>
      <c r="L8" s="15">
        <v>30</v>
      </c>
      <c r="M8" s="7">
        <v>13137574502.05045</v>
      </c>
      <c r="N8" s="7">
        <v>13690097254.42094</v>
      </c>
      <c r="O8" s="7">
        <v>13137574502.05045</v>
      </c>
    </row>
    <row r="9" spans="1:15">
      <c r="A9" s="6" t="s">
        <v>159</v>
      </c>
      <c r="B9" s="15">
        <v>15</v>
      </c>
      <c r="C9" s="6" t="s">
        <v>146</v>
      </c>
      <c r="D9" s="6" t="s">
        <v>22</v>
      </c>
      <c r="E9" s="7">
        <v>12646677814.99671</v>
      </c>
      <c r="F9" s="7">
        <v>6739677814.99671</v>
      </c>
      <c r="G9" s="7">
        <v>0</v>
      </c>
      <c r="H9" s="15">
        <v>0</v>
      </c>
      <c r="I9" s="6" t="s">
        <v>137</v>
      </c>
      <c r="L9" s="15">
        <v>35</v>
      </c>
      <c r="M9" s="7">
        <v>13408521134.70495</v>
      </c>
      <c r="N9" s="7">
        <v>13903104490.29962</v>
      </c>
      <c r="O9" s="7">
        <v>13408521134.70495</v>
      </c>
    </row>
    <row r="10" spans="1:15">
      <c r="A10" s="6" t="s">
        <v>159</v>
      </c>
      <c r="B10" s="15">
        <v>20</v>
      </c>
      <c r="C10" s="6" t="s">
        <v>143</v>
      </c>
      <c r="D10" s="6" t="s">
        <v>20</v>
      </c>
      <c r="E10" s="7">
        <v>12760432763.46354</v>
      </c>
      <c r="F10" s="7">
        <v>6853432763.463545</v>
      </c>
      <c r="G10" s="7">
        <v>0</v>
      </c>
      <c r="H10" s="15">
        <v>0</v>
      </c>
      <c r="I10" s="6" t="s">
        <v>137</v>
      </c>
    </row>
    <row r="11" spans="1:15">
      <c r="A11" s="6" t="s">
        <v>159</v>
      </c>
      <c r="B11" s="15">
        <v>20</v>
      </c>
      <c r="C11" s="6" t="s">
        <v>144</v>
      </c>
      <c r="D11" s="6" t="s">
        <v>21</v>
      </c>
      <c r="E11" s="7">
        <v>13302564096.93641</v>
      </c>
      <c r="F11" s="7">
        <v>7395564096.936407</v>
      </c>
      <c r="G11" s="7">
        <v>542000000</v>
      </c>
      <c r="H11" s="15">
        <v>0</v>
      </c>
      <c r="I11" s="6" t="s">
        <v>137</v>
      </c>
    </row>
    <row r="12" spans="1:15">
      <c r="A12" s="6" t="s">
        <v>159</v>
      </c>
      <c r="B12" s="15">
        <v>20</v>
      </c>
      <c r="C12" s="6" t="s">
        <v>146</v>
      </c>
      <c r="D12" s="6" t="s">
        <v>22</v>
      </c>
      <c r="E12" s="7">
        <v>12760432763.46354</v>
      </c>
      <c r="F12" s="7">
        <v>6853432763.463545</v>
      </c>
      <c r="G12" s="7">
        <v>0</v>
      </c>
      <c r="H12" s="15">
        <v>0</v>
      </c>
      <c r="I12" s="6" t="s">
        <v>137</v>
      </c>
    </row>
    <row r="13" spans="1:15">
      <c r="A13" s="6" t="s">
        <v>159</v>
      </c>
      <c r="B13" s="15">
        <v>25</v>
      </c>
      <c r="C13" s="6" t="s">
        <v>143</v>
      </c>
      <c r="D13" s="6" t="s">
        <v>20</v>
      </c>
      <c r="E13" s="7">
        <v>12892014633.77786</v>
      </c>
      <c r="F13" s="7">
        <v>6985014633.777859</v>
      </c>
      <c r="G13" s="7">
        <v>0</v>
      </c>
      <c r="H13" s="15">
        <v>0</v>
      </c>
      <c r="I13" s="6" t="s">
        <v>137</v>
      </c>
    </row>
    <row r="14" spans="1:15">
      <c r="A14" s="6" t="s">
        <v>159</v>
      </c>
      <c r="B14" s="15">
        <v>25</v>
      </c>
      <c r="C14" s="6" t="s">
        <v>144</v>
      </c>
      <c r="D14" s="6" t="s">
        <v>21</v>
      </c>
      <c r="E14" s="7">
        <v>13451571116.20386</v>
      </c>
      <c r="F14" s="7">
        <v>7544571116.203863</v>
      </c>
      <c r="G14" s="7">
        <v>542000000</v>
      </c>
      <c r="H14" s="15">
        <v>0</v>
      </c>
      <c r="I14" s="6" t="s">
        <v>137</v>
      </c>
    </row>
    <row r="15" spans="1:15">
      <c r="A15" s="6" t="s">
        <v>159</v>
      </c>
      <c r="B15" s="15">
        <v>25</v>
      </c>
      <c r="C15" s="6" t="s">
        <v>146</v>
      </c>
      <c r="D15" s="6" t="s">
        <v>22</v>
      </c>
      <c r="E15" s="7">
        <v>12892014633.77786</v>
      </c>
      <c r="F15" s="7">
        <v>6985014633.777861</v>
      </c>
      <c r="G15" s="7">
        <v>0</v>
      </c>
      <c r="H15" s="15">
        <v>0</v>
      </c>
      <c r="I15" s="6" t="s">
        <v>137</v>
      </c>
    </row>
    <row r="16" spans="1:15">
      <c r="A16" s="6" t="s">
        <v>159</v>
      </c>
      <c r="B16" s="15">
        <v>30</v>
      </c>
      <c r="C16" s="6" t="s">
        <v>143</v>
      </c>
      <c r="D16" s="6" t="s">
        <v>20</v>
      </c>
      <c r="E16" s="7">
        <v>13137574502.05045</v>
      </c>
      <c r="F16" s="7">
        <v>7230574502.050447</v>
      </c>
      <c r="G16" s="7">
        <v>0</v>
      </c>
      <c r="H16" s="15">
        <v>0</v>
      </c>
      <c r="I16" s="6" t="s">
        <v>137</v>
      </c>
    </row>
    <row r="17" spans="1:9">
      <c r="A17" s="6" t="s">
        <v>159</v>
      </c>
      <c r="B17" s="15">
        <v>30</v>
      </c>
      <c r="C17" s="6" t="s">
        <v>144</v>
      </c>
      <c r="D17" s="6" t="s">
        <v>21</v>
      </c>
      <c r="E17" s="7">
        <v>13690097254.42094</v>
      </c>
      <c r="F17" s="7">
        <v>7783097254.420938</v>
      </c>
      <c r="G17" s="7">
        <v>542000000</v>
      </c>
      <c r="H17" s="15">
        <v>0</v>
      </c>
      <c r="I17" s="6" t="s">
        <v>137</v>
      </c>
    </row>
    <row r="18" spans="1:9">
      <c r="A18" s="6" t="s">
        <v>159</v>
      </c>
      <c r="B18" s="15">
        <v>30</v>
      </c>
      <c r="C18" s="6" t="s">
        <v>146</v>
      </c>
      <c r="D18" s="6" t="s">
        <v>22</v>
      </c>
      <c r="E18" s="7">
        <v>13137574502.05045</v>
      </c>
      <c r="F18" s="7">
        <v>7230574502.050447</v>
      </c>
      <c r="G18" s="7">
        <v>0</v>
      </c>
      <c r="H18" s="15">
        <v>0</v>
      </c>
      <c r="I18" s="6" t="s">
        <v>137</v>
      </c>
    </row>
    <row r="19" spans="1:9">
      <c r="A19" s="6" t="s">
        <v>159</v>
      </c>
      <c r="B19" s="15">
        <v>35</v>
      </c>
      <c r="C19" s="6" t="s">
        <v>143</v>
      </c>
      <c r="D19" s="6" t="s">
        <v>20</v>
      </c>
      <c r="E19" s="7">
        <v>13408521134.70495</v>
      </c>
      <c r="F19" s="7">
        <v>7501521134.704952</v>
      </c>
      <c r="G19" s="7">
        <v>0</v>
      </c>
      <c r="H19" s="15">
        <v>0</v>
      </c>
      <c r="I19" s="6" t="s">
        <v>137</v>
      </c>
    </row>
    <row r="20" spans="1:9">
      <c r="A20" s="6" t="s">
        <v>159</v>
      </c>
      <c r="B20" s="15">
        <v>35</v>
      </c>
      <c r="C20" s="6" t="s">
        <v>144</v>
      </c>
      <c r="D20" s="6" t="s">
        <v>21</v>
      </c>
      <c r="E20" s="7">
        <v>13903104490.29962</v>
      </c>
      <c r="F20" s="7">
        <v>7996104490.29962</v>
      </c>
      <c r="G20" s="7">
        <v>542000000</v>
      </c>
      <c r="H20" s="15">
        <v>0</v>
      </c>
      <c r="I20" s="6" t="s">
        <v>137</v>
      </c>
    </row>
    <row r="21" spans="1:9">
      <c r="A21" s="6" t="s">
        <v>159</v>
      </c>
      <c r="B21" s="15">
        <v>35</v>
      </c>
      <c r="C21" s="6" t="s">
        <v>146</v>
      </c>
      <c r="D21" s="6" t="s">
        <v>22</v>
      </c>
      <c r="E21" s="7">
        <v>13408521134.70495</v>
      </c>
      <c r="F21" s="7">
        <v>7501521134.704952</v>
      </c>
      <c r="G21" s="7">
        <v>0</v>
      </c>
      <c r="H21" s="15">
        <v>0</v>
      </c>
      <c r="I21" s="6" t="s">
        <v>137</v>
      </c>
    </row>
    <row r="22" spans="1:9">
      <c r="A22" s="6" t="s">
        <v>160</v>
      </c>
      <c r="B22" s="15">
        <v>0.9</v>
      </c>
      <c r="C22" s="6" t="s">
        <v>143</v>
      </c>
      <c r="D22" s="6" t="s">
        <v>20</v>
      </c>
      <c r="E22" s="7">
        <v>12249450064.01156</v>
      </c>
      <c r="F22" s="7">
        <v>6342450064.011557</v>
      </c>
      <c r="G22" s="7">
        <v>0</v>
      </c>
      <c r="H22" s="15">
        <v>0</v>
      </c>
      <c r="I22" s="6" t="s">
        <v>137</v>
      </c>
    </row>
    <row r="23" spans="1:9">
      <c r="A23" s="6" t="s">
        <v>160</v>
      </c>
      <c r="B23" s="15">
        <v>0.9</v>
      </c>
      <c r="C23" s="6" t="s">
        <v>144</v>
      </c>
      <c r="D23" s="6" t="s">
        <v>21</v>
      </c>
      <c r="E23" s="7">
        <v>12807718870.98561</v>
      </c>
      <c r="F23" s="7">
        <v>6900718870.985611</v>
      </c>
      <c r="G23" s="7">
        <v>542000000</v>
      </c>
      <c r="H23" s="15">
        <v>0</v>
      </c>
      <c r="I23" s="6" t="s">
        <v>137</v>
      </c>
    </row>
    <row r="24" spans="1:9">
      <c r="A24" s="6" t="s">
        <v>160</v>
      </c>
      <c r="B24" s="15">
        <v>0.9</v>
      </c>
      <c r="C24" s="6" t="s">
        <v>146</v>
      </c>
      <c r="D24" s="6" t="s">
        <v>22</v>
      </c>
      <c r="E24" s="7">
        <v>12249450064.01156</v>
      </c>
      <c r="F24" s="7">
        <v>6342450064.011557</v>
      </c>
      <c r="G24" s="7">
        <v>0</v>
      </c>
      <c r="H24" s="15">
        <v>0</v>
      </c>
      <c r="I24" s="6" t="s">
        <v>137</v>
      </c>
    </row>
    <row r="25" spans="1:9">
      <c r="A25" s="6" t="s">
        <v>160</v>
      </c>
      <c r="B25" s="15">
        <v>1</v>
      </c>
      <c r="C25" s="6" t="s">
        <v>143</v>
      </c>
      <c r="D25" s="6" t="s">
        <v>20</v>
      </c>
      <c r="E25" s="7">
        <v>12875797107.71539</v>
      </c>
      <c r="F25" s="7">
        <v>6968797107.715385</v>
      </c>
      <c r="G25" s="7">
        <v>0</v>
      </c>
      <c r="H25" s="15">
        <v>0</v>
      </c>
      <c r="I25" s="6" t="s">
        <v>137</v>
      </c>
    </row>
    <row r="26" spans="1:9">
      <c r="A26" s="6" t="s">
        <v>160</v>
      </c>
      <c r="B26" s="15">
        <v>1</v>
      </c>
      <c r="C26" s="6" t="s">
        <v>144</v>
      </c>
      <c r="D26" s="6" t="s">
        <v>21</v>
      </c>
      <c r="E26" s="7">
        <v>13435873119.73884</v>
      </c>
      <c r="F26" s="7">
        <v>7528873119.738836</v>
      </c>
      <c r="G26" s="7">
        <v>542000000</v>
      </c>
      <c r="H26" s="15">
        <v>0</v>
      </c>
      <c r="I26" s="6" t="s">
        <v>137</v>
      </c>
    </row>
    <row r="27" spans="1:9">
      <c r="A27" s="6" t="s">
        <v>160</v>
      </c>
      <c r="B27" s="15">
        <v>1</v>
      </c>
      <c r="C27" s="6" t="s">
        <v>146</v>
      </c>
      <c r="D27" s="6" t="s">
        <v>22</v>
      </c>
      <c r="E27" s="7">
        <v>12875797107.71539</v>
      </c>
      <c r="F27" s="7">
        <v>6968797107.715385</v>
      </c>
      <c r="G27" s="7">
        <v>0</v>
      </c>
      <c r="H27" s="15">
        <v>0</v>
      </c>
      <c r="I27" s="6" t="s">
        <v>137</v>
      </c>
    </row>
    <row r="28" spans="1:9">
      <c r="A28" s="6" t="s">
        <v>160</v>
      </c>
      <c r="B28" s="15">
        <v>1.1</v>
      </c>
      <c r="C28" s="6" t="s">
        <v>143</v>
      </c>
      <c r="D28" s="6" t="s">
        <v>20</v>
      </c>
      <c r="E28" s="7">
        <v>13501943011.21545</v>
      </c>
      <c r="F28" s="7">
        <v>7594943011.215446</v>
      </c>
      <c r="G28" s="7">
        <v>0</v>
      </c>
      <c r="H28" s="15">
        <v>0</v>
      </c>
      <c r="I28" s="6" t="s">
        <v>137</v>
      </c>
    </row>
    <row r="29" spans="1:9">
      <c r="A29" s="6" t="s">
        <v>160</v>
      </c>
      <c r="B29" s="15">
        <v>1.1</v>
      </c>
      <c r="C29" s="6" t="s">
        <v>144</v>
      </c>
      <c r="D29" s="6" t="s">
        <v>21</v>
      </c>
      <c r="E29" s="7">
        <v>14061928876.99252</v>
      </c>
      <c r="F29" s="7">
        <v>8154928876.992517</v>
      </c>
      <c r="G29" s="7">
        <v>542000000</v>
      </c>
      <c r="H29" s="15">
        <v>0</v>
      </c>
      <c r="I29" s="6" t="s">
        <v>137</v>
      </c>
    </row>
    <row r="30" spans="1:9">
      <c r="A30" s="6" t="s">
        <v>160</v>
      </c>
      <c r="B30" s="15">
        <v>1.1</v>
      </c>
      <c r="C30" s="6" t="s">
        <v>146</v>
      </c>
      <c r="D30" s="6" t="s">
        <v>22</v>
      </c>
      <c r="E30" s="7">
        <v>13501943011.21545</v>
      </c>
      <c r="F30" s="7">
        <v>7594943011.215446</v>
      </c>
      <c r="G30" s="7">
        <v>0</v>
      </c>
      <c r="H30" s="15">
        <v>0</v>
      </c>
      <c r="I30" s="6" t="s">
        <v>137</v>
      </c>
    </row>
    <row r="31" spans="1:9">
      <c r="A31" s="6" t="s">
        <v>160</v>
      </c>
      <c r="B31" s="15">
        <v>1.2</v>
      </c>
      <c r="C31" s="6" t="s">
        <v>143</v>
      </c>
      <c r="D31" s="6" t="s">
        <v>20</v>
      </c>
      <c r="E31" s="7">
        <v>14127926120.31134</v>
      </c>
      <c r="F31" s="7">
        <v>8220926120.311337</v>
      </c>
      <c r="G31" s="7">
        <v>0</v>
      </c>
      <c r="H31" s="15">
        <v>0</v>
      </c>
      <c r="I31" s="6" t="s">
        <v>137</v>
      </c>
    </row>
    <row r="32" spans="1:9">
      <c r="A32" s="6" t="s">
        <v>160</v>
      </c>
      <c r="B32" s="15">
        <v>1.2</v>
      </c>
      <c r="C32" s="6" t="s">
        <v>144</v>
      </c>
      <c r="D32" s="6" t="s">
        <v>21</v>
      </c>
      <c r="E32" s="7">
        <v>14686454902.64593</v>
      </c>
      <c r="F32" s="7">
        <v>8779454902.645933</v>
      </c>
      <c r="G32" s="7">
        <v>542000000</v>
      </c>
      <c r="H32" s="15">
        <v>0</v>
      </c>
      <c r="I32" s="6" t="s">
        <v>137</v>
      </c>
    </row>
    <row r="33" spans="1:9">
      <c r="A33" s="6" t="s">
        <v>160</v>
      </c>
      <c r="B33" s="15">
        <v>1.2</v>
      </c>
      <c r="C33" s="6" t="s">
        <v>146</v>
      </c>
      <c r="D33" s="6" t="s">
        <v>22</v>
      </c>
      <c r="E33" s="7">
        <v>14127926120.31134</v>
      </c>
      <c r="F33" s="7">
        <v>8220926120.311337</v>
      </c>
      <c r="G33" s="7">
        <v>0</v>
      </c>
      <c r="H33" s="15">
        <v>0</v>
      </c>
      <c r="I33" s="6" t="s">
        <v>137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M201"/>
  <sheetViews>
    <sheetView workbookViewId="0">
      <pane ySplit="3" topLeftCell="A4" activePane="bottomLeft" state="frozen"/>
      <selection pane="bottomLeft"/>
    </sheetView>
  </sheetViews>
  <sheetFormatPr defaultRowHeight="15"/>
  <cols>
    <col min="1" max="4" width="12.7109375" customWidth="1"/>
    <col min="5" max="5" width="20.7109375" customWidth="1"/>
    <col min="6" max="6" width="24.7109375" customWidth="1"/>
    <col min="7" max="7" width="12.7109375" customWidth="1"/>
    <col min="8" max="8" width="18.7109375" customWidth="1"/>
    <col min="9" max="11" width="15.7109375" customWidth="1"/>
    <col min="12" max="13" width="12.7109375" customWidth="1"/>
  </cols>
  <sheetData>
    <row r="1" spans="1:13">
      <c r="A1" s="1" t="s">
        <v>161</v>
      </c>
    </row>
    <row r="3" spans="1:13">
      <c r="A3" t="s">
        <v>124</v>
      </c>
      <c r="B3" t="s">
        <v>162</v>
      </c>
      <c r="C3" t="s">
        <v>163</v>
      </c>
      <c r="D3" t="s">
        <v>164</v>
      </c>
      <c r="E3" t="s">
        <v>165</v>
      </c>
      <c r="F3" t="s">
        <v>166</v>
      </c>
      <c r="G3" t="s">
        <v>167</v>
      </c>
      <c r="H3" t="s">
        <v>168</v>
      </c>
      <c r="I3" t="s">
        <v>169</v>
      </c>
      <c r="J3" t="s">
        <v>170</v>
      </c>
      <c r="K3" t="s">
        <v>171</v>
      </c>
      <c r="L3" t="s">
        <v>172</v>
      </c>
      <c r="M3" t="s">
        <v>173</v>
      </c>
    </row>
    <row r="4" spans="1:13">
      <c r="A4" s="6" t="s">
        <v>136</v>
      </c>
      <c r="B4" s="6" t="s">
        <v>44</v>
      </c>
      <c r="C4" s="6" t="s">
        <v>86</v>
      </c>
      <c r="D4" s="6">
        <v>5259.543166666666</v>
      </c>
      <c r="E4" s="7">
        <v>43930517.84166667</v>
      </c>
      <c r="F4" s="7">
        <v>143524043.3275281</v>
      </c>
      <c r="G4" s="6" t="s">
        <v>174</v>
      </c>
      <c r="H4" s="6">
        <v>0.7656266185856003</v>
      </c>
      <c r="I4" s="7">
        <v>187454561.1691947</v>
      </c>
      <c r="J4" s="6">
        <v>35640.84469488203</v>
      </c>
      <c r="K4" s="6" t="s">
        <v>175</v>
      </c>
      <c r="L4" s="15">
        <v>74.92226733143399</v>
      </c>
      <c r="M4" s="15">
        <v>33</v>
      </c>
    </row>
    <row r="5" spans="1:13">
      <c r="A5" s="6" t="s">
        <v>136</v>
      </c>
      <c r="B5" s="6" t="s">
        <v>44</v>
      </c>
      <c r="C5" s="6" t="s">
        <v>88</v>
      </c>
      <c r="D5" s="6">
        <v>0.8969999999999999</v>
      </c>
      <c r="E5" s="7">
        <v>0</v>
      </c>
      <c r="F5" s="7">
        <v>42330.87281511391</v>
      </c>
      <c r="G5" s="6" t="s">
        <v>174</v>
      </c>
      <c r="H5" s="6">
        <v>1</v>
      </c>
      <c r="I5" s="7">
        <v>42330.87281511391</v>
      </c>
      <c r="J5" s="6">
        <v>47191.60848953614</v>
      </c>
      <c r="K5" s="6" t="s">
        <v>175</v>
      </c>
      <c r="L5" s="15">
        <v>0.0266900737919543</v>
      </c>
      <c r="M5" s="15">
        <v>46.26666666666667</v>
      </c>
    </row>
    <row r="6" spans="1:13">
      <c r="A6" s="6" t="s">
        <v>136</v>
      </c>
      <c r="B6" s="6" t="s">
        <v>44</v>
      </c>
      <c r="C6" s="6" t="s">
        <v>90</v>
      </c>
      <c r="D6" s="6">
        <v>1092.582666666667</v>
      </c>
      <c r="E6" s="7">
        <v>20943283.29166667</v>
      </c>
      <c r="F6" s="7">
        <v>24066973.3198507</v>
      </c>
      <c r="G6" s="6" t="s">
        <v>174</v>
      </c>
      <c r="H6" s="6">
        <v>0.535153251561743</v>
      </c>
      <c r="I6" s="7">
        <v>45010256.61151737</v>
      </c>
      <c r="J6" s="6">
        <v>41196.20234214226</v>
      </c>
      <c r="K6" s="6" t="s">
        <v>175</v>
      </c>
      <c r="L6" s="15">
        <v>21.1535850274282</v>
      </c>
      <c r="M6" s="15">
        <v>42</v>
      </c>
    </row>
    <row r="7" spans="1:13">
      <c r="A7" s="6" t="s">
        <v>136</v>
      </c>
      <c r="B7" s="6" t="s">
        <v>44</v>
      </c>
      <c r="C7" s="6" t="s">
        <v>92</v>
      </c>
      <c r="D7" s="6">
        <v>1491.39925</v>
      </c>
      <c r="E7" s="7">
        <v>27147119.1</v>
      </c>
      <c r="F7" s="7">
        <v>39314506.97597354</v>
      </c>
      <c r="G7" s="6" t="s">
        <v>174</v>
      </c>
      <c r="H7" s="6">
        <v>0.5915369408962756</v>
      </c>
      <c r="I7" s="7">
        <v>66461626.07597354</v>
      </c>
      <c r="J7" s="6">
        <v>44563.26907498011</v>
      </c>
      <c r="K7" s="6" t="s">
        <v>175</v>
      </c>
      <c r="L7" s="15">
        <v>27.0354893092478</v>
      </c>
      <c r="M7" s="15">
        <v>43.95833333333333</v>
      </c>
    </row>
    <row r="8" spans="1:13">
      <c r="A8" s="6" t="s">
        <v>136</v>
      </c>
      <c r="B8" s="6" t="s">
        <v>44</v>
      </c>
      <c r="C8" s="6" t="s">
        <v>94</v>
      </c>
      <c r="D8" s="6">
        <v>779.6290833333333</v>
      </c>
      <c r="E8" s="7">
        <v>69979533.69166666</v>
      </c>
      <c r="F8" s="7">
        <v>9584340.532026468</v>
      </c>
      <c r="G8" s="6" t="s">
        <v>174</v>
      </c>
      <c r="H8" s="6">
        <v>0.1202179583475005</v>
      </c>
      <c r="I8" s="7">
        <v>79563874.22369313</v>
      </c>
      <c r="J8" s="6">
        <v>102053.4968802277</v>
      </c>
      <c r="K8" s="6" t="s">
        <v>175</v>
      </c>
      <c r="L8" s="15">
        <v>11.97200723780859</v>
      </c>
      <c r="M8" s="15">
        <v>72</v>
      </c>
    </row>
    <row r="9" spans="1:13">
      <c r="A9" s="6" t="s">
        <v>136</v>
      </c>
      <c r="B9" s="6" t="s">
        <v>44</v>
      </c>
      <c r="C9" s="6" t="s">
        <v>97</v>
      </c>
      <c r="D9" s="6">
        <v>24.613</v>
      </c>
      <c r="E9" s="7">
        <v>1080462.591666667</v>
      </c>
      <c r="F9" s="7">
        <v>17061.48206255454</v>
      </c>
      <c r="G9" s="6" t="s">
        <v>174</v>
      </c>
      <c r="H9" s="6">
        <v>0.01685762266552905</v>
      </c>
      <c r="I9" s="7">
        <v>1097524.073729221</v>
      </c>
      <c r="J9" s="6">
        <v>44591.2352711665</v>
      </c>
      <c r="K9" s="6" t="s">
        <v>175</v>
      </c>
      <c r="L9" s="15">
        <v>1.674923443348078</v>
      </c>
      <c r="M9" s="15">
        <v>29</v>
      </c>
    </row>
    <row r="10" spans="1:13">
      <c r="A10" s="6" t="s">
        <v>136</v>
      </c>
      <c r="B10" s="6" t="s">
        <v>44</v>
      </c>
      <c r="C10" s="6" t="s">
        <v>99</v>
      </c>
      <c r="D10" s="6">
        <v>443.0348333333333</v>
      </c>
      <c r="E10" s="7">
        <v>13723091.98333333</v>
      </c>
      <c r="F10" s="7">
        <v>107855.2154793654</v>
      </c>
      <c r="G10" s="6" t="s">
        <v>174</v>
      </c>
      <c r="H10" s="6">
        <v>0.007798107673249169</v>
      </c>
      <c r="I10" s="7">
        <v>13830947.1988127</v>
      </c>
      <c r="J10" s="6">
        <v>31218.64503237939</v>
      </c>
      <c r="K10" s="6" t="s">
        <v>175</v>
      </c>
      <c r="L10" s="15">
        <v>9.978599126847378</v>
      </c>
      <c r="M10" s="15">
        <v>26.98333333333333</v>
      </c>
    </row>
    <row r="11" spans="1:13">
      <c r="A11" s="6" t="s">
        <v>136</v>
      </c>
      <c r="B11" s="6" t="s">
        <v>44</v>
      </c>
      <c r="C11" s="6" t="s">
        <v>101</v>
      </c>
      <c r="D11" s="6">
        <v>1744.19325</v>
      </c>
      <c r="E11" s="7">
        <v>19277164.31666667</v>
      </c>
      <c r="F11" s="7">
        <v>943860.1399897793</v>
      </c>
      <c r="G11" s="6" t="s">
        <v>174</v>
      </c>
      <c r="H11" s="6">
        <v>0.04667716722329937</v>
      </c>
      <c r="I11" s="7">
        <v>20221024.45665644</v>
      </c>
      <c r="J11" s="6">
        <v>11593.33947465767</v>
      </c>
      <c r="K11" s="6" t="s">
        <v>175</v>
      </c>
      <c r="L11" s="15">
        <v>48.32095661569149</v>
      </c>
      <c r="M11" s="15">
        <v>3.583333333333333</v>
      </c>
    </row>
    <row r="12" spans="1:13">
      <c r="A12" s="6" t="s">
        <v>136</v>
      </c>
      <c r="B12" s="6" t="s">
        <v>44</v>
      </c>
      <c r="C12" s="6" t="s">
        <v>176</v>
      </c>
      <c r="D12" s="6">
        <v>0.5499999999999999</v>
      </c>
      <c r="E12" s="7">
        <v>18330.25</v>
      </c>
      <c r="F12" s="7">
        <v>0</v>
      </c>
      <c r="G12" s="6" t="s">
        <v>174</v>
      </c>
      <c r="H12" s="6">
        <v>0</v>
      </c>
      <c r="I12" s="7">
        <v>18330.25</v>
      </c>
      <c r="J12" s="6">
        <v>33327.72727272728</v>
      </c>
      <c r="K12" s="6" t="s">
        <v>175</v>
      </c>
      <c r="L12" s="15">
        <v>0.01217918908744657</v>
      </c>
      <c r="M12" s="15"/>
    </row>
    <row r="13" spans="1:13">
      <c r="A13" s="6" t="s">
        <v>136</v>
      </c>
      <c r="B13" s="6" t="s">
        <v>86</v>
      </c>
      <c r="C13" s="6" t="s">
        <v>44</v>
      </c>
      <c r="D13" s="6">
        <v>5088.585416666667</v>
      </c>
      <c r="E13" s="7">
        <v>87875240.10833333</v>
      </c>
      <c r="F13" s="7">
        <v>125118851.3346853</v>
      </c>
      <c r="G13" s="6" t="s">
        <v>174</v>
      </c>
      <c r="H13" s="6">
        <v>0.5874287426802063</v>
      </c>
      <c r="I13" s="7">
        <v>212994091.4430187</v>
      </c>
      <c r="J13" s="6">
        <v>41857.23025212433</v>
      </c>
      <c r="K13" s="6" t="s">
        <v>175</v>
      </c>
      <c r="L13" s="15">
        <v>81.88377665851357</v>
      </c>
      <c r="M13" s="15">
        <v>36</v>
      </c>
    </row>
    <row r="14" spans="1:13">
      <c r="A14" s="6" t="s">
        <v>136</v>
      </c>
      <c r="B14" s="6" t="s">
        <v>86</v>
      </c>
      <c r="C14" s="6" t="s">
        <v>88</v>
      </c>
      <c r="D14" s="6">
        <v>0.3666666666666667</v>
      </c>
      <c r="E14" s="7">
        <v>0</v>
      </c>
      <c r="F14" s="7">
        <v>17303.58977949658</v>
      </c>
      <c r="G14" s="6" t="s">
        <v>174</v>
      </c>
      <c r="H14" s="6">
        <v>1</v>
      </c>
      <c r="I14" s="7">
        <v>17303.58977949658</v>
      </c>
      <c r="J14" s="6">
        <v>47191.60848953613</v>
      </c>
      <c r="K14" s="6" t="s">
        <v>175</v>
      </c>
      <c r="L14" s="15">
        <v>0.00596564871006405</v>
      </c>
      <c r="M14" s="15">
        <v>44</v>
      </c>
    </row>
    <row r="15" spans="1:13">
      <c r="A15" s="6" t="s">
        <v>136</v>
      </c>
      <c r="B15" s="6" t="s">
        <v>86</v>
      </c>
      <c r="C15" s="6" t="s">
        <v>90</v>
      </c>
      <c r="D15" s="6">
        <v>5319.026416666667</v>
      </c>
      <c r="E15" s="7">
        <v>30932205.86666666</v>
      </c>
      <c r="F15" s="7">
        <v>75457164.25470573</v>
      </c>
      <c r="G15" s="6" t="s">
        <v>174</v>
      </c>
      <c r="H15" s="6">
        <v>0.7089950217549994</v>
      </c>
      <c r="I15" s="7">
        <v>106389370.1213724</v>
      </c>
      <c r="J15" s="6">
        <v>20001.66229444008</v>
      </c>
      <c r="K15" s="6" t="s">
        <v>175</v>
      </c>
      <c r="L15" s="15">
        <v>106.0845524320479</v>
      </c>
      <c r="M15" s="15">
        <v>7</v>
      </c>
    </row>
    <row r="16" spans="1:13">
      <c r="A16" s="6" t="s">
        <v>136</v>
      </c>
      <c r="B16" s="6" t="s">
        <v>86</v>
      </c>
      <c r="C16" s="6" t="s">
        <v>177</v>
      </c>
      <c r="D16" s="6">
        <v>15.567</v>
      </c>
      <c r="E16" s="7">
        <v>270387.0833333333</v>
      </c>
      <c r="F16" s="7">
        <v>82084.02088072753</v>
      </c>
      <c r="G16" s="6" t="s">
        <v>174</v>
      </c>
      <c r="H16" s="6">
        <v>0.3545855549131711</v>
      </c>
      <c r="I16" s="7">
        <v>352471.1042140608</v>
      </c>
      <c r="J16" s="6">
        <v>22642.19851057113</v>
      </c>
      <c r="K16" s="6" t="s">
        <v>175</v>
      </c>
      <c r="L16" s="15">
        <v>4.333194154488518</v>
      </c>
      <c r="M16" s="15">
        <v>48</v>
      </c>
    </row>
    <row r="17" spans="1:13">
      <c r="A17" s="6" t="s">
        <v>136</v>
      </c>
      <c r="B17" s="6" t="s">
        <v>86</v>
      </c>
      <c r="C17" s="6" t="s">
        <v>92</v>
      </c>
      <c r="D17" s="6">
        <v>1869.409166666667</v>
      </c>
      <c r="E17" s="7">
        <v>62423641.30833334</v>
      </c>
      <c r="F17" s="7">
        <v>36093476.65523174</v>
      </c>
      <c r="G17" s="6" t="s">
        <v>174</v>
      </c>
      <c r="H17" s="6">
        <v>0.3660348122468285</v>
      </c>
      <c r="I17" s="7">
        <v>98517117.96356508</v>
      </c>
      <c r="J17" s="6">
        <v>52699.60141429627</v>
      </c>
      <c r="K17" s="6" t="s">
        <v>175</v>
      </c>
      <c r="L17" s="15">
        <v>47.98401310779708</v>
      </c>
      <c r="M17" s="15">
        <v>44.06666666666666</v>
      </c>
    </row>
    <row r="18" spans="1:13">
      <c r="A18" s="6" t="s">
        <v>136</v>
      </c>
      <c r="B18" s="6" t="s">
        <v>86</v>
      </c>
      <c r="C18" s="6" t="s">
        <v>94</v>
      </c>
      <c r="D18" s="6">
        <v>468.2404999999999</v>
      </c>
      <c r="E18" s="7">
        <v>39641894.575</v>
      </c>
      <c r="F18" s="7">
        <v>3323827.566137878</v>
      </c>
      <c r="G18" s="6" t="s">
        <v>174</v>
      </c>
      <c r="H18" s="6">
        <v>0.07749863585059388</v>
      </c>
      <c r="I18" s="7">
        <v>42965722.14113788</v>
      </c>
      <c r="J18" s="6">
        <v>91759.94417641763</v>
      </c>
      <c r="K18" s="6" t="s">
        <v>175</v>
      </c>
      <c r="L18" s="15">
        <v>8.822657685241886</v>
      </c>
      <c r="M18" s="15">
        <v>68.39166666666667</v>
      </c>
    </row>
    <row r="19" spans="1:13">
      <c r="A19" s="6" t="s">
        <v>136</v>
      </c>
      <c r="B19" s="6" t="s">
        <v>86</v>
      </c>
      <c r="C19" s="6" t="s">
        <v>97</v>
      </c>
      <c r="D19" s="6">
        <v>9.98025</v>
      </c>
      <c r="E19" s="7">
        <v>318127.5833333333</v>
      </c>
      <c r="F19" s="7">
        <v>214426.390154767</v>
      </c>
      <c r="G19" s="6" t="s">
        <v>174</v>
      </c>
      <c r="H19" s="6">
        <v>0.4152952080358709</v>
      </c>
      <c r="I19" s="7">
        <v>532553.9734881003</v>
      </c>
      <c r="J19" s="6">
        <v>53360.78489898553</v>
      </c>
      <c r="K19" s="6" t="s">
        <v>175</v>
      </c>
      <c r="L19" s="15">
        <v>0.2723867358078603</v>
      </c>
      <c r="M19" s="15">
        <v>41.25</v>
      </c>
    </row>
    <row r="20" spans="1:13">
      <c r="A20" s="6" t="s">
        <v>136</v>
      </c>
      <c r="B20" s="6" t="s">
        <v>86</v>
      </c>
      <c r="C20" s="6" t="s">
        <v>99</v>
      </c>
      <c r="D20" s="6">
        <v>529.51575</v>
      </c>
      <c r="E20" s="7">
        <v>23965079.66666667</v>
      </c>
      <c r="F20" s="7">
        <v>83771.07800579748</v>
      </c>
      <c r="G20" s="6" t="s">
        <v>174</v>
      </c>
      <c r="H20" s="6">
        <v>0.003483371363363602</v>
      </c>
      <c r="I20" s="7">
        <v>24048850.74467247</v>
      </c>
      <c r="J20" s="6">
        <v>45416.68636801165</v>
      </c>
      <c r="K20" s="6" t="s">
        <v>175</v>
      </c>
      <c r="L20" s="15">
        <v>13.03503600221552</v>
      </c>
      <c r="M20" s="15">
        <v>29</v>
      </c>
    </row>
    <row r="21" spans="1:13">
      <c r="A21" s="6" t="s">
        <v>136</v>
      </c>
      <c r="B21" s="6" t="s">
        <v>86</v>
      </c>
      <c r="C21" s="6" t="s">
        <v>101</v>
      </c>
      <c r="D21" s="6">
        <v>0.132</v>
      </c>
      <c r="E21" s="7">
        <v>0</v>
      </c>
      <c r="F21" s="7">
        <v>5569.519631845626</v>
      </c>
      <c r="G21" s="6" t="s">
        <v>174</v>
      </c>
      <c r="H21" s="6">
        <v>1</v>
      </c>
      <c r="I21" s="7">
        <v>5569.519631845626</v>
      </c>
      <c r="J21" s="6">
        <v>42193.33054428504</v>
      </c>
      <c r="K21" s="6" t="s">
        <v>175</v>
      </c>
      <c r="L21" s="15">
        <v>0.002923005380987178</v>
      </c>
      <c r="M21" s="15">
        <v>9.057310488173133</v>
      </c>
    </row>
    <row r="22" spans="1:13">
      <c r="A22" s="6" t="s">
        <v>136</v>
      </c>
      <c r="B22" s="6" t="s">
        <v>88</v>
      </c>
      <c r="C22" s="6" t="s">
        <v>44</v>
      </c>
      <c r="D22" s="6">
        <v>1724.7695</v>
      </c>
      <c r="E22" s="7">
        <v>83468928.64166667</v>
      </c>
      <c r="F22" s="7">
        <v>0</v>
      </c>
      <c r="G22" s="6" t="s">
        <v>174</v>
      </c>
      <c r="H22" s="6">
        <v>0</v>
      </c>
      <c r="I22" s="7">
        <v>83468928.64166667</v>
      </c>
      <c r="J22" s="6">
        <v>48394.25131396784</v>
      </c>
      <c r="K22" s="6" t="s">
        <v>175</v>
      </c>
      <c r="L22" s="15">
        <v>32.42413618077227</v>
      </c>
      <c r="M22" s="15">
        <v>28.4</v>
      </c>
    </row>
    <row r="23" spans="1:13">
      <c r="A23" s="6" t="s">
        <v>136</v>
      </c>
      <c r="B23" s="6" t="s">
        <v>88</v>
      </c>
      <c r="C23" s="6" t="s">
        <v>86</v>
      </c>
      <c r="D23" s="6">
        <v>2298.787916666667</v>
      </c>
      <c r="E23" s="7">
        <v>97062999.80833334</v>
      </c>
      <c r="F23" s="7">
        <v>0</v>
      </c>
      <c r="G23" s="6" t="s">
        <v>174</v>
      </c>
      <c r="H23" s="6">
        <v>0</v>
      </c>
      <c r="I23" s="7">
        <v>97062999.80833334</v>
      </c>
      <c r="J23" s="6">
        <v>42223.55577241702</v>
      </c>
      <c r="K23" s="6" t="s">
        <v>175</v>
      </c>
      <c r="L23" s="15">
        <v>41.09087510129176</v>
      </c>
      <c r="M23" s="15">
        <v>36.66666666666666</v>
      </c>
    </row>
    <row r="24" spans="1:13">
      <c r="A24" s="6" t="s">
        <v>136</v>
      </c>
      <c r="B24" s="6" t="s">
        <v>88</v>
      </c>
      <c r="C24" s="6" t="s">
        <v>90</v>
      </c>
      <c r="D24" s="6">
        <v>534.19025</v>
      </c>
      <c r="E24" s="7">
        <v>26859972.925</v>
      </c>
      <c r="F24" s="7">
        <v>132672.6731873855</v>
      </c>
      <c r="G24" s="6" t="s">
        <v>174</v>
      </c>
      <c r="H24" s="6">
        <v>0.005072942957432614</v>
      </c>
      <c r="I24" s="7">
        <v>26992645.59818739</v>
      </c>
      <c r="J24" s="6">
        <v>50530.02296127155</v>
      </c>
      <c r="K24" s="6" t="s">
        <v>175</v>
      </c>
      <c r="L24" s="15">
        <v>12.58724875703952</v>
      </c>
      <c r="M24" s="15">
        <v>28.16666666666667</v>
      </c>
    </row>
    <row r="25" spans="1:13">
      <c r="A25" s="6" t="s">
        <v>136</v>
      </c>
      <c r="B25" s="6" t="s">
        <v>88</v>
      </c>
      <c r="C25" s="6" t="s">
        <v>92</v>
      </c>
      <c r="D25" s="6">
        <v>10625.96</v>
      </c>
      <c r="E25" s="7">
        <v>104033148.575</v>
      </c>
      <c r="F25" s="7">
        <v>1171294.639963242</v>
      </c>
      <c r="G25" s="6" t="s">
        <v>174</v>
      </c>
      <c r="H25" s="6">
        <v>0.0102158455957548</v>
      </c>
      <c r="I25" s="7">
        <v>105204443.2149632</v>
      </c>
      <c r="J25" s="6">
        <v>9900.700098152378</v>
      </c>
      <c r="K25" s="6" t="s">
        <v>175</v>
      </c>
      <c r="L25" s="15">
        <v>178.8882154882155</v>
      </c>
      <c r="M25" s="15">
        <v>5</v>
      </c>
    </row>
    <row r="26" spans="1:13">
      <c r="A26" s="6" t="s">
        <v>136</v>
      </c>
      <c r="B26" s="6" t="s">
        <v>90</v>
      </c>
      <c r="C26" s="6" t="s">
        <v>44</v>
      </c>
      <c r="D26" s="6">
        <v>1873.489166666667</v>
      </c>
      <c r="E26" s="7">
        <v>66489553.35</v>
      </c>
      <c r="F26" s="7">
        <v>19416734.25501634</v>
      </c>
      <c r="G26" s="6" t="s">
        <v>174</v>
      </c>
      <c r="H26" s="6">
        <v>0.22803169843078</v>
      </c>
      <c r="I26" s="7">
        <v>85906287.60501634</v>
      </c>
      <c r="J26" s="6">
        <v>45853.63456243613</v>
      </c>
      <c r="K26" s="6" t="s">
        <v>175</v>
      </c>
      <c r="L26" s="15">
        <v>30.90469827811365</v>
      </c>
      <c r="M26" s="15">
        <v>37.86666666666667</v>
      </c>
    </row>
    <row r="27" spans="1:13">
      <c r="A27" s="6" t="s">
        <v>136</v>
      </c>
      <c r="B27" s="6" t="s">
        <v>90</v>
      </c>
      <c r="C27" s="6" t="s">
        <v>86</v>
      </c>
      <c r="D27" s="6">
        <v>3131.188833333334</v>
      </c>
      <c r="E27" s="7">
        <v>2040669.433333333</v>
      </c>
      <c r="F27" s="7">
        <v>64803959.95763659</v>
      </c>
      <c r="G27" s="6" t="s">
        <v>174</v>
      </c>
      <c r="H27" s="6">
        <v>0.9694286509814988</v>
      </c>
      <c r="I27" s="7">
        <v>66844629.39096992</v>
      </c>
      <c r="J27" s="6">
        <v>21348.0032501936</v>
      </c>
      <c r="K27" s="6" t="s">
        <v>175</v>
      </c>
      <c r="L27" s="15">
        <v>64.71537767305998</v>
      </c>
      <c r="M27" s="15">
        <v>4</v>
      </c>
    </row>
    <row r="28" spans="1:13">
      <c r="A28" s="6" t="s">
        <v>136</v>
      </c>
      <c r="B28" s="6" t="s">
        <v>90</v>
      </c>
      <c r="C28" s="6" t="s">
        <v>177</v>
      </c>
      <c r="D28" s="6">
        <v>1.111</v>
      </c>
      <c r="E28" s="7">
        <v>0</v>
      </c>
      <c r="F28" s="7">
        <v>13844.80382299445</v>
      </c>
      <c r="G28" s="6" t="s">
        <v>174</v>
      </c>
      <c r="H28" s="6">
        <v>1</v>
      </c>
      <c r="I28" s="7">
        <v>13844.80382299445</v>
      </c>
      <c r="J28" s="6">
        <v>12461.56959765477</v>
      </c>
      <c r="K28" s="6" t="s">
        <v>175</v>
      </c>
      <c r="L28" s="15">
        <v>0.08333333333333333</v>
      </c>
      <c r="M28" s="15">
        <v>3</v>
      </c>
    </row>
    <row r="29" spans="1:13">
      <c r="A29" s="6" t="s">
        <v>136</v>
      </c>
      <c r="B29" s="6" t="s">
        <v>90</v>
      </c>
      <c r="C29" s="6" t="s">
        <v>92</v>
      </c>
      <c r="D29" s="6">
        <v>719.33875</v>
      </c>
      <c r="E29" s="7">
        <v>23963783.14166667</v>
      </c>
      <c r="F29" s="7">
        <v>12090326.80988361</v>
      </c>
      <c r="G29" s="6" t="s">
        <v>174</v>
      </c>
      <c r="H29" s="6">
        <v>0.3355643174605381</v>
      </c>
      <c r="I29" s="7">
        <v>36054109.95155028</v>
      </c>
      <c r="J29" s="6">
        <v>50121.18414523098</v>
      </c>
      <c r="K29" s="6" t="s">
        <v>175</v>
      </c>
      <c r="L29" s="15">
        <v>17.94712582021407</v>
      </c>
      <c r="M29" s="15">
        <v>39</v>
      </c>
    </row>
    <row r="30" spans="1:13">
      <c r="A30" s="6" t="s">
        <v>136</v>
      </c>
      <c r="B30" s="6" t="s">
        <v>90</v>
      </c>
      <c r="C30" s="6" t="s">
        <v>94</v>
      </c>
      <c r="D30" s="6">
        <v>442.7408333333333</v>
      </c>
      <c r="E30" s="7">
        <v>30108223.69166667</v>
      </c>
      <c r="F30" s="7">
        <v>9967754.816245833</v>
      </c>
      <c r="G30" s="6" t="s">
        <v>174</v>
      </c>
      <c r="H30" s="6">
        <v>0.2498687155201783</v>
      </c>
      <c r="I30" s="7">
        <v>40075978.5079125</v>
      </c>
      <c r="J30" s="6">
        <v>90517.91813776495</v>
      </c>
      <c r="K30" s="6" t="s">
        <v>175</v>
      </c>
      <c r="L30" s="15">
        <v>6.677739903369984</v>
      </c>
      <c r="M30" s="15">
        <v>68</v>
      </c>
    </row>
    <row r="31" spans="1:13">
      <c r="A31" s="6" t="s">
        <v>136</v>
      </c>
      <c r="B31" s="6" t="s">
        <v>90</v>
      </c>
      <c r="C31" s="6" t="s">
        <v>97</v>
      </c>
      <c r="D31" s="6">
        <v>7.8125</v>
      </c>
      <c r="E31" s="7">
        <v>130283.2416666667</v>
      </c>
      <c r="F31" s="7">
        <v>209019.9365322492</v>
      </c>
      <c r="G31" s="6" t="s">
        <v>174</v>
      </c>
      <c r="H31" s="6">
        <v>0.4711146666666667</v>
      </c>
      <c r="I31" s="7">
        <v>339303.1781989158</v>
      </c>
      <c r="J31" s="6">
        <v>43430.80680946123</v>
      </c>
      <c r="K31" s="6" t="s">
        <v>175</v>
      </c>
      <c r="L31" s="15">
        <v>0.4649882450971639</v>
      </c>
      <c r="M31" s="15">
        <v>19.55</v>
      </c>
    </row>
    <row r="32" spans="1:13">
      <c r="A32" s="6" t="s">
        <v>136</v>
      </c>
      <c r="B32" s="6" t="s">
        <v>90</v>
      </c>
      <c r="C32" s="6" t="s">
        <v>99</v>
      </c>
      <c r="D32" s="6">
        <v>391.31825</v>
      </c>
      <c r="E32" s="7">
        <v>19577293.65</v>
      </c>
      <c r="F32" s="7">
        <v>0</v>
      </c>
      <c r="G32" s="6" t="s">
        <v>174</v>
      </c>
      <c r="H32" s="6">
        <v>0</v>
      </c>
      <c r="I32" s="7">
        <v>19577293.65</v>
      </c>
      <c r="J32" s="6">
        <v>50029.08412781668</v>
      </c>
      <c r="K32" s="6" t="s">
        <v>175</v>
      </c>
      <c r="L32" s="15">
        <v>9.522515452377476</v>
      </c>
      <c r="M32" s="15">
        <v>27.225</v>
      </c>
    </row>
    <row r="33" spans="1:13">
      <c r="A33" s="6" t="s">
        <v>136</v>
      </c>
      <c r="B33" s="6" t="s">
        <v>177</v>
      </c>
      <c r="C33" s="6" t="s">
        <v>44</v>
      </c>
      <c r="D33" s="6">
        <v>3334.108416666666</v>
      </c>
      <c r="E33" s="7">
        <v>4852085.583333333</v>
      </c>
      <c r="F33" s="7">
        <v>130000098.8378571</v>
      </c>
      <c r="G33" s="6" t="s">
        <v>174</v>
      </c>
      <c r="H33" s="6">
        <v>0.9639274877609085</v>
      </c>
      <c r="I33" s="7">
        <v>134852184.4211904</v>
      </c>
      <c r="J33" s="6">
        <v>40446.25056194521</v>
      </c>
      <c r="K33" s="6" t="s">
        <v>175</v>
      </c>
      <c r="L33" s="15">
        <v>41.36610938792391</v>
      </c>
      <c r="M33" s="15">
        <v>45</v>
      </c>
    </row>
    <row r="34" spans="1:13">
      <c r="A34" s="6" t="s">
        <v>136</v>
      </c>
      <c r="B34" s="6" t="s">
        <v>177</v>
      </c>
      <c r="C34" s="6" t="s">
        <v>86</v>
      </c>
      <c r="D34" s="6">
        <v>17460.07091666667</v>
      </c>
      <c r="E34" s="7">
        <v>8102159.141666667</v>
      </c>
      <c r="F34" s="7">
        <v>306828702.7973002</v>
      </c>
      <c r="G34" s="6" t="s">
        <v>174</v>
      </c>
      <c r="H34" s="6">
        <v>0.97393907110467</v>
      </c>
      <c r="I34" s="7">
        <v>314930861.9389668</v>
      </c>
      <c r="J34" s="6">
        <v>18037.20405501599</v>
      </c>
      <c r="K34" s="6" t="s">
        <v>175</v>
      </c>
      <c r="L34" s="15">
        <v>297.5370797973257</v>
      </c>
      <c r="M34" s="15">
        <v>3.733333333333333</v>
      </c>
    </row>
    <row r="35" spans="1:13">
      <c r="A35" s="6" t="s">
        <v>136</v>
      </c>
      <c r="B35" s="6" t="s">
        <v>177</v>
      </c>
      <c r="C35" s="6" t="s">
        <v>90</v>
      </c>
      <c r="D35" s="6">
        <v>3994.357083333333</v>
      </c>
      <c r="E35" s="7">
        <v>3240845.466666667</v>
      </c>
      <c r="F35" s="7">
        <v>63691573.08825152</v>
      </c>
      <c r="G35" s="6" t="s">
        <v>174</v>
      </c>
      <c r="H35" s="6">
        <v>0.9504646189932319</v>
      </c>
      <c r="I35" s="7">
        <v>66932418.55491819</v>
      </c>
      <c r="J35" s="6">
        <v>16756.74386603973</v>
      </c>
      <c r="K35" s="6" t="s">
        <v>175</v>
      </c>
      <c r="L35" s="15">
        <v>72.88972779805353</v>
      </c>
      <c r="M35" s="15">
        <v>2.833333333333333</v>
      </c>
    </row>
    <row r="36" spans="1:13">
      <c r="A36" s="6" t="s">
        <v>136</v>
      </c>
      <c r="B36" s="6" t="s">
        <v>177</v>
      </c>
      <c r="C36" s="6" t="s">
        <v>92</v>
      </c>
      <c r="D36" s="6">
        <v>860.6820833333333</v>
      </c>
      <c r="E36" s="7">
        <v>1730558.416666667</v>
      </c>
      <c r="F36" s="7">
        <v>31718480.66184244</v>
      </c>
      <c r="G36" s="6" t="s">
        <v>174</v>
      </c>
      <c r="H36" s="6">
        <v>0.9482628361130249</v>
      </c>
      <c r="I36" s="7">
        <v>33449039.0785091</v>
      </c>
      <c r="J36" s="6">
        <v>38863.40813435365</v>
      </c>
      <c r="K36" s="6" t="s">
        <v>175</v>
      </c>
      <c r="L36" s="15">
        <v>12.04349129054752</v>
      </c>
      <c r="M36" s="15">
        <v>40.45</v>
      </c>
    </row>
    <row r="37" spans="1:13">
      <c r="A37" s="6" t="s">
        <v>136</v>
      </c>
      <c r="B37" s="6" t="s">
        <v>177</v>
      </c>
      <c r="C37" s="6" t="s">
        <v>97</v>
      </c>
      <c r="D37" s="6">
        <v>0.01275</v>
      </c>
      <c r="E37" s="7">
        <v>866.25</v>
      </c>
      <c r="F37" s="7">
        <v>0</v>
      </c>
      <c r="G37" s="6" t="s">
        <v>174</v>
      </c>
      <c r="H37" s="6">
        <v>0</v>
      </c>
      <c r="I37" s="7">
        <v>866.25</v>
      </c>
      <c r="J37" s="6">
        <v>67941.17647058822</v>
      </c>
      <c r="K37" s="6" t="s">
        <v>175</v>
      </c>
      <c r="L37" s="15">
        <v>0.0003221975133933084</v>
      </c>
      <c r="M37" s="15">
        <v>34</v>
      </c>
    </row>
    <row r="38" spans="1:13">
      <c r="A38" s="6" t="s">
        <v>136</v>
      </c>
      <c r="B38" s="6" t="s">
        <v>177</v>
      </c>
      <c r="C38" s="6" t="s">
        <v>99</v>
      </c>
      <c r="D38" s="6">
        <v>7.5265</v>
      </c>
      <c r="E38" s="7">
        <v>365329.4166666667</v>
      </c>
      <c r="F38" s="7">
        <v>0</v>
      </c>
      <c r="G38" s="6" t="s">
        <v>174</v>
      </c>
      <c r="H38" s="6">
        <v>0</v>
      </c>
      <c r="I38" s="7">
        <v>365329.4166666667</v>
      </c>
      <c r="J38" s="6">
        <v>48539.08412498063</v>
      </c>
      <c r="K38" s="6" t="s">
        <v>175</v>
      </c>
      <c r="L38" s="15">
        <v>0.1666666666666666</v>
      </c>
      <c r="M38" s="15">
        <v>68</v>
      </c>
    </row>
    <row r="39" spans="1:13">
      <c r="A39" s="6" t="s">
        <v>136</v>
      </c>
      <c r="B39" s="6" t="s">
        <v>92</v>
      </c>
      <c r="C39" s="6" t="s">
        <v>44</v>
      </c>
      <c r="D39" s="6">
        <v>1033.2265</v>
      </c>
      <c r="E39" s="7">
        <v>26042789.14166667</v>
      </c>
      <c r="F39" s="7">
        <v>24738979.85652364</v>
      </c>
      <c r="G39" s="6" t="s">
        <v>174</v>
      </c>
      <c r="H39" s="6">
        <v>0.4871626243939091</v>
      </c>
      <c r="I39" s="7">
        <v>50781768.99819031</v>
      </c>
      <c r="J39" s="6">
        <v>49148.72876198038</v>
      </c>
      <c r="K39" s="6" t="s">
        <v>175</v>
      </c>
      <c r="L39" s="15">
        <v>21.03602622309994</v>
      </c>
      <c r="M39" s="15">
        <v>46</v>
      </c>
    </row>
    <row r="40" spans="1:13">
      <c r="A40" s="6" t="s">
        <v>136</v>
      </c>
      <c r="B40" s="6" t="s">
        <v>92</v>
      </c>
      <c r="C40" s="6" t="s">
        <v>86</v>
      </c>
      <c r="D40" s="6">
        <v>1197.641</v>
      </c>
      <c r="E40" s="7">
        <v>11521570.79166667</v>
      </c>
      <c r="F40" s="7">
        <v>51764648.322996</v>
      </c>
      <c r="G40" s="6" t="s">
        <v>174</v>
      </c>
      <c r="H40" s="6">
        <v>0.8175712365669958</v>
      </c>
      <c r="I40" s="7">
        <v>63286219.11466266</v>
      </c>
      <c r="J40" s="6">
        <v>52842.39527092232</v>
      </c>
      <c r="K40" s="6" t="s">
        <v>175</v>
      </c>
      <c r="L40" s="15">
        <v>31.01009813313999</v>
      </c>
      <c r="M40" s="15">
        <v>50</v>
      </c>
    </row>
    <row r="41" spans="1:13">
      <c r="A41" s="6" t="s">
        <v>136</v>
      </c>
      <c r="B41" s="6" t="s">
        <v>92</v>
      </c>
      <c r="C41" s="6" t="s">
        <v>88</v>
      </c>
      <c r="D41" s="6">
        <v>13.34425</v>
      </c>
      <c r="E41" s="7">
        <v>0</v>
      </c>
      <c r="F41" s="7">
        <v>166290.3001035046</v>
      </c>
      <c r="G41" s="6" t="s">
        <v>174</v>
      </c>
      <c r="H41" s="6">
        <v>1</v>
      </c>
      <c r="I41" s="7">
        <v>166290.3001035046</v>
      </c>
      <c r="J41" s="6">
        <v>12461.56959765477</v>
      </c>
      <c r="K41" s="6" t="s">
        <v>175</v>
      </c>
      <c r="L41" s="15">
        <v>5.543934358122144</v>
      </c>
      <c r="M41" s="15">
        <v>6</v>
      </c>
    </row>
    <row r="42" spans="1:13">
      <c r="A42" s="6" t="s">
        <v>136</v>
      </c>
      <c r="B42" s="6" t="s">
        <v>92</v>
      </c>
      <c r="C42" s="6" t="s">
        <v>90</v>
      </c>
      <c r="D42" s="6">
        <v>236.8101666666667</v>
      </c>
      <c r="E42" s="7">
        <v>2628544.6</v>
      </c>
      <c r="F42" s="7">
        <v>10187678.99966821</v>
      </c>
      <c r="G42" s="6" t="s">
        <v>174</v>
      </c>
      <c r="H42" s="6">
        <v>0.8008035268756057</v>
      </c>
      <c r="I42" s="7">
        <v>12816223.59966821</v>
      </c>
      <c r="J42" s="6">
        <v>54120.24230238515</v>
      </c>
      <c r="K42" s="6" t="s">
        <v>175</v>
      </c>
      <c r="L42" s="15">
        <v>6.498454122188377</v>
      </c>
      <c r="M42" s="15">
        <v>48.23333333333333</v>
      </c>
    </row>
    <row r="43" spans="1:13">
      <c r="A43" s="6" t="s">
        <v>136</v>
      </c>
      <c r="B43" s="6" t="s">
        <v>92</v>
      </c>
      <c r="C43" s="6" t="s">
        <v>94</v>
      </c>
      <c r="D43" s="6">
        <v>164.1566666666667</v>
      </c>
      <c r="E43" s="7">
        <v>21813174.15</v>
      </c>
      <c r="F43" s="7">
        <v>229648.60706379</v>
      </c>
      <c r="G43" s="6" t="s">
        <v>174</v>
      </c>
      <c r="H43" s="6">
        <v>0.01098290251182813</v>
      </c>
      <c r="I43" s="7">
        <v>22042822.75706379</v>
      </c>
      <c r="J43" s="6">
        <v>134279.1810083688</v>
      </c>
      <c r="K43" s="6" t="s">
        <v>175</v>
      </c>
      <c r="L43" s="15">
        <v>2.426056199259084</v>
      </c>
      <c r="M43" s="15">
        <v>69.90000000000001</v>
      </c>
    </row>
    <row r="44" spans="1:13">
      <c r="A44" s="6" t="s">
        <v>136</v>
      </c>
      <c r="B44" s="6" t="s">
        <v>92</v>
      </c>
      <c r="C44" s="6" t="s">
        <v>97</v>
      </c>
      <c r="D44" s="6">
        <v>1.283916666666667</v>
      </c>
      <c r="E44" s="7">
        <v>34934.58333333334</v>
      </c>
      <c r="F44" s="7">
        <v>54138.13397521037</v>
      </c>
      <c r="G44" s="6" t="s">
        <v>174</v>
      </c>
      <c r="H44" s="6">
        <v>0.467190238203414</v>
      </c>
      <c r="I44" s="7">
        <v>89072.71730854371</v>
      </c>
      <c r="J44" s="6">
        <v>69375.77774404651</v>
      </c>
      <c r="K44" s="6" t="s">
        <v>175</v>
      </c>
      <c r="L44" s="15">
        <v>0.03436515796329506</v>
      </c>
      <c r="M44" s="15">
        <v>47.86666666666667</v>
      </c>
    </row>
    <row r="45" spans="1:13">
      <c r="A45" s="6" t="s">
        <v>136</v>
      </c>
      <c r="B45" s="6" t="s">
        <v>92</v>
      </c>
      <c r="C45" s="6" t="s">
        <v>99</v>
      </c>
      <c r="D45" s="6">
        <v>301.5470833333333</v>
      </c>
      <c r="E45" s="7">
        <v>16179352.66666667</v>
      </c>
      <c r="F45" s="7">
        <v>486836.502184116</v>
      </c>
      <c r="G45" s="6" t="s">
        <v>174</v>
      </c>
      <c r="H45" s="6">
        <v>0.02921102702314315</v>
      </c>
      <c r="I45" s="7">
        <v>16666189.16885078</v>
      </c>
      <c r="J45" s="6">
        <v>55268.94501721246</v>
      </c>
      <c r="K45" s="6" t="s">
        <v>175</v>
      </c>
      <c r="L45" s="15">
        <v>10.71900623252287</v>
      </c>
      <c r="M45" s="15">
        <v>21.56666666666667</v>
      </c>
    </row>
    <row r="46" spans="1:13">
      <c r="A46" s="6" t="s">
        <v>136</v>
      </c>
      <c r="B46" s="6" t="s">
        <v>92</v>
      </c>
      <c r="C46" s="6" t="s">
        <v>176</v>
      </c>
      <c r="D46" s="6">
        <v>46.88475</v>
      </c>
      <c r="E46" s="7">
        <v>498852.65</v>
      </c>
      <c r="F46" s="7">
        <v>0</v>
      </c>
      <c r="G46" s="6" t="s">
        <v>174</v>
      </c>
      <c r="H46" s="6">
        <v>0</v>
      </c>
      <c r="I46" s="7">
        <v>498852.65</v>
      </c>
      <c r="J46" s="6">
        <v>10639.97675150235</v>
      </c>
      <c r="K46" s="6" t="s">
        <v>175</v>
      </c>
      <c r="L46" s="15">
        <v>1.038214973759383</v>
      </c>
      <c r="M46" s="15"/>
    </row>
    <row r="47" spans="1:13">
      <c r="A47" s="6" t="s">
        <v>136</v>
      </c>
      <c r="B47" s="6" t="s">
        <v>94</v>
      </c>
      <c r="C47" s="6" t="s">
        <v>44</v>
      </c>
      <c r="D47" s="6">
        <v>5.68475</v>
      </c>
      <c r="E47" s="7">
        <v>0</v>
      </c>
      <c r="F47" s="7">
        <v>606859.5336784564</v>
      </c>
      <c r="G47" s="6" t="s">
        <v>174</v>
      </c>
      <c r="H47" s="6">
        <v>1</v>
      </c>
      <c r="I47" s="7">
        <v>606859.5336784564</v>
      </c>
      <c r="J47" s="6">
        <v>106752.1937954099</v>
      </c>
      <c r="K47" s="6" t="s">
        <v>175</v>
      </c>
      <c r="L47" s="15">
        <v>0.08333333333333334</v>
      </c>
      <c r="M47" s="15">
        <v>80.2</v>
      </c>
    </row>
    <row r="48" spans="1:13">
      <c r="A48" s="6" t="s">
        <v>136</v>
      </c>
      <c r="B48" s="6" t="s">
        <v>94</v>
      </c>
      <c r="C48" s="6" t="s">
        <v>90</v>
      </c>
      <c r="D48" s="6">
        <v>65.59216666666667</v>
      </c>
      <c r="E48" s="7">
        <v>5306713.866666666</v>
      </c>
      <c r="F48" s="7">
        <v>0</v>
      </c>
      <c r="G48" s="6" t="s">
        <v>174</v>
      </c>
      <c r="H48" s="6">
        <v>0</v>
      </c>
      <c r="I48" s="7">
        <v>5306713.866666666</v>
      </c>
      <c r="J48" s="6">
        <v>80904.68933028079</v>
      </c>
      <c r="K48" s="6" t="s">
        <v>175</v>
      </c>
      <c r="L48" s="15">
        <v>1.087781997490284</v>
      </c>
      <c r="M48" s="15">
        <v>67.5</v>
      </c>
    </row>
    <row r="49" spans="1:13">
      <c r="A49" s="6" t="s">
        <v>136</v>
      </c>
      <c r="B49" s="6" t="s">
        <v>94</v>
      </c>
      <c r="C49" s="6" t="s">
        <v>97</v>
      </c>
      <c r="D49" s="6">
        <v>14.62283333333333</v>
      </c>
      <c r="E49" s="7">
        <v>1554679.966666667</v>
      </c>
      <c r="F49" s="7">
        <v>5078.71285281775</v>
      </c>
      <c r="G49" s="6" t="s">
        <v>174</v>
      </c>
      <c r="H49" s="6">
        <v>0.003789735231430298</v>
      </c>
      <c r="I49" s="7">
        <v>1559758.679519485</v>
      </c>
      <c r="J49" s="6">
        <v>106665.9684866921</v>
      </c>
      <c r="K49" s="6" t="s">
        <v>175</v>
      </c>
      <c r="L49" s="15">
        <v>2.30063457100902</v>
      </c>
      <c r="M49" s="15">
        <v>63.5</v>
      </c>
    </row>
    <row r="50" spans="1:13">
      <c r="A50" s="6" t="s">
        <v>136</v>
      </c>
      <c r="B50" s="6" t="s">
        <v>97</v>
      </c>
      <c r="C50" s="6" t="s">
        <v>44</v>
      </c>
      <c r="D50" s="6">
        <v>3.261833333333334</v>
      </c>
      <c r="E50" s="7">
        <v>228543.1833333333</v>
      </c>
      <c r="F50" s="7">
        <v>14928.44323941603</v>
      </c>
      <c r="G50" s="6" t="s">
        <v>174</v>
      </c>
      <c r="H50" s="6">
        <v>0.0618772673854172</v>
      </c>
      <c r="I50" s="7">
        <v>243471.6265727494</v>
      </c>
      <c r="J50" s="6">
        <v>74642.57112240029</v>
      </c>
      <c r="K50" s="6" t="s">
        <v>175</v>
      </c>
      <c r="L50" s="15">
        <v>0.07222997261527786</v>
      </c>
      <c r="M50" s="15">
        <v>10.31610368923328</v>
      </c>
    </row>
    <row r="51" spans="1:13">
      <c r="A51" s="6" t="s">
        <v>136</v>
      </c>
      <c r="B51" s="6" t="s">
        <v>97</v>
      </c>
      <c r="C51" s="6" t="s">
        <v>90</v>
      </c>
      <c r="D51" s="6">
        <v>0.63</v>
      </c>
      <c r="E51" s="7">
        <v>25020</v>
      </c>
      <c r="F51" s="7">
        <v>0</v>
      </c>
      <c r="G51" s="6" t="s">
        <v>174</v>
      </c>
      <c r="H51" s="6">
        <v>0</v>
      </c>
      <c r="I51" s="7">
        <v>25020</v>
      </c>
      <c r="J51" s="6">
        <v>39714.28571428572</v>
      </c>
      <c r="K51" s="6" t="s">
        <v>175</v>
      </c>
      <c r="L51" s="15">
        <v>0.01395070750016608</v>
      </c>
      <c r="M51" s="15">
        <v>10.80695849558551</v>
      </c>
    </row>
    <row r="52" spans="1:13">
      <c r="A52" s="6" t="s">
        <v>136</v>
      </c>
      <c r="B52" s="6" t="s">
        <v>99</v>
      </c>
      <c r="C52" s="6" t="s">
        <v>90</v>
      </c>
      <c r="D52" s="6">
        <v>22.15033333333333</v>
      </c>
      <c r="E52" s="7">
        <v>1114709.591666667</v>
      </c>
      <c r="F52" s="7">
        <v>178581.4385050334</v>
      </c>
      <c r="G52" s="6" t="s">
        <v>174</v>
      </c>
      <c r="H52" s="6">
        <v>0.138082948337873</v>
      </c>
      <c r="I52" s="7">
        <v>1293291.0301717</v>
      </c>
      <c r="J52" s="6">
        <v>58386.97823230802</v>
      </c>
      <c r="K52" s="6" t="s">
        <v>175</v>
      </c>
      <c r="L52" s="15">
        <v>0.6264057389025574</v>
      </c>
      <c r="M52" s="15">
        <v>33</v>
      </c>
    </row>
    <row r="53" spans="1:13">
      <c r="A53" s="6" t="s">
        <v>136</v>
      </c>
      <c r="B53" s="6" t="s">
        <v>99</v>
      </c>
      <c r="C53" s="6" t="s">
        <v>97</v>
      </c>
      <c r="D53" s="6">
        <v>1.248</v>
      </c>
      <c r="E53" s="7">
        <v>46607.05</v>
      </c>
      <c r="F53" s="7">
        <v>1616.312590766613</v>
      </c>
      <c r="G53" s="6" t="s">
        <v>174</v>
      </c>
      <c r="H53" s="6">
        <v>0.02744391025641026</v>
      </c>
      <c r="I53" s="7">
        <v>48223.36259076661</v>
      </c>
      <c r="J53" s="6">
        <v>38640.5148964476</v>
      </c>
      <c r="K53" s="6" t="s">
        <v>175</v>
      </c>
      <c r="L53" s="15">
        <v>0.04924436728090597</v>
      </c>
      <c r="M53" s="15">
        <v>30.23333333333333</v>
      </c>
    </row>
    <row r="54" spans="1:13">
      <c r="A54" s="6" t="s">
        <v>136</v>
      </c>
      <c r="B54" s="6" t="s">
        <v>101</v>
      </c>
      <c r="C54" s="6" t="s">
        <v>44</v>
      </c>
      <c r="D54" s="6">
        <v>34.86</v>
      </c>
      <c r="E54" s="7">
        <v>186134</v>
      </c>
      <c r="F54" s="7">
        <v>220421.8421052632</v>
      </c>
      <c r="G54" s="6" t="s">
        <v>174</v>
      </c>
      <c r="H54" s="6">
        <v>0.5421686746987953</v>
      </c>
      <c r="I54" s="7">
        <v>406555.8421052633</v>
      </c>
      <c r="J54" s="6">
        <v>11662.53132832081</v>
      </c>
      <c r="K54" s="6" t="s">
        <v>175</v>
      </c>
      <c r="L54" s="15">
        <v>0.7685185185185185</v>
      </c>
      <c r="M54" s="15">
        <v>11.88333333333333</v>
      </c>
    </row>
    <row r="55" spans="1:13">
      <c r="A55" s="6" t="s">
        <v>139</v>
      </c>
      <c r="B55" s="6" t="s">
        <v>44</v>
      </c>
      <c r="C55" s="6" t="s">
        <v>44</v>
      </c>
      <c r="D55" s="6">
        <v>36626.87758333333</v>
      </c>
      <c r="E55" s="7">
        <v>0</v>
      </c>
      <c r="F55" s="7">
        <v>0</v>
      </c>
      <c r="G55" s="6" t="s">
        <v>44</v>
      </c>
      <c r="H55" s="6">
        <v>0</v>
      </c>
      <c r="I55" s="7">
        <v>0</v>
      </c>
      <c r="J55" s="6">
        <v>0</v>
      </c>
      <c r="K55" s="6" t="s">
        <v>178</v>
      </c>
      <c r="L55" s="15">
        <v>0</v>
      </c>
      <c r="M55" s="15">
        <v>0</v>
      </c>
    </row>
    <row r="56" spans="1:13">
      <c r="A56" s="6" t="s">
        <v>139</v>
      </c>
      <c r="B56" s="6" t="s">
        <v>44</v>
      </c>
      <c r="C56" s="6" t="s">
        <v>86</v>
      </c>
      <c r="D56" s="6">
        <v>3.799166666666667</v>
      </c>
      <c r="E56" s="7">
        <v>31732.67216271197</v>
      </c>
      <c r="F56" s="7">
        <v>103672.8369739274</v>
      </c>
      <c r="G56" s="6" t="s">
        <v>44</v>
      </c>
      <c r="H56" s="6">
        <v>0.7656266185856002</v>
      </c>
      <c r="I56" s="7">
        <v>135405.5091366394</v>
      </c>
      <c r="J56" s="6">
        <v>35640.84469488204</v>
      </c>
      <c r="K56" s="6" t="s">
        <v>179</v>
      </c>
      <c r="L56" s="15">
        <v>0.05411918328584995</v>
      </c>
      <c r="M56" s="15">
        <v>33</v>
      </c>
    </row>
    <row r="57" spans="1:13">
      <c r="A57" s="6" t="s">
        <v>139</v>
      </c>
      <c r="B57" s="6" t="s">
        <v>44</v>
      </c>
      <c r="C57" s="6" t="s">
        <v>90</v>
      </c>
      <c r="D57" s="6">
        <v>758.8614166666666</v>
      </c>
      <c r="E57" s="7">
        <v>14433111.60702764</v>
      </c>
      <c r="F57" s="7">
        <v>16743454.14603569</v>
      </c>
      <c r="G57" s="6" t="s">
        <v>44</v>
      </c>
      <c r="H57" s="6">
        <v>0.536035537730801</v>
      </c>
      <c r="I57" s="7">
        <v>31176565.75306333</v>
      </c>
      <c r="J57" s="6">
        <v>41083.34548092828</v>
      </c>
      <c r="K57" s="6" t="s">
        <v>179</v>
      </c>
      <c r="L57" s="15">
        <v>14.69237979993546</v>
      </c>
      <c r="M57" s="15">
        <v>42</v>
      </c>
    </row>
    <row r="58" spans="1:13">
      <c r="A58" s="6" t="s">
        <v>139</v>
      </c>
      <c r="B58" s="6" t="s">
        <v>44</v>
      </c>
      <c r="C58" s="6" t="s">
        <v>92</v>
      </c>
      <c r="D58" s="6">
        <v>387.6993333333334</v>
      </c>
      <c r="E58" s="7">
        <v>7057095.168243837</v>
      </c>
      <c r="F58" s="7">
        <v>10220097.98535239</v>
      </c>
      <c r="G58" s="6" t="s">
        <v>44</v>
      </c>
      <c r="H58" s="6">
        <v>0.5915384282707035</v>
      </c>
      <c r="I58" s="7">
        <v>17277193.15359623</v>
      </c>
      <c r="J58" s="6">
        <v>44563.38112591431</v>
      </c>
      <c r="K58" s="6" t="s">
        <v>179</v>
      </c>
      <c r="L58" s="15">
        <v>7.028058503808307</v>
      </c>
      <c r="M58" s="15">
        <v>43.95833333333333</v>
      </c>
    </row>
    <row r="59" spans="1:13">
      <c r="A59" s="6" t="s">
        <v>139</v>
      </c>
      <c r="B59" s="6" t="s">
        <v>44</v>
      </c>
      <c r="C59" s="6" t="s">
        <v>99</v>
      </c>
      <c r="D59" s="6">
        <v>1323.604083333333</v>
      </c>
      <c r="E59" s="7">
        <v>41001976.67111182</v>
      </c>
      <c r="F59" s="7">
        <v>322250.7751397081</v>
      </c>
      <c r="G59" s="6" t="s">
        <v>44</v>
      </c>
      <c r="H59" s="6">
        <v>0.007798692969306544</v>
      </c>
      <c r="I59" s="7">
        <v>41324227.44625153</v>
      </c>
      <c r="J59" s="6">
        <v>31220.98818415667</v>
      </c>
      <c r="K59" s="6" t="s">
        <v>179</v>
      </c>
      <c r="L59" s="15">
        <v>29.81190993689727</v>
      </c>
      <c r="M59" s="15">
        <v>26.98333333333333</v>
      </c>
    </row>
    <row r="60" spans="1:13">
      <c r="A60" s="6" t="s">
        <v>139</v>
      </c>
      <c r="B60" s="6" t="s">
        <v>86</v>
      </c>
      <c r="C60" s="6" t="s">
        <v>86</v>
      </c>
      <c r="D60" s="6">
        <v>25018.93558333332</v>
      </c>
      <c r="E60" s="7">
        <v>0</v>
      </c>
      <c r="F60" s="7">
        <v>0</v>
      </c>
      <c r="G60" s="6" t="s">
        <v>86</v>
      </c>
      <c r="H60" s="6">
        <v>0</v>
      </c>
      <c r="I60" s="7">
        <v>0</v>
      </c>
      <c r="J60" s="6">
        <v>0</v>
      </c>
      <c r="K60" s="6" t="s">
        <v>178</v>
      </c>
      <c r="L60" s="15">
        <v>0</v>
      </c>
      <c r="M60" s="15">
        <v>4</v>
      </c>
    </row>
    <row r="61" spans="1:13">
      <c r="A61" s="6" t="s">
        <v>139</v>
      </c>
      <c r="B61" s="6" t="s">
        <v>86</v>
      </c>
      <c r="C61" s="6" t="s">
        <v>90</v>
      </c>
      <c r="D61" s="6">
        <v>2890.899916666666</v>
      </c>
      <c r="E61" s="7">
        <v>16812017.11327169</v>
      </c>
      <c r="F61" s="7">
        <v>41011854.83626072</v>
      </c>
      <c r="G61" s="6" t="s">
        <v>86</v>
      </c>
      <c r="H61" s="6">
        <v>0.7090081181456076</v>
      </c>
      <c r="I61" s="7">
        <v>57823871.94953241</v>
      </c>
      <c r="J61" s="6">
        <v>20002.03176047888</v>
      </c>
      <c r="K61" s="6" t="s">
        <v>179</v>
      </c>
      <c r="L61" s="15">
        <v>57.65713492688731</v>
      </c>
      <c r="M61" s="15">
        <v>7</v>
      </c>
    </row>
    <row r="62" spans="1:13">
      <c r="A62" s="6" t="s">
        <v>139</v>
      </c>
      <c r="B62" s="6" t="s">
        <v>86</v>
      </c>
      <c r="C62" s="6" t="s">
        <v>101</v>
      </c>
      <c r="D62" s="6">
        <v>141.71775</v>
      </c>
      <c r="E62" s="7">
        <v>5199142.285058432</v>
      </c>
      <c r="F62" s="7">
        <v>0</v>
      </c>
      <c r="G62" s="6" t="s">
        <v>86</v>
      </c>
      <c r="H62" s="6">
        <v>0</v>
      </c>
      <c r="I62" s="7">
        <v>5199142.285058432</v>
      </c>
      <c r="J62" s="6">
        <v>36686.59913848782</v>
      </c>
      <c r="K62" s="6" t="s">
        <v>180</v>
      </c>
      <c r="L62" s="15">
        <v>3.13819504417724</v>
      </c>
      <c r="M62" s="15">
        <v>9.057310488173133</v>
      </c>
    </row>
    <row r="63" spans="1:13">
      <c r="A63" s="6" t="s">
        <v>139</v>
      </c>
      <c r="B63" s="6" t="s">
        <v>88</v>
      </c>
      <c r="C63" s="6" t="s">
        <v>86</v>
      </c>
      <c r="D63" s="6">
        <v>500.7108333333333</v>
      </c>
      <c r="E63" s="7">
        <v>20888482.74248084</v>
      </c>
      <c r="F63" s="7">
        <v>0</v>
      </c>
      <c r="G63" s="6" t="s">
        <v>88</v>
      </c>
      <c r="H63" s="6">
        <v>0</v>
      </c>
      <c r="I63" s="7">
        <v>20888482.74248084</v>
      </c>
      <c r="J63" s="6">
        <v>41717.65688276003</v>
      </c>
      <c r="K63" s="6" t="s">
        <v>179</v>
      </c>
      <c r="L63" s="15">
        <v>8.950215096048428</v>
      </c>
      <c r="M63" s="15">
        <v>36.66666666666666</v>
      </c>
    </row>
    <row r="64" spans="1:13">
      <c r="A64" s="6" t="s">
        <v>139</v>
      </c>
      <c r="B64" s="6" t="s">
        <v>88</v>
      </c>
      <c r="C64" s="6" t="s">
        <v>88</v>
      </c>
      <c r="D64" s="6">
        <v>10447.35156934148</v>
      </c>
      <c r="E64" s="7">
        <v>0</v>
      </c>
      <c r="F64" s="7">
        <v>0</v>
      </c>
      <c r="G64" s="6" t="s">
        <v>88</v>
      </c>
      <c r="H64" s="6">
        <v>0</v>
      </c>
      <c r="I64" s="7">
        <v>0</v>
      </c>
      <c r="J64" s="6">
        <v>0</v>
      </c>
      <c r="K64" s="6" t="s">
        <v>178</v>
      </c>
      <c r="L64" s="15">
        <v>0</v>
      </c>
      <c r="M64" s="15">
        <v>0</v>
      </c>
    </row>
    <row r="65" spans="1:13">
      <c r="A65" s="6" t="s">
        <v>139</v>
      </c>
      <c r="B65" s="6" t="s">
        <v>88</v>
      </c>
      <c r="C65" s="6" t="s">
        <v>90</v>
      </c>
      <c r="D65" s="6">
        <v>109.08575</v>
      </c>
      <c r="E65" s="7">
        <v>5366731.711564071</v>
      </c>
      <c r="F65" s="7">
        <v>27373.64261955098</v>
      </c>
      <c r="G65" s="6" t="s">
        <v>88</v>
      </c>
      <c r="H65" s="6">
        <v>0.005125532921292122</v>
      </c>
      <c r="I65" s="7">
        <v>5394105.354183623</v>
      </c>
      <c r="J65" s="6">
        <v>49448.30423940453</v>
      </c>
      <c r="K65" s="6" t="s">
        <v>179</v>
      </c>
      <c r="L65" s="15">
        <v>2.570412827823465</v>
      </c>
      <c r="M65" s="15">
        <v>28.16666666666667</v>
      </c>
    </row>
    <row r="66" spans="1:13">
      <c r="A66" s="6" t="s">
        <v>139</v>
      </c>
      <c r="B66" s="6" t="s">
        <v>88</v>
      </c>
      <c r="C66" s="6" t="s">
        <v>92</v>
      </c>
      <c r="D66" s="6">
        <v>10518.04443065851</v>
      </c>
      <c r="E66" s="7">
        <v>112109425.9919055</v>
      </c>
      <c r="F66" s="7">
        <v>1403760.695073442</v>
      </c>
      <c r="G66" s="6" t="s">
        <v>88</v>
      </c>
      <c r="H66" s="6">
        <v>0.01236899512110266</v>
      </c>
      <c r="I66" s="7">
        <v>113513186.686979</v>
      </c>
      <c r="J66" s="6">
        <v>10792.23304629758</v>
      </c>
      <c r="K66" s="6" t="s">
        <v>179</v>
      </c>
      <c r="L66" s="15">
        <v>177.0714550615911</v>
      </c>
      <c r="M66" s="15">
        <v>5</v>
      </c>
    </row>
    <row r="67" spans="1:13">
      <c r="A67" s="6" t="s">
        <v>139</v>
      </c>
      <c r="B67" s="6" t="s">
        <v>90</v>
      </c>
      <c r="C67" s="6" t="s">
        <v>86</v>
      </c>
      <c r="D67" s="6">
        <v>130.794</v>
      </c>
      <c r="E67" s="7">
        <v>85241.52712286678</v>
      </c>
      <c r="F67" s="7">
        <v>2706949.209982955</v>
      </c>
      <c r="G67" s="6" t="s">
        <v>90</v>
      </c>
      <c r="H67" s="6">
        <v>0.9694286509814988</v>
      </c>
      <c r="I67" s="7">
        <v>2792190.737105822</v>
      </c>
      <c r="J67" s="6">
        <v>21348.0032501936</v>
      </c>
      <c r="K67" s="6" t="s">
        <v>179</v>
      </c>
      <c r="L67" s="15">
        <v>2.703249007936507</v>
      </c>
      <c r="M67" s="15">
        <v>4</v>
      </c>
    </row>
    <row r="68" spans="1:13">
      <c r="A68" s="6" t="s">
        <v>139</v>
      </c>
      <c r="B68" s="6" t="s">
        <v>90</v>
      </c>
      <c r="C68" s="6" t="s">
        <v>90</v>
      </c>
      <c r="D68" s="6">
        <v>6324.535166666665</v>
      </c>
      <c r="E68" s="7">
        <v>0</v>
      </c>
      <c r="F68" s="7">
        <v>0</v>
      </c>
      <c r="G68" s="6" t="s">
        <v>90</v>
      </c>
      <c r="H68" s="6">
        <v>0</v>
      </c>
      <c r="I68" s="7">
        <v>0</v>
      </c>
      <c r="J68" s="6">
        <v>0</v>
      </c>
      <c r="K68" s="6" t="s">
        <v>178</v>
      </c>
      <c r="L68" s="15">
        <v>0</v>
      </c>
      <c r="M68" s="15">
        <v>31.625</v>
      </c>
    </row>
    <row r="69" spans="1:13">
      <c r="A69" s="6" t="s">
        <v>139</v>
      </c>
      <c r="B69" s="6" t="s">
        <v>90</v>
      </c>
      <c r="C69" s="6" t="s">
        <v>92</v>
      </c>
      <c r="D69" s="6">
        <v>24.34158333333333</v>
      </c>
      <c r="E69" s="7">
        <v>811240.9028758345</v>
      </c>
      <c r="F69" s="7">
        <v>409306.0924267806</v>
      </c>
      <c r="G69" s="6" t="s">
        <v>90</v>
      </c>
      <c r="H69" s="6">
        <v>0.3357148668655341</v>
      </c>
      <c r="I69" s="7">
        <v>1220546.995302615</v>
      </c>
      <c r="J69" s="6">
        <v>50142.46520402802</v>
      </c>
      <c r="K69" s="6" t="s">
        <v>179</v>
      </c>
      <c r="L69" s="15">
        <v>0.607309781026754</v>
      </c>
      <c r="M69" s="15">
        <v>39</v>
      </c>
    </row>
    <row r="70" spans="1:13">
      <c r="A70" s="6" t="s">
        <v>139</v>
      </c>
      <c r="B70" s="6" t="s">
        <v>177</v>
      </c>
      <c r="C70" s="6" t="s">
        <v>44</v>
      </c>
      <c r="D70" s="6">
        <v>4012.25025</v>
      </c>
      <c r="E70" s="7">
        <v>5838976.770351639</v>
      </c>
      <c r="F70" s="7">
        <v>156441502.1583757</v>
      </c>
      <c r="G70" s="6" t="s">
        <v>177</v>
      </c>
      <c r="H70" s="6">
        <v>0.9639274877609084</v>
      </c>
      <c r="I70" s="7">
        <v>162280478.9287273</v>
      </c>
      <c r="J70" s="6">
        <v>40446.25056194521</v>
      </c>
      <c r="K70" s="6" t="s">
        <v>179</v>
      </c>
      <c r="L70" s="15">
        <v>49.77977977667494</v>
      </c>
      <c r="M70" s="15">
        <v>45</v>
      </c>
    </row>
    <row r="71" spans="1:13">
      <c r="A71" s="6" t="s">
        <v>139</v>
      </c>
      <c r="B71" s="6" t="s">
        <v>177</v>
      </c>
      <c r="C71" s="6" t="s">
        <v>86</v>
      </c>
      <c r="D71" s="6">
        <v>3361.298330808842</v>
      </c>
      <c r="E71" s="7">
        <v>1550483.202826055</v>
      </c>
      <c r="F71" s="7">
        <v>59098746.93748216</v>
      </c>
      <c r="G71" s="6" t="s">
        <v>177</v>
      </c>
      <c r="H71" s="6">
        <v>0.9744353279055211</v>
      </c>
      <c r="I71" s="7">
        <v>60649230.14030822</v>
      </c>
      <c r="J71" s="6">
        <v>18043.39400177965</v>
      </c>
      <c r="K71" s="6" t="s">
        <v>179</v>
      </c>
      <c r="L71" s="15">
        <v>57.27988703194919</v>
      </c>
      <c r="M71" s="15">
        <v>3.733333333333333</v>
      </c>
    </row>
    <row r="72" spans="1:13">
      <c r="A72" s="6" t="s">
        <v>139</v>
      </c>
      <c r="B72" s="6" t="s">
        <v>177</v>
      </c>
      <c r="C72" s="6" t="s">
        <v>90</v>
      </c>
      <c r="D72" s="6">
        <v>13285.35675</v>
      </c>
      <c r="E72" s="7">
        <v>10649952.81647872</v>
      </c>
      <c r="F72" s="7">
        <v>212230691.5338322</v>
      </c>
      <c r="G72" s="6" t="s">
        <v>177</v>
      </c>
      <c r="H72" s="6">
        <v>0.9522167891809405</v>
      </c>
      <c r="I72" s="7">
        <v>222880644.3503109</v>
      </c>
      <c r="J72" s="6">
        <v>16776.41395292685</v>
      </c>
      <c r="K72" s="6" t="s">
        <v>179</v>
      </c>
      <c r="L72" s="15">
        <v>242.4335173357664</v>
      </c>
      <c r="M72" s="15">
        <v>2.833333333333333</v>
      </c>
    </row>
    <row r="73" spans="1:13">
      <c r="A73" s="6" t="s">
        <v>139</v>
      </c>
      <c r="B73" s="6" t="s">
        <v>177</v>
      </c>
      <c r="C73" s="6" t="s">
        <v>177</v>
      </c>
      <c r="D73" s="6">
        <v>1051.779919191158</v>
      </c>
      <c r="E73" s="7">
        <v>0</v>
      </c>
      <c r="F73" s="7">
        <v>0</v>
      </c>
      <c r="G73" s="6" t="s">
        <v>177</v>
      </c>
      <c r="H73" s="6">
        <v>0</v>
      </c>
      <c r="I73" s="7">
        <v>0</v>
      </c>
      <c r="J73" s="6">
        <v>0</v>
      </c>
      <c r="K73" s="6" t="s">
        <v>178</v>
      </c>
      <c r="L73" s="15">
        <v>0</v>
      </c>
      <c r="M73" s="15">
        <v>0</v>
      </c>
    </row>
    <row r="74" spans="1:13">
      <c r="A74" s="6" t="s">
        <v>139</v>
      </c>
      <c r="B74" s="6" t="s">
        <v>177</v>
      </c>
      <c r="C74" s="6" t="s">
        <v>92</v>
      </c>
      <c r="D74" s="6">
        <v>2413.757166666666</v>
      </c>
      <c r="E74" s="7">
        <v>4853299.332532665</v>
      </c>
      <c r="F74" s="7">
        <v>88953530.57285504</v>
      </c>
      <c r="G74" s="6" t="s">
        <v>177</v>
      </c>
      <c r="H74" s="6">
        <v>0.9482628361130246</v>
      </c>
      <c r="I74" s="7">
        <v>93806829.9053877</v>
      </c>
      <c r="J74" s="6">
        <v>38863.40813435363</v>
      </c>
      <c r="K74" s="6" t="s">
        <v>179</v>
      </c>
      <c r="L74" s="15">
        <v>33.77561120089928</v>
      </c>
      <c r="M74" s="15">
        <v>40.45</v>
      </c>
    </row>
    <row r="75" spans="1:13">
      <c r="A75" s="6" t="s">
        <v>139</v>
      </c>
      <c r="B75" s="6" t="s">
        <v>92</v>
      </c>
      <c r="C75" s="6" t="s">
        <v>88</v>
      </c>
      <c r="D75" s="6">
        <v>2.66625</v>
      </c>
      <c r="E75" s="7">
        <v>0</v>
      </c>
      <c r="F75" s="7">
        <v>33225.65993974702</v>
      </c>
      <c r="G75" s="6" t="s">
        <v>92</v>
      </c>
      <c r="H75" s="6">
        <v>1</v>
      </c>
      <c r="I75" s="7">
        <v>33225.65993974702</v>
      </c>
      <c r="J75" s="6">
        <v>12461.56959765477</v>
      </c>
      <c r="K75" s="6" t="s">
        <v>179</v>
      </c>
      <c r="L75" s="15">
        <v>1.107706688824262</v>
      </c>
      <c r="M75" s="15">
        <v>6</v>
      </c>
    </row>
    <row r="76" spans="1:13">
      <c r="A76" s="6" t="s">
        <v>139</v>
      </c>
      <c r="B76" s="6" t="s">
        <v>92</v>
      </c>
      <c r="C76" s="6" t="s">
        <v>92</v>
      </c>
      <c r="D76" s="6">
        <v>89.24766666666669</v>
      </c>
      <c r="E76" s="7">
        <v>0</v>
      </c>
      <c r="F76" s="7">
        <v>0</v>
      </c>
      <c r="G76" s="6" t="s">
        <v>92</v>
      </c>
      <c r="H76" s="6">
        <v>0</v>
      </c>
      <c r="I76" s="7">
        <v>0</v>
      </c>
      <c r="J76" s="6">
        <v>0</v>
      </c>
      <c r="K76" s="6" t="s">
        <v>178</v>
      </c>
      <c r="L76" s="15">
        <v>0</v>
      </c>
      <c r="M76" s="15">
        <v>78.98333333333333</v>
      </c>
    </row>
    <row r="77" spans="1:13">
      <c r="A77" s="6" t="s">
        <v>141</v>
      </c>
      <c r="B77" s="6" t="s">
        <v>44</v>
      </c>
      <c r="C77" s="6" t="s">
        <v>44</v>
      </c>
      <c r="D77" s="6">
        <v>37034.87665355884</v>
      </c>
      <c r="E77" s="7">
        <v>0</v>
      </c>
      <c r="F77" s="7">
        <v>0</v>
      </c>
      <c r="G77" s="6" t="s">
        <v>44</v>
      </c>
      <c r="H77" s="6">
        <v>0</v>
      </c>
      <c r="I77" s="7">
        <v>0</v>
      </c>
      <c r="J77" s="6">
        <v>0</v>
      </c>
      <c r="K77" s="6" t="s">
        <v>178</v>
      </c>
      <c r="L77" s="15">
        <v>0</v>
      </c>
      <c r="M77" s="15">
        <v>0</v>
      </c>
    </row>
    <row r="78" spans="1:13">
      <c r="A78" s="6" t="s">
        <v>141</v>
      </c>
      <c r="B78" s="6" t="s">
        <v>44</v>
      </c>
      <c r="C78" s="6" t="s">
        <v>86</v>
      </c>
      <c r="D78" s="6">
        <v>18051.39176901376</v>
      </c>
      <c r="E78" s="7">
        <v>150774879.6894383</v>
      </c>
      <c r="F78" s="7">
        <v>492591970.8764532</v>
      </c>
      <c r="G78" s="6" t="s">
        <v>44</v>
      </c>
      <c r="H78" s="6">
        <v>0.7656266185856002</v>
      </c>
      <c r="I78" s="7">
        <v>643366850.5658915</v>
      </c>
      <c r="J78" s="6">
        <v>35640.84469488203</v>
      </c>
      <c r="K78" s="6" t="s">
        <v>179</v>
      </c>
      <c r="L78" s="15">
        <v>257.142332891934</v>
      </c>
      <c r="M78" s="15">
        <v>33</v>
      </c>
    </row>
    <row r="79" spans="1:13">
      <c r="A79" s="6" t="s">
        <v>141</v>
      </c>
      <c r="B79" s="6" t="s">
        <v>44</v>
      </c>
      <c r="C79" s="6" t="s">
        <v>90</v>
      </c>
      <c r="D79" s="6">
        <v>3023.239098644103</v>
      </c>
      <c r="E79" s="7">
        <v>57500284.46185553</v>
      </c>
      <c r="F79" s="7">
        <v>66704491.89919037</v>
      </c>
      <c r="G79" s="6" t="s">
        <v>44</v>
      </c>
      <c r="H79" s="6">
        <v>0.536035537730801</v>
      </c>
      <c r="I79" s="7">
        <v>124204776.3610459</v>
      </c>
      <c r="J79" s="6">
        <v>41083.34548092828</v>
      </c>
      <c r="K79" s="6" t="s">
        <v>179</v>
      </c>
      <c r="L79" s="15">
        <v>58.5331868082111</v>
      </c>
      <c r="M79" s="15">
        <v>42</v>
      </c>
    </row>
    <row r="80" spans="1:13">
      <c r="A80" s="6" t="s">
        <v>141</v>
      </c>
      <c r="B80" s="6" t="s">
        <v>44</v>
      </c>
      <c r="C80" s="6" t="s">
        <v>92</v>
      </c>
      <c r="D80" s="6">
        <v>3097.977828035803</v>
      </c>
      <c r="E80" s="7">
        <v>56390925.85893365</v>
      </c>
      <c r="F80" s="7">
        <v>81665440.81145808</v>
      </c>
      <c r="G80" s="6" t="s">
        <v>44</v>
      </c>
      <c r="H80" s="6">
        <v>0.5915384282707035</v>
      </c>
      <c r="I80" s="7">
        <v>138056366.6703917</v>
      </c>
      <c r="J80" s="6">
        <v>44563.38112591432</v>
      </c>
      <c r="K80" s="6" t="s">
        <v>179</v>
      </c>
      <c r="L80" s="15">
        <v>56.15890342585907</v>
      </c>
      <c r="M80" s="15">
        <v>43.95833333333333</v>
      </c>
    </row>
    <row r="81" spans="1:13">
      <c r="A81" s="6" t="s">
        <v>141</v>
      </c>
      <c r="B81" s="6" t="s">
        <v>44</v>
      </c>
      <c r="C81" s="6" t="s">
        <v>94</v>
      </c>
      <c r="D81" s="6">
        <v>1052.883236283024</v>
      </c>
      <c r="E81" s="7">
        <v>94625055.38918644</v>
      </c>
      <c r="F81" s="7">
        <v>13046638.99887412</v>
      </c>
      <c r="G81" s="6" t="s">
        <v>44</v>
      </c>
      <c r="H81" s="6">
        <v>0.121175153504545</v>
      </c>
      <c r="I81" s="7">
        <v>107671694.3880606</v>
      </c>
      <c r="J81" s="6">
        <v>102263.6610382099</v>
      </c>
      <c r="K81" s="6" t="s">
        <v>179</v>
      </c>
      <c r="L81" s="15">
        <v>16.16810608379821</v>
      </c>
      <c r="M81" s="15">
        <v>72</v>
      </c>
    </row>
    <row r="82" spans="1:13">
      <c r="A82" s="6" t="s">
        <v>141</v>
      </c>
      <c r="B82" s="6" t="s">
        <v>44</v>
      </c>
      <c r="C82" s="6" t="s">
        <v>97</v>
      </c>
      <c r="D82" s="6">
        <v>2.528461088408558</v>
      </c>
      <c r="E82" s="7">
        <v>108341.5656771002</v>
      </c>
      <c r="F82" s="7">
        <v>1890.057110353704</v>
      </c>
      <c r="G82" s="6" t="s">
        <v>44</v>
      </c>
      <c r="H82" s="6">
        <v>0.0181786981730025</v>
      </c>
      <c r="I82" s="7">
        <v>110231.6227874539</v>
      </c>
      <c r="J82" s="6">
        <v>43596.32951948451</v>
      </c>
      <c r="K82" s="6" t="s">
        <v>179</v>
      </c>
      <c r="L82" s="15">
        <v>0.1720626803952744</v>
      </c>
      <c r="M82" s="15">
        <v>29</v>
      </c>
    </row>
    <row r="83" spans="1:13">
      <c r="A83" s="6" t="s">
        <v>141</v>
      </c>
      <c r="B83" s="6" t="s">
        <v>44</v>
      </c>
      <c r="C83" s="6" t="s">
        <v>99</v>
      </c>
      <c r="D83" s="6">
        <v>1009.128703376062</v>
      </c>
      <c r="E83" s="7">
        <v>31260308.18050484</v>
      </c>
      <c r="F83" s="7">
        <v>245687.1438925357</v>
      </c>
      <c r="G83" s="6" t="s">
        <v>44</v>
      </c>
      <c r="H83" s="6">
        <v>0.007798692969306544</v>
      </c>
      <c r="I83" s="7">
        <v>31505995.32439738</v>
      </c>
      <c r="J83" s="6">
        <v>31220.98818415668</v>
      </c>
      <c r="K83" s="6" t="s">
        <v>179</v>
      </c>
      <c r="L83" s="15">
        <v>22.72889181787813</v>
      </c>
      <c r="M83" s="15">
        <v>26.98333333333333</v>
      </c>
    </row>
    <row r="84" spans="1:13">
      <c r="A84" s="6" t="s">
        <v>141</v>
      </c>
      <c r="B84" s="6" t="s">
        <v>86</v>
      </c>
      <c r="C84" s="6" t="s">
        <v>44</v>
      </c>
      <c r="D84" s="6">
        <v>3094.502115978269</v>
      </c>
      <c r="E84" s="7">
        <v>53439939.52476822</v>
      </c>
      <c r="F84" s="7">
        <v>76089053.53192852</v>
      </c>
      <c r="G84" s="6" t="s">
        <v>86</v>
      </c>
      <c r="H84" s="6">
        <v>0.5874364772942012</v>
      </c>
      <c r="I84" s="7">
        <v>129528993.0566967</v>
      </c>
      <c r="J84" s="6">
        <v>41857.78138198124</v>
      </c>
      <c r="K84" s="6" t="s">
        <v>179</v>
      </c>
      <c r="L84" s="15">
        <v>49.79566999192632</v>
      </c>
      <c r="M84" s="15">
        <v>36</v>
      </c>
    </row>
    <row r="85" spans="1:13">
      <c r="A85" s="6" t="s">
        <v>141</v>
      </c>
      <c r="B85" s="6" t="s">
        <v>86</v>
      </c>
      <c r="C85" s="6" t="s">
        <v>86</v>
      </c>
      <c r="D85" s="6">
        <v>23124.14823480271</v>
      </c>
      <c r="E85" s="7">
        <v>0</v>
      </c>
      <c r="F85" s="7">
        <v>0</v>
      </c>
      <c r="G85" s="6" t="s">
        <v>86</v>
      </c>
      <c r="H85" s="6">
        <v>0</v>
      </c>
      <c r="I85" s="7">
        <v>0</v>
      </c>
      <c r="J85" s="6">
        <v>0</v>
      </c>
      <c r="K85" s="6" t="s">
        <v>178</v>
      </c>
      <c r="L85" s="15">
        <v>0</v>
      </c>
      <c r="M85" s="15">
        <v>4</v>
      </c>
    </row>
    <row r="86" spans="1:13">
      <c r="A86" s="6" t="s">
        <v>141</v>
      </c>
      <c r="B86" s="6" t="s">
        <v>86</v>
      </c>
      <c r="C86" s="6" t="s">
        <v>88</v>
      </c>
      <c r="D86" s="6">
        <v>0.3666666666666667</v>
      </c>
      <c r="E86" s="7">
        <v>20220.29510693177</v>
      </c>
      <c r="F86" s="7">
        <v>0</v>
      </c>
      <c r="G86" s="6" t="s">
        <v>86</v>
      </c>
      <c r="H86" s="6">
        <v>0</v>
      </c>
      <c r="I86" s="7">
        <v>20220.29510693177</v>
      </c>
      <c r="J86" s="6">
        <v>55146.25938254119</v>
      </c>
      <c r="K86" s="6" t="s">
        <v>180</v>
      </c>
      <c r="L86" s="15">
        <v>0.00596564871006405</v>
      </c>
      <c r="M86" s="15">
        <v>44</v>
      </c>
    </row>
    <row r="87" spans="1:13">
      <c r="A87" s="6" t="s">
        <v>141</v>
      </c>
      <c r="B87" s="6" t="s">
        <v>86</v>
      </c>
      <c r="C87" s="6" t="s">
        <v>90</v>
      </c>
      <c r="D87" s="6">
        <v>628.6404457950379</v>
      </c>
      <c r="E87" s="7">
        <v>3655856.043950186</v>
      </c>
      <c r="F87" s="7">
        <v>8918230.118763765</v>
      </c>
      <c r="G87" s="6" t="s">
        <v>86</v>
      </c>
      <c r="H87" s="6">
        <v>0.7090081181456076</v>
      </c>
      <c r="I87" s="7">
        <v>12574086.16271395</v>
      </c>
      <c r="J87" s="6">
        <v>20002.03176047888</v>
      </c>
      <c r="K87" s="6" t="s">
        <v>179</v>
      </c>
      <c r="L87" s="15">
        <v>12.53782837473525</v>
      </c>
      <c r="M87" s="15">
        <v>7</v>
      </c>
    </row>
    <row r="88" spans="1:13">
      <c r="A88" s="6" t="s">
        <v>141</v>
      </c>
      <c r="B88" s="6" t="s">
        <v>86</v>
      </c>
      <c r="C88" s="6" t="s">
        <v>92</v>
      </c>
      <c r="D88" s="6">
        <v>1125.839789735895</v>
      </c>
      <c r="E88" s="7">
        <v>37635973.3558344</v>
      </c>
      <c r="F88" s="7">
        <v>21764845.27890241</v>
      </c>
      <c r="G88" s="6" t="s">
        <v>86</v>
      </c>
      <c r="H88" s="6">
        <v>0.366502577476383</v>
      </c>
      <c r="I88" s="7">
        <v>59400818.63473681</v>
      </c>
      <c r="J88" s="6">
        <v>52761.34240083248</v>
      </c>
      <c r="K88" s="6" t="s">
        <v>179</v>
      </c>
      <c r="L88" s="15">
        <v>28.89806693539093</v>
      </c>
      <c r="M88" s="15">
        <v>44.06666666666666</v>
      </c>
    </row>
    <row r="89" spans="1:13">
      <c r="A89" s="6" t="s">
        <v>141</v>
      </c>
      <c r="B89" s="6" t="s">
        <v>86</v>
      </c>
      <c r="C89" s="6" t="s">
        <v>94</v>
      </c>
      <c r="D89" s="6">
        <v>142.2142244885479</v>
      </c>
      <c r="E89" s="7">
        <v>12015422.38798678</v>
      </c>
      <c r="F89" s="7">
        <v>1011414.757554964</v>
      </c>
      <c r="G89" s="6" t="s">
        <v>86</v>
      </c>
      <c r="H89" s="6">
        <v>0.07764451764509536</v>
      </c>
      <c r="I89" s="7">
        <v>13026837.14554174</v>
      </c>
      <c r="J89" s="6">
        <v>91600.09972554294</v>
      </c>
      <c r="K89" s="6" t="s">
        <v>179</v>
      </c>
      <c r="L89" s="15">
        <v>2.679621734204115</v>
      </c>
      <c r="M89" s="15">
        <v>68.39166666666667</v>
      </c>
    </row>
    <row r="90" spans="1:13">
      <c r="A90" s="6" t="s">
        <v>141</v>
      </c>
      <c r="B90" s="6" t="s">
        <v>86</v>
      </c>
      <c r="C90" s="6" t="s">
        <v>99</v>
      </c>
      <c r="D90" s="6">
        <v>237.5718558662118</v>
      </c>
      <c r="E90" s="7">
        <v>10752610.58521103</v>
      </c>
      <c r="F90" s="7">
        <v>37586.2627050872</v>
      </c>
      <c r="G90" s="6" t="s">
        <v>86</v>
      </c>
      <c r="H90" s="6">
        <v>0.003483523221599543</v>
      </c>
      <c r="I90" s="7">
        <v>10790196.84791612</v>
      </c>
      <c r="J90" s="6">
        <v>45418.66631707673</v>
      </c>
      <c r="K90" s="6" t="s">
        <v>179</v>
      </c>
      <c r="L90" s="15">
        <v>5.848282500245228</v>
      </c>
      <c r="M90" s="15">
        <v>29</v>
      </c>
    </row>
    <row r="91" spans="1:13">
      <c r="A91" s="6" t="s">
        <v>141</v>
      </c>
      <c r="B91" s="6" t="s">
        <v>88</v>
      </c>
      <c r="C91" s="6" t="s">
        <v>44</v>
      </c>
      <c r="D91" s="6">
        <v>2886.74325</v>
      </c>
      <c r="E91" s="7">
        <v>138708623.9670413</v>
      </c>
      <c r="F91" s="7">
        <v>0</v>
      </c>
      <c r="G91" s="6" t="s">
        <v>88</v>
      </c>
      <c r="H91" s="6">
        <v>0</v>
      </c>
      <c r="I91" s="7">
        <v>138708623.9670413</v>
      </c>
      <c r="J91" s="6">
        <v>48050.2115894932</v>
      </c>
      <c r="K91" s="6" t="s">
        <v>179</v>
      </c>
      <c r="L91" s="15">
        <v>54.26821164041057</v>
      </c>
      <c r="M91" s="15">
        <v>28.4</v>
      </c>
    </row>
    <row r="92" spans="1:13">
      <c r="A92" s="6" t="s">
        <v>141</v>
      </c>
      <c r="B92" s="6" t="s">
        <v>88</v>
      </c>
      <c r="C92" s="6" t="s">
        <v>86</v>
      </c>
      <c r="D92" s="6">
        <v>3449.248</v>
      </c>
      <c r="E92" s="7">
        <v>143894544.5675462</v>
      </c>
      <c r="F92" s="7">
        <v>0</v>
      </c>
      <c r="G92" s="6" t="s">
        <v>88</v>
      </c>
      <c r="H92" s="6">
        <v>0</v>
      </c>
      <c r="I92" s="7">
        <v>143894544.5675462</v>
      </c>
      <c r="J92" s="6">
        <v>41717.65688276002</v>
      </c>
      <c r="K92" s="6" t="s">
        <v>179</v>
      </c>
      <c r="L92" s="15">
        <v>61.65536965536965</v>
      </c>
      <c r="M92" s="15">
        <v>36.66666666666666</v>
      </c>
    </row>
    <row r="93" spans="1:13">
      <c r="A93" s="6" t="s">
        <v>141</v>
      </c>
      <c r="B93" s="6" t="s">
        <v>88</v>
      </c>
      <c r="C93" s="6" t="s">
        <v>88</v>
      </c>
      <c r="D93" s="6">
        <v>6642.664083333333</v>
      </c>
      <c r="E93" s="7">
        <v>0</v>
      </c>
      <c r="F93" s="7">
        <v>0</v>
      </c>
      <c r="G93" s="6" t="s">
        <v>88</v>
      </c>
      <c r="H93" s="6">
        <v>0</v>
      </c>
      <c r="I93" s="7">
        <v>0</v>
      </c>
      <c r="J93" s="6">
        <v>0</v>
      </c>
      <c r="K93" s="6" t="s">
        <v>178</v>
      </c>
      <c r="L93" s="15">
        <v>0</v>
      </c>
      <c r="M93" s="15">
        <v>0</v>
      </c>
    </row>
    <row r="94" spans="1:13">
      <c r="A94" s="6" t="s">
        <v>141</v>
      </c>
      <c r="B94" s="6" t="s">
        <v>88</v>
      </c>
      <c r="C94" s="6" t="s">
        <v>90</v>
      </c>
      <c r="D94" s="6">
        <v>253.1028333333333</v>
      </c>
      <c r="E94" s="7">
        <v>12451993.05992502</v>
      </c>
      <c r="F94" s="7">
        <v>63512.84659694269</v>
      </c>
      <c r="G94" s="6" t="s">
        <v>88</v>
      </c>
      <c r="H94" s="6">
        <v>0.005125532921292122</v>
      </c>
      <c r="I94" s="7">
        <v>12515505.90652196</v>
      </c>
      <c r="J94" s="6">
        <v>49448.30423940453</v>
      </c>
      <c r="K94" s="6" t="s">
        <v>179</v>
      </c>
      <c r="L94" s="15">
        <v>5.963920764705421</v>
      </c>
      <c r="M94" s="15">
        <v>28.16666666666667</v>
      </c>
    </row>
    <row r="95" spans="1:13">
      <c r="A95" s="6" t="s">
        <v>141</v>
      </c>
      <c r="B95" s="6" t="s">
        <v>88</v>
      </c>
      <c r="C95" s="6" t="s">
        <v>92</v>
      </c>
      <c r="D95" s="6">
        <v>7719.592666666666</v>
      </c>
      <c r="E95" s="7">
        <v>82281369.74100421</v>
      </c>
      <c r="F95" s="7">
        <v>1030273.340152205</v>
      </c>
      <c r="G95" s="6" t="s">
        <v>88</v>
      </c>
      <c r="H95" s="6">
        <v>0.01236899512110266</v>
      </c>
      <c r="I95" s="7">
        <v>83311643.08115642</v>
      </c>
      <c r="J95" s="6">
        <v>10792.23304629758</v>
      </c>
      <c r="K95" s="6" t="s">
        <v>179</v>
      </c>
      <c r="L95" s="15">
        <v>129.9594725028058</v>
      </c>
      <c r="M95" s="15">
        <v>5</v>
      </c>
    </row>
    <row r="96" spans="1:13">
      <c r="A96" s="6" t="s">
        <v>141</v>
      </c>
      <c r="B96" s="6" t="s">
        <v>88</v>
      </c>
      <c r="C96" s="6" t="s">
        <v>94</v>
      </c>
      <c r="D96" s="6">
        <v>312.9375833333334</v>
      </c>
      <c r="E96" s="7">
        <v>39051499.91206461</v>
      </c>
      <c r="F96" s="7">
        <v>0</v>
      </c>
      <c r="G96" s="6" t="s">
        <v>88</v>
      </c>
      <c r="H96" s="6">
        <v>0</v>
      </c>
      <c r="I96" s="7">
        <v>39051499.91206461</v>
      </c>
      <c r="J96" s="6">
        <v>124790.0603567579</v>
      </c>
      <c r="K96" s="6" t="s">
        <v>180</v>
      </c>
      <c r="L96" s="15">
        <v>6.929683636336795</v>
      </c>
      <c r="M96" s="15">
        <v>28.46915263785587</v>
      </c>
    </row>
    <row r="97" spans="1:13">
      <c r="A97" s="6" t="s">
        <v>141</v>
      </c>
      <c r="B97" s="6" t="s">
        <v>88</v>
      </c>
      <c r="C97" s="6" t="s">
        <v>99</v>
      </c>
      <c r="D97" s="6">
        <v>310.9041666666667</v>
      </c>
      <c r="E97" s="7">
        <v>10740991.08044178</v>
      </c>
      <c r="F97" s="7">
        <v>0</v>
      </c>
      <c r="G97" s="6" t="s">
        <v>88</v>
      </c>
      <c r="H97" s="6">
        <v>0</v>
      </c>
      <c r="I97" s="7">
        <v>10740991.08044178</v>
      </c>
      <c r="J97" s="6">
        <v>34547.59450669454</v>
      </c>
      <c r="K97" s="6" t="s">
        <v>180</v>
      </c>
      <c r="L97" s="15">
        <v>6.884655698015161</v>
      </c>
      <c r="M97" s="15">
        <v>8.58602343888294</v>
      </c>
    </row>
    <row r="98" spans="1:13">
      <c r="A98" s="6" t="s">
        <v>141</v>
      </c>
      <c r="B98" s="6" t="s">
        <v>90</v>
      </c>
      <c r="C98" s="6" t="s">
        <v>44</v>
      </c>
      <c r="D98" s="6">
        <v>1408.198055134412</v>
      </c>
      <c r="E98" s="7">
        <v>49979487.43344782</v>
      </c>
      <c r="F98" s="7">
        <v>14595351.85307701</v>
      </c>
      <c r="G98" s="6" t="s">
        <v>90</v>
      </c>
      <c r="H98" s="6">
        <v>0.2280452603147799</v>
      </c>
      <c r="I98" s="7">
        <v>64574839.28652482</v>
      </c>
      <c r="J98" s="6">
        <v>45856.36164677216</v>
      </c>
      <c r="K98" s="6" t="s">
        <v>179</v>
      </c>
      <c r="L98" s="15">
        <v>23.22935023274601</v>
      </c>
      <c r="M98" s="15">
        <v>37.86666666666667</v>
      </c>
    </row>
    <row r="99" spans="1:13">
      <c r="A99" s="6" t="s">
        <v>141</v>
      </c>
      <c r="B99" s="6" t="s">
        <v>90</v>
      </c>
      <c r="C99" s="6" t="s">
        <v>86</v>
      </c>
      <c r="D99" s="6">
        <v>2323.1043337162</v>
      </c>
      <c r="E99" s="7">
        <v>1514021.752310648</v>
      </c>
      <c r="F99" s="7">
        <v>48079617.11440164</v>
      </c>
      <c r="G99" s="6" t="s">
        <v>90</v>
      </c>
      <c r="H99" s="6">
        <v>0.9694286509814988</v>
      </c>
      <c r="I99" s="7">
        <v>49593638.86671229</v>
      </c>
      <c r="J99" s="6">
        <v>21348.0032501936</v>
      </c>
      <c r="K99" s="6" t="s">
        <v>179</v>
      </c>
      <c r="L99" s="15">
        <v>48.01389578613178</v>
      </c>
      <c r="M99" s="15">
        <v>4</v>
      </c>
    </row>
    <row r="100" spans="1:13">
      <c r="A100" s="6" t="s">
        <v>141</v>
      </c>
      <c r="B100" s="6" t="s">
        <v>90</v>
      </c>
      <c r="C100" s="6" t="s">
        <v>90</v>
      </c>
      <c r="D100" s="6">
        <v>1782.136883258886</v>
      </c>
      <c r="E100" s="7">
        <v>0</v>
      </c>
      <c r="F100" s="7">
        <v>0</v>
      </c>
      <c r="G100" s="6" t="s">
        <v>90</v>
      </c>
      <c r="H100" s="6">
        <v>0</v>
      </c>
      <c r="I100" s="7">
        <v>0</v>
      </c>
      <c r="J100" s="6">
        <v>0</v>
      </c>
      <c r="K100" s="6" t="s">
        <v>178</v>
      </c>
      <c r="L100" s="15">
        <v>0</v>
      </c>
      <c r="M100" s="15">
        <v>31.625</v>
      </c>
    </row>
    <row r="101" spans="1:13">
      <c r="A101" s="6" t="s">
        <v>141</v>
      </c>
      <c r="B101" s="6" t="s">
        <v>90</v>
      </c>
      <c r="C101" s="6" t="s">
        <v>92</v>
      </c>
      <c r="D101" s="6">
        <v>405.5975268737611</v>
      </c>
      <c r="E101" s="7">
        <v>13517497.99507464</v>
      </c>
      <c r="F101" s="7">
        <v>6820161.883032749</v>
      </c>
      <c r="G101" s="6" t="s">
        <v>90</v>
      </c>
      <c r="H101" s="6">
        <v>0.3357148668655341</v>
      </c>
      <c r="I101" s="7">
        <v>20337659.87810738</v>
      </c>
      <c r="J101" s="6">
        <v>50142.46520402802</v>
      </c>
      <c r="K101" s="6" t="s">
        <v>179</v>
      </c>
      <c r="L101" s="15">
        <v>10.1194462931005</v>
      </c>
      <c r="M101" s="15">
        <v>39</v>
      </c>
    </row>
    <row r="102" spans="1:13">
      <c r="A102" s="6" t="s">
        <v>141</v>
      </c>
      <c r="B102" s="6" t="s">
        <v>90</v>
      </c>
      <c r="C102" s="6" t="s">
        <v>94</v>
      </c>
      <c r="D102" s="6">
        <v>122.2068024614469</v>
      </c>
      <c r="E102" s="7">
        <v>8259554.437740543</v>
      </c>
      <c r="F102" s="7">
        <v>2770914.381098694</v>
      </c>
      <c r="G102" s="6" t="s">
        <v>90</v>
      </c>
      <c r="H102" s="6">
        <v>0.2516470486764373</v>
      </c>
      <c r="I102" s="7">
        <v>11030468.81883924</v>
      </c>
      <c r="J102" s="6">
        <v>90260.67777461949</v>
      </c>
      <c r="K102" s="6" t="s">
        <v>179</v>
      </c>
      <c r="L102" s="15">
        <v>1.843212055043618</v>
      </c>
      <c r="M102" s="15">
        <v>68</v>
      </c>
    </row>
    <row r="103" spans="1:13">
      <c r="A103" s="6" t="s">
        <v>141</v>
      </c>
      <c r="B103" s="6" t="s">
        <v>90</v>
      </c>
      <c r="C103" s="6" t="s">
        <v>99</v>
      </c>
      <c r="D103" s="6">
        <v>89.95531522196001</v>
      </c>
      <c r="E103" s="7">
        <v>4513321.810162131</v>
      </c>
      <c r="F103" s="7">
        <v>0</v>
      </c>
      <c r="G103" s="6" t="s">
        <v>90</v>
      </c>
      <c r="H103" s="6">
        <v>0</v>
      </c>
      <c r="I103" s="7">
        <v>4513321.810162131</v>
      </c>
      <c r="J103" s="6">
        <v>50172.93084934166</v>
      </c>
      <c r="K103" s="6" t="s">
        <v>179</v>
      </c>
      <c r="L103" s="15">
        <v>2.189013365015818</v>
      </c>
      <c r="M103" s="15">
        <v>27.225</v>
      </c>
    </row>
    <row r="104" spans="1:13">
      <c r="A104" s="6" t="s">
        <v>141</v>
      </c>
      <c r="B104" s="6" t="s">
        <v>92</v>
      </c>
      <c r="C104" s="6" t="s">
        <v>44</v>
      </c>
      <c r="D104" s="6">
        <v>23.67616666666667</v>
      </c>
      <c r="E104" s="7">
        <v>596768.5655137354</v>
      </c>
      <c r="F104" s="7">
        <v>566891.8732529427</v>
      </c>
      <c r="G104" s="6" t="s">
        <v>92</v>
      </c>
      <c r="H104" s="6">
        <v>0.4871655319726899</v>
      </c>
      <c r="I104" s="7">
        <v>1163660.438766678</v>
      </c>
      <c r="J104" s="6">
        <v>49149.02210098811</v>
      </c>
      <c r="K104" s="6" t="s">
        <v>179</v>
      </c>
      <c r="L104" s="15">
        <v>0.4820360906950071</v>
      </c>
      <c r="M104" s="15">
        <v>46</v>
      </c>
    </row>
    <row r="105" spans="1:13">
      <c r="A105" s="6" t="s">
        <v>141</v>
      </c>
      <c r="B105" s="6" t="s">
        <v>92</v>
      </c>
      <c r="C105" s="6" t="s">
        <v>86</v>
      </c>
      <c r="D105" s="6">
        <v>42.30408333333333</v>
      </c>
      <c r="E105" s="7">
        <v>406974.6200251711</v>
      </c>
      <c r="F105" s="7">
        <v>1828474.473048865</v>
      </c>
      <c r="G105" s="6" t="s">
        <v>92</v>
      </c>
      <c r="H105" s="6">
        <v>0.8175712365669957</v>
      </c>
      <c r="I105" s="7">
        <v>2235449.093074036</v>
      </c>
      <c r="J105" s="6">
        <v>52842.3952709223</v>
      </c>
      <c r="K105" s="6" t="s">
        <v>179</v>
      </c>
      <c r="L105" s="15">
        <v>1.095364784271079</v>
      </c>
      <c r="M105" s="15">
        <v>50</v>
      </c>
    </row>
    <row r="106" spans="1:13">
      <c r="A106" s="6" t="s">
        <v>141</v>
      </c>
      <c r="B106" s="6" t="s">
        <v>92</v>
      </c>
      <c r="C106" s="6" t="s">
        <v>90</v>
      </c>
      <c r="D106" s="6">
        <v>5.246</v>
      </c>
      <c r="E106" s="7">
        <v>56817.30186469078</v>
      </c>
      <c r="F106" s="7">
        <v>225980.9247580741</v>
      </c>
      <c r="G106" s="6" t="s">
        <v>92</v>
      </c>
      <c r="H106" s="6">
        <v>0.8018526400949401</v>
      </c>
      <c r="I106" s="7">
        <v>282798.2266227649</v>
      </c>
      <c r="J106" s="6">
        <v>53907.40118619232</v>
      </c>
      <c r="K106" s="6" t="s">
        <v>179</v>
      </c>
      <c r="L106" s="15">
        <v>0.1439587278065914</v>
      </c>
      <c r="M106" s="15">
        <v>48.23333333333333</v>
      </c>
    </row>
    <row r="107" spans="1:13">
      <c r="A107" s="6" t="s">
        <v>141</v>
      </c>
      <c r="B107" s="6" t="s">
        <v>92</v>
      </c>
      <c r="C107" s="6" t="s">
        <v>92</v>
      </c>
      <c r="D107" s="6">
        <v>14.67583333333333</v>
      </c>
      <c r="E107" s="7">
        <v>0</v>
      </c>
      <c r="F107" s="7">
        <v>0</v>
      </c>
      <c r="G107" s="6" t="s">
        <v>92</v>
      </c>
      <c r="H107" s="6">
        <v>0</v>
      </c>
      <c r="I107" s="7">
        <v>0</v>
      </c>
      <c r="J107" s="6">
        <v>0</v>
      </c>
      <c r="K107" s="6" t="s">
        <v>178</v>
      </c>
      <c r="L107" s="15">
        <v>0</v>
      </c>
      <c r="M107" s="15">
        <v>78.98333333333333</v>
      </c>
    </row>
    <row r="108" spans="1:13">
      <c r="A108" s="6" t="s">
        <v>141</v>
      </c>
      <c r="B108" s="6" t="s">
        <v>92</v>
      </c>
      <c r="C108" s="6" t="s">
        <v>94</v>
      </c>
      <c r="D108" s="6">
        <v>3.831166666666667</v>
      </c>
      <c r="E108" s="7">
        <v>481912.1565026224</v>
      </c>
      <c r="F108" s="7">
        <v>5880.479078110159</v>
      </c>
      <c r="G108" s="6" t="s">
        <v>92</v>
      </c>
      <c r="H108" s="6">
        <v>0.01205017909568238</v>
      </c>
      <c r="I108" s="7">
        <v>487792.6355807325</v>
      </c>
      <c r="J108" s="6">
        <v>127322.2174918169</v>
      </c>
      <c r="K108" s="6" t="s">
        <v>179</v>
      </c>
      <c r="L108" s="15">
        <v>0.05662045794908174</v>
      </c>
      <c r="M108" s="15">
        <v>69.90000000000001</v>
      </c>
    </row>
    <row r="109" spans="1:13">
      <c r="A109" s="6" t="s">
        <v>141</v>
      </c>
      <c r="B109" s="6" t="s">
        <v>92</v>
      </c>
      <c r="C109" s="6" t="s">
        <v>99</v>
      </c>
      <c r="D109" s="6">
        <v>2.180666666666667</v>
      </c>
      <c r="E109" s="7">
        <v>117214.1059025119</v>
      </c>
      <c r="F109" s="7">
        <v>3527.881825834821</v>
      </c>
      <c r="G109" s="6" t="s">
        <v>92</v>
      </c>
      <c r="H109" s="6">
        <v>0.02927140503685718</v>
      </c>
      <c r="I109" s="7">
        <v>120741.9877283467</v>
      </c>
      <c r="J109" s="6">
        <v>55369.30039514524</v>
      </c>
      <c r="K109" s="6" t="s">
        <v>179</v>
      </c>
      <c r="L109" s="15">
        <v>0.07751552206265699</v>
      </c>
      <c r="M109" s="15">
        <v>21.56666666666667</v>
      </c>
    </row>
    <row r="110" spans="1:13">
      <c r="A110" s="6" t="s">
        <v>143</v>
      </c>
      <c r="B110" s="6" t="s">
        <v>44</v>
      </c>
      <c r="C110" s="6" t="s">
        <v>44</v>
      </c>
      <c r="D110" s="6">
        <v>56796.1156363225</v>
      </c>
      <c r="E110" s="7">
        <v>0</v>
      </c>
      <c r="F110" s="7">
        <v>0</v>
      </c>
      <c r="G110" s="6" t="s">
        <v>44</v>
      </c>
      <c r="H110" s="6">
        <v>0</v>
      </c>
      <c r="I110" s="7">
        <v>0</v>
      </c>
      <c r="J110" s="6">
        <v>0</v>
      </c>
      <c r="K110" s="6" t="s">
        <v>178</v>
      </c>
      <c r="L110" s="15">
        <v>0</v>
      </c>
      <c r="M110" s="15">
        <v>0</v>
      </c>
    </row>
    <row r="111" spans="1:13">
      <c r="A111" s="6" t="s">
        <v>143</v>
      </c>
      <c r="B111" s="6" t="s">
        <v>44</v>
      </c>
      <c r="C111" s="6" t="s">
        <v>86</v>
      </c>
      <c r="D111" s="6">
        <v>915.421841639733</v>
      </c>
      <c r="E111" s="7">
        <v>7646092.877738016</v>
      </c>
      <c r="F111" s="7">
        <v>24980314.81044661</v>
      </c>
      <c r="G111" s="6" t="s">
        <v>44</v>
      </c>
      <c r="H111" s="6">
        <v>0.7656266185856002</v>
      </c>
      <c r="I111" s="7">
        <v>32626407.68818462</v>
      </c>
      <c r="J111" s="6">
        <v>35640.84469488203</v>
      </c>
      <c r="K111" s="6" t="s">
        <v>179</v>
      </c>
      <c r="L111" s="15">
        <v>13.04019717435517</v>
      </c>
      <c r="M111" s="15">
        <v>33</v>
      </c>
    </row>
    <row r="112" spans="1:13">
      <c r="A112" s="6" t="s">
        <v>143</v>
      </c>
      <c r="B112" s="6" t="s">
        <v>44</v>
      </c>
      <c r="C112" s="6" t="s">
        <v>90</v>
      </c>
      <c r="D112" s="6">
        <v>2829.450113677488</v>
      </c>
      <c r="E112" s="7">
        <v>53814528.42418317</v>
      </c>
      <c r="F112" s="7">
        <v>62428748.11708085</v>
      </c>
      <c r="G112" s="6" t="s">
        <v>44</v>
      </c>
      <c r="H112" s="6">
        <v>0.536035537730801</v>
      </c>
      <c r="I112" s="7">
        <v>116243276.541264</v>
      </c>
      <c r="J112" s="6">
        <v>41083.34548092828</v>
      </c>
      <c r="K112" s="6" t="s">
        <v>179</v>
      </c>
      <c r="L112" s="15">
        <v>54.78122194922533</v>
      </c>
      <c r="M112" s="15">
        <v>42</v>
      </c>
    </row>
    <row r="113" spans="1:13">
      <c r="A113" s="6" t="s">
        <v>143</v>
      </c>
      <c r="B113" s="6" t="s">
        <v>44</v>
      </c>
      <c r="C113" s="6" t="s">
        <v>92</v>
      </c>
      <c r="D113" s="6">
        <v>1176.741166666667</v>
      </c>
      <c r="E113" s="7">
        <v>21419625.17747502</v>
      </c>
      <c r="F113" s="7">
        <v>31019939.9192447</v>
      </c>
      <c r="G113" s="6" t="s">
        <v>44</v>
      </c>
      <c r="H113" s="6">
        <v>0.5915384282707035</v>
      </c>
      <c r="I113" s="7">
        <v>52439565.09671973</v>
      </c>
      <c r="J113" s="6">
        <v>44563.38112591432</v>
      </c>
      <c r="K113" s="6" t="s">
        <v>179</v>
      </c>
      <c r="L113" s="15">
        <v>21.3314933819153</v>
      </c>
      <c r="M113" s="15">
        <v>43.95833333333333</v>
      </c>
    </row>
    <row r="114" spans="1:13">
      <c r="A114" s="6" t="s">
        <v>143</v>
      </c>
      <c r="B114" s="6" t="s">
        <v>44</v>
      </c>
      <c r="C114" s="6" t="s">
        <v>99</v>
      </c>
      <c r="D114" s="6">
        <v>1554.2969916936</v>
      </c>
      <c r="E114" s="7">
        <v>48148271.6741898</v>
      </c>
      <c r="F114" s="7">
        <v>378416.3381463672</v>
      </c>
      <c r="G114" s="6" t="s">
        <v>44</v>
      </c>
      <c r="H114" s="6">
        <v>0.007798692969306544</v>
      </c>
      <c r="I114" s="7">
        <v>48526688.01233616</v>
      </c>
      <c r="J114" s="6">
        <v>31220.98818415667</v>
      </c>
      <c r="K114" s="6" t="s">
        <v>179</v>
      </c>
      <c r="L114" s="15">
        <v>35.00787170047638</v>
      </c>
      <c r="M114" s="15">
        <v>26.98333333333333</v>
      </c>
    </row>
    <row r="115" spans="1:13">
      <c r="A115" s="6" t="s">
        <v>143</v>
      </c>
      <c r="B115" s="6" t="s">
        <v>86</v>
      </c>
      <c r="C115" s="6" t="s">
        <v>86</v>
      </c>
      <c r="D115" s="6">
        <v>25453.44566666668</v>
      </c>
      <c r="E115" s="7">
        <v>0</v>
      </c>
      <c r="F115" s="7">
        <v>0</v>
      </c>
      <c r="G115" s="6" t="s">
        <v>86</v>
      </c>
      <c r="H115" s="6">
        <v>0</v>
      </c>
      <c r="I115" s="7">
        <v>0</v>
      </c>
      <c r="J115" s="6">
        <v>0</v>
      </c>
      <c r="K115" s="6" t="s">
        <v>178</v>
      </c>
      <c r="L115" s="15">
        <v>0</v>
      </c>
      <c r="M115" s="15">
        <v>4</v>
      </c>
    </row>
    <row r="116" spans="1:13">
      <c r="A116" s="6" t="s">
        <v>143</v>
      </c>
      <c r="B116" s="6" t="s">
        <v>86</v>
      </c>
      <c r="C116" s="6" t="s">
        <v>90</v>
      </c>
      <c r="D116" s="6">
        <v>2899.837666666666</v>
      </c>
      <c r="E116" s="7">
        <v>16863994.56329957</v>
      </c>
      <c r="F116" s="7">
        <v>41138650.54560006</v>
      </c>
      <c r="G116" s="6" t="s">
        <v>86</v>
      </c>
      <c r="H116" s="6">
        <v>0.7090081181456076</v>
      </c>
      <c r="I116" s="7">
        <v>58002645.10889964</v>
      </c>
      <c r="J116" s="6">
        <v>20002.03176047888</v>
      </c>
      <c r="K116" s="6" t="s">
        <v>179</v>
      </c>
      <c r="L116" s="15">
        <v>57.83539258801277</v>
      </c>
      <c r="M116" s="15">
        <v>7</v>
      </c>
    </row>
    <row r="117" spans="1:13">
      <c r="A117" s="6" t="s">
        <v>143</v>
      </c>
      <c r="B117" s="6" t="s">
        <v>88</v>
      </c>
      <c r="C117" s="6" t="s">
        <v>86</v>
      </c>
      <c r="D117" s="6">
        <v>500.7108333333333</v>
      </c>
      <c r="E117" s="7">
        <v>20888482.74248084</v>
      </c>
      <c r="F117" s="7">
        <v>0</v>
      </c>
      <c r="G117" s="6" t="s">
        <v>88</v>
      </c>
      <c r="H117" s="6">
        <v>0</v>
      </c>
      <c r="I117" s="7">
        <v>20888482.74248084</v>
      </c>
      <c r="J117" s="6">
        <v>41717.65688276003</v>
      </c>
      <c r="K117" s="6" t="s">
        <v>179</v>
      </c>
      <c r="L117" s="15">
        <v>8.950215096048428</v>
      </c>
      <c r="M117" s="15">
        <v>36.66666666666666</v>
      </c>
    </row>
    <row r="118" spans="1:13">
      <c r="A118" s="6" t="s">
        <v>143</v>
      </c>
      <c r="B118" s="6" t="s">
        <v>88</v>
      </c>
      <c r="C118" s="6" t="s">
        <v>88</v>
      </c>
      <c r="D118" s="6">
        <v>10447.35156934148</v>
      </c>
      <c r="E118" s="7">
        <v>0</v>
      </c>
      <c r="F118" s="7">
        <v>0</v>
      </c>
      <c r="G118" s="6" t="s">
        <v>88</v>
      </c>
      <c r="H118" s="6">
        <v>0</v>
      </c>
      <c r="I118" s="7">
        <v>0</v>
      </c>
      <c r="J118" s="6">
        <v>0</v>
      </c>
      <c r="K118" s="6" t="s">
        <v>178</v>
      </c>
      <c r="L118" s="15">
        <v>0</v>
      </c>
      <c r="M118" s="15">
        <v>0</v>
      </c>
    </row>
    <row r="119" spans="1:13">
      <c r="A119" s="6" t="s">
        <v>143</v>
      </c>
      <c r="B119" s="6" t="s">
        <v>88</v>
      </c>
      <c r="C119" s="6" t="s">
        <v>90</v>
      </c>
      <c r="D119" s="6">
        <v>109.08575</v>
      </c>
      <c r="E119" s="7">
        <v>5366731.711564071</v>
      </c>
      <c r="F119" s="7">
        <v>27373.64261955098</v>
      </c>
      <c r="G119" s="6" t="s">
        <v>88</v>
      </c>
      <c r="H119" s="6">
        <v>0.005125532921292122</v>
      </c>
      <c r="I119" s="7">
        <v>5394105.354183623</v>
      </c>
      <c r="J119" s="6">
        <v>49448.30423940453</v>
      </c>
      <c r="K119" s="6" t="s">
        <v>179</v>
      </c>
      <c r="L119" s="15">
        <v>2.570412827823465</v>
      </c>
      <c r="M119" s="15">
        <v>28.16666666666667</v>
      </c>
    </row>
    <row r="120" spans="1:13">
      <c r="A120" s="6" t="s">
        <v>143</v>
      </c>
      <c r="B120" s="6" t="s">
        <v>88</v>
      </c>
      <c r="C120" s="6" t="s">
        <v>92</v>
      </c>
      <c r="D120" s="6">
        <v>10518.04443065851</v>
      </c>
      <c r="E120" s="7">
        <v>112109425.9919055</v>
      </c>
      <c r="F120" s="7">
        <v>1403760.695073442</v>
      </c>
      <c r="G120" s="6" t="s">
        <v>88</v>
      </c>
      <c r="H120" s="6">
        <v>0.01236899512110266</v>
      </c>
      <c r="I120" s="7">
        <v>113513186.686979</v>
      </c>
      <c r="J120" s="6">
        <v>10792.23304629758</v>
      </c>
      <c r="K120" s="6" t="s">
        <v>179</v>
      </c>
      <c r="L120" s="15">
        <v>177.0714550615911</v>
      </c>
      <c r="M120" s="15">
        <v>5</v>
      </c>
    </row>
    <row r="121" spans="1:13">
      <c r="A121" s="6" t="s">
        <v>143</v>
      </c>
      <c r="B121" s="6" t="s">
        <v>90</v>
      </c>
      <c r="C121" s="6" t="s">
        <v>86</v>
      </c>
      <c r="D121" s="6">
        <v>127.8901666666667</v>
      </c>
      <c r="E121" s="7">
        <v>83349.0306181065</v>
      </c>
      <c r="F121" s="7">
        <v>2646850.663049695</v>
      </c>
      <c r="G121" s="6" t="s">
        <v>90</v>
      </c>
      <c r="H121" s="6">
        <v>0.9694286509814988</v>
      </c>
      <c r="I121" s="7">
        <v>2730199.693667802</v>
      </c>
      <c r="J121" s="6">
        <v>21348.0032501936</v>
      </c>
      <c r="K121" s="6" t="s">
        <v>179</v>
      </c>
      <c r="L121" s="15">
        <v>2.64323261133157</v>
      </c>
      <c r="M121" s="15">
        <v>4</v>
      </c>
    </row>
    <row r="122" spans="1:13">
      <c r="A122" s="6" t="s">
        <v>143</v>
      </c>
      <c r="B122" s="6" t="s">
        <v>90</v>
      </c>
      <c r="C122" s="6" t="s">
        <v>90</v>
      </c>
      <c r="D122" s="6">
        <v>5978.967166666667</v>
      </c>
      <c r="E122" s="7">
        <v>0</v>
      </c>
      <c r="F122" s="7">
        <v>0</v>
      </c>
      <c r="G122" s="6" t="s">
        <v>90</v>
      </c>
      <c r="H122" s="6">
        <v>0</v>
      </c>
      <c r="I122" s="7">
        <v>0</v>
      </c>
      <c r="J122" s="6">
        <v>0</v>
      </c>
      <c r="K122" s="6" t="s">
        <v>178</v>
      </c>
      <c r="L122" s="15">
        <v>0</v>
      </c>
      <c r="M122" s="15">
        <v>31.625</v>
      </c>
    </row>
    <row r="123" spans="1:13">
      <c r="A123" s="6" t="s">
        <v>143</v>
      </c>
      <c r="B123" s="6" t="s">
        <v>90</v>
      </c>
      <c r="C123" s="6" t="s">
        <v>92</v>
      </c>
      <c r="D123" s="6">
        <v>24.34158333333333</v>
      </c>
      <c r="E123" s="7">
        <v>811240.9028758345</v>
      </c>
      <c r="F123" s="7">
        <v>409306.0924267806</v>
      </c>
      <c r="G123" s="6" t="s">
        <v>90</v>
      </c>
      <c r="H123" s="6">
        <v>0.3357148668655341</v>
      </c>
      <c r="I123" s="7">
        <v>1220546.995302615</v>
      </c>
      <c r="J123" s="6">
        <v>50142.46520402802</v>
      </c>
      <c r="K123" s="6" t="s">
        <v>179</v>
      </c>
      <c r="L123" s="15">
        <v>0.607309781026754</v>
      </c>
      <c r="M123" s="15">
        <v>39</v>
      </c>
    </row>
    <row r="124" spans="1:13">
      <c r="A124" s="6" t="s">
        <v>143</v>
      </c>
      <c r="B124" s="6" t="s">
        <v>92</v>
      </c>
      <c r="C124" s="6" t="s">
        <v>88</v>
      </c>
      <c r="D124" s="6">
        <v>2.66625</v>
      </c>
      <c r="E124" s="7">
        <v>0</v>
      </c>
      <c r="F124" s="7">
        <v>33225.65993974702</v>
      </c>
      <c r="G124" s="6" t="s">
        <v>92</v>
      </c>
      <c r="H124" s="6">
        <v>1</v>
      </c>
      <c r="I124" s="7">
        <v>33225.65993974702</v>
      </c>
      <c r="J124" s="6">
        <v>12461.56959765477</v>
      </c>
      <c r="K124" s="6" t="s">
        <v>179</v>
      </c>
      <c r="L124" s="15">
        <v>1.107706688824262</v>
      </c>
      <c r="M124" s="15">
        <v>6</v>
      </c>
    </row>
    <row r="125" spans="1:13">
      <c r="A125" s="6" t="s">
        <v>143</v>
      </c>
      <c r="B125" s="6" t="s">
        <v>92</v>
      </c>
      <c r="C125" s="6" t="s">
        <v>92</v>
      </c>
      <c r="D125" s="6">
        <v>89.24766666666669</v>
      </c>
      <c r="E125" s="7">
        <v>0</v>
      </c>
      <c r="F125" s="7">
        <v>0</v>
      </c>
      <c r="G125" s="6" t="s">
        <v>92</v>
      </c>
      <c r="H125" s="6">
        <v>0</v>
      </c>
      <c r="I125" s="7">
        <v>0</v>
      </c>
      <c r="J125" s="6">
        <v>0</v>
      </c>
      <c r="K125" s="6" t="s">
        <v>178</v>
      </c>
      <c r="L125" s="15">
        <v>0</v>
      </c>
      <c r="M125" s="15">
        <v>78.98333333333333</v>
      </c>
    </row>
    <row r="126" spans="1:13">
      <c r="A126" s="6" t="s">
        <v>144</v>
      </c>
      <c r="B126" s="6" t="s">
        <v>44</v>
      </c>
      <c r="C126" s="6" t="s">
        <v>44</v>
      </c>
      <c r="D126" s="6">
        <v>56796.11563632252</v>
      </c>
      <c r="E126" s="7">
        <v>0</v>
      </c>
      <c r="F126" s="7">
        <v>0</v>
      </c>
      <c r="G126" s="6" t="s">
        <v>44</v>
      </c>
      <c r="H126" s="6">
        <v>0</v>
      </c>
      <c r="I126" s="7">
        <v>0</v>
      </c>
      <c r="J126" s="6">
        <v>0</v>
      </c>
      <c r="K126" s="6" t="s">
        <v>178</v>
      </c>
      <c r="L126" s="15">
        <v>0</v>
      </c>
      <c r="M126" s="15">
        <v>0</v>
      </c>
    </row>
    <row r="127" spans="1:13">
      <c r="A127" s="6" t="s">
        <v>144</v>
      </c>
      <c r="B127" s="6" t="s">
        <v>44</v>
      </c>
      <c r="C127" s="6" t="s">
        <v>86</v>
      </c>
      <c r="D127" s="6">
        <v>2228.985333333334</v>
      </c>
      <c r="E127" s="7">
        <v>18617677.7814854</v>
      </c>
      <c r="F127" s="7">
        <v>60825242.31101781</v>
      </c>
      <c r="G127" s="6" t="s">
        <v>44</v>
      </c>
      <c r="H127" s="6">
        <v>0.7656266185856002</v>
      </c>
      <c r="I127" s="7">
        <v>79442920.0925032</v>
      </c>
      <c r="J127" s="6">
        <v>35640.84469488203</v>
      </c>
      <c r="K127" s="6" t="s">
        <v>179</v>
      </c>
      <c r="L127" s="15">
        <v>31.75192782526116</v>
      </c>
      <c r="M127" s="15">
        <v>33</v>
      </c>
    </row>
    <row r="128" spans="1:13">
      <c r="A128" s="6" t="s">
        <v>144</v>
      </c>
      <c r="B128" s="6" t="s">
        <v>44</v>
      </c>
      <c r="C128" s="6" t="s">
        <v>90</v>
      </c>
      <c r="D128" s="6">
        <v>1092.582666666667</v>
      </c>
      <c r="E128" s="7">
        <v>20780299.56664756</v>
      </c>
      <c r="F128" s="7">
        <v>24106651.59449301</v>
      </c>
      <c r="G128" s="6" t="s">
        <v>44</v>
      </c>
      <c r="H128" s="6">
        <v>0.536035537730801</v>
      </c>
      <c r="I128" s="7">
        <v>44886951.16114058</v>
      </c>
      <c r="J128" s="6">
        <v>41083.34548092828</v>
      </c>
      <c r="K128" s="6" t="s">
        <v>179</v>
      </c>
      <c r="L128" s="15">
        <v>21.1535850274282</v>
      </c>
      <c r="M128" s="15">
        <v>42</v>
      </c>
    </row>
    <row r="129" spans="1:13">
      <c r="A129" s="6" t="s">
        <v>144</v>
      </c>
      <c r="B129" s="6" t="s">
        <v>44</v>
      </c>
      <c r="C129" s="6" t="s">
        <v>92</v>
      </c>
      <c r="D129" s="6">
        <v>1192.13</v>
      </c>
      <c r="E129" s="7">
        <v>21699740.33895302</v>
      </c>
      <c r="F129" s="7">
        <v>31425603.20268322</v>
      </c>
      <c r="G129" s="6" t="s">
        <v>44</v>
      </c>
      <c r="H129" s="6">
        <v>0.5915384282707035</v>
      </c>
      <c r="I129" s="7">
        <v>53125343.54163624</v>
      </c>
      <c r="J129" s="6">
        <v>44563.38112591431</v>
      </c>
      <c r="K129" s="6" t="s">
        <v>179</v>
      </c>
      <c r="L129" s="15">
        <v>21.61045599978247</v>
      </c>
      <c r="M129" s="15">
        <v>43.95833333333333</v>
      </c>
    </row>
    <row r="130" spans="1:13">
      <c r="A130" s="6" t="s">
        <v>144</v>
      </c>
      <c r="B130" s="6" t="s">
        <v>44</v>
      </c>
      <c r="C130" s="6" t="s">
        <v>99</v>
      </c>
      <c r="D130" s="6">
        <v>443.0348333333333</v>
      </c>
      <c r="E130" s="7">
        <v>13724121.98599159</v>
      </c>
      <c r="F130" s="7">
        <v>107863.3106782307</v>
      </c>
      <c r="G130" s="6" t="s">
        <v>44</v>
      </c>
      <c r="H130" s="6">
        <v>0.007798692969306544</v>
      </c>
      <c r="I130" s="7">
        <v>13831985.29666982</v>
      </c>
      <c r="J130" s="6">
        <v>31220.98818415667</v>
      </c>
      <c r="K130" s="6" t="s">
        <v>179</v>
      </c>
      <c r="L130" s="15">
        <v>9.978599126847378</v>
      </c>
      <c r="M130" s="15">
        <v>26.98333333333333</v>
      </c>
    </row>
    <row r="131" spans="1:13">
      <c r="A131" s="6" t="s">
        <v>144</v>
      </c>
      <c r="B131" s="6" t="s">
        <v>44</v>
      </c>
      <c r="C131" s="6" t="s">
        <v>101</v>
      </c>
      <c r="D131" s="6">
        <v>1519.177280344149</v>
      </c>
      <c r="E131" s="7">
        <v>16790243.89031487</v>
      </c>
      <c r="F131" s="7">
        <v>822094.042902024</v>
      </c>
      <c r="G131" s="6" t="s">
        <v>44</v>
      </c>
      <c r="H131" s="6">
        <v>0.04667716722329936</v>
      </c>
      <c r="I131" s="7">
        <v>17612337.9332169</v>
      </c>
      <c r="J131" s="6">
        <v>11593.33947465767</v>
      </c>
      <c r="K131" s="6" t="s">
        <v>179</v>
      </c>
      <c r="L131" s="15">
        <v>42.08713653435697</v>
      </c>
      <c r="M131" s="15">
        <v>3.583333333333333</v>
      </c>
    </row>
    <row r="132" spans="1:13">
      <c r="A132" s="6" t="s">
        <v>144</v>
      </c>
      <c r="B132" s="6" t="s">
        <v>86</v>
      </c>
      <c r="C132" s="6" t="s">
        <v>86</v>
      </c>
      <c r="D132" s="6">
        <v>25309.6285</v>
      </c>
      <c r="E132" s="7">
        <v>0</v>
      </c>
      <c r="F132" s="7">
        <v>0</v>
      </c>
      <c r="G132" s="6" t="s">
        <v>86</v>
      </c>
      <c r="H132" s="6">
        <v>0</v>
      </c>
      <c r="I132" s="7">
        <v>0</v>
      </c>
      <c r="J132" s="6">
        <v>0</v>
      </c>
      <c r="K132" s="6" t="s">
        <v>178</v>
      </c>
      <c r="L132" s="15">
        <v>0</v>
      </c>
      <c r="M132" s="15">
        <v>4</v>
      </c>
    </row>
    <row r="133" spans="1:13">
      <c r="A133" s="6" t="s">
        <v>144</v>
      </c>
      <c r="B133" s="6" t="s">
        <v>86</v>
      </c>
      <c r="C133" s="6" t="s">
        <v>90</v>
      </c>
      <c r="D133" s="6">
        <v>2899.837666666666</v>
      </c>
      <c r="E133" s="7">
        <v>16863994.56329957</v>
      </c>
      <c r="F133" s="7">
        <v>41138650.54560006</v>
      </c>
      <c r="G133" s="6" t="s">
        <v>86</v>
      </c>
      <c r="H133" s="6">
        <v>0.7090081181456076</v>
      </c>
      <c r="I133" s="7">
        <v>58002645.10889964</v>
      </c>
      <c r="J133" s="6">
        <v>20002.03176047888</v>
      </c>
      <c r="K133" s="6" t="s">
        <v>179</v>
      </c>
      <c r="L133" s="15">
        <v>57.83539258801277</v>
      </c>
      <c r="M133" s="15">
        <v>7</v>
      </c>
    </row>
    <row r="134" spans="1:13">
      <c r="A134" s="6" t="s">
        <v>144</v>
      </c>
      <c r="B134" s="6" t="s">
        <v>86</v>
      </c>
      <c r="C134" s="6" t="s">
        <v>101</v>
      </c>
      <c r="D134" s="6">
        <v>143.8171666666667</v>
      </c>
      <c r="E134" s="7">
        <v>5276162.742733093</v>
      </c>
      <c r="F134" s="7">
        <v>0</v>
      </c>
      <c r="G134" s="6" t="s">
        <v>86</v>
      </c>
      <c r="H134" s="6">
        <v>0</v>
      </c>
      <c r="I134" s="7">
        <v>5276162.742733093</v>
      </c>
      <c r="J134" s="6">
        <v>36686.59913848782</v>
      </c>
      <c r="K134" s="6" t="s">
        <v>180</v>
      </c>
      <c r="L134" s="15">
        <v>3.184684485189368</v>
      </c>
      <c r="M134" s="15">
        <v>9.057310488173133</v>
      </c>
    </row>
    <row r="135" spans="1:13">
      <c r="A135" s="6" t="s">
        <v>144</v>
      </c>
      <c r="B135" s="6" t="s">
        <v>88</v>
      </c>
      <c r="C135" s="6" t="s">
        <v>86</v>
      </c>
      <c r="D135" s="6">
        <v>500.7108333333333</v>
      </c>
      <c r="E135" s="7">
        <v>20888482.74248084</v>
      </c>
      <c r="F135" s="7">
        <v>0</v>
      </c>
      <c r="G135" s="6" t="s">
        <v>88</v>
      </c>
      <c r="H135" s="6">
        <v>0</v>
      </c>
      <c r="I135" s="7">
        <v>20888482.74248084</v>
      </c>
      <c r="J135" s="6">
        <v>41717.65688276003</v>
      </c>
      <c r="K135" s="6" t="s">
        <v>179</v>
      </c>
      <c r="L135" s="15">
        <v>8.950215096048428</v>
      </c>
      <c r="M135" s="15">
        <v>36.66666666666666</v>
      </c>
    </row>
    <row r="136" spans="1:13">
      <c r="A136" s="6" t="s">
        <v>144</v>
      </c>
      <c r="B136" s="6" t="s">
        <v>88</v>
      </c>
      <c r="C136" s="6" t="s">
        <v>88</v>
      </c>
      <c r="D136" s="6">
        <v>10447.35156934148</v>
      </c>
      <c r="E136" s="7">
        <v>0</v>
      </c>
      <c r="F136" s="7">
        <v>0</v>
      </c>
      <c r="G136" s="6" t="s">
        <v>88</v>
      </c>
      <c r="H136" s="6">
        <v>0</v>
      </c>
      <c r="I136" s="7">
        <v>0</v>
      </c>
      <c r="J136" s="6">
        <v>0</v>
      </c>
      <c r="K136" s="6" t="s">
        <v>178</v>
      </c>
      <c r="L136" s="15">
        <v>0</v>
      </c>
      <c r="M136" s="15">
        <v>0</v>
      </c>
    </row>
    <row r="137" spans="1:13">
      <c r="A137" s="6" t="s">
        <v>144</v>
      </c>
      <c r="B137" s="6" t="s">
        <v>88</v>
      </c>
      <c r="C137" s="6" t="s">
        <v>90</v>
      </c>
      <c r="D137" s="6">
        <v>109.08575</v>
      </c>
      <c r="E137" s="7">
        <v>5366731.711564071</v>
      </c>
      <c r="F137" s="7">
        <v>27373.64261955098</v>
      </c>
      <c r="G137" s="6" t="s">
        <v>88</v>
      </c>
      <c r="H137" s="6">
        <v>0.005125532921292122</v>
      </c>
      <c r="I137" s="7">
        <v>5394105.354183623</v>
      </c>
      <c r="J137" s="6">
        <v>49448.30423940453</v>
      </c>
      <c r="K137" s="6" t="s">
        <v>179</v>
      </c>
      <c r="L137" s="15">
        <v>2.570412827823465</v>
      </c>
      <c r="M137" s="15">
        <v>28.16666666666667</v>
      </c>
    </row>
    <row r="138" spans="1:13">
      <c r="A138" s="6" t="s">
        <v>144</v>
      </c>
      <c r="B138" s="6" t="s">
        <v>88</v>
      </c>
      <c r="C138" s="6" t="s">
        <v>92</v>
      </c>
      <c r="D138" s="6">
        <v>10518.04443065852</v>
      </c>
      <c r="E138" s="7">
        <v>112109425.9919056</v>
      </c>
      <c r="F138" s="7">
        <v>1403760.695073442</v>
      </c>
      <c r="G138" s="6" t="s">
        <v>88</v>
      </c>
      <c r="H138" s="6">
        <v>0.01236899512110266</v>
      </c>
      <c r="I138" s="7">
        <v>113513186.686979</v>
      </c>
      <c r="J138" s="6">
        <v>10792.23304629758</v>
      </c>
      <c r="K138" s="6" t="s">
        <v>179</v>
      </c>
      <c r="L138" s="15">
        <v>177.0714550615912</v>
      </c>
      <c r="M138" s="15">
        <v>5</v>
      </c>
    </row>
    <row r="139" spans="1:13">
      <c r="A139" s="6" t="s">
        <v>144</v>
      </c>
      <c r="B139" s="6" t="s">
        <v>90</v>
      </c>
      <c r="C139" s="6" t="s">
        <v>86</v>
      </c>
      <c r="D139" s="6">
        <v>127.8901666666667</v>
      </c>
      <c r="E139" s="7">
        <v>83349.0306181065</v>
      </c>
      <c r="F139" s="7">
        <v>2646850.663049695</v>
      </c>
      <c r="G139" s="6" t="s">
        <v>90</v>
      </c>
      <c r="H139" s="6">
        <v>0.9694286509814988</v>
      </c>
      <c r="I139" s="7">
        <v>2730199.693667802</v>
      </c>
      <c r="J139" s="6">
        <v>21348.0032501936</v>
      </c>
      <c r="K139" s="6" t="s">
        <v>179</v>
      </c>
      <c r="L139" s="15">
        <v>2.64323261133157</v>
      </c>
      <c r="M139" s="15">
        <v>4</v>
      </c>
    </row>
    <row r="140" spans="1:13">
      <c r="A140" s="6" t="s">
        <v>144</v>
      </c>
      <c r="B140" s="6" t="s">
        <v>90</v>
      </c>
      <c r="C140" s="6" t="s">
        <v>90</v>
      </c>
      <c r="D140" s="6">
        <v>5978.967166666666</v>
      </c>
      <c r="E140" s="7">
        <v>0</v>
      </c>
      <c r="F140" s="7">
        <v>0</v>
      </c>
      <c r="G140" s="6" t="s">
        <v>90</v>
      </c>
      <c r="H140" s="6">
        <v>0</v>
      </c>
      <c r="I140" s="7">
        <v>0</v>
      </c>
      <c r="J140" s="6">
        <v>0</v>
      </c>
      <c r="K140" s="6" t="s">
        <v>178</v>
      </c>
      <c r="L140" s="15">
        <v>0</v>
      </c>
      <c r="M140" s="15">
        <v>31.625</v>
      </c>
    </row>
    <row r="141" spans="1:13">
      <c r="A141" s="6" t="s">
        <v>144</v>
      </c>
      <c r="B141" s="6" t="s">
        <v>90</v>
      </c>
      <c r="C141" s="6" t="s">
        <v>92</v>
      </c>
      <c r="D141" s="6">
        <v>24.34158333333333</v>
      </c>
      <c r="E141" s="7">
        <v>811240.9028758345</v>
      </c>
      <c r="F141" s="7">
        <v>409306.0924267806</v>
      </c>
      <c r="G141" s="6" t="s">
        <v>90</v>
      </c>
      <c r="H141" s="6">
        <v>0.3357148668655341</v>
      </c>
      <c r="I141" s="7">
        <v>1220546.995302615</v>
      </c>
      <c r="J141" s="6">
        <v>50142.46520402802</v>
      </c>
      <c r="K141" s="6" t="s">
        <v>179</v>
      </c>
      <c r="L141" s="15">
        <v>0.607309781026754</v>
      </c>
      <c r="M141" s="15">
        <v>39</v>
      </c>
    </row>
    <row r="142" spans="1:13">
      <c r="A142" s="6" t="s">
        <v>144</v>
      </c>
      <c r="B142" s="6" t="s">
        <v>92</v>
      </c>
      <c r="C142" s="6" t="s">
        <v>88</v>
      </c>
      <c r="D142" s="6">
        <v>2.66625</v>
      </c>
      <c r="E142" s="7">
        <v>0</v>
      </c>
      <c r="F142" s="7">
        <v>33225.65993974702</v>
      </c>
      <c r="G142" s="6" t="s">
        <v>92</v>
      </c>
      <c r="H142" s="6">
        <v>1</v>
      </c>
      <c r="I142" s="7">
        <v>33225.65993974702</v>
      </c>
      <c r="J142" s="6">
        <v>12461.56959765477</v>
      </c>
      <c r="K142" s="6" t="s">
        <v>179</v>
      </c>
      <c r="L142" s="15">
        <v>1.107706688824262</v>
      </c>
      <c r="M142" s="15">
        <v>6</v>
      </c>
    </row>
    <row r="143" spans="1:13">
      <c r="A143" s="6" t="s">
        <v>144</v>
      </c>
      <c r="B143" s="6" t="s">
        <v>92</v>
      </c>
      <c r="C143" s="6" t="s">
        <v>92</v>
      </c>
      <c r="D143" s="6">
        <v>89.24766666666667</v>
      </c>
      <c r="E143" s="7">
        <v>0</v>
      </c>
      <c r="F143" s="7">
        <v>0</v>
      </c>
      <c r="G143" s="6" t="s">
        <v>92</v>
      </c>
      <c r="H143" s="6">
        <v>0</v>
      </c>
      <c r="I143" s="7">
        <v>0</v>
      </c>
      <c r="J143" s="6">
        <v>0</v>
      </c>
      <c r="K143" s="6" t="s">
        <v>178</v>
      </c>
      <c r="L143" s="15">
        <v>0</v>
      </c>
      <c r="M143" s="15">
        <v>78.98333333333333</v>
      </c>
    </row>
    <row r="144" spans="1:13">
      <c r="A144" s="6" t="s">
        <v>146</v>
      </c>
      <c r="B144" s="6" t="s">
        <v>44</v>
      </c>
      <c r="C144" s="6" t="s">
        <v>44</v>
      </c>
      <c r="D144" s="6">
        <v>56796.11563632252</v>
      </c>
      <c r="E144" s="7">
        <v>0</v>
      </c>
      <c r="F144" s="7">
        <v>0</v>
      </c>
      <c r="G144" s="6" t="s">
        <v>44</v>
      </c>
      <c r="H144" s="6">
        <v>0</v>
      </c>
      <c r="I144" s="7">
        <v>0</v>
      </c>
      <c r="J144" s="6">
        <v>0</v>
      </c>
      <c r="K144" s="6" t="s">
        <v>178</v>
      </c>
      <c r="L144" s="15">
        <v>0</v>
      </c>
      <c r="M144" s="15">
        <v>0</v>
      </c>
    </row>
    <row r="145" spans="1:13">
      <c r="A145" s="6" t="s">
        <v>146</v>
      </c>
      <c r="B145" s="6" t="s">
        <v>44</v>
      </c>
      <c r="C145" s="6" t="s">
        <v>86</v>
      </c>
      <c r="D145" s="6">
        <v>915.4218416397331</v>
      </c>
      <c r="E145" s="7">
        <v>7646092.877738017</v>
      </c>
      <c r="F145" s="7">
        <v>24980314.81044661</v>
      </c>
      <c r="G145" s="6" t="s">
        <v>44</v>
      </c>
      <c r="H145" s="6">
        <v>0.7656266185856002</v>
      </c>
      <c r="I145" s="7">
        <v>32626407.68818463</v>
      </c>
      <c r="J145" s="6">
        <v>35640.84469488203</v>
      </c>
      <c r="K145" s="6" t="s">
        <v>179</v>
      </c>
      <c r="L145" s="15">
        <v>13.04019717435517</v>
      </c>
      <c r="M145" s="15">
        <v>33</v>
      </c>
    </row>
    <row r="146" spans="1:13">
      <c r="A146" s="6" t="s">
        <v>146</v>
      </c>
      <c r="B146" s="6" t="s">
        <v>44</v>
      </c>
      <c r="C146" s="6" t="s">
        <v>90</v>
      </c>
      <c r="D146" s="6">
        <v>2829.450113677483</v>
      </c>
      <c r="E146" s="7">
        <v>53814528.42418309</v>
      </c>
      <c r="F146" s="7">
        <v>62428748.11708075</v>
      </c>
      <c r="G146" s="6" t="s">
        <v>44</v>
      </c>
      <c r="H146" s="6">
        <v>0.536035537730801</v>
      </c>
      <c r="I146" s="7">
        <v>116243276.5412638</v>
      </c>
      <c r="J146" s="6">
        <v>41083.34548092828</v>
      </c>
      <c r="K146" s="6" t="s">
        <v>179</v>
      </c>
      <c r="L146" s="15">
        <v>54.78122194922523</v>
      </c>
      <c r="M146" s="15">
        <v>42</v>
      </c>
    </row>
    <row r="147" spans="1:13">
      <c r="A147" s="6" t="s">
        <v>146</v>
      </c>
      <c r="B147" s="6" t="s">
        <v>44</v>
      </c>
      <c r="C147" s="6" t="s">
        <v>92</v>
      </c>
      <c r="D147" s="6">
        <v>1176.741166666667</v>
      </c>
      <c r="E147" s="7">
        <v>21419625.17747502</v>
      </c>
      <c r="F147" s="7">
        <v>31019939.9192447</v>
      </c>
      <c r="G147" s="6" t="s">
        <v>44</v>
      </c>
      <c r="H147" s="6">
        <v>0.5915384282707035</v>
      </c>
      <c r="I147" s="7">
        <v>52439565.09671973</v>
      </c>
      <c r="J147" s="6">
        <v>44563.38112591432</v>
      </c>
      <c r="K147" s="6" t="s">
        <v>179</v>
      </c>
      <c r="L147" s="15">
        <v>21.3314933819153</v>
      </c>
      <c r="M147" s="15">
        <v>43.95833333333333</v>
      </c>
    </row>
    <row r="148" spans="1:13">
      <c r="A148" s="6" t="s">
        <v>146</v>
      </c>
      <c r="B148" s="6" t="s">
        <v>44</v>
      </c>
      <c r="C148" s="6" t="s">
        <v>99</v>
      </c>
      <c r="D148" s="6">
        <v>1554.2969916936</v>
      </c>
      <c r="E148" s="7">
        <v>48148271.6741898</v>
      </c>
      <c r="F148" s="7">
        <v>378416.3381463672</v>
      </c>
      <c r="G148" s="6" t="s">
        <v>44</v>
      </c>
      <c r="H148" s="6">
        <v>0.007798692969306544</v>
      </c>
      <c r="I148" s="7">
        <v>48526688.01233616</v>
      </c>
      <c r="J148" s="6">
        <v>31220.98818415667</v>
      </c>
      <c r="K148" s="6" t="s">
        <v>179</v>
      </c>
      <c r="L148" s="15">
        <v>35.00787170047638</v>
      </c>
      <c r="M148" s="15">
        <v>26.98333333333333</v>
      </c>
    </row>
    <row r="149" spans="1:13">
      <c r="A149" s="6" t="s">
        <v>146</v>
      </c>
      <c r="B149" s="6" t="s">
        <v>86</v>
      </c>
      <c r="C149" s="6" t="s">
        <v>86</v>
      </c>
      <c r="D149" s="6">
        <v>25453.44566666667</v>
      </c>
      <c r="E149" s="7">
        <v>0</v>
      </c>
      <c r="F149" s="7">
        <v>0</v>
      </c>
      <c r="G149" s="6" t="s">
        <v>86</v>
      </c>
      <c r="H149" s="6">
        <v>0</v>
      </c>
      <c r="I149" s="7">
        <v>0</v>
      </c>
      <c r="J149" s="6">
        <v>0</v>
      </c>
      <c r="K149" s="6" t="s">
        <v>178</v>
      </c>
      <c r="L149" s="15">
        <v>0</v>
      </c>
      <c r="M149" s="15">
        <v>4</v>
      </c>
    </row>
    <row r="150" spans="1:13">
      <c r="A150" s="6" t="s">
        <v>146</v>
      </c>
      <c r="B150" s="6" t="s">
        <v>86</v>
      </c>
      <c r="C150" s="6" t="s">
        <v>90</v>
      </c>
      <c r="D150" s="6">
        <v>2899.837666666666</v>
      </c>
      <c r="E150" s="7">
        <v>16863994.56329957</v>
      </c>
      <c r="F150" s="7">
        <v>41138650.54560006</v>
      </c>
      <c r="G150" s="6" t="s">
        <v>86</v>
      </c>
      <c r="H150" s="6">
        <v>0.7090081181456076</v>
      </c>
      <c r="I150" s="7">
        <v>58002645.10889964</v>
      </c>
      <c r="J150" s="6">
        <v>20002.03176047888</v>
      </c>
      <c r="K150" s="6" t="s">
        <v>179</v>
      </c>
      <c r="L150" s="15">
        <v>57.83539258801277</v>
      </c>
      <c r="M150" s="15">
        <v>7</v>
      </c>
    </row>
    <row r="151" spans="1:13">
      <c r="A151" s="6" t="s">
        <v>146</v>
      </c>
      <c r="B151" s="6" t="s">
        <v>88</v>
      </c>
      <c r="C151" s="6" t="s">
        <v>86</v>
      </c>
      <c r="D151" s="6">
        <v>500.7108333333333</v>
      </c>
      <c r="E151" s="7">
        <v>20888482.74248084</v>
      </c>
      <c r="F151" s="7">
        <v>0</v>
      </c>
      <c r="G151" s="6" t="s">
        <v>88</v>
      </c>
      <c r="H151" s="6">
        <v>0</v>
      </c>
      <c r="I151" s="7">
        <v>20888482.74248084</v>
      </c>
      <c r="J151" s="6">
        <v>41717.65688276003</v>
      </c>
      <c r="K151" s="6" t="s">
        <v>179</v>
      </c>
      <c r="L151" s="15">
        <v>8.950215096048428</v>
      </c>
      <c r="M151" s="15">
        <v>36.66666666666666</v>
      </c>
    </row>
    <row r="152" spans="1:13">
      <c r="A152" s="6" t="s">
        <v>146</v>
      </c>
      <c r="B152" s="6" t="s">
        <v>88</v>
      </c>
      <c r="C152" s="6" t="s">
        <v>88</v>
      </c>
      <c r="D152" s="6">
        <v>10447.35156934148</v>
      </c>
      <c r="E152" s="7">
        <v>0</v>
      </c>
      <c r="F152" s="7">
        <v>0</v>
      </c>
      <c r="G152" s="6" t="s">
        <v>88</v>
      </c>
      <c r="H152" s="6">
        <v>0</v>
      </c>
      <c r="I152" s="7">
        <v>0</v>
      </c>
      <c r="J152" s="6">
        <v>0</v>
      </c>
      <c r="K152" s="6" t="s">
        <v>178</v>
      </c>
      <c r="L152" s="15">
        <v>0</v>
      </c>
      <c r="M152" s="15">
        <v>0</v>
      </c>
    </row>
    <row r="153" spans="1:13">
      <c r="A153" s="6" t="s">
        <v>146</v>
      </c>
      <c r="B153" s="6" t="s">
        <v>88</v>
      </c>
      <c r="C153" s="6" t="s">
        <v>90</v>
      </c>
      <c r="D153" s="6">
        <v>109.08575</v>
      </c>
      <c r="E153" s="7">
        <v>5366731.711564071</v>
      </c>
      <c r="F153" s="7">
        <v>27373.64261955098</v>
      </c>
      <c r="G153" s="6" t="s">
        <v>88</v>
      </c>
      <c r="H153" s="6">
        <v>0.005125532921292122</v>
      </c>
      <c r="I153" s="7">
        <v>5394105.354183623</v>
      </c>
      <c r="J153" s="6">
        <v>49448.30423940453</v>
      </c>
      <c r="K153" s="6" t="s">
        <v>179</v>
      </c>
      <c r="L153" s="15">
        <v>2.570412827823465</v>
      </c>
      <c r="M153" s="15">
        <v>28.16666666666667</v>
      </c>
    </row>
    <row r="154" spans="1:13">
      <c r="A154" s="6" t="s">
        <v>146</v>
      </c>
      <c r="B154" s="6" t="s">
        <v>88</v>
      </c>
      <c r="C154" s="6" t="s">
        <v>92</v>
      </c>
      <c r="D154" s="6">
        <v>10518.04443065851</v>
      </c>
      <c r="E154" s="7">
        <v>112109425.9919055</v>
      </c>
      <c r="F154" s="7">
        <v>1403760.695073442</v>
      </c>
      <c r="G154" s="6" t="s">
        <v>88</v>
      </c>
      <c r="H154" s="6">
        <v>0.01236899512110266</v>
      </c>
      <c r="I154" s="7">
        <v>113513186.686979</v>
      </c>
      <c r="J154" s="6">
        <v>10792.23304629758</v>
      </c>
      <c r="K154" s="6" t="s">
        <v>179</v>
      </c>
      <c r="L154" s="15">
        <v>177.0714550615911</v>
      </c>
      <c r="M154" s="15">
        <v>5</v>
      </c>
    </row>
    <row r="155" spans="1:13">
      <c r="A155" s="6" t="s">
        <v>146</v>
      </c>
      <c r="B155" s="6" t="s">
        <v>90</v>
      </c>
      <c r="C155" s="6" t="s">
        <v>86</v>
      </c>
      <c r="D155" s="6">
        <v>127.8901666666667</v>
      </c>
      <c r="E155" s="7">
        <v>83349.0306181065</v>
      </c>
      <c r="F155" s="7">
        <v>2646850.663049695</v>
      </c>
      <c r="G155" s="6" t="s">
        <v>90</v>
      </c>
      <c r="H155" s="6">
        <v>0.9694286509814988</v>
      </c>
      <c r="I155" s="7">
        <v>2730199.693667802</v>
      </c>
      <c r="J155" s="6">
        <v>21348.0032501936</v>
      </c>
      <c r="K155" s="6" t="s">
        <v>179</v>
      </c>
      <c r="L155" s="15">
        <v>2.64323261133157</v>
      </c>
      <c r="M155" s="15">
        <v>4</v>
      </c>
    </row>
    <row r="156" spans="1:13">
      <c r="A156" s="6" t="s">
        <v>146</v>
      </c>
      <c r="B156" s="6" t="s">
        <v>90</v>
      </c>
      <c r="C156" s="6" t="s">
        <v>90</v>
      </c>
      <c r="D156" s="6">
        <v>5978.967166666666</v>
      </c>
      <c r="E156" s="7">
        <v>0</v>
      </c>
      <c r="F156" s="7">
        <v>0</v>
      </c>
      <c r="G156" s="6" t="s">
        <v>90</v>
      </c>
      <c r="H156" s="6">
        <v>0</v>
      </c>
      <c r="I156" s="7">
        <v>0</v>
      </c>
      <c r="J156" s="6">
        <v>0</v>
      </c>
      <c r="K156" s="6" t="s">
        <v>178</v>
      </c>
      <c r="L156" s="15">
        <v>0</v>
      </c>
      <c r="M156" s="15">
        <v>31.625</v>
      </c>
    </row>
    <row r="157" spans="1:13">
      <c r="A157" s="6" t="s">
        <v>146</v>
      </c>
      <c r="B157" s="6" t="s">
        <v>90</v>
      </c>
      <c r="C157" s="6" t="s">
        <v>92</v>
      </c>
      <c r="D157" s="6">
        <v>24.34158333333333</v>
      </c>
      <c r="E157" s="7">
        <v>811240.9028758345</v>
      </c>
      <c r="F157" s="7">
        <v>409306.0924267806</v>
      </c>
      <c r="G157" s="6" t="s">
        <v>90</v>
      </c>
      <c r="H157" s="6">
        <v>0.3357148668655341</v>
      </c>
      <c r="I157" s="7">
        <v>1220546.995302615</v>
      </c>
      <c r="J157" s="6">
        <v>50142.46520402802</v>
      </c>
      <c r="K157" s="6" t="s">
        <v>179</v>
      </c>
      <c r="L157" s="15">
        <v>0.607309781026754</v>
      </c>
      <c r="M157" s="15">
        <v>39</v>
      </c>
    </row>
    <row r="158" spans="1:13">
      <c r="A158" s="6" t="s">
        <v>146</v>
      </c>
      <c r="B158" s="6" t="s">
        <v>92</v>
      </c>
      <c r="C158" s="6" t="s">
        <v>88</v>
      </c>
      <c r="D158" s="6">
        <v>2.66625</v>
      </c>
      <c r="E158" s="7">
        <v>0</v>
      </c>
      <c r="F158" s="7">
        <v>33225.65993974703</v>
      </c>
      <c r="G158" s="6" t="s">
        <v>92</v>
      </c>
      <c r="H158" s="6">
        <v>1</v>
      </c>
      <c r="I158" s="7">
        <v>33225.65993974703</v>
      </c>
      <c r="J158" s="6">
        <v>12461.56959765477</v>
      </c>
      <c r="K158" s="6" t="s">
        <v>179</v>
      </c>
      <c r="L158" s="15">
        <v>1.107706688824263</v>
      </c>
      <c r="M158" s="15">
        <v>6</v>
      </c>
    </row>
    <row r="159" spans="1:13">
      <c r="A159" s="6" t="s">
        <v>146</v>
      </c>
      <c r="B159" s="6" t="s">
        <v>92</v>
      </c>
      <c r="C159" s="6" t="s">
        <v>92</v>
      </c>
      <c r="D159" s="6">
        <v>89.24766666666667</v>
      </c>
      <c r="E159" s="7">
        <v>0</v>
      </c>
      <c r="F159" s="7">
        <v>0</v>
      </c>
      <c r="G159" s="6" t="s">
        <v>92</v>
      </c>
      <c r="H159" s="6">
        <v>0</v>
      </c>
      <c r="I159" s="7">
        <v>0</v>
      </c>
      <c r="J159" s="6">
        <v>0</v>
      </c>
      <c r="K159" s="6" t="s">
        <v>178</v>
      </c>
      <c r="L159" s="15">
        <v>0</v>
      </c>
      <c r="M159" s="15">
        <v>78.98333333333333</v>
      </c>
    </row>
    <row r="160" spans="1:13">
      <c r="A160" s="6" t="s">
        <v>148</v>
      </c>
      <c r="B160" s="6" t="s">
        <v>88</v>
      </c>
      <c r="C160" s="6" t="s">
        <v>88</v>
      </c>
      <c r="D160" s="6">
        <v>397.1529166666666</v>
      </c>
      <c r="E160" s="7">
        <v>0</v>
      </c>
      <c r="F160" s="7">
        <v>0</v>
      </c>
      <c r="G160" s="6" t="s">
        <v>181</v>
      </c>
      <c r="H160" s="6">
        <v>0</v>
      </c>
      <c r="I160" s="7">
        <v>0</v>
      </c>
      <c r="J160" s="6">
        <v>0</v>
      </c>
      <c r="K160" s="6" t="s">
        <v>178</v>
      </c>
      <c r="L160" s="15">
        <v>0</v>
      </c>
      <c r="M160" s="15">
        <v>0</v>
      </c>
    </row>
    <row r="161" spans="1:13">
      <c r="A161" s="6" t="s">
        <v>148</v>
      </c>
      <c r="B161" s="6" t="s">
        <v>88</v>
      </c>
      <c r="C161" s="6" t="s">
        <v>92</v>
      </c>
      <c r="D161" s="6">
        <v>612.8551666666666</v>
      </c>
      <c r="E161" s="7">
        <v>6532282.821595953</v>
      </c>
      <c r="F161" s="7">
        <v>81792.96069825484</v>
      </c>
      <c r="G161" s="6" t="s">
        <v>181</v>
      </c>
      <c r="H161" s="6">
        <v>0.01236899512110266</v>
      </c>
      <c r="I161" s="7">
        <v>6614075.782294207</v>
      </c>
      <c r="J161" s="6">
        <v>10792.23304629758</v>
      </c>
      <c r="K161" s="6" t="s">
        <v>179</v>
      </c>
      <c r="L161" s="15">
        <v>10.31742704826038</v>
      </c>
      <c r="M161" s="15">
        <v>5</v>
      </c>
    </row>
    <row r="162" spans="1:13">
      <c r="A162" s="6" t="s">
        <v>148</v>
      </c>
      <c r="B162" s="6" t="s">
        <v>90</v>
      </c>
      <c r="C162" s="6" t="s">
        <v>86</v>
      </c>
      <c r="D162" s="6">
        <v>1.500416666666667</v>
      </c>
      <c r="E162" s="7">
        <v>977.856843488754</v>
      </c>
      <c r="F162" s="7">
        <v>31053.04303315591</v>
      </c>
      <c r="G162" s="6" t="s">
        <v>181</v>
      </c>
      <c r="H162" s="6">
        <v>0.9694286509814988</v>
      </c>
      <c r="I162" s="7">
        <v>32030.89987664466</v>
      </c>
      <c r="J162" s="6">
        <v>21348.0032501936</v>
      </c>
      <c r="K162" s="6" t="s">
        <v>179</v>
      </c>
      <c r="L162" s="15">
        <v>0.03101059578924163</v>
      </c>
      <c r="M162" s="15">
        <v>4</v>
      </c>
    </row>
    <row r="163" spans="1:13">
      <c r="A163" s="6" t="s">
        <v>148</v>
      </c>
      <c r="B163" s="6" t="s">
        <v>90</v>
      </c>
      <c r="C163" s="6" t="s">
        <v>90</v>
      </c>
      <c r="D163" s="6">
        <v>2988.998916666666</v>
      </c>
      <c r="E163" s="7">
        <v>0</v>
      </c>
      <c r="F163" s="7">
        <v>0</v>
      </c>
      <c r="G163" s="6" t="s">
        <v>181</v>
      </c>
      <c r="H163" s="6">
        <v>0</v>
      </c>
      <c r="I163" s="7">
        <v>0</v>
      </c>
      <c r="J163" s="6">
        <v>0</v>
      </c>
      <c r="K163" s="6" t="s">
        <v>178</v>
      </c>
      <c r="L163" s="15">
        <v>0</v>
      </c>
      <c r="M163" s="15">
        <v>31.625</v>
      </c>
    </row>
    <row r="164" spans="1:13">
      <c r="A164" s="6" t="s">
        <v>148</v>
      </c>
      <c r="B164" s="6" t="s">
        <v>88</v>
      </c>
      <c r="C164" s="6" t="s">
        <v>88</v>
      </c>
      <c r="D164" s="6">
        <v>105.934</v>
      </c>
      <c r="E164" s="7">
        <v>0</v>
      </c>
      <c r="F164" s="7">
        <v>0</v>
      </c>
      <c r="G164" s="6" t="s">
        <v>182</v>
      </c>
      <c r="H164" s="6">
        <v>0</v>
      </c>
      <c r="I164" s="7">
        <v>0</v>
      </c>
      <c r="J164" s="6">
        <v>0</v>
      </c>
      <c r="K164" s="6" t="s">
        <v>178</v>
      </c>
      <c r="L164" s="15">
        <v>0</v>
      </c>
      <c r="M164" s="15">
        <v>0</v>
      </c>
    </row>
    <row r="165" spans="1:13">
      <c r="A165" s="6" t="s">
        <v>148</v>
      </c>
      <c r="B165" s="6" t="s">
        <v>88</v>
      </c>
      <c r="C165" s="6" t="s">
        <v>92</v>
      </c>
      <c r="D165" s="6">
        <v>322.954</v>
      </c>
      <c r="E165" s="7">
        <v>3442292.699986538</v>
      </c>
      <c r="F165" s="7">
        <v>43102.13124744949</v>
      </c>
      <c r="G165" s="6" t="s">
        <v>182</v>
      </c>
      <c r="H165" s="6">
        <v>0.01236899512110266</v>
      </c>
      <c r="I165" s="7">
        <v>3485394.831233988</v>
      </c>
      <c r="J165" s="6">
        <v>10792.23304629758</v>
      </c>
      <c r="K165" s="6" t="s">
        <v>179</v>
      </c>
      <c r="L165" s="15">
        <v>5.436936026936027</v>
      </c>
      <c r="M165" s="15">
        <v>5</v>
      </c>
    </row>
    <row r="166" spans="1:13">
      <c r="A166" s="6" t="s">
        <v>148</v>
      </c>
      <c r="B166" s="6" t="s">
        <v>86</v>
      </c>
      <c r="C166" s="6" t="s">
        <v>86</v>
      </c>
      <c r="D166" s="6">
        <v>116.7269166666667</v>
      </c>
      <c r="E166" s="7">
        <v>0</v>
      </c>
      <c r="F166" s="7">
        <v>0</v>
      </c>
      <c r="G166" s="6" t="s">
        <v>183</v>
      </c>
      <c r="H166" s="6">
        <v>0</v>
      </c>
      <c r="I166" s="7">
        <v>0</v>
      </c>
      <c r="J166" s="6">
        <v>0</v>
      </c>
      <c r="K166" s="6" t="s">
        <v>178</v>
      </c>
      <c r="L166" s="15">
        <v>0</v>
      </c>
      <c r="M166" s="15">
        <v>4</v>
      </c>
    </row>
    <row r="167" spans="1:13">
      <c r="A167" s="6" t="s">
        <v>148</v>
      </c>
      <c r="B167" s="6" t="s">
        <v>88</v>
      </c>
      <c r="C167" s="6" t="s">
        <v>88</v>
      </c>
      <c r="D167" s="6">
        <v>6.32475</v>
      </c>
      <c r="E167" s="7">
        <v>0</v>
      </c>
      <c r="F167" s="7">
        <v>0</v>
      </c>
      <c r="G167" s="6" t="s">
        <v>183</v>
      </c>
      <c r="H167" s="6">
        <v>0</v>
      </c>
      <c r="I167" s="7">
        <v>0</v>
      </c>
      <c r="J167" s="6">
        <v>0</v>
      </c>
      <c r="K167" s="6" t="s">
        <v>178</v>
      </c>
      <c r="L167" s="15">
        <v>0</v>
      </c>
      <c r="M167" s="15">
        <v>0</v>
      </c>
    </row>
    <row r="168" spans="1:13">
      <c r="A168" s="6" t="s">
        <v>148</v>
      </c>
      <c r="B168" s="6" t="s">
        <v>88</v>
      </c>
      <c r="C168" s="6" t="s">
        <v>92</v>
      </c>
      <c r="D168" s="6">
        <v>39.59875000000001</v>
      </c>
      <c r="E168" s="7">
        <v>422074.0045133113</v>
      </c>
      <c r="F168" s="7">
        <v>5284.933828764903</v>
      </c>
      <c r="G168" s="6" t="s">
        <v>183</v>
      </c>
      <c r="H168" s="6">
        <v>0.01236899512110266</v>
      </c>
      <c r="I168" s="7">
        <v>427358.9383420762</v>
      </c>
      <c r="J168" s="6">
        <v>10792.23304629758</v>
      </c>
      <c r="K168" s="6" t="s">
        <v>179</v>
      </c>
      <c r="L168" s="15">
        <v>0.6666456228956231</v>
      </c>
      <c r="M168" s="15">
        <v>5</v>
      </c>
    </row>
    <row r="169" spans="1:13">
      <c r="A169" s="6" t="s">
        <v>148</v>
      </c>
      <c r="B169" s="6" t="s">
        <v>90</v>
      </c>
      <c r="C169" s="6" t="s">
        <v>90</v>
      </c>
      <c r="D169" s="6">
        <v>38.70875000000002</v>
      </c>
      <c r="E169" s="7">
        <v>0</v>
      </c>
      <c r="F169" s="7">
        <v>0</v>
      </c>
      <c r="G169" s="6" t="s">
        <v>183</v>
      </c>
      <c r="H169" s="6">
        <v>0</v>
      </c>
      <c r="I169" s="7">
        <v>0</v>
      </c>
      <c r="J169" s="6">
        <v>0</v>
      </c>
      <c r="K169" s="6" t="s">
        <v>178</v>
      </c>
      <c r="L169" s="15">
        <v>0</v>
      </c>
      <c r="M169" s="15">
        <v>31.625</v>
      </c>
    </row>
    <row r="170" spans="1:13">
      <c r="A170" s="6" t="s">
        <v>148</v>
      </c>
      <c r="B170" s="6" t="s">
        <v>44</v>
      </c>
      <c r="C170" s="6" t="s">
        <v>44</v>
      </c>
      <c r="D170" s="6">
        <v>21467.09779757202</v>
      </c>
      <c r="E170" s="7">
        <v>0</v>
      </c>
      <c r="F170" s="7">
        <v>0</v>
      </c>
      <c r="G170" s="6" t="s">
        <v>184</v>
      </c>
      <c r="H170" s="6">
        <v>0</v>
      </c>
      <c r="I170" s="7">
        <v>0</v>
      </c>
      <c r="J170" s="6">
        <v>0</v>
      </c>
      <c r="K170" s="6" t="s">
        <v>178</v>
      </c>
      <c r="L170" s="15">
        <v>0</v>
      </c>
      <c r="M170" s="15">
        <v>0</v>
      </c>
    </row>
    <row r="171" spans="1:13">
      <c r="A171" s="6" t="s">
        <v>148</v>
      </c>
      <c r="B171" s="6" t="s">
        <v>86</v>
      </c>
      <c r="C171" s="6" t="s">
        <v>86</v>
      </c>
      <c r="D171" s="6">
        <v>5870.984930658515</v>
      </c>
      <c r="E171" s="7">
        <v>0</v>
      </c>
      <c r="F171" s="7">
        <v>0</v>
      </c>
      <c r="G171" s="6" t="s">
        <v>184</v>
      </c>
      <c r="H171" s="6">
        <v>0</v>
      </c>
      <c r="I171" s="7">
        <v>0</v>
      </c>
      <c r="J171" s="6">
        <v>0</v>
      </c>
      <c r="K171" s="6" t="s">
        <v>178</v>
      </c>
      <c r="L171" s="15">
        <v>0</v>
      </c>
      <c r="M171" s="15">
        <v>4</v>
      </c>
    </row>
    <row r="172" spans="1:13">
      <c r="A172" s="6" t="s">
        <v>148</v>
      </c>
      <c r="B172" s="6" t="s">
        <v>88</v>
      </c>
      <c r="C172" s="6" t="s">
        <v>88</v>
      </c>
      <c r="D172" s="6">
        <v>5183.627236008152</v>
      </c>
      <c r="E172" s="7">
        <v>0</v>
      </c>
      <c r="F172" s="7">
        <v>0</v>
      </c>
      <c r="G172" s="6" t="s">
        <v>184</v>
      </c>
      <c r="H172" s="6">
        <v>0</v>
      </c>
      <c r="I172" s="7">
        <v>0</v>
      </c>
      <c r="J172" s="6">
        <v>0</v>
      </c>
      <c r="K172" s="6" t="s">
        <v>178</v>
      </c>
      <c r="L172" s="15">
        <v>0</v>
      </c>
      <c r="M172" s="15">
        <v>0</v>
      </c>
    </row>
    <row r="173" spans="1:13">
      <c r="A173" s="6" t="s">
        <v>148</v>
      </c>
      <c r="B173" s="6" t="s">
        <v>88</v>
      </c>
      <c r="C173" s="6" t="s">
        <v>92</v>
      </c>
      <c r="D173" s="6">
        <v>6113.219583333334</v>
      </c>
      <c r="E173" s="7">
        <v>65159407.05215937</v>
      </c>
      <c r="F173" s="7">
        <v>815883.3543641256</v>
      </c>
      <c r="G173" s="6" t="s">
        <v>184</v>
      </c>
      <c r="H173" s="6">
        <v>0.01236899512110266</v>
      </c>
      <c r="I173" s="7">
        <v>65975290.4065235</v>
      </c>
      <c r="J173" s="6">
        <v>10792.23304629758</v>
      </c>
      <c r="K173" s="6" t="s">
        <v>179</v>
      </c>
      <c r="L173" s="15">
        <v>102.9161546015713</v>
      </c>
      <c r="M173" s="15">
        <v>5</v>
      </c>
    </row>
    <row r="174" spans="1:13">
      <c r="A174" s="6" t="s">
        <v>148</v>
      </c>
      <c r="B174" s="6" t="s">
        <v>90</v>
      </c>
      <c r="C174" s="6" t="s">
        <v>90</v>
      </c>
      <c r="D174" s="6">
        <v>9858.213452427983</v>
      </c>
      <c r="E174" s="7">
        <v>0</v>
      </c>
      <c r="F174" s="7">
        <v>0</v>
      </c>
      <c r="G174" s="6" t="s">
        <v>184</v>
      </c>
      <c r="H174" s="6">
        <v>0</v>
      </c>
      <c r="I174" s="7">
        <v>0</v>
      </c>
      <c r="J174" s="6">
        <v>0</v>
      </c>
      <c r="K174" s="6" t="s">
        <v>178</v>
      </c>
      <c r="L174" s="15">
        <v>0</v>
      </c>
      <c r="M174" s="15">
        <v>31.625</v>
      </c>
    </row>
    <row r="175" spans="1:13">
      <c r="A175" s="6" t="s">
        <v>148</v>
      </c>
      <c r="B175" s="6" t="s">
        <v>44</v>
      </c>
      <c r="C175" s="6" t="s">
        <v>44</v>
      </c>
      <c r="D175" s="6">
        <v>1588.265166666667</v>
      </c>
      <c r="E175" s="7">
        <v>0</v>
      </c>
      <c r="F175" s="7">
        <v>0</v>
      </c>
      <c r="G175" s="6" t="s">
        <v>185</v>
      </c>
      <c r="H175" s="6">
        <v>0</v>
      </c>
      <c r="I175" s="7">
        <v>0</v>
      </c>
      <c r="J175" s="6">
        <v>0</v>
      </c>
      <c r="K175" s="6" t="s">
        <v>178</v>
      </c>
      <c r="L175" s="15">
        <v>0</v>
      </c>
      <c r="M175" s="15">
        <v>0</v>
      </c>
    </row>
    <row r="176" spans="1:13">
      <c r="A176" s="6" t="s">
        <v>148</v>
      </c>
      <c r="B176" s="6" t="s">
        <v>44</v>
      </c>
      <c r="C176" s="6" t="s">
        <v>86</v>
      </c>
      <c r="D176" s="6">
        <v>14.976</v>
      </c>
      <c r="E176" s="7">
        <v>125087.562616918</v>
      </c>
      <c r="F176" s="7">
        <v>408669.7275336353</v>
      </c>
      <c r="G176" s="6" t="s">
        <v>185</v>
      </c>
      <c r="H176" s="6">
        <v>0.7656266185856002</v>
      </c>
      <c r="I176" s="7">
        <v>533757.2901505533</v>
      </c>
      <c r="J176" s="6">
        <v>35640.84469488203</v>
      </c>
      <c r="K176" s="6" t="s">
        <v>179</v>
      </c>
      <c r="L176" s="15">
        <v>0.2133333333333333</v>
      </c>
      <c r="M176" s="15">
        <v>33</v>
      </c>
    </row>
    <row r="177" spans="1:13">
      <c r="A177" s="6" t="s">
        <v>148</v>
      </c>
      <c r="B177" s="6" t="s">
        <v>44</v>
      </c>
      <c r="C177" s="6" t="s">
        <v>90</v>
      </c>
      <c r="D177" s="6">
        <v>26.871</v>
      </c>
      <c r="E177" s="7">
        <v>511071.1039915697</v>
      </c>
      <c r="F177" s="7">
        <v>592879.4724264541</v>
      </c>
      <c r="G177" s="6" t="s">
        <v>185</v>
      </c>
      <c r="H177" s="6">
        <v>0.536035537730801</v>
      </c>
      <c r="I177" s="7">
        <v>1103950.576418024</v>
      </c>
      <c r="J177" s="6">
        <v>41083.34548092828</v>
      </c>
      <c r="K177" s="6" t="s">
        <v>179</v>
      </c>
      <c r="L177" s="15">
        <v>0.5202516940948693</v>
      </c>
      <c r="M177" s="15">
        <v>42</v>
      </c>
    </row>
    <row r="178" spans="1:13">
      <c r="A178" s="6" t="s">
        <v>148</v>
      </c>
      <c r="B178" s="6" t="s">
        <v>44</v>
      </c>
      <c r="C178" s="6" t="s">
        <v>92</v>
      </c>
      <c r="D178" s="6">
        <v>63.04675</v>
      </c>
      <c r="E178" s="7">
        <v>1147608.15029811</v>
      </c>
      <c r="F178" s="7">
        <v>1661968.198702128</v>
      </c>
      <c r="G178" s="6" t="s">
        <v>185</v>
      </c>
      <c r="H178" s="6">
        <v>0.5915384282707035</v>
      </c>
      <c r="I178" s="7">
        <v>2809576.349000238</v>
      </c>
      <c r="J178" s="6">
        <v>44563.38112591431</v>
      </c>
      <c r="K178" s="6" t="s">
        <v>179</v>
      </c>
      <c r="L178" s="15">
        <v>1.142886276500285</v>
      </c>
      <c r="M178" s="15">
        <v>43.95833333333333</v>
      </c>
    </row>
    <row r="179" spans="1:13">
      <c r="A179" s="6" t="s">
        <v>148</v>
      </c>
      <c r="B179" s="6" t="s">
        <v>44</v>
      </c>
      <c r="C179" s="6" t="s">
        <v>99</v>
      </c>
      <c r="D179" s="6">
        <v>226.62925</v>
      </c>
      <c r="E179" s="7">
        <v>7020412.930496703</v>
      </c>
      <c r="F179" s="7">
        <v>55176.20593758672</v>
      </c>
      <c r="G179" s="6" t="s">
        <v>185</v>
      </c>
      <c r="H179" s="6">
        <v>0.007798692969306544</v>
      </c>
      <c r="I179" s="7">
        <v>7075589.13643429</v>
      </c>
      <c r="J179" s="6">
        <v>31220.98818415667</v>
      </c>
      <c r="K179" s="6" t="s">
        <v>179</v>
      </c>
      <c r="L179" s="15">
        <v>5.104434834510175</v>
      </c>
      <c r="M179" s="15">
        <v>26.98333333333333</v>
      </c>
    </row>
    <row r="180" spans="1:13">
      <c r="A180" s="6" t="s">
        <v>148</v>
      </c>
      <c r="B180" s="6" t="s">
        <v>86</v>
      </c>
      <c r="C180" s="6" t="s">
        <v>86</v>
      </c>
      <c r="D180" s="6">
        <v>16895.30333333333</v>
      </c>
      <c r="E180" s="7">
        <v>0</v>
      </c>
      <c r="F180" s="7">
        <v>0</v>
      </c>
      <c r="G180" s="6" t="s">
        <v>186</v>
      </c>
      <c r="H180" s="6">
        <v>0</v>
      </c>
      <c r="I180" s="7">
        <v>0</v>
      </c>
      <c r="J180" s="6">
        <v>0</v>
      </c>
      <c r="K180" s="6" t="s">
        <v>178</v>
      </c>
      <c r="L180" s="15">
        <v>0</v>
      </c>
      <c r="M180" s="15">
        <v>4</v>
      </c>
    </row>
    <row r="181" spans="1:13">
      <c r="A181" s="6" t="s">
        <v>148</v>
      </c>
      <c r="B181" s="6" t="s">
        <v>88</v>
      </c>
      <c r="C181" s="6" t="s">
        <v>88</v>
      </c>
      <c r="D181" s="6">
        <v>2749.804916666667</v>
      </c>
      <c r="E181" s="7">
        <v>0</v>
      </c>
      <c r="F181" s="7">
        <v>0</v>
      </c>
      <c r="G181" s="6" t="s">
        <v>186</v>
      </c>
      <c r="H181" s="6">
        <v>0</v>
      </c>
      <c r="I181" s="7">
        <v>0</v>
      </c>
      <c r="J181" s="6">
        <v>0</v>
      </c>
      <c r="K181" s="6" t="s">
        <v>178</v>
      </c>
      <c r="L181" s="15">
        <v>0</v>
      </c>
      <c r="M181" s="15">
        <v>0</v>
      </c>
    </row>
    <row r="182" spans="1:13">
      <c r="A182" s="6" t="s">
        <v>148</v>
      </c>
      <c r="B182" s="6" t="s">
        <v>88</v>
      </c>
      <c r="C182" s="6" t="s">
        <v>92</v>
      </c>
      <c r="D182" s="6">
        <v>2568.180916666666</v>
      </c>
      <c r="E182" s="7">
        <v>27373652.04235402</v>
      </c>
      <c r="F182" s="7">
        <v>342754.915366776</v>
      </c>
      <c r="G182" s="6" t="s">
        <v>186</v>
      </c>
      <c r="H182" s="6">
        <v>0.01236899512110266</v>
      </c>
      <c r="I182" s="7">
        <v>27716406.95772079</v>
      </c>
      <c r="J182" s="6">
        <v>10792.23304629758</v>
      </c>
      <c r="K182" s="6" t="s">
        <v>179</v>
      </c>
      <c r="L182" s="15">
        <v>43.2353689674523</v>
      </c>
      <c r="M182" s="15">
        <v>5</v>
      </c>
    </row>
    <row r="183" spans="1:13">
      <c r="A183" s="6" t="s">
        <v>148</v>
      </c>
      <c r="B183" s="6" t="s">
        <v>90</v>
      </c>
      <c r="C183" s="6" t="s">
        <v>90</v>
      </c>
      <c r="D183" s="6">
        <v>5603.960250000002</v>
      </c>
      <c r="E183" s="7">
        <v>0</v>
      </c>
      <c r="F183" s="7">
        <v>0</v>
      </c>
      <c r="G183" s="6" t="s">
        <v>186</v>
      </c>
      <c r="H183" s="6">
        <v>0</v>
      </c>
      <c r="I183" s="7">
        <v>0</v>
      </c>
      <c r="J183" s="6">
        <v>0</v>
      </c>
      <c r="K183" s="6" t="s">
        <v>178</v>
      </c>
      <c r="L183" s="15">
        <v>0</v>
      </c>
      <c r="M183" s="15">
        <v>31.625</v>
      </c>
    </row>
    <row r="184" spans="1:13">
      <c r="A184" s="6" t="s">
        <v>148</v>
      </c>
      <c r="B184" s="6" t="s">
        <v>86</v>
      </c>
      <c r="C184" s="6" t="s">
        <v>86</v>
      </c>
      <c r="D184" s="6">
        <v>1268.80425</v>
      </c>
      <c r="E184" s="7">
        <v>0</v>
      </c>
      <c r="F184" s="7">
        <v>0</v>
      </c>
      <c r="G184" s="6" t="s">
        <v>187</v>
      </c>
      <c r="H184" s="6">
        <v>0</v>
      </c>
      <c r="I184" s="7">
        <v>0</v>
      </c>
      <c r="J184" s="6">
        <v>0</v>
      </c>
      <c r="K184" s="6" t="s">
        <v>178</v>
      </c>
      <c r="L184" s="15">
        <v>0</v>
      </c>
      <c r="M184" s="15">
        <v>4</v>
      </c>
    </row>
    <row r="185" spans="1:13">
      <c r="A185" s="6" t="s">
        <v>148</v>
      </c>
      <c r="B185" s="6" t="s">
        <v>88</v>
      </c>
      <c r="C185" s="6" t="s">
        <v>88</v>
      </c>
      <c r="D185" s="6">
        <v>155.3224166666667</v>
      </c>
      <c r="E185" s="7">
        <v>0</v>
      </c>
      <c r="F185" s="7">
        <v>0</v>
      </c>
      <c r="G185" s="6" t="s">
        <v>187</v>
      </c>
      <c r="H185" s="6">
        <v>0</v>
      </c>
      <c r="I185" s="7">
        <v>0</v>
      </c>
      <c r="J185" s="6">
        <v>0</v>
      </c>
      <c r="K185" s="6" t="s">
        <v>178</v>
      </c>
      <c r="L185" s="15">
        <v>0</v>
      </c>
      <c r="M185" s="15">
        <v>0</v>
      </c>
    </row>
    <row r="186" spans="1:13">
      <c r="A186" s="6" t="s">
        <v>148</v>
      </c>
      <c r="B186" s="6" t="s">
        <v>88</v>
      </c>
      <c r="C186" s="6" t="s">
        <v>92</v>
      </c>
      <c r="D186" s="6">
        <v>534.1889166666667</v>
      </c>
      <c r="E186" s="7">
        <v>5693797.284614477</v>
      </c>
      <c r="F186" s="7">
        <v>71293.99480142536</v>
      </c>
      <c r="G186" s="6" t="s">
        <v>187</v>
      </c>
      <c r="H186" s="6">
        <v>0.01236899512110266</v>
      </c>
      <c r="I186" s="7">
        <v>5765091.279415903</v>
      </c>
      <c r="J186" s="6">
        <v>10792.23304629758</v>
      </c>
      <c r="K186" s="6" t="s">
        <v>179</v>
      </c>
      <c r="L186" s="15">
        <v>8.993079405162741</v>
      </c>
      <c r="M186" s="15">
        <v>5</v>
      </c>
    </row>
    <row r="187" spans="1:13">
      <c r="A187" s="6" t="s">
        <v>148</v>
      </c>
      <c r="B187" s="6" t="s">
        <v>90</v>
      </c>
      <c r="C187" s="6" t="s">
        <v>90</v>
      </c>
      <c r="D187" s="6">
        <v>934.6318333333334</v>
      </c>
      <c r="E187" s="7">
        <v>0</v>
      </c>
      <c r="F187" s="7">
        <v>0</v>
      </c>
      <c r="G187" s="6" t="s">
        <v>187</v>
      </c>
      <c r="H187" s="6">
        <v>0</v>
      </c>
      <c r="I187" s="7">
        <v>0</v>
      </c>
      <c r="J187" s="6">
        <v>0</v>
      </c>
      <c r="K187" s="6" t="s">
        <v>178</v>
      </c>
      <c r="L187" s="15">
        <v>0</v>
      </c>
      <c r="M187" s="15">
        <v>31.625</v>
      </c>
    </row>
    <row r="188" spans="1:13">
      <c r="A188" s="6" t="s">
        <v>148</v>
      </c>
      <c r="B188" s="6" t="s">
        <v>86</v>
      </c>
      <c r="C188" s="6" t="s">
        <v>86</v>
      </c>
      <c r="D188" s="6">
        <v>3727.259249999999</v>
      </c>
      <c r="E188" s="7">
        <v>0</v>
      </c>
      <c r="F188" s="7">
        <v>0</v>
      </c>
      <c r="G188" s="6" t="s">
        <v>188</v>
      </c>
      <c r="H188" s="6">
        <v>0</v>
      </c>
      <c r="I188" s="7">
        <v>0</v>
      </c>
      <c r="J188" s="6">
        <v>0</v>
      </c>
      <c r="K188" s="6" t="s">
        <v>178</v>
      </c>
      <c r="L188" s="15">
        <v>0</v>
      </c>
      <c r="M188" s="15">
        <v>4</v>
      </c>
    </row>
    <row r="189" spans="1:13">
      <c r="A189" s="6" t="s">
        <v>148</v>
      </c>
      <c r="B189" s="6" t="s">
        <v>88</v>
      </c>
      <c r="C189" s="6" t="s">
        <v>88</v>
      </c>
      <c r="D189" s="6">
        <v>632.8125000000001</v>
      </c>
      <c r="E189" s="7">
        <v>0</v>
      </c>
      <c r="F189" s="7">
        <v>0</v>
      </c>
      <c r="G189" s="6" t="s">
        <v>188</v>
      </c>
      <c r="H189" s="6">
        <v>0</v>
      </c>
      <c r="I189" s="7">
        <v>0</v>
      </c>
      <c r="J189" s="6">
        <v>0</v>
      </c>
      <c r="K189" s="6" t="s">
        <v>178</v>
      </c>
      <c r="L189" s="15">
        <v>0</v>
      </c>
      <c r="M189" s="15">
        <v>0</v>
      </c>
    </row>
    <row r="190" spans="1:13">
      <c r="A190" s="6" t="s">
        <v>148</v>
      </c>
      <c r="B190" s="6" t="s">
        <v>88</v>
      </c>
      <c r="C190" s="6" t="s">
        <v>92</v>
      </c>
      <c r="D190" s="6">
        <v>1315.399166666667</v>
      </c>
      <c r="E190" s="7">
        <v>14020538.37074333</v>
      </c>
      <c r="F190" s="7">
        <v>175555.9848289613</v>
      </c>
      <c r="G190" s="6" t="s">
        <v>188</v>
      </c>
      <c r="H190" s="6">
        <v>0.01236899512110266</v>
      </c>
      <c r="I190" s="7">
        <v>14196094.35557229</v>
      </c>
      <c r="J190" s="6">
        <v>10792.23304629758</v>
      </c>
      <c r="K190" s="6" t="s">
        <v>179</v>
      </c>
      <c r="L190" s="15">
        <v>22.14476711560045</v>
      </c>
      <c r="M190" s="15">
        <v>5</v>
      </c>
    </row>
    <row r="191" spans="1:13">
      <c r="A191" s="6" t="s">
        <v>148</v>
      </c>
      <c r="B191" s="6" t="s">
        <v>90</v>
      </c>
      <c r="C191" s="6" t="s">
        <v>90</v>
      </c>
      <c r="D191" s="6">
        <v>1100.949166666667</v>
      </c>
      <c r="E191" s="7">
        <v>0</v>
      </c>
      <c r="F191" s="7">
        <v>0</v>
      </c>
      <c r="G191" s="6" t="s">
        <v>188</v>
      </c>
      <c r="H191" s="6">
        <v>0</v>
      </c>
      <c r="I191" s="7">
        <v>0</v>
      </c>
      <c r="J191" s="6">
        <v>0</v>
      </c>
      <c r="K191" s="6" t="s">
        <v>178</v>
      </c>
      <c r="L191" s="15">
        <v>0</v>
      </c>
      <c r="M191" s="15">
        <v>31.625</v>
      </c>
    </row>
    <row r="192" spans="1:13">
      <c r="A192" s="6" t="s">
        <v>148</v>
      </c>
      <c r="B192" s="6" t="s">
        <v>44</v>
      </c>
      <c r="C192" s="6" t="s">
        <v>44</v>
      </c>
      <c r="D192" s="6">
        <v>5829.24458333333</v>
      </c>
      <c r="E192" s="7">
        <v>0</v>
      </c>
      <c r="F192" s="7">
        <v>0</v>
      </c>
      <c r="G192" s="6" t="s">
        <v>189</v>
      </c>
      <c r="H192" s="6">
        <v>0</v>
      </c>
      <c r="I192" s="7">
        <v>0</v>
      </c>
      <c r="J192" s="6">
        <v>0</v>
      </c>
      <c r="K192" s="6" t="s">
        <v>178</v>
      </c>
      <c r="L192" s="15">
        <v>0</v>
      </c>
      <c r="M192" s="15">
        <v>0</v>
      </c>
    </row>
    <row r="193" spans="1:13">
      <c r="A193" s="6" t="s">
        <v>148</v>
      </c>
      <c r="B193" s="6" t="s">
        <v>86</v>
      </c>
      <c r="C193" s="6" t="s">
        <v>86</v>
      </c>
      <c r="D193" s="6">
        <v>1832.462916666667</v>
      </c>
      <c r="E193" s="7">
        <v>0</v>
      </c>
      <c r="F193" s="7">
        <v>0</v>
      </c>
      <c r="G193" s="6" t="s">
        <v>189</v>
      </c>
      <c r="H193" s="6">
        <v>0</v>
      </c>
      <c r="I193" s="7">
        <v>0</v>
      </c>
      <c r="J193" s="6">
        <v>0</v>
      </c>
      <c r="K193" s="6" t="s">
        <v>178</v>
      </c>
      <c r="L193" s="15">
        <v>0</v>
      </c>
      <c r="M193" s="15">
        <v>4</v>
      </c>
    </row>
    <row r="194" spans="1:13">
      <c r="A194" s="6" t="s">
        <v>148</v>
      </c>
      <c r="B194" s="6" t="s">
        <v>88</v>
      </c>
      <c r="C194" s="6" t="s">
        <v>88</v>
      </c>
      <c r="D194" s="6">
        <v>899.2160833333334</v>
      </c>
      <c r="E194" s="7">
        <v>0</v>
      </c>
      <c r="F194" s="7">
        <v>0</v>
      </c>
      <c r="G194" s="6" t="s">
        <v>189</v>
      </c>
      <c r="H194" s="6">
        <v>0</v>
      </c>
      <c r="I194" s="7">
        <v>0</v>
      </c>
      <c r="J194" s="6">
        <v>0</v>
      </c>
      <c r="K194" s="6" t="s">
        <v>178</v>
      </c>
      <c r="L194" s="15">
        <v>0</v>
      </c>
      <c r="M194" s="15">
        <v>0</v>
      </c>
    </row>
    <row r="195" spans="1:13">
      <c r="A195" s="6" t="s">
        <v>148</v>
      </c>
      <c r="B195" s="6" t="s">
        <v>88</v>
      </c>
      <c r="C195" s="6" t="s">
        <v>92</v>
      </c>
      <c r="D195" s="6">
        <v>1165.395666666667</v>
      </c>
      <c r="E195" s="7">
        <v>12421685.42876884</v>
      </c>
      <c r="F195" s="7">
        <v>155536.1970431565</v>
      </c>
      <c r="G195" s="6" t="s">
        <v>189</v>
      </c>
      <c r="H195" s="6">
        <v>0.01236899512110266</v>
      </c>
      <c r="I195" s="7">
        <v>12577221.62581199</v>
      </c>
      <c r="J195" s="6">
        <v>10792.23304629758</v>
      </c>
      <c r="K195" s="6" t="s">
        <v>179</v>
      </c>
      <c r="L195" s="15">
        <v>19.619455667789</v>
      </c>
      <c r="M195" s="15">
        <v>5</v>
      </c>
    </row>
    <row r="196" spans="1:13">
      <c r="A196" s="6" t="s">
        <v>148</v>
      </c>
      <c r="B196" s="6" t="s">
        <v>90</v>
      </c>
      <c r="C196" s="6" t="s">
        <v>90</v>
      </c>
      <c r="D196" s="6">
        <v>2702.962583333333</v>
      </c>
      <c r="E196" s="7">
        <v>0</v>
      </c>
      <c r="F196" s="7">
        <v>0</v>
      </c>
      <c r="G196" s="6" t="s">
        <v>189</v>
      </c>
      <c r="H196" s="6">
        <v>0</v>
      </c>
      <c r="I196" s="7">
        <v>0</v>
      </c>
      <c r="J196" s="6">
        <v>0</v>
      </c>
      <c r="K196" s="6" t="s">
        <v>178</v>
      </c>
      <c r="L196" s="15">
        <v>0</v>
      </c>
      <c r="M196" s="15">
        <v>31.625</v>
      </c>
    </row>
    <row r="197" spans="1:13">
      <c r="A197" s="6" t="s">
        <v>148</v>
      </c>
      <c r="B197" s="6" t="s">
        <v>44</v>
      </c>
      <c r="C197" s="6" t="s">
        <v>44</v>
      </c>
      <c r="D197" s="6">
        <v>6133.597000000001</v>
      </c>
      <c r="E197" s="7">
        <v>0</v>
      </c>
      <c r="F197" s="7">
        <v>0</v>
      </c>
      <c r="G197" s="6" t="s">
        <v>190</v>
      </c>
      <c r="H197" s="6">
        <v>0</v>
      </c>
      <c r="I197" s="7">
        <v>0</v>
      </c>
      <c r="J197" s="6">
        <v>0</v>
      </c>
      <c r="K197" s="6" t="s">
        <v>178</v>
      </c>
      <c r="L197" s="15">
        <v>0</v>
      </c>
      <c r="M197" s="15">
        <v>0</v>
      </c>
    </row>
    <row r="198" spans="1:13">
      <c r="A198" s="6" t="s">
        <v>148</v>
      </c>
      <c r="B198" s="6" t="s">
        <v>86</v>
      </c>
      <c r="C198" s="6" t="s">
        <v>86</v>
      </c>
      <c r="D198" s="6">
        <v>2698.258833333333</v>
      </c>
      <c r="E198" s="7">
        <v>0</v>
      </c>
      <c r="F198" s="7">
        <v>0</v>
      </c>
      <c r="G198" s="6" t="s">
        <v>190</v>
      </c>
      <c r="H198" s="6">
        <v>0</v>
      </c>
      <c r="I198" s="7">
        <v>0</v>
      </c>
      <c r="J198" s="6">
        <v>0</v>
      </c>
      <c r="K198" s="6" t="s">
        <v>178</v>
      </c>
      <c r="L198" s="15">
        <v>0</v>
      </c>
      <c r="M198" s="15">
        <v>4</v>
      </c>
    </row>
    <row r="199" spans="1:13">
      <c r="A199" s="6" t="s">
        <v>148</v>
      </c>
      <c r="B199" s="6" t="s">
        <v>88</v>
      </c>
      <c r="C199" s="6" t="s">
        <v>88</v>
      </c>
      <c r="D199" s="6">
        <v>319.823</v>
      </c>
      <c r="E199" s="7">
        <v>0</v>
      </c>
      <c r="F199" s="7">
        <v>0</v>
      </c>
      <c r="G199" s="6" t="s">
        <v>190</v>
      </c>
      <c r="H199" s="6">
        <v>0</v>
      </c>
      <c r="I199" s="7">
        <v>0</v>
      </c>
      <c r="J199" s="6">
        <v>0</v>
      </c>
      <c r="K199" s="6" t="s">
        <v>178</v>
      </c>
      <c r="L199" s="15">
        <v>0</v>
      </c>
      <c r="M199" s="15">
        <v>0</v>
      </c>
    </row>
    <row r="200" spans="1:13">
      <c r="A200" s="6" t="s">
        <v>148</v>
      </c>
      <c r="B200" s="6" t="s">
        <v>90</v>
      </c>
      <c r="C200" s="6" t="s">
        <v>90</v>
      </c>
      <c r="D200" s="6">
        <v>2599.79175</v>
      </c>
      <c r="E200" s="7">
        <v>0</v>
      </c>
      <c r="F200" s="7">
        <v>0</v>
      </c>
      <c r="G200" s="6" t="s">
        <v>190</v>
      </c>
      <c r="H200" s="6">
        <v>0</v>
      </c>
      <c r="I200" s="7">
        <v>0</v>
      </c>
      <c r="J200" s="6">
        <v>0</v>
      </c>
      <c r="K200" s="6" t="s">
        <v>178</v>
      </c>
      <c r="L200" s="15">
        <v>0</v>
      </c>
      <c r="M200" s="15">
        <v>31.625</v>
      </c>
    </row>
    <row r="201" spans="1:13">
      <c r="A201" s="6" t="s">
        <v>148</v>
      </c>
      <c r="B201" s="6" t="s">
        <v>92</v>
      </c>
      <c r="C201" s="6" t="s">
        <v>92</v>
      </c>
      <c r="D201" s="6">
        <v>2712.559416666666</v>
      </c>
      <c r="E201" s="7">
        <v>0</v>
      </c>
      <c r="F201" s="7">
        <v>0</v>
      </c>
      <c r="G201" s="6" t="s">
        <v>190</v>
      </c>
      <c r="H201" s="6">
        <v>0</v>
      </c>
      <c r="I201" s="7">
        <v>0</v>
      </c>
      <c r="J201" s="6">
        <v>0</v>
      </c>
      <c r="K201" s="6" t="s">
        <v>178</v>
      </c>
      <c r="L201" s="15">
        <v>0</v>
      </c>
      <c r="M201" s="15">
        <v>78.98333333333333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J6504"/>
  <sheetViews>
    <sheetView workbookViewId="0">
      <pane ySplit="3" topLeftCell="A4" activePane="bottomLeft" state="frozen"/>
      <selection pane="bottomLeft"/>
    </sheetView>
  </sheetViews>
  <sheetFormatPr defaultRowHeight="15"/>
  <cols>
    <col min="1" max="6" width="12.7109375" customWidth="1"/>
    <col min="7" max="9" width="15.7109375" customWidth="1"/>
    <col min="10" max="10" width="12.7109375" customWidth="1"/>
  </cols>
  <sheetData>
    <row r="1" spans="1:10">
      <c r="A1" s="1" t="s">
        <v>191</v>
      </c>
    </row>
    <row r="3" spans="1:10">
      <c r="A3" t="s">
        <v>124</v>
      </c>
      <c r="B3" t="s">
        <v>163</v>
      </c>
      <c r="C3" t="s">
        <v>192</v>
      </c>
      <c r="D3" t="s">
        <v>164</v>
      </c>
      <c r="E3" t="s">
        <v>167</v>
      </c>
      <c r="F3" t="s">
        <v>193</v>
      </c>
      <c r="G3" t="s">
        <v>170</v>
      </c>
      <c r="H3" t="s">
        <v>169</v>
      </c>
      <c r="I3" t="s">
        <v>171</v>
      </c>
      <c r="J3" t="s">
        <v>173</v>
      </c>
    </row>
    <row r="4" spans="1:10">
      <c r="A4" s="6" t="s">
        <v>136</v>
      </c>
      <c r="B4" s="6" t="s">
        <v>44</v>
      </c>
      <c r="C4" s="6" t="s">
        <v>194</v>
      </c>
      <c r="D4" s="6">
        <v>3.209583333333333</v>
      </c>
      <c r="E4" s="6" t="s">
        <v>174</v>
      </c>
      <c r="F4" s="6" t="s">
        <v>58</v>
      </c>
      <c r="G4" s="7">
        <v>20829.42392802728</v>
      </c>
      <c r="H4" s="6">
        <v>66853.7718823309</v>
      </c>
      <c r="I4" s="6" t="s">
        <v>179</v>
      </c>
      <c r="J4" s="15">
        <v>14.33333333333333</v>
      </c>
    </row>
    <row r="5" spans="1:10">
      <c r="A5" s="6" t="s">
        <v>136</v>
      </c>
      <c r="B5" s="6" t="s">
        <v>44</v>
      </c>
      <c r="C5" s="6" t="s">
        <v>195</v>
      </c>
      <c r="D5" s="6">
        <v>71.08058333333334</v>
      </c>
      <c r="E5" s="6" t="s">
        <v>174</v>
      </c>
      <c r="F5" s="6" t="s">
        <v>54</v>
      </c>
      <c r="G5" s="7">
        <v>84052.83905275936</v>
      </c>
      <c r="H5" s="6">
        <v>5974524.830692916</v>
      </c>
      <c r="I5" s="6" t="s">
        <v>179</v>
      </c>
      <c r="J5" s="15">
        <v>47.38333333333333</v>
      </c>
    </row>
    <row r="6" spans="1:10">
      <c r="A6" s="6" t="s">
        <v>136</v>
      </c>
      <c r="B6" s="6" t="s">
        <v>44</v>
      </c>
      <c r="C6" s="6" t="s">
        <v>196</v>
      </c>
      <c r="D6" s="6">
        <v>10.6975</v>
      </c>
      <c r="E6" s="6" t="s">
        <v>174</v>
      </c>
      <c r="F6" s="6" t="s">
        <v>52</v>
      </c>
      <c r="G6" s="7">
        <v>69869.94547012541</v>
      </c>
      <c r="H6" s="6">
        <v>747433.7416666666</v>
      </c>
      <c r="I6" s="6" t="s">
        <v>179</v>
      </c>
      <c r="J6" s="15">
        <v>67.825</v>
      </c>
    </row>
    <row r="7" spans="1:10">
      <c r="A7" s="6" t="s">
        <v>136</v>
      </c>
      <c r="B7" s="6" t="s">
        <v>44</v>
      </c>
      <c r="C7" s="6" t="s">
        <v>197</v>
      </c>
      <c r="D7" s="6">
        <v>1.6115</v>
      </c>
      <c r="E7" s="6" t="s">
        <v>174</v>
      </c>
      <c r="F7" s="6" t="s">
        <v>53</v>
      </c>
      <c r="G7" s="7">
        <v>60160.27030168513</v>
      </c>
      <c r="H7" s="6">
        <v>96948.2755911656</v>
      </c>
      <c r="I7" s="6" t="s">
        <v>180</v>
      </c>
      <c r="J7" s="15">
        <v>15.52622330228389</v>
      </c>
    </row>
    <row r="8" spans="1:10">
      <c r="A8" s="6" t="s">
        <v>136</v>
      </c>
      <c r="B8" s="6" t="s">
        <v>44</v>
      </c>
      <c r="C8" s="6" t="s">
        <v>198</v>
      </c>
      <c r="D8" s="6">
        <v>396.9084166666667</v>
      </c>
      <c r="E8" s="6" t="s">
        <v>174</v>
      </c>
      <c r="F8" s="6" t="s">
        <v>58</v>
      </c>
      <c r="G8" s="7">
        <v>87192.31842895708</v>
      </c>
      <c r="H8" s="6">
        <v>34607365.05313317</v>
      </c>
      <c r="I8" s="6" t="s">
        <v>179</v>
      </c>
      <c r="J8" s="15">
        <v>38</v>
      </c>
    </row>
    <row r="9" spans="1:10">
      <c r="A9" s="6" t="s">
        <v>136</v>
      </c>
      <c r="B9" s="6" t="s">
        <v>44</v>
      </c>
      <c r="C9" s="6" t="s">
        <v>199</v>
      </c>
      <c r="D9" s="6">
        <v>331.8538333333333</v>
      </c>
      <c r="E9" s="6" t="s">
        <v>174</v>
      </c>
      <c r="F9" s="6" t="s">
        <v>57</v>
      </c>
      <c r="G9" s="7">
        <v>42727.16197460723</v>
      </c>
      <c r="H9" s="6">
        <v>14179172.48872765</v>
      </c>
      <c r="I9" s="6" t="s">
        <v>179</v>
      </c>
      <c r="J9" s="15">
        <v>44.83333333333334</v>
      </c>
    </row>
    <row r="10" spans="1:10">
      <c r="A10" s="6" t="s">
        <v>136</v>
      </c>
      <c r="B10" s="6" t="s">
        <v>44</v>
      </c>
      <c r="C10" s="6" t="s">
        <v>200</v>
      </c>
      <c r="D10" s="6">
        <v>5.959333333333333</v>
      </c>
      <c r="E10" s="6" t="s">
        <v>174</v>
      </c>
      <c r="F10" s="6" t="s">
        <v>52</v>
      </c>
      <c r="G10" s="7">
        <v>79455.19213558563</v>
      </c>
      <c r="H10" s="6">
        <v>473499.975</v>
      </c>
      <c r="I10" s="6" t="s">
        <v>179</v>
      </c>
      <c r="J10" s="15">
        <v>83.38333333333334</v>
      </c>
    </row>
    <row r="11" spans="1:10">
      <c r="A11" s="6" t="s">
        <v>136</v>
      </c>
      <c r="B11" s="6" t="s">
        <v>44</v>
      </c>
      <c r="C11" s="6" t="s">
        <v>201</v>
      </c>
      <c r="D11" s="6">
        <v>252.9636666666667</v>
      </c>
      <c r="E11" s="6" t="s">
        <v>174</v>
      </c>
      <c r="F11" s="6" t="s">
        <v>56</v>
      </c>
      <c r="G11" s="7">
        <v>55387.37653085204</v>
      </c>
      <c r="H11" s="6">
        <v>14010993.85429161</v>
      </c>
      <c r="I11" s="6" t="s">
        <v>179</v>
      </c>
      <c r="J11" s="15">
        <v>24</v>
      </c>
    </row>
    <row r="12" spans="1:10">
      <c r="A12" s="6" t="s">
        <v>136</v>
      </c>
      <c r="B12" s="6" t="s">
        <v>44</v>
      </c>
      <c r="C12" s="6" t="s">
        <v>202</v>
      </c>
      <c r="D12" s="6">
        <v>963.4845833333334</v>
      </c>
      <c r="E12" s="6" t="s">
        <v>174</v>
      </c>
      <c r="F12" s="6" t="s">
        <v>54</v>
      </c>
      <c r="G12" s="7">
        <v>97582.35964345603</v>
      </c>
      <c r="H12" s="6">
        <v>94019099.12175871</v>
      </c>
      <c r="I12" s="6" t="s">
        <v>179</v>
      </c>
      <c r="J12" s="15">
        <v>68</v>
      </c>
    </row>
    <row r="13" spans="1:10">
      <c r="A13" s="6" t="s">
        <v>136</v>
      </c>
      <c r="B13" s="6" t="s">
        <v>44</v>
      </c>
      <c r="C13" s="6" t="s">
        <v>203</v>
      </c>
      <c r="D13" s="6">
        <v>508.4685</v>
      </c>
      <c r="E13" s="6" t="s">
        <v>174</v>
      </c>
      <c r="F13" s="6" t="s">
        <v>53</v>
      </c>
      <c r="G13" s="7">
        <v>40461.29080326468</v>
      </c>
      <c r="H13" s="6">
        <v>20573291.84279979</v>
      </c>
      <c r="I13" s="6" t="s">
        <v>179</v>
      </c>
      <c r="J13" s="15">
        <v>44.11666666666667</v>
      </c>
    </row>
    <row r="14" spans="1:10">
      <c r="A14" s="6" t="s">
        <v>136</v>
      </c>
      <c r="B14" s="6" t="s">
        <v>44</v>
      </c>
      <c r="C14" s="6" t="s">
        <v>204</v>
      </c>
      <c r="D14" s="6">
        <v>9157.87225</v>
      </c>
      <c r="E14" s="6" t="s">
        <v>174</v>
      </c>
      <c r="F14" s="6" t="s">
        <v>51</v>
      </c>
      <c r="G14" s="7">
        <v>22075.51100893869</v>
      </c>
      <c r="H14" s="6">
        <v>202164709.6733291</v>
      </c>
      <c r="I14" s="6" t="s">
        <v>179</v>
      </c>
      <c r="J14" s="15">
        <v>17.73333333333333</v>
      </c>
    </row>
    <row r="15" spans="1:10">
      <c r="A15" s="6" t="s">
        <v>136</v>
      </c>
      <c r="B15" s="6" t="s">
        <v>44</v>
      </c>
      <c r="C15" s="6" t="s">
        <v>205</v>
      </c>
      <c r="D15" s="6">
        <v>945.1967500000001</v>
      </c>
      <c r="E15" s="6" t="s">
        <v>174</v>
      </c>
      <c r="F15" s="6" t="s">
        <v>56</v>
      </c>
      <c r="G15" s="7">
        <v>54049.79733429672</v>
      </c>
      <c r="H15" s="6">
        <v>51087692.77853592</v>
      </c>
      <c r="I15" s="6" t="s">
        <v>179</v>
      </c>
      <c r="J15" s="15">
        <v>22.35</v>
      </c>
    </row>
    <row r="16" spans="1:10">
      <c r="A16" s="6" t="s">
        <v>136</v>
      </c>
      <c r="B16" s="6" t="s">
        <v>44</v>
      </c>
      <c r="C16" s="6" t="s">
        <v>206</v>
      </c>
      <c r="D16" s="6">
        <v>80.94125</v>
      </c>
      <c r="E16" s="6" t="s">
        <v>174</v>
      </c>
      <c r="F16" s="6" t="s">
        <v>55</v>
      </c>
      <c r="G16" s="7">
        <v>52787.66629507686</v>
      </c>
      <c r="H16" s="6">
        <v>4272699.69450639</v>
      </c>
      <c r="I16" s="6" t="s">
        <v>179</v>
      </c>
      <c r="J16" s="15">
        <v>47</v>
      </c>
    </row>
    <row r="17" spans="1:10">
      <c r="A17" s="6" t="s">
        <v>136</v>
      </c>
      <c r="B17" s="6" t="s">
        <v>44</v>
      </c>
      <c r="C17" s="6" t="s">
        <v>207</v>
      </c>
      <c r="D17" s="6">
        <v>0.8338333333333333</v>
      </c>
      <c r="E17" s="6" t="s">
        <v>174</v>
      </c>
      <c r="F17" s="6" t="s">
        <v>55</v>
      </c>
      <c r="G17" s="7">
        <v>43102.17610390013</v>
      </c>
      <c r="H17" s="6">
        <v>35940.03117463539</v>
      </c>
      <c r="I17" s="6" t="s">
        <v>180</v>
      </c>
      <c r="J17" s="15">
        <v>106.2666666666667</v>
      </c>
    </row>
    <row r="18" spans="1:10">
      <c r="A18" s="6" t="s">
        <v>136</v>
      </c>
      <c r="B18" s="6" t="s">
        <v>44</v>
      </c>
      <c r="C18" s="6" t="s">
        <v>208</v>
      </c>
      <c r="D18" s="6">
        <v>70.67175</v>
      </c>
      <c r="E18" s="6" t="s">
        <v>174</v>
      </c>
      <c r="F18" s="6" t="s">
        <v>51</v>
      </c>
      <c r="G18" s="7">
        <v>21097.10902947491</v>
      </c>
      <c r="H18" s="6">
        <v>1490969.615053794</v>
      </c>
      <c r="I18" s="6" t="s">
        <v>179</v>
      </c>
      <c r="J18" s="15">
        <v>30</v>
      </c>
    </row>
    <row r="19" spans="1:10">
      <c r="A19" s="6" t="s">
        <v>136</v>
      </c>
      <c r="B19" s="6" t="s">
        <v>44</v>
      </c>
      <c r="C19" s="6" t="s">
        <v>209</v>
      </c>
      <c r="D19" s="6">
        <v>1.451916666666667</v>
      </c>
      <c r="E19" s="6" t="s">
        <v>174</v>
      </c>
      <c r="F19" s="6" t="s">
        <v>57</v>
      </c>
      <c r="G19" s="7">
        <v>41050.93445745452</v>
      </c>
      <c r="H19" s="6">
        <v>59602.53592101917</v>
      </c>
      <c r="I19" s="6" t="s">
        <v>180</v>
      </c>
      <c r="J19" s="15">
        <v>8.447085698826186</v>
      </c>
    </row>
    <row r="20" spans="1:10">
      <c r="A20" s="6" t="s">
        <v>136</v>
      </c>
      <c r="B20" s="6" t="s">
        <v>44</v>
      </c>
      <c r="C20" s="6" t="s">
        <v>210</v>
      </c>
      <c r="D20" s="6">
        <v>0.6090833333333333</v>
      </c>
      <c r="E20" s="6" t="s">
        <v>174</v>
      </c>
      <c r="F20" s="6" t="s">
        <v>53</v>
      </c>
      <c r="G20" s="7">
        <v>43419.65361451151</v>
      </c>
      <c r="H20" s="6">
        <v>26446.18735570538</v>
      </c>
      <c r="I20" s="6" t="s">
        <v>180</v>
      </c>
      <c r="J20" s="15">
        <v>9.324588140221366</v>
      </c>
    </row>
    <row r="21" spans="1:10">
      <c r="A21" s="6" t="s">
        <v>136</v>
      </c>
      <c r="B21" s="6" t="s">
        <v>44</v>
      </c>
      <c r="C21" s="6" t="s">
        <v>211</v>
      </c>
      <c r="D21" s="6">
        <v>1165.028083333333</v>
      </c>
      <c r="E21" s="6" t="s">
        <v>174</v>
      </c>
      <c r="F21" s="6" t="s">
        <v>55</v>
      </c>
      <c r="G21" s="7">
        <v>51366.3962792253</v>
      </c>
      <c r="H21" s="6">
        <v>59843294.20492632</v>
      </c>
      <c r="I21" s="6" t="s">
        <v>179</v>
      </c>
      <c r="J21" s="15">
        <v>40.03333333333333</v>
      </c>
    </row>
    <row r="22" spans="1:10">
      <c r="A22" s="6" t="s">
        <v>136</v>
      </c>
      <c r="B22" s="6" t="s">
        <v>44</v>
      </c>
      <c r="C22" s="6" t="s">
        <v>212</v>
      </c>
      <c r="D22" s="6">
        <v>331.9335833333333</v>
      </c>
      <c r="E22" s="6" t="s">
        <v>174</v>
      </c>
      <c r="F22" s="6" t="s">
        <v>55</v>
      </c>
      <c r="G22" s="7">
        <v>42485.0021579509</v>
      </c>
      <c r="H22" s="6">
        <v>14102199.00421304</v>
      </c>
      <c r="I22" s="6" t="s">
        <v>179</v>
      </c>
      <c r="J22" s="15">
        <v>39.03333333333333</v>
      </c>
    </row>
    <row r="23" spans="1:10">
      <c r="A23" s="6" t="s">
        <v>136</v>
      </c>
      <c r="B23" s="6" t="s">
        <v>44</v>
      </c>
      <c r="C23" s="6" t="s">
        <v>213</v>
      </c>
      <c r="D23" s="6">
        <v>5.802499999999999</v>
      </c>
      <c r="E23" s="6" t="s">
        <v>174</v>
      </c>
      <c r="F23" s="6" t="s">
        <v>52</v>
      </c>
      <c r="G23" s="7">
        <v>64169.74384104699</v>
      </c>
      <c r="H23" s="6">
        <v>372344.9386376751</v>
      </c>
      <c r="I23" s="6" t="s">
        <v>180</v>
      </c>
      <c r="J23" s="15">
        <v>68</v>
      </c>
    </row>
    <row r="24" spans="1:10">
      <c r="A24" s="6" t="s">
        <v>136</v>
      </c>
      <c r="B24" s="6" t="s">
        <v>44</v>
      </c>
      <c r="C24" s="6" t="s">
        <v>214</v>
      </c>
      <c r="D24" s="6">
        <v>0.7641666666666667</v>
      </c>
      <c r="E24" s="6" t="s">
        <v>174</v>
      </c>
      <c r="F24" s="6" t="s">
        <v>53</v>
      </c>
      <c r="G24" s="7">
        <v>59521.22119718234</v>
      </c>
      <c r="H24" s="6">
        <v>45484.13319818017</v>
      </c>
      <c r="I24" s="6" t="s">
        <v>180</v>
      </c>
      <c r="J24" s="15">
        <v>15.28948474773556</v>
      </c>
    </row>
    <row r="25" spans="1:10">
      <c r="A25" s="6" t="s">
        <v>136</v>
      </c>
      <c r="B25" s="6" t="s">
        <v>44</v>
      </c>
      <c r="C25" s="6" t="s">
        <v>215</v>
      </c>
      <c r="D25" s="6">
        <v>699.9041666666667</v>
      </c>
      <c r="E25" s="6" t="s">
        <v>174</v>
      </c>
      <c r="F25" s="6" t="s">
        <v>54</v>
      </c>
      <c r="G25" s="7">
        <v>99644.87381086698</v>
      </c>
      <c r="H25" s="6">
        <v>69741862.36720002</v>
      </c>
      <c r="I25" s="6" t="s">
        <v>179</v>
      </c>
      <c r="J25" s="15">
        <v>65.5</v>
      </c>
    </row>
    <row r="26" spans="1:10">
      <c r="A26" s="6" t="s">
        <v>136</v>
      </c>
      <c r="B26" s="6" t="s">
        <v>44</v>
      </c>
      <c r="C26" s="6" t="s">
        <v>216</v>
      </c>
      <c r="D26" s="6">
        <v>3.360166666666667</v>
      </c>
      <c r="E26" s="6" t="s">
        <v>174</v>
      </c>
      <c r="F26" s="6" t="s">
        <v>55</v>
      </c>
      <c r="G26" s="7">
        <v>42969.13562366418</v>
      </c>
      <c r="H26" s="6">
        <v>144383.4572181156</v>
      </c>
      <c r="I26" s="6" t="s">
        <v>180</v>
      </c>
      <c r="J26" s="15">
        <v>9.157691766844557</v>
      </c>
    </row>
    <row r="27" spans="1:10">
      <c r="A27" s="6" t="s">
        <v>136</v>
      </c>
      <c r="B27" s="6" t="s">
        <v>44</v>
      </c>
      <c r="C27" s="6" t="s">
        <v>217</v>
      </c>
      <c r="D27" s="6">
        <v>41.86241666666667</v>
      </c>
      <c r="E27" s="6" t="s">
        <v>174</v>
      </c>
      <c r="F27" s="6" t="s">
        <v>53</v>
      </c>
      <c r="G27" s="7">
        <v>100828.4673920946</v>
      </c>
      <c r="H27" s="6">
        <v>4220923.313829278</v>
      </c>
      <c r="I27" s="6" t="s">
        <v>179</v>
      </c>
      <c r="J27" s="15">
        <v>85</v>
      </c>
    </row>
    <row r="28" spans="1:10">
      <c r="A28" s="6" t="s">
        <v>136</v>
      </c>
      <c r="B28" s="6" t="s">
        <v>44</v>
      </c>
      <c r="C28" s="6" t="s">
        <v>218</v>
      </c>
      <c r="D28" s="6">
        <v>2.133333333333333</v>
      </c>
      <c r="E28" s="6" t="s">
        <v>174</v>
      </c>
      <c r="F28" s="6" t="s">
        <v>54</v>
      </c>
      <c r="G28" s="7">
        <v>108296.875</v>
      </c>
      <c r="H28" s="6">
        <v>231033.3333333333</v>
      </c>
      <c r="I28" s="6" t="s">
        <v>179</v>
      </c>
      <c r="J28" s="15">
        <v>16.78160863022069</v>
      </c>
    </row>
    <row r="29" spans="1:10">
      <c r="A29" s="6" t="s">
        <v>136</v>
      </c>
      <c r="B29" s="6" t="s">
        <v>44</v>
      </c>
      <c r="C29" s="6" t="s">
        <v>219</v>
      </c>
      <c r="D29" s="6">
        <v>248.8095</v>
      </c>
      <c r="E29" s="6" t="s">
        <v>174</v>
      </c>
      <c r="F29" s="6" t="s">
        <v>51</v>
      </c>
      <c r="G29" s="7">
        <v>24699.68371704026</v>
      </c>
      <c r="H29" s="6">
        <v>6145515.955794928</v>
      </c>
      <c r="I29" s="6" t="s">
        <v>179</v>
      </c>
      <c r="J29" s="15">
        <v>13.96666666666667</v>
      </c>
    </row>
    <row r="30" spans="1:10">
      <c r="A30" s="6" t="s">
        <v>136</v>
      </c>
      <c r="B30" s="6" t="s">
        <v>44</v>
      </c>
      <c r="C30" s="6" t="s">
        <v>220</v>
      </c>
      <c r="D30" s="6">
        <v>1.4955</v>
      </c>
      <c r="E30" s="6" t="s">
        <v>174</v>
      </c>
      <c r="F30" s="6" t="s">
        <v>57</v>
      </c>
      <c r="G30" s="7">
        <v>40154.70104495549</v>
      </c>
      <c r="H30" s="6">
        <v>60051.35541273095</v>
      </c>
      <c r="I30" s="6" t="s">
        <v>180</v>
      </c>
      <c r="J30" s="15">
        <v>8.115072084977196</v>
      </c>
    </row>
    <row r="31" spans="1:10">
      <c r="A31" s="6" t="s">
        <v>136</v>
      </c>
      <c r="B31" s="6" t="s">
        <v>44</v>
      </c>
      <c r="C31" s="6" t="s">
        <v>221</v>
      </c>
      <c r="D31" s="6">
        <v>329.5758333333333</v>
      </c>
      <c r="E31" s="6" t="s">
        <v>174</v>
      </c>
      <c r="F31" s="6" t="s">
        <v>51</v>
      </c>
      <c r="G31" s="7">
        <v>26492.73446871235</v>
      </c>
      <c r="H31" s="6">
        <v>8731365.039804596</v>
      </c>
      <c r="I31" s="6" t="s">
        <v>179</v>
      </c>
      <c r="J31" s="15">
        <v>21.28333333333333</v>
      </c>
    </row>
    <row r="32" spans="1:10">
      <c r="A32" s="6" t="s">
        <v>136</v>
      </c>
      <c r="B32" s="6" t="s">
        <v>44</v>
      </c>
      <c r="C32" s="6" t="s">
        <v>222</v>
      </c>
      <c r="D32" s="6">
        <v>1.24825</v>
      </c>
      <c r="E32" s="6" t="s">
        <v>174</v>
      </c>
      <c r="F32" s="6" t="s">
        <v>57</v>
      </c>
      <c r="G32" s="7">
        <v>40818.44055788575</v>
      </c>
      <c r="H32" s="6">
        <v>50951.61842638088</v>
      </c>
      <c r="I32" s="6" t="s">
        <v>180</v>
      </c>
      <c r="J32" s="15">
        <v>8.360957310041353</v>
      </c>
    </row>
    <row r="33" spans="1:10">
      <c r="A33" s="6" t="s">
        <v>136</v>
      </c>
      <c r="B33" s="6" t="s">
        <v>44</v>
      </c>
      <c r="C33" s="6" t="s">
        <v>223</v>
      </c>
      <c r="D33" s="6">
        <v>308.66375</v>
      </c>
      <c r="E33" s="6" t="s">
        <v>174</v>
      </c>
      <c r="F33" s="6" t="s">
        <v>53</v>
      </c>
      <c r="G33" s="7">
        <v>50716.83334368051</v>
      </c>
      <c r="H33" s="6">
        <v>15654447.96798546</v>
      </c>
      <c r="I33" s="6" t="s">
        <v>179</v>
      </c>
      <c r="J33" s="15">
        <v>42.04166666666667</v>
      </c>
    </row>
    <row r="34" spans="1:10">
      <c r="A34" s="6" t="s">
        <v>136</v>
      </c>
      <c r="B34" s="6" t="s">
        <v>44</v>
      </c>
      <c r="C34" s="6" t="s">
        <v>224</v>
      </c>
      <c r="D34" s="6">
        <v>6050.578833333333</v>
      </c>
      <c r="E34" s="6" t="s">
        <v>174</v>
      </c>
      <c r="F34" s="6" t="s">
        <v>51</v>
      </c>
      <c r="G34" s="7">
        <v>20842.13163725611</v>
      </c>
      <c r="H34" s="6">
        <v>126106960.5259288</v>
      </c>
      <c r="I34" s="6" t="s">
        <v>179</v>
      </c>
      <c r="J34" s="15">
        <v>11</v>
      </c>
    </row>
    <row r="35" spans="1:10">
      <c r="A35" s="6" t="s">
        <v>136</v>
      </c>
      <c r="B35" s="6" t="s">
        <v>44</v>
      </c>
      <c r="C35" s="6" t="s">
        <v>225</v>
      </c>
      <c r="D35" s="6">
        <v>0.0185</v>
      </c>
      <c r="E35" s="6" t="s">
        <v>174</v>
      </c>
      <c r="F35" s="6" t="s">
        <v>54</v>
      </c>
      <c r="G35" s="7">
        <v>67290.20302962229</v>
      </c>
      <c r="H35" s="6">
        <v>1244.868756048012</v>
      </c>
      <c r="I35" s="6" t="s">
        <v>180</v>
      </c>
      <c r="J35" s="15">
        <v>18.16753827502286</v>
      </c>
    </row>
    <row r="36" spans="1:10">
      <c r="A36" s="6" t="s">
        <v>136</v>
      </c>
      <c r="B36" s="6" t="s">
        <v>44</v>
      </c>
      <c r="C36" s="6" t="s">
        <v>226</v>
      </c>
      <c r="D36" s="6">
        <v>2104.555333333333</v>
      </c>
      <c r="E36" s="6" t="s">
        <v>174</v>
      </c>
      <c r="F36" s="6" t="s">
        <v>56</v>
      </c>
      <c r="G36" s="7">
        <v>59921.09743873261</v>
      </c>
      <c r="H36" s="6">
        <v>126107265.193871</v>
      </c>
      <c r="I36" s="6" t="s">
        <v>179</v>
      </c>
      <c r="J36" s="15">
        <v>47.875</v>
      </c>
    </row>
    <row r="37" spans="1:10">
      <c r="A37" s="6" t="s">
        <v>136</v>
      </c>
      <c r="B37" s="6" t="s">
        <v>44</v>
      </c>
      <c r="C37" s="6" t="s">
        <v>227</v>
      </c>
      <c r="D37" s="6">
        <v>146.7100833333333</v>
      </c>
      <c r="E37" s="6" t="s">
        <v>174</v>
      </c>
      <c r="F37" s="6" t="s">
        <v>57</v>
      </c>
      <c r="G37" s="7">
        <v>47608.30251275475</v>
      </c>
      <c r="H37" s="6">
        <v>6984618.029004792</v>
      </c>
      <c r="I37" s="6" t="s">
        <v>179</v>
      </c>
      <c r="J37" s="15">
        <v>51.93333333333333</v>
      </c>
    </row>
    <row r="38" spans="1:10">
      <c r="A38" s="6" t="s">
        <v>136</v>
      </c>
      <c r="B38" s="6" t="s">
        <v>44</v>
      </c>
      <c r="C38" s="6" t="s">
        <v>228</v>
      </c>
      <c r="D38" s="6">
        <v>498.7480833333333</v>
      </c>
      <c r="E38" s="6" t="s">
        <v>174</v>
      </c>
      <c r="F38" s="6" t="s">
        <v>51</v>
      </c>
      <c r="G38" s="7">
        <v>36404.73502976458</v>
      </c>
      <c r="H38" s="6">
        <v>18156791.82035295</v>
      </c>
      <c r="I38" s="6" t="s">
        <v>179</v>
      </c>
      <c r="J38" s="15">
        <v>21</v>
      </c>
    </row>
    <row r="39" spans="1:10">
      <c r="A39" s="6" t="s">
        <v>136</v>
      </c>
      <c r="B39" s="6" t="s">
        <v>44</v>
      </c>
      <c r="C39" s="6" t="s">
        <v>229</v>
      </c>
      <c r="D39" s="6">
        <v>0.00525</v>
      </c>
      <c r="E39" s="6" t="s">
        <v>174</v>
      </c>
      <c r="F39" s="6" t="s">
        <v>53</v>
      </c>
      <c r="G39" s="7">
        <v>41295.07283256564</v>
      </c>
      <c r="H39" s="6">
        <v>216.7991323709696</v>
      </c>
      <c r="I39" s="6" t="s">
        <v>180</v>
      </c>
      <c r="J39" s="15">
        <v>8.537527834847253</v>
      </c>
    </row>
    <row r="40" spans="1:10">
      <c r="A40" s="6" t="s">
        <v>136</v>
      </c>
      <c r="B40" s="6" t="s">
        <v>44</v>
      </c>
      <c r="C40" s="6" t="s">
        <v>230</v>
      </c>
      <c r="D40" s="6">
        <v>56.50325</v>
      </c>
      <c r="E40" s="6" t="s">
        <v>174</v>
      </c>
      <c r="F40" s="6" t="s">
        <v>53</v>
      </c>
      <c r="G40" s="7">
        <v>40526.99807878413</v>
      </c>
      <c r="H40" s="6">
        <v>2289907.104195059</v>
      </c>
      <c r="I40" s="6" t="s">
        <v>179</v>
      </c>
      <c r="J40" s="15">
        <v>43.54166666666667</v>
      </c>
    </row>
    <row r="41" spans="1:10">
      <c r="A41" s="6" t="s">
        <v>136</v>
      </c>
      <c r="B41" s="6" t="s">
        <v>44</v>
      </c>
      <c r="C41" s="6" t="s">
        <v>231</v>
      </c>
      <c r="D41" s="6">
        <v>5.919166666666666</v>
      </c>
      <c r="E41" s="6" t="s">
        <v>174</v>
      </c>
      <c r="F41" s="6" t="s">
        <v>52</v>
      </c>
      <c r="G41" s="7">
        <v>106696.4944389694</v>
      </c>
      <c r="H41" s="6">
        <v>631554.3333333333</v>
      </c>
      <c r="I41" s="6" t="s">
        <v>179</v>
      </c>
      <c r="J41" s="15">
        <v>75</v>
      </c>
    </row>
    <row r="42" spans="1:10">
      <c r="A42" s="6" t="s">
        <v>136</v>
      </c>
      <c r="B42" s="6" t="s">
        <v>44</v>
      </c>
      <c r="C42" s="6" t="s">
        <v>232</v>
      </c>
      <c r="D42" s="6">
        <v>71.48041666666667</v>
      </c>
      <c r="E42" s="6" t="s">
        <v>174</v>
      </c>
      <c r="F42" s="6" t="s">
        <v>51</v>
      </c>
      <c r="G42" s="7">
        <v>28201.41411980885</v>
      </c>
      <c r="H42" s="6">
        <v>2015848.831873154</v>
      </c>
      <c r="I42" s="6" t="s">
        <v>179</v>
      </c>
      <c r="J42" s="15">
        <v>20</v>
      </c>
    </row>
    <row r="43" spans="1:10">
      <c r="A43" s="6" t="s">
        <v>136</v>
      </c>
      <c r="B43" s="6" t="s">
        <v>44</v>
      </c>
      <c r="C43" s="6" t="s">
        <v>233</v>
      </c>
      <c r="D43" s="6">
        <v>298.52125</v>
      </c>
      <c r="E43" s="6" t="s">
        <v>174</v>
      </c>
      <c r="F43" s="6" t="s">
        <v>59</v>
      </c>
      <c r="G43" s="7">
        <v>60259.27520860936</v>
      </c>
      <c r="H43" s="6">
        <v>17988674.15936808</v>
      </c>
      <c r="I43" s="6" t="s">
        <v>179</v>
      </c>
      <c r="J43" s="15">
        <v>40.40833333333333</v>
      </c>
    </row>
    <row r="44" spans="1:10">
      <c r="A44" s="6" t="s">
        <v>136</v>
      </c>
      <c r="B44" s="6" t="s">
        <v>44</v>
      </c>
      <c r="C44" s="6" t="s">
        <v>234</v>
      </c>
      <c r="D44" s="6">
        <v>238.3034166666667</v>
      </c>
      <c r="E44" s="6" t="s">
        <v>174</v>
      </c>
      <c r="F44" s="6" t="s">
        <v>56</v>
      </c>
      <c r="G44" s="7">
        <v>60675.69596540061</v>
      </c>
      <c r="H44" s="6">
        <v>14459225.65718285</v>
      </c>
      <c r="I44" s="6" t="s">
        <v>179</v>
      </c>
      <c r="J44" s="15">
        <v>37.40833333333333</v>
      </c>
    </row>
    <row r="45" spans="1:10">
      <c r="A45" s="6" t="s">
        <v>136</v>
      </c>
      <c r="B45" s="6" t="s">
        <v>44</v>
      </c>
      <c r="C45" s="6" t="s">
        <v>235</v>
      </c>
      <c r="D45" s="6">
        <v>0.4598333333333333</v>
      </c>
      <c r="E45" s="6" t="s">
        <v>174</v>
      </c>
      <c r="F45" s="6" t="s">
        <v>53</v>
      </c>
      <c r="G45" s="7">
        <v>42906.76971531406</v>
      </c>
      <c r="H45" s="6">
        <v>19729.96294075858</v>
      </c>
      <c r="I45" s="6" t="s">
        <v>180</v>
      </c>
      <c r="J45" s="15">
        <v>9.134588041494082</v>
      </c>
    </row>
    <row r="46" spans="1:10">
      <c r="A46" s="6" t="s">
        <v>136</v>
      </c>
      <c r="B46" s="6" t="s">
        <v>44</v>
      </c>
      <c r="C46" s="6" t="s">
        <v>236</v>
      </c>
      <c r="D46" s="6">
        <v>2093.859666666667</v>
      </c>
      <c r="E46" s="6" t="s">
        <v>174</v>
      </c>
      <c r="F46" s="6" t="s">
        <v>51</v>
      </c>
      <c r="G46" s="7">
        <v>16875.52434086435</v>
      </c>
      <c r="H46" s="6">
        <v>35334979.77118746</v>
      </c>
      <c r="I46" s="6" t="s">
        <v>179</v>
      </c>
      <c r="J46" s="15">
        <v>16.31666666666667</v>
      </c>
    </row>
    <row r="47" spans="1:10">
      <c r="A47" s="6" t="s">
        <v>136</v>
      </c>
      <c r="B47" s="6" t="s">
        <v>44</v>
      </c>
      <c r="C47" s="6" t="s">
        <v>237</v>
      </c>
      <c r="D47" s="6">
        <v>275.54125</v>
      </c>
      <c r="E47" s="6" t="s">
        <v>174</v>
      </c>
      <c r="F47" s="6" t="s">
        <v>51</v>
      </c>
      <c r="G47" s="7">
        <v>25931.08338799715</v>
      </c>
      <c r="H47" s="6">
        <v>7145083.130582971</v>
      </c>
      <c r="I47" s="6" t="s">
        <v>179</v>
      </c>
      <c r="J47" s="15">
        <v>20</v>
      </c>
    </row>
    <row r="48" spans="1:10">
      <c r="A48" s="6" t="s">
        <v>136</v>
      </c>
      <c r="B48" s="6" t="s">
        <v>44</v>
      </c>
      <c r="C48" s="6" t="s">
        <v>238</v>
      </c>
      <c r="D48" s="6">
        <v>2889.654583333333</v>
      </c>
      <c r="E48" s="6" t="s">
        <v>174</v>
      </c>
      <c r="F48" s="6" t="s">
        <v>51</v>
      </c>
      <c r="G48" s="7">
        <v>21509.06685400382</v>
      </c>
      <c r="H48" s="6">
        <v>62153773.61789522</v>
      </c>
      <c r="I48" s="6" t="s">
        <v>179</v>
      </c>
      <c r="J48" s="15">
        <v>11</v>
      </c>
    </row>
    <row r="49" spans="1:10">
      <c r="A49" s="6" t="s">
        <v>136</v>
      </c>
      <c r="B49" s="6" t="s">
        <v>44</v>
      </c>
      <c r="C49" s="6" t="s">
        <v>239</v>
      </c>
      <c r="D49" s="6">
        <v>276.9145</v>
      </c>
      <c r="E49" s="6" t="s">
        <v>174</v>
      </c>
      <c r="F49" s="6" t="s">
        <v>54</v>
      </c>
      <c r="G49" s="7">
        <v>91141.09901653728</v>
      </c>
      <c r="H49" s="6">
        <v>25238291.86361491</v>
      </c>
      <c r="I49" s="6" t="s">
        <v>179</v>
      </c>
      <c r="J49" s="15">
        <v>62</v>
      </c>
    </row>
    <row r="50" spans="1:10">
      <c r="A50" s="6" t="s">
        <v>136</v>
      </c>
      <c r="B50" s="6" t="s">
        <v>44</v>
      </c>
      <c r="C50" s="6" t="s">
        <v>240</v>
      </c>
      <c r="D50" s="6">
        <v>20.66583333333334</v>
      </c>
      <c r="E50" s="6" t="s">
        <v>174</v>
      </c>
      <c r="F50" s="6" t="s">
        <v>51</v>
      </c>
      <c r="G50" s="7">
        <v>18174.39388396715</v>
      </c>
      <c r="H50" s="6">
        <v>375588.9949404178</v>
      </c>
      <c r="I50" s="6" t="s">
        <v>179</v>
      </c>
      <c r="J50" s="15">
        <v>18</v>
      </c>
    </row>
    <row r="51" spans="1:10">
      <c r="A51" s="6" t="s">
        <v>136</v>
      </c>
      <c r="B51" s="6" t="s">
        <v>44</v>
      </c>
      <c r="C51" s="6" t="s">
        <v>241</v>
      </c>
      <c r="D51" s="6">
        <v>181.1564166666667</v>
      </c>
      <c r="E51" s="6" t="s">
        <v>174</v>
      </c>
      <c r="F51" s="6" t="s">
        <v>53</v>
      </c>
      <c r="G51" s="7">
        <v>99604.76839742137</v>
      </c>
      <c r="H51" s="6">
        <v>18044042.9257901</v>
      </c>
      <c r="I51" s="6" t="s">
        <v>179</v>
      </c>
      <c r="J51" s="15">
        <v>49.08333333333333</v>
      </c>
    </row>
    <row r="52" spans="1:10">
      <c r="A52" s="6" t="s">
        <v>136</v>
      </c>
      <c r="B52" s="6" t="s">
        <v>44</v>
      </c>
      <c r="C52" s="6" t="s">
        <v>242</v>
      </c>
      <c r="D52" s="6">
        <v>1008.677833333333</v>
      </c>
      <c r="E52" s="6" t="s">
        <v>174</v>
      </c>
      <c r="F52" s="6" t="s">
        <v>56</v>
      </c>
      <c r="G52" s="7">
        <v>41454.84700212286</v>
      </c>
      <c r="H52" s="6">
        <v>41814585.25526612</v>
      </c>
      <c r="I52" s="6" t="s">
        <v>179</v>
      </c>
      <c r="J52" s="15">
        <v>28.81666666666667</v>
      </c>
    </row>
    <row r="53" spans="1:10">
      <c r="A53" s="6" t="s">
        <v>136</v>
      </c>
      <c r="B53" s="6" t="s">
        <v>44</v>
      </c>
      <c r="C53" s="6" t="s">
        <v>243</v>
      </c>
      <c r="D53" s="6">
        <v>2.016166666666666</v>
      </c>
      <c r="E53" s="6" t="s">
        <v>174</v>
      </c>
      <c r="F53" s="6" t="s">
        <v>58</v>
      </c>
      <c r="G53" s="7">
        <v>39072.48177856206</v>
      </c>
      <c r="H53" s="6">
        <v>78776.63534587754</v>
      </c>
      <c r="I53" s="6" t="s">
        <v>180</v>
      </c>
      <c r="J53" s="15">
        <v>7.714159192642155</v>
      </c>
    </row>
    <row r="54" spans="1:10">
      <c r="A54" s="6" t="s">
        <v>136</v>
      </c>
      <c r="B54" s="6" t="s">
        <v>44</v>
      </c>
      <c r="C54" s="6" t="s">
        <v>244</v>
      </c>
      <c r="D54" s="6">
        <v>0.7251666666666666</v>
      </c>
      <c r="E54" s="6" t="s">
        <v>174</v>
      </c>
      <c r="F54" s="6" t="s">
        <v>55</v>
      </c>
      <c r="G54" s="7">
        <v>48324.15434814322</v>
      </c>
      <c r="H54" s="6">
        <v>35043.06592812852</v>
      </c>
      <c r="I54" s="6" t="s">
        <v>180</v>
      </c>
      <c r="J54" s="15">
        <v>25.75</v>
      </c>
    </row>
    <row r="55" spans="1:10">
      <c r="A55" s="6" t="s">
        <v>136</v>
      </c>
      <c r="B55" s="6" t="s">
        <v>44</v>
      </c>
      <c r="C55" s="6" t="s">
        <v>245</v>
      </c>
      <c r="D55" s="6">
        <v>102.3884166666667</v>
      </c>
      <c r="E55" s="6" t="s">
        <v>174</v>
      </c>
      <c r="F55" s="6" t="s">
        <v>53</v>
      </c>
      <c r="G55" s="7">
        <v>62850.67711465339</v>
      </c>
      <c r="H55" s="6">
        <v>6435181.316197263</v>
      </c>
      <c r="I55" s="6" t="s">
        <v>179</v>
      </c>
      <c r="J55" s="15">
        <v>35.45833333333333</v>
      </c>
    </row>
    <row r="56" spans="1:10">
      <c r="A56" s="6" t="s">
        <v>136</v>
      </c>
      <c r="B56" s="6" t="s">
        <v>44</v>
      </c>
      <c r="C56" s="6" t="s">
        <v>246</v>
      </c>
      <c r="D56" s="6">
        <v>0.2948333333333333</v>
      </c>
      <c r="E56" s="6" t="s">
        <v>174</v>
      </c>
      <c r="F56" s="6" t="s">
        <v>53</v>
      </c>
      <c r="G56" s="7">
        <v>41073.70877033749</v>
      </c>
      <c r="H56" s="6">
        <v>12109.89846912117</v>
      </c>
      <c r="I56" s="6" t="s">
        <v>180</v>
      </c>
      <c r="J56" s="15">
        <v>8.45552254331084</v>
      </c>
    </row>
    <row r="57" spans="1:10">
      <c r="A57" s="6" t="s">
        <v>136</v>
      </c>
      <c r="B57" s="6" t="s">
        <v>44</v>
      </c>
      <c r="C57" s="6" t="s">
        <v>247</v>
      </c>
      <c r="D57" s="6">
        <v>732.7620833333334</v>
      </c>
      <c r="E57" s="6" t="s">
        <v>174</v>
      </c>
      <c r="F57" s="6" t="s">
        <v>51</v>
      </c>
      <c r="G57" s="7">
        <v>30572.38239922268</v>
      </c>
      <c r="H57" s="6">
        <v>22402282.61931775</v>
      </c>
      <c r="I57" s="6" t="s">
        <v>179</v>
      </c>
      <c r="J57" s="15">
        <v>25.55</v>
      </c>
    </row>
    <row r="58" spans="1:10">
      <c r="A58" s="6" t="s">
        <v>136</v>
      </c>
      <c r="B58" s="6" t="s">
        <v>44</v>
      </c>
      <c r="C58" s="6" t="s">
        <v>248</v>
      </c>
      <c r="D58" s="6">
        <v>5.135916666666668</v>
      </c>
      <c r="E58" s="6" t="s">
        <v>174</v>
      </c>
      <c r="F58" s="6" t="s">
        <v>55</v>
      </c>
      <c r="G58" s="7">
        <v>87415.63794531897</v>
      </c>
      <c r="H58" s="6">
        <v>448959.4318506629</v>
      </c>
      <c r="I58" s="6" t="s">
        <v>179</v>
      </c>
      <c r="J58" s="15">
        <v>48.6</v>
      </c>
    </row>
    <row r="59" spans="1:10">
      <c r="A59" s="6" t="s">
        <v>136</v>
      </c>
      <c r="B59" s="6" t="s">
        <v>44</v>
      </c>
      <c r="C59" s="6" t="s">
        <v>249</v>
      </c>
      <c r="D59" s="6">
        <v>595.83225</v>
      </c>
      <c r="E59" s="6" t="s">
        <v>174</v>
      </c>
      <c r="F59" s="6" t="s">
        <v>53</v>
      </c>
      <c r="G59" s="7">
        <v>42005.85786023017</v>
      </c>
      <c r="H59" s="6">
        <v>25028444.80204113</v>
      </c>
      <c r="I59" s="6" t="s">
        <v>179</v>
      </c>
      <c r="J59" s="15">
        <v>39.98333333333333</v>
      </c>
    </row>
    <row r="60" spans="1:10">
      <c r="A60" s="6" t="s">
        <v>136</v>
      </c>
      <c r="B60" s="6" t="s">
        <v>44</v>
      </c>
      <c r="C60" s="6" t="s">
        <v>250</v>
      </c>
      <c r="D60" s="6">
        <v>2.00775</v>
      </c>
      <c r="E60" s="6" t="s">
        <v>174</v>
      </c>
      <c r="F60" s="6" t="s">
        <v>55</v>
      </c>
      <c r="G60" s="7">
        <v>52905.45321842405</v>
      </c>
      <c r="H60" s="6">
        <v>106220.9236992909</v>
      </c>
      <c r="I60" s="6" t="s">
        <v>180</v>
      </c>
      <c r="J60" s="15">
        <v>29</v>
      </c>
    </row>
    <row r="61" spans="1:10">
      <c r="A61" s="6" t="s">
        <v>136</v>
      </c>
      <c r="B61" s="6" t="s">
        <v>44</v>
      </c>
      <c r="C61" s="6" t="s">
        <v>251</v>
      </c>
      <c r="D61" s="6">
        <v>4.317833333333334</v>
      </c>
      <c r="E61" s="6" t="s">
        <v>174</v>
      </c>
      <c r="F61" s="6" t="s">
        <v>53</v>
      </c>
      <c r="G61" s="7">
        <v>35076.47747982296</v>
      </c>
      <c r="H61" s="6">
        <v>151454.3836782956</v>
      </c>
      <c r="I61" s="6" t="s">
        <v>179</v>
      </c>
      <c r="J61" s="15">
        <v>8.671570765153875</v>
      </c>
    </row>
    <row r="62" spans="1:10">
      <c r="A62" s="6" t="s">
        <v>136</v>
      </c>
      <c r="B62" s="6" t="s">
        <v>44</v>
      </c>
      <c r="C62" s="6" t="s">
        <v>252</v>
      </c>
      <c r="D62" s="6">
        <v>56.08150000000001</v>
      </c>
      <c r="E62" s="6" t="s">
        <v>174</v>
      </c>
      <c r="F62" s="6" t="s">
        <v>57</v>
      </c>
      <c r="G62" s="7">
        <v>29402.0465874927</v>
      </c>
      <c r="H62" s="6">
        <v>1648910.875696472</v>
      </c>
      <c r="I62" s="6" t="s">
        <v>179</v>
      </c>
      <c r="J62" s="15">
        <v>20</v>
      </c>
    </row>
    <row r="63" spans="1:10">
      <c r="A63" s="6" t="s">
        <v>136</v>
      </c>
      <c r="B63" s="6" t="s">
        <v>44</v>
      </c>
      <c r="C63" s="6" t="s">
        <v>253</v>
      </c>
      <c r="D63" s="6">
        <v>340.7908333333333</v>
      </c>
      <c r="E63" s="6" t="s">
        <v>174</v>
      </c>
      <c r="F63" s="6" t="s">
        <v>53</v>
      </c>
      <c r="G63" s="7">
        <v>86249.99505382849</v>
      </c>
      <c r="H63" s="6">
        <v>29393207.68939009</v>
      </c>
      <c r="I63" s="6" t="s">
        <v>179</v>
      </c>
      <c r="J63" s="15">
        <v>45.35</v>
      </c>
    </row>
    <row r="64" spans="1:10">
      <c r="A64" s="6" t="s">
        <v>136</v>
      </c>
      <c r="B64" s="6" t="s">
        <v>44</v>
      </c>
      <c r="C64" s="6" t="s">
        <v>254</v>
      </c>
      <c r="D64" s="6">
        <v>8.859083333333333</v>
      </c>
      <c r="E64" s="6" t="s">
        <v>174</v>
      </c>
      <c r="F64" s="6" t="s">
        <v>51</v>
      </c>
      <c r="G64" s="7">
        <v>67100.46594067648</v>
      </c>
      <c r="H64" s="6">
        <v>594448.619473948</v>
      </c>
      <c r="I64" s="6" t="s">
        <v>179</v>
      </c>
      <c r="J64" s="15">
        <v>18.5</v>
      </c>
    </row>
    <row r="65" spans="1:10">
      <c r="A65" s="6" t="s">
        <v>136</v>
      </c>
      <c r="B65" s="6" t="s">
        <v>44</v>
      </c>
      <c r="C65" s="6" t="s">
        <v>255</v>
      </c>
      <c r="D65" s="6">
        <v>24.5065</v>
      </c>
      <c r="E65" s="6" t="s">
        <v>174</v>
      </c>
      <c r="F65" s="6" t="s">
        <v>51</v>
      </c>
      <c r="G65" s="7">
        <v>32463.72189421727</v>
      </c>
      <c r="H65" s="6">
        <v>795572.2006006354</v>
      </c>
      <c r="I65" s="6" t="s">
        <v>179</v>
      </c>
      <c r="J65" s="15">
        <v>13.29939623747558</v>
      </c>
    </row>
    <row r="66" spans="1:10">
      <c r="A66" s="6" t="s">
        <v>136</v>
      </c>
      <c r="B66" s="6" t="s">
        <v>44</v>
      </c>
      <c r="C66" s="6" t="s">
        <v>256</v>
      </c>
      <c r="D66" s="6">
        <v>0.8134166666666666</v>
      </c>
      <c r="E66" s="6" t="s">
        <v>174</v>
      </c>
      <c r="F66" s="6" t="s">
        <v>57</v>
      </c>
      <c r="G66" s="7">
        <v>42467.27080588165</v>
      </c>
      <c r="H66" s="6">
        <v>34543.5858613509</v>
      </c>
      <c r="I66" s="6" t="s">
        <v>180</v>
      </c>
      <c r="J66" s="15">
        <v>25.26666666666667</v>
      </c>
    </row>
    <row r="67" spans="1:10">
      <c r="A67" s="6" t="s">
        <v>136</v>
      </c>
      <c r="B67" s="6" t="s">
        <v>44</v>
      </c>
      <c r="C67" s="6" t="s">
        <v>257</v>
      </c>
      <c r="D67" s="6">
        <v>5.869166666666668</v>
      </c>
      <c r="E67" s="6" t="s">
        <v>174</v>
      </c>
      <c r="F67" s="6" t="s">
        <v>52</v>
      </c>
      <c r="G67" s="7">
        <v>107450.6744285106</v>
      </c>
      <c r="H67" s="6">
        <v>630645.9166666667</v>
      </c>
      <c r="I67" s="6" t="s">
        <v>179</v>
      </c>
      <c r="J67" s="15">
        <v>29</v>
      </c>
    </row>
    <row r="68" spans="1:10">
      <c r="A68" s="6" t="s">
        <v>136</v>
      </c>
      <c r="B68" s="6" t="s">
        <v>44</v>
      </c>
      <c r="C68" s="6" t="s">
        <v>258</v>
      </c>
      <c r="D68" s="6">
        <v>5.919166666666666</v>
      </c>
      <c r="E68" s="6" t="s">
        <v>174</v>
      </c>
      <c r="F68" s="6" t="s">
        <v>52</v>
      </c>
      <c r="G68" s="7">
        <v>106696.4944389694</v>
      </c>
      <c r="H68" s="6">
        <v>631554.3333333333</v>
      </c>
      <c r="I68" s="6" t="s">
        <v>179</v>
      </c>
      <c r="J68" s="15">
        <v>74</v>
      </c>
    </row>
    <row r="69" spans="1:10">
      <c r="A69" s="6" t="s">
        <v>136</v>
      </c>
      <c r="B69" s="6" t="s">
        <v>44</v>
      </c>
      <c r="C69" s="6" t="s">
        <v>259</v>
      </c>
      <c r="D69" s="6">
        <v>227.6283333333333</v>
      </c>
      <c r="E69" s="6" t="s">
        <v>174</v>
      </c>
      <c r="F69" s="6" t="s">
        <v>56</v>
      </c>
      <c r="G69" s="7">
        <v>42233.6310286505</v>
      </c>
      <c r="H69" s="6">
        <v>9613571.041666666</v>
      </c>
      <c r="I69" s="6" t="s">
        <v>179</v>
      </c>
      <c r="J69" s="15">
        <v>38.91666666666667</v>
      </c>
    </row>
    <row r="70" spans="1:10">
      <c r="A70" s="6" t="s">
        <v>136</v>
      </c>
      <c r="B70" s="6" t="s">
        <v>44</v>
      </c>
      <c r="C70" s="6" t="s">
        <v>260</v>
      </c>
      <c r="D70" s="6">
        <v>756.3085833333333</v>
      </c>
      <c r="E70" s="6" t="s">
        <v>174</v>
      </c>
      <c r="F70" s="6" t="s">
        <v>52</v>
      </c>
      <c r="G70" s="7">
        <v>54560.56274648917</v>
      </c>
      <c r="H70" s="6">
        <v>41264621.91666667</v>
      </c>
      <c r="I70" s="6" t="s">
        <v>179</v>
      </c>
      <c r="J70" s="15">
        <v>53</v>
      </c>
    </row>
    <row r="71" spans="1:10">
      <c r="A71" s="6" t="s">
        <v>136</v>
      </c>
      <c r="B71" s="6" t="s">
        <v>44</v>
      </c>
      <c r="C71" s="6" t="s">
        <v>261</v>
      </c>
      <c r="D71" s="6">
        <v>0.7447499999999999</v>
      </c>
      <c r="E71" s="6" t="s">
        <v>174</v>
      </c>
      <c r="F71" s="6" t="s">
        <v>54</v>
      </c>
      <c r="G71" s="7">
        <v>66379.62434043601</v>
      </c>
      <c r="H71" s="6">
        <v>49436.22522753972</v>
      </c>
      <c r="I71" s="6" t="s">
        <v>180</v>
      </c>
      <c r="J71" s="15">
        <v>17.83021039026165</v>
      </c>
    </row>
    <row r="72" spans="1:10">
      <c r="A72" s="6" t="s">
        <v>136</v>
      </c>
      <c r="B72" s="6" t="s">
        <v>44</v>
      </c>
      <c r="C72" s="6" t="s">
        <v>262</v>
      </c>
      <c r="D72" s="6">
        <v>531.1558333333334</v>
      </c>
      <c r="E72" s="6" t="s">
        <v>174</v>
      </c>
      <c r="F72" s="6" t="s">
        <v>51</v>
      </c>
      <c r="G72" s="7">
        <v>21698.35157241016</v>
      </c>
      <c r="H72" s="6">
        <v>11525206.01140316</v>
      </c>
      <c r="I72" s="6" t="s">
        <v>179</v>
      </c>
      <c r="J72" s="15">
        <v>22.96666666666667</v>
      </c>
    </row>
    <row r="73" spans="1:10">
      <c r="A73" s="6" t="s">
        <v>136</v>
      </c>
      <c r="B73" s="6" t="s">
        <v>44</v>
      </c>
      <c r="C73" s="6" t="s">
        <v>263</v>
      </c>
      <c r="D73" s="6">
        <v>93.29383333333334</v>
      </c>
      <c r="E73" s="6" t="s">
        <v>174</v>
      </c>
      <c r="F73" s="6" t="s">
        <v>54</v>
      </c>
      <c r="G73" s="7">
        <v>94947.43860056643</v>
      </c>
      <c r="H73" s="6">
        <v>8858010.512228144</v>
      </c>
      <c r="I73" s="6" t="s">
        <v>179</v>
      </c>
      <c r="J73" s="15">
        <v>48.44166666666666</v>
      </c>
    </row>
    <row r="74" spans="1:10">
      <c r="A74" s="6" t="s">
        <v>136</v>
      </c>
      <c r="B74" s="6" t="s">
        <v>44</v>
      </c>
      <c r="C74" s="6" t="s">
        <v>264</v>
      </c>
      <c r="D74" s="6">
        <v>26.85816666666667</v>
      </c>
      <c r="E74" s="6" t="s">
        <v>174</v>
      </c>
      <c r="F74" s="6" t="s">
        <v>54</v>
      </c>
      <c r="G74" s="7">
        <v>119405.935407702</v>
      </c>
      <c r="H74" s="6">
        <v>3207024.514169294</v>
      </c>
      <c r="I74" s="6" t="s">
        <v>179</v>
      </c>
      <c r="J74" s="15">
        <v>91.11666666666667</v>
      </c>
    </row>
    <row r="75" spans="1:10">
      <c r="A75" s="6" t="s">
        <v>136</v>
      </c>
      <c r="B75" s="6" t="s">
        <v>44</v>
      </c>
      <c r="C75" s="6" t="s">
        <v>265</v>
      </c>
      <c r="D75" s="6">
        <v>304.13175</v>
      </c>
      <c r="E75" s="6" t="s">
        <v>174</v>
      </c>
      <c r="F75" s="6" t="s">
        <v>54</v>
      </c>
      <c r="G75" s="7">
        <v>99228.92218252944</v>
      </c>
      <c r="H75" s="6">
        <v>30178665.7539865</v>
      </c>
      <c r="I75" s="6" t="s">
        <v>179</v>
      </c>
      <c r="J75" s="15">
        <v>72.81666666666666</v>
      </c>
    </row>
    <row r="76" spans="1:10">
      <c r="A76" s="6" t="s">
        <v>136</v>
      </c>
      <c r="B76" s="6" t="s">
        <v>44</v>
      </c>
      <c r="C76" s="6" t="s">
        <v>266</v>
      </c>
      <c r="D76" s="6">
        <v>86.46424999999999</v>
      </c>
      <c r="E76" s="6" t="s">
        <v>174</v>
      </c>
      <c r="F76" s="6" t="s">
        <v>57</v>
      </c>
      <c r="G76" s="7">
        <v>50415.37206732162</v>
      </c>
      <c r="H76" s="6">
        <v>4359127.334271912</v>
      </c>
      <c r="I76" s="6" t="s">
        <v>179</v>
      </c>
      <c r="J76" s="15">
        <v>51.35</v>
      </c>
    </row>
    <row r="77" spans="1:10">
      <c r="A77" s="6" t="s">
        <v>136</v>
      </c>
      <c r="B77" s="6" t="s">
        <v>44</v>
      </c>
      <c r="C77" s="6" t="s">
        <v>267</v>
      </c>
      <c r="D77" s="6">
        <v>543.4870833333333</v>
      </c>
      <c r="E77" s="6" t="s">
        <v>174</v>
      </c>
      <c r="F77" s="6" t="s">
        <v>53</v>
      </c>
      <c r="G77" s="7">
        <v>48667.70261730252</v>
      </c>
      <c r="H77" s="6">
        <v>26450267.74801178</v>
      </c>
      <c r="I77" s="6" t="s">
        <v>179</v>
      </c>
      <c r="J77" s="15">
        <v>37</v>
      </c>
    </row>
    <row r="78" spans="1:10">
      <c r="A78" s="6" t="s">
        <v>136</v>
      </c>
      <c r="B78" s="6" t="s">
        <v>44</v>
      </c>
      <c r="C78" s="6" t="s">
        <v>268</v>
      </c>
      <c r="D78" s="6">
        <v>5.557666666666667</v>
      </c>
      <c r="E78" s="6" t="s">
        <v>174</v>
      </c>
      <c r="F78" s="6" t="s">
        <v>51</v>
      </c>
      <c r="G78" s="7">
        <v>19920.3047306236</v>
      </c>
      <c r="H78" s="6">
        <v>110710.4135912291</v>
      </c>
      <c r="I78" s="6" t="s">
        <v>179</v>
      </c>
      <c r="J78" s="15">
        <v>6.233478833728606</v>
      </c>
    </row>
    <row r="79" spans="1:10">
      <c r="A79" s="6" t="s">
        <v>136</v>
      </c>
      <c r="B79" s="6" t="s">
        <v>44</v>
      </c>
      <c r="C79" s="6" t="s">
        <v>269</v>
      </c>
      <c r="D79" s="6">
        <v>5.919166666666666</v>
      </c>
      <c r="E79" s="6" t="s">
        <v>174</v>
      </c>
      <c r="F79" s="6" t="s">
        <v>52</v>
      </c>
      <c r="G79" s="7">
        <v>106696.4944389694</v>
      </c>
      <c r="H79" s="6">
        <v>631554.3333333333</v>
      </c>
      <c r="I79" s="6" t="s">
        <v>179</v>
      </c>
      <c r="J79" s="15">
        <v>67</v>
      </c>
    </row>
    <row r="80" spans="1:10">
      <c r="A80" s="6" t="s">
        <v>136</v>
      </c>
      <c r="B80" s="6" t="s">
        <v>44</v>
      </c>
      <c r="C80" s="6" t="s">
        <v>270</v>
      </c>
      <c r="D80" s="6">
        <v>142.8195833333333</v>
      </c>
      <c r="E80" s="6" t="s">
        <v>174</v>
      </c>
      <c r="F80" s="6" t="s">
        <v>59</v>
      </c>
      <c r="G80" s="7">
        <v>65211.48255173301</v>
      </c>
      <c r="H80" s="6">
        <v>9313476.766587446</v>
      </c>
      <c r="I80" s="6" t="s">
        <v>179</v>
      </c>
      <c r="J80" s="15">
        <v>52.22499999999999</v>
      </c>
    </row>
    <row r="81" spans="1:10">
      <c r="A81" s="6" t="s">
        <v>136</v>
      </c>
      <c r="B81" s="6" t="s">
        <v>44</v>
      </c>
      <c r="C81" s="6" t="s">
        <v>271</v>
      </c>
      <c r="D81" s="6">
        <v>343.5721666666666</v>
      </c>
      <c r="E81" s="6" t="s">
        <v>174</v>
      </c>
      <c r="F81" s="6" t="s">
        <v>54</v>
      </c>
      <c r="G81" s="7">
        <v>106146.2380589861</v>
      </c>
      <c r="H81" s="6">
        <v>36468892.99344163</v>
      </c>
      <c r="I81" s="6" t="s">
        <v>179</v>
      </c>
      <c r="J81" s="15">
        <v>62.05</v>
      </c>
    </row>
    <row r="82" spans="1:10">
      <c r="A82" s="6" t="s">
        <v>136</v>
      </c>
      <c r="B82" s="6" t="s">
        <v>44</v>
      </c>
      <c r="C82" s="6" t="s">
        <v>272</v>
      </c>
      <c r="D82" s="6">
        <v>91.10166666666667</v>
      </c>
      <c r="E82" s="6" t="s">
        <v>174</v>
      </c>
      <c r="F82" s="6" t="s">
        <v>51</v>
      </c>
      <c r="G82" s="7">
        <v>25556.23235325186</v>
      </c>
      <c r="H82" s="6">
        <v>2328215.361101833</v>
      </c>
      <c r="I82" s="6" t="s">
        <v>179</v>
      </c>
      <c r="J82" s="15">
        <v>19</v>
      </c>
    </row>
    <row r="83" spans="1:10">
      <c r="A83" s="6" t="s">
        <v>136</v>
      </c>
      <c r="B83" s="6" t="s">
        <v>44</v>
      </c>
      <c r="C83" s="6" t="s">
        <v>273</v>
      </c>
      <c r="D83" s="6">
        <v>899.1891666666667</v>
      </c>
      <c r="E83" s="6" t="s">
        <v>174</v>
      </c>
      <c r="F83" s="6" t="s">
        <v>51</v>
      </c>
      <c r="G83" s="7">
        <v>40826.03765706107</v>
      </c>
      <c r="H83" s="6">
        <v>36710330.7791547</v>
      </c>
      <c r="I83" s="6" t="s">
        <v>179</v>
      </c>
      <c r="J83" s="15">
        <v>26.31666666666667</v>
      </c>
    </row>
    <row r="84" spans="1:10">
      <c r="A84" s="6" t="s">
        <v>136</v>
      </c>
      <c r="B84" s="6" t="s">
        <v>44</v>
      </c>
      <c r="C84" s="6" t="s">
        <v>274</v>
      </c>
      <c r="D84" s="6">
        <v>186.232</v>
      </c>
      <c r="E84" s="6" t="s">
        <v>174</v>
      </c>
      <c r="F84" s="6" t="s">
        <v>56</v>
      </c>
      <c r="G84" s="7">
        <v>71131.25468556939</v>
      </c>
      <c r="H84" s="6">
        <v>13246915.82260296</v>
      </c>
      <c r="I84" s="6" t="s">
        <v>179</v>
      </c>
      <c r="J84" s="15">
        <v>42</v>
      </c>
    </row>
    <row r="85" spans="1:10">
      <c r="A85" s="6" t="s">
        <v>136</v>
      </c>
      <c r="B85" s="6" t="s">
        <v>44</v>
      </c>
      <c r="C85" s="6" t="s">
        <v>275</v>
      </c>
      <c r="D85" s="6">
        <v>17.4345</v>
      </c>
      <c r="E85" s="6" t="s">
        <v>174</v>
      </c>
      <c r="F85" s="6" t="s">
        <v>51</v>
      </c>
      <c r="G85" s="7">
        <v>59571.48346905452</v>
      </c>
      <c r="H85" s="6">
        <v>1038599.028541231</v>
      </c>
      <c r="I85" s="6" t="s">
        <v>179</v>
      </c>
      <c r="J85" s="15">
        <v>19</v>
      </c>
    </row>
    <row r="86" spans="1:10">
      <c r="A86" s="6" t="s">
        <v>136</v>
      </c>
      <c r="B86" s="6" t="s">
        <v>44</v>
      </c>
      <c r="C86" s="6" t="s">
        <v>276</v>
      </c>
      <c r="D86" s="6">
        <v>183.62875</v>
      </c>
      <c r="E86" s="6" t="s">
        <v>174</v>
      </c>
      <c r="F86" s="6" t="s">
        <v>51</v>
      </c>
      <c r="G86" s="7">
        <v>39632.99974164585</v>
      </c>
      <c r="H86" s="6">
        <v>7277758.201308751</v>
      </c>
      <c r="I86" s="6" t="s">
        <v>179</v>
      </c>
      <c r="J86" s="15">
        <v>46</v>
      </c>
    </row>
    <row r="87" spans="1:10">
      <c r="A87" s="6" t="s">
        <v>136</v>
      </c>
      <c r="B87" s="6" t="s">
        <v>44</v>
      </c>
      <c r="C87" s="6" t="s">
        <v>277</v>
      </c>
      <c r="D87" s="6">
        <v>0.2615833333333333</v>
      </c>
      <c r="E87" s="6" t="s">
        <v>174</v>
      </c>
      <c r="F87" s="6" t="s">
        <v>57</v>
      </c>
      <c r="G87" s="7">
        <v>40351.08108770724</v>
      </c>
      <c r="H87" s="6">
        <v>10555.17029452609</v>
      </c>
      <c r="I87" s="6" t="s">
        <v>180</v>
      </c>
      <c r="J87" s="15">
        <v>8.187821936491906</v>
      </c>
    </row>
    <row r="88" spans="1:10">
      <c r="A88" s="6" t="s">
        <v>136</v>
      </c>
      <c r="B88" s="6" t="s">
        <v>44</v>
      </c>
      <c r="C88" s="6" t="s">
        <v>278</v>
      </c>
      <c r="D88" s="6">
        <v>931.9375833333334</v>
      </c>
      <c r="E88" s="6" t="s">
        <v>174</v>
      </c>
      <c r="F88" s="6" t="s">
        <v>55</v>
      </c>
      <c r="G88" s="7">
        <v>91237.77280498153</v>
      </c>
      <c r="H88" s="6">
        <v>85027909.49659021</v>
      </c>
      <c r="I88" s="6" t="s">
        <v>179</v>
      </c>
      <c r="J88" s="15">
        <v>41.00833333333333</v>
      </c>
    </row>
    <row r="89" spans="1:10">
      <c r="A89" s="6" t="s">
        <v>136</v>
      </c>
      <c r="B89" s="6" t="s">
        <v>44</v>
      </c>
      <c r="C89" s="6" t="s">
        <v>279</v>
      </c>
      <c r="D89" s="6">
        <v>263.9421666666667</v>
      </c>
      <c r="E89" s="6" t="s">
        <v>174</v>
      </c>
      <c r="F89" s="6" t="s">
        <v>52</v>
      </c>
      <c r="G89" s="7">
        <v>53440.82611531692</v>
      </c>
      <c r="H89" s="6">
        <v>14105287.43333333</v>
      </c>
      <c r="I89" s="6" t="s">
        <v>179</v>
      </c>
      <c r="J89" s="15">
        <v>43.65</v>
      </c>
    </row>
    <row r="90" spans="1:10">
      <c r="A90" s="6" t="s">
        <v>136</v>
      </c>
      <c r="B90" s="6" t="s">
        <v>44</v>
      </c>
      <c r="C90" s="6" t="s">
        <v>280</v>
      </c>
      <c r="D90" s="6">
        <v>551.5843333333333</v>
      </c>
      <c r="E90" s="6" t="s">
        <v>174</v>
      </c>
      <c r="F90" s="6" t="s">
        <v>55</v>
      </c>
      <c r="G90" s="7">
        <v>70181.01398935323</v>
      </c>
      <c r="H90" s="6">
        <v>38710747.81397475</v>
      </c>
      <c r="I90" s="6" t="s">
        <v>179</v>
      </c>
      <c r="J90" s="15">
        <v>56.09999999999999</v>
      </c>
    </row>
    <row r="91" spans="1:10">
      <c r="A91" s="6" t="s">
        <v>136</v>
      </c>
      <c r="B91" s="6" t="s">
        <v>44</v>
      </c>
      <c r="C91" s="6" t="s">
        <v>281</v>
      </c>
      <c r="D91" s="6">
        <v>397.1495</v>
      </c>
      <c r="E91" s="6" t="s">
        <v>174</v>
      </c>
      <c r="F91" s="6" t="s">
        <v>57</v>
      </c>
      <c r="G91" s="7">
        <v>70012.88567894354</v>
      </c>
      <c r="H91" s="6">
        <v>27805582.54094959</v>
      </c>
      <c r="I91" s="6" t="s">
        <v>179</v>
      </c>
      <c r="J91" s="15">
        <v>41.50833333333334</v>
      </c>
    </row>
    <row r="92" spans="1:10">
      <c r="A92" s="6" t="s">
        <v>136</v>
      </c>
      <c r="B92" s="6" t="s">
        <v>44</v>
      </c>
      <c r="C92" s="6" t="s">
        <v>282</v>
      </c>
      <c r="D92" s="6">
        <v>4.211583333333333</v>
      </c>
      <c r="E92" s="6" t="s">
        <v>174</v>
      </c>
      <c r="F92" s="6" t="s">
        <v>56</v>
      </c>
      <c r="G92" s="7">
        <v>62372.04989791066</v>
      </c>
      <c r="H92" s="6">
        <v>262685.0858158756</v>
      </c>
      <c r="I92" s="6" t="s">
        <v>179</v>
      </c>
      <c r="J92" s="15">
        <v>43.03333333333333</v>
      </c>
    </row>
    <row r="93" spans="1:10">
      <c r="A93" s="6" t="s">
        <v>136</v>
      </c>
      <c r="B93" s="6" t="s">
        <v>44</v>
      </c>
      <c r="C93" s="6" t="s">
        <v>283</v>
      </c>
      <c r="D93" s="6">
        <v>484.4961666666666</v>
      </c>
      <c r="E93" s="6" t="s">
        <v>174</v>
      </c>
      <c r="F93" s="6" t="s">
        <v>51</v>
      </c>
      <c r="G93" s="7">
        <v>51675.72551452865</v>
      </c>
      <c r="H93" s="6">
        <v>25036690.92150799</v>
      </c>
      <c r="I93" s="6" t="s">
        <v>179</v>
      </c>
      <c r="J93" s="15">
        <v>42.25</v>
      </c>
    </row>
    <row r="94" spans="1:10">
      <c r="A94" s="6" t="s">
        <v>136</v>
      </c>
      <c r="B94" s="6" t="s">
        <v>44</v>
      </c>
      <c r="C94" s="6" t="s">
        <v>284</v>
      </c>
      <c r="D94" s="6">
        <v>276.9659166666667</v>
      </c>
      <c r="E94" s="6" t="s">
        <v>174</v>
      </c>
      <c r="F94" s="6" t="s">
        <v>55</v>
      </c>
      <c r="G94" s="7">
        <v>52691.68338907469</v>
      </c>
      <c r="H94" s="6">
        <v>14593800.39056485</v>
      </c>
      <c r="I94" s="6" t="s">
        <v>179</v>
      </c>
      <c r="J94" s="15">
        <v>61</v>
      </c>
    </row>
    <row r="95" spans="1:10">
      <c r="A95" s="6" t="s">
        <v>136</v>
      </c>
      <c r="B95" s="6" t="s">
        <v>44</v>
      </c>
      <c r="C95" s="6" t="s">
        <v>285</v>
      </c>
      <c r="D95" s="6">
        <v>6.047333333333333</v>
      </c>
      <c r="E95" s="6" t="s">
        <v>174</v>
      </c>
      <c r="F95" s="6" t="s">
        <v>52</v>
      </c>
      <c r="G95" s="7">
        <v>109530.9227207585</v>
      </c>
      <c r="H95" s="6">
        <v>662370</v>
      </c>
      <c r="I95" s="6" t="s">
        <v>179</v>
      </c>
      <c r="J95" s="15">
        <v>68.40000000000001</v>
      </c>
    </row>
    <row r="96" spans="1:10">
      <c r="A96" s="6" t="s">
        <v>136</v>
      </c>
      <c r="B96" s="6" t="s">
        <v>44</v>
      </c>
      <c r="C96" s="6" t="s">
        <v>286</v>
      </c>
      <c r="D96" s="6">
        <v>121.675</v>
      </c>
      <c r="E96" s="6" t="s">
        <v>174</v>
      </c>
      <c r="F96" s="6" t="s">
        <v>59</v>
      </c>
      <c r="G96" s="7">
        <v>70858.2206620012</v>
      </c>
      <c r="H96" s="6">
        <v>8621673.999048997</v>
      </c>
      <c r="I96" s="6" t="s">
        <v>179</v>
      </c>
      <c r="J96" s="15">
        <v>56.70833333333333</v>
      </c>
    </row>
    <row r="97" spans="1:10">
      <c r="A97" s="6" t="s">
        <v>136</v>
      </c>
      <c r="B97" s="6" t="s">
        <v>44</v>
      </c>
      <c r="C97" s="6" t="s">
        <v>287</v>
      </c>
      <c r="D97" s="6">
        <v>0.5558333333333333</v>
      </c>
      <c r="E97" s="6" t="s">
        <v>174</v>
      </c>
      <c r="F97" s="6" t="s">
        <v>53</v>
      </c>
      <c r="G97" s="7">
        <v>39870.55547829608</v>
      </c>
      <c r="H97" s="6">
        <v>22161.3837533529</v>
      </c>
      <c r="I97" s="6" t="s">
        <v>180</v>
      </c>
      <c r="J97" s="15">
        <v>70</v>
      </c>
    </row>
    <row r="98" spans="1:10">
      <c r="A98" s="6" t="s">
        <v>136</v>
      </c>
      <c r="B98" s="6" t="s">
        <v>44</v>
      </c>
      <c r="C98" s="6" t="s">
        <v>288</v>
      </c>
      <c r="D98" s="6">
        <v>1.7765</v>
      </c>
      <c r="E98" s="6" t="s">
        <v>174</v>
      </c>
      <c r="F98" s="6" t="s">
        <v>58</v>
      </c>
      <c r="G98" s="7">
        <v>43931.19520815281</v>
      </c>
      <c r="H98" s="6">
        <v>78043.76828728347</v>
      </c>
      <c r="I98" s="6" t="s">
        <v>180</v>
      </c>
      <c r="J98" s="15">
        <v>17</v>
      </c>
    </row>
    <row r="99" spans="1:10">
      <c r="A99" s="6" t="s">
        <v>136</v>
      </c>
      <c r="B99" s="6" t="s">
        <v>44</v>
      </c>
      <c r="C99" s="6" t="s">
        <v>289</v>
      </c>
      <c r="D99" s="6">
        <v>741.4436666666667</v>
      </c>
      <c r="E99" s="6" t="s">
        <v>174</v>
      </c>
      <c r="F99" s="6" t="s">
        <v>52</v>
      </c>
      <c r="G99" s="7">
        <v>53667.82982646869</v>
      </c>
      <c r="H99" s="6">
        <v>39791672.52857964</v>
      </c>
      <c r="I99" s="6" t="s">
        <v>179</v>
      </c>
      <c r="J99" s="15">
        <v>70</v>
      </c>
    </row>
    <row r="100" spans="1:10">
      <c r="A100" s="6" t="s">
        <v>136</v>
      </c>
      <c r="B100" s="6" t="s">
        <v>44</v>
      </c>
      <c r="C100" s="6" t="s">
        <v>290</v>
      </c>
      <c r="D100" s="6">
        <v>0.1425</v>
      </c>
      <c r="E100" s="6" t="s">
        <v>174</v>
      </c>
      <c r="F100" s="6" t="s">
        <v>53</v>
      </c>
      <c r="G100" s="7">
        <v>42307.93424836712</v>
      </c>
      <c r="H100" s="6">
        <v>6028.880630392314</v>
      </c>
      <c r="I100" s="6" t="s">
        <v>180</v>
      </c>
      <c r="J100" s="15">
        <v>8.912746806042239</v>
      </c>
    </row>
    <row r="101" spans="1:10">
      <c r="A101" s="6" t="s">
        <v>136</v>
      </c>
      <c r="B101" s="6" t="s">
        <v>44</v>
      </c>
      <c r="C101" s="6" t="s">
        <v>291</v>
      </c>
      <c r="D101" s="6">
        <v>0.06558333333333334</v>
      </c>
      <c r="E101" s="6" t="s">
        <v>174</v>
      </c>
      <c r="F101" s="6" t="s">
        <v>51</v>
      </c>
      <c r="G101" s="7">
        <v>35329.77696152869</v>
      </c>
      <c r="H101" s="6">
        <v>2317.044539060257</v>
      </c>
      <c r="I101" s="6" t="s">
        <v>180</v>
      </c>
      <c r="J101" s="15">
        <v>6.327657713737932</v>
      </c>
    </row>
    <row r="102" spans="1:10">
      <c r="A102" s="6" t="s">
        <v>136</v>
      </c>
      <c r="B102" s="6" t="s">
        <v>44</v>
      </c>
      <c r="C102" s="6" t="s">
        <v>292</v>
      </c>
      <c r="D102" s="6">
        <v>94.86491666666666</v>
      </c>
      <c r="E102" s="6" t="s">
        <v>174</v>
      </c>
      <c r="F102" s="6" t="s">
        <v>54</v>
      </c>
      <c r="G102" s="7">
        <v>110583.058701143</v>
      </c>
      <c r="H102" s="6">
        <v>10490452.64842904</v>
      </c>
      <c r="I102" s="6" t="s">
        <v>179</v>
      </c>
      <c r="J102" s="15">
        <v>79</v>
      </c>
    </row>
    <row r="103" spans="1:10">
      <c r="A103" s="6" t="s">
        <v>136</v>
      </c>
      <c r="B103" s="6" t="s">
        <v>44</v>
      </c>
      <c r="C103" s="6" t="s">
        <v>293</v>
      </c>
      <c r="D103" s="6">
        <v>36.2275</v>
      </c>
      <c r="E103" s="6" t="s">
        <v>174</v>
      </c>
      <c r="F103" s="6" t="s">
        <v>53</v>
      </c>
      <c r="G103" s="7">
        <v>36013.86577983866</v>
      </c>
      <c r="H103" s="6">
        <v>1304692.322539105</v>
      </c>
      <c r="I103" s="6" t="s">
        <v>179</v>
      </c>
      <c r="J103" s="15">
        <v>16</v>
      </c>
    </row>
    <row r="104" spans="1:10">
      <c r="A104" s="6" t="s">
        <v>136</v>
      </c>
      <c r="B104" s="6" t="s">
        <v>44</v>
      </c>
      <c r="C104" s="6" t="s">
        <v>294</v>
      </c>
      <c r="D104" s="6">
        <v>0.4881666666666666</v>
      </c>
      <c r="E104" s="6" t="s">
        <v>174</v>
      </c>
      <c r="F104" s="6" t="s">
        <v>54</v>
      </c>
      <c r="G104" s="7">
        <v>75932.54966215488</v>
      </c>
      <c r="H104" s="6">
        <v>37067.73966007527</v>
      </c>
      <c r="I104" s="6" t="s">
        <v>180</v>
      </c>
      <c r="J104" s="15">
        <v>98.8</v>
      </c>
    </row>
    <row r="105" spans="1:10">
      <c r="A105" s="6" t="s">
        <v>136</v>
      </c>
      <c r="B105" s="6" t="s">
        <v>44</v>
      </c>
      <c r="C105" s="6" t="s">
        <v>295</v>
      </c>
      <c r="D105" s="6">
        <v>53.99383333333333</v>
      </c>
      <c r="E105" s="6" t="s">
        <v>174</v>
      </c>
      <c r="F105" s="6" t="s">
        <v>53</v>
      </c>
      <c r="G105" s="7">
        <v>59372.17808614393</v>
      </c>
      <c r="H105" s="6">
        <v>3205731.488220241</v>
      </c>
      <c r="I105" s="6" t="s">
        <v>179</v>
      </c>
      <c r="J105" s="15">
        <v>65.7</v>
      </c>
    </row>
    <row r="106" spans="1:10">
      <c r="A106" s="6" t="s">
        <v>136</v>
      </c>
      <c r="B106" s="6" t="s">
        <v>44</v>
      </c>
      <c r="C106" s="6" t="s">
        <v>296</v>
      </c>
      <c r="D106" s="6">
        <v>309.87575</v>
      </c>
      <c r="E106" s="6" t="s">
        <v>174</v>
      </c>
      <c r="F106" s="6" t="s">
        <v>54</v>
      </c>
      <c r="G106" s="7">
        <v>88892.92063005883</v>
      </c>
      <c r="H106" s="6">
        <v>27545760.44992995</v>
      </c>
      <c r="I106" s="6" t="s">
        <v>179</v>
      </c>
      <c r="J106" s="15">
        <v>27</v>
      </c>
    </row>
    <row r="107" spans="1:10">
      <c r="A107" s="6" t="s">
        <v>136</v>
      </c>
      <c r="B107" s="6" t="s">
        <v>44</v>
      </c>
      <c r="C107" s="6" t="s">
        <v>297</v>
      </c>
      <c r="D107" s="6">
        <v>5.919166666666666</v>
      </c>
      <c r="E107" s="6" t="s">
        <v>174</v>
      </c>
      <c r="F107" s="6" t="s">
        <v>52</v>
      </c>
      <c r="G107" s="7">
        <v>89849.66915387864</v>
      </c>
      <c r="H107" s="6">
        <v>531835.1666666666</v>
      </c>
      <c r="I107" s="6" t="s">
        <v>179</v>
      </c>
      <c r="J107" s="15">
        <v>67</v>
      </c>
    </row>
    <row r="108" spans="1:10">
      <c r="A108" s="6" t="s">
        <v>136</v>
      </c>
      <c r="B108" s="6" t="s">
        <v>44</v>
      </c>
      <c r="C108" s="6" t="s">
        <v>298</v>
      </c>
      <c r="D108" s="6">
        <v>407.5950833333333</v>
      </c>
      <c r="E108" s="6" t="s">
        <v>174</v>
      </c>
      <c r="F108" s="6" t="s">
        <v>56</v>
      </c>
      <c r="G108" s="7">
        <v>36500.00929252619</v>
      </c>
      <c r="H108" s="6">
        <v>14877224.32925465</v>
      </c>
      <c r="I108" s="6" t="s">
        <v>179</v>
      </c>
      <c r="J108" s="15">
        <v>21</v>
      </c>
    </row>
    <row r="109" spans="1:10">
      <c r="A109" s="6" t="s">
        <v>136</v>
      </c>
      <c r="B109" s="6" t="s">
        <v>44</v>
      </c>
      <c r="C109" s="6" t="s">
        <v>299</v>
      </c>
      <c r="D109" s="6">
        <v>0.8241666666666667</v>
      </c>
      <c r="E109" s="6" t="s">
        <v>174</v>
      </c>
      <c r="F109" s="6" t="s">
        <v>53</v>
      </c>
      <c r="G109" s="7">
        <v>45885.15175897437</v>
      </c>
      <c r="H109" s="6">
        <v>37817.01257468805</v>
      </c>
      <c r="I109" s="6" t="s">
        <v>180</v>
      </c>
      <c r="J109" s="15">
        <v>6.9</v>
      </c>
    </row>
    <row r="110" spans="1:10">
      <c r="A110" s="6" t="s">
        <v>136</v>
      </c>
      <c r="B110" s="6" t="s">
        <v>44</v>
      </c>
      <c r="C110" s="6" t="s">
        <v>300</v>
      </c>
      <c r="D110" s="6">
        <v>2287.87875</v>
      </c>
      <c r="E110" s="6" t="s">
        <v>174</v>
      </c>
      <c r="F110" s="6" t="s">
        <v>52</v>
      </c>
      <c r="G110" s="7">
        <v>79641.24563235717</v>
      </c>
      <c r="H110" s="6">
        <v>182209513.5058003</v>
      </c>
      <c r="I110" s="6" t="s">
        <v>179</v>
      </c>
      <c r="J110" s="15">
        <v>66.55</v>
      </c>
    </row>
    <row r="111" spans="1:10">
      <c r="A111" s="6" t="s">
        <v>136</v>
      </c>
      <c r="B111" s="6" t="s">
        <v>44</v>
      </c>
      <c r="C111" s="6" t="s">
        <v>301</v>
      </c>
      <c r="D111" s="6">
        <v>155.0825</v>
      </c>
      <c r="E111" s="6" t="s">
        <v>174</v>
      </c>
      <c r="F111" s="6" t="s">
        <v>59</v>
      </c>
      <c r="G111" s="7">
        <v>69390.77724405598</v>
      </c>
      <c r="H111" s="6">
        <v>10761295.21195131</v>
      </c>
      <c r="I111" s="6" t="s">
        <v>179</v>
      </c>
      <c r="J111" s="15">
        <v>26.65</v>
      </c>
    </row>
    <row r="112" spans="1:10">
      <c r="A112" s="6" t="s">
        <v>136</v>
      </c>
      <c r="B112" s="6" t="s">
        <v>44</v>
      </c>
      <c r="C112" s="6" t="s">
        <v>302</v>
      </c>
      <c r="D112" s="6">
        <v>492.0403333333334</v>
      </c>
      <c r="E112" s="6" t="s">
        <v>174</v>
      </c>
      <c r="F112" s="6" t="s">
        <v>52</v>
      </c>
      <c r="G112" s="7">
        <v>92343.76797362817</v>
      </c>
      <c r="H112" s="6">
        <v>45436858.375</v>
      </c>
      <c r="I112" s="6" t="s">
        <v>179</v>
      </c>
      <c r="J112" s="15">
        <v>67.58333333333333</v>
      </c>
    </row>
    <row r="113" spans="1:10">
      <c r="A113" s="6" t="s">
        <v>136</v>
      </c>
      <c r="B113" s="6" t="s">
        <v>44</v>
      </c>
      <c r="C113" s="6" t="s">
        <v>303</v>
      </c>
      <c r="D113" s="6">
        <v>0.5510833333333334</v>
      </c>
      <c r="E113" s="6" t="s">
        <v>174</v>
      </c>
      <c r="F113" s="6" t="s">
        <v>53</v>
      </c>
      <c r="G113" s="7">
        <v>44904.12248503024</v>
      </c>
      <c r="H113" s="6">
        <v>24745.91349945875</v>
      </c>
      <c r="I113" s="6" t="s">
        <v>180</v>
      </c>
      <c r="J113" s="15">
        <v>9.8745161695424</v>
      </c>
    </row>
    <row r="114" spans="1:10">
      <c r="A114" s="6" t="s">
        <v>136</v>
      </c>
      <c r="B114" s="6" t="s">
        <v>44</v>
      </c>
      <c r="C114" s="6" t="s">
        <v>304</v>
      </c>
      <c r="D114" s="6">
        <v>6.078166666666665</v>
      </c>
      <c r="E114" s="6" t="s">
        <v>174</v>
      </c>
      <c r="F114" s="6" t="s">
        <v>52</v>
      </c>
      <c r="G114" s="7">
        <v>50330.3901944117</v>
      </c>
      <c r="H114" s="6">
        <v>305916.5</v>
      </c>
      <c r="I114" s="6" t="s">
        <v>179</v>
      </c>
      <c r="J114" s="15">
        <v>49.75</v>
      </c>
    </row>
    <row r="115" spans="1:10">
      <c r="A115" s="6" t="s">
        <v>136</v>
      </c>
      <c r="B115" s="6" t="s">
        <v>44</v>
      </c>
      <c r="C115" s="6" t="s">
        <v>305</v>
      </c>
      <c r="D115" s="6">
        <v>345.6850833333333</v>
      </c>
      <c r="E115" s="6" t="s">
        <v>174</v>
      </c>
      <c r="F115" s="6" t="s">
        <v>54</v>
      </c>
      <c r="G115" s="7">
        <v>96370.04394739907</v>
      </c>
      <c r="H115" s="6">
        <v>33313686.67279364</v>
      </c>
      <c r="I115" s="6" t="s">
        <v>179</v>
      </c>
      <c r="J115" s="15">
        <v>61.86666666666667</v>
      </c>
    </row>
    <row r="116" spans="1:10">
      <c r="A116" s="6" t="s">
        <v>136</v>
      </c>
      <c r="B116" s="6" t="s">
        <v>44</v>
      </c>
      <c r="C116" s="6" t="s">
        <v>306</v>
      </c>
      <c r="D116" s="6">
        <v>0.5943333333333334</v>
      </c>
      <c r="E116" s="6" t="s">
        <v>174</v>
      </c>
      <c r="F116" s="6" t="s">
        <v>57</v>
      </c>
      <c r="G116" s="7">
        <v>40370.17715309708</v>
      </c>
      <c r="H116" s="6">
        <v>23993.34195465737</v>
      </c>
      <c r="I116" s="6" t="s">
        <v>180</v>
      </c>
      <c r="J116" s="15">
        <v>8.194896157997103</v>
      </c>
    </row>
    <row r="117" spans="1:10">
      <c r="A117" s="6" t="s">
        <v>136</v>
      </c>
      <c r="B117" s="6" t="s">
        <v>44</v>
      </c>
      <c r="C117" s="6" t="s">
        <v>307</v>
      </c>
      <c r="D117" s="6">
        <v>0.3999166666666667</v>
      </c>
      <c r="E117" s="6" t="s">
        <v>174</v>
      </c>
      <c r="F117" s="6" t="s">
        <v>53</v>
      </c>
      <c r="G117" s="7">
        <v>47182.63629472011</v>
      </c>
      <c r="H117" s="6">
        <v>18869.12263153015</v>
      </c>
      <c r="I117" s="6" t="s">
        <v>180</v>
      </c>
      <c r="J117" s="15">
        <v>10.71860164282394</v>
      </c>
    </row>
    <row r="118" spans="1:10">
      <c r="A118" s="6" t="s">
        <v>136</v>
      </c>
      <c r="B118" s="6" t="s">
        <v>44</v>
      </c>
      <c r="C118" s="6" t="s">
        <v>308</v>
      </c>
      <c r="D118" s="6">
        <v>0.5416666666666666</v>
      </c>
      <c r="E118" s="6" t="s">
        <v>174</v>
      </c>
      <c r="F118" s="6" t="s">
        <v>54</v>
      </c>
      <c r="G118" s="7">
        <v>67991.01390409522</v>
      </c>
      <c r="H118" s="6">
        <v>36828.46586471824</v>
      </c>
      <c r="I118" s="6" t="s">
        <v>180</v>
      </c>
      <c r="J118" s="15">
        <v>117.3083333333333</v>
      </c>
    </row>
    <row r="119" spans="1:10">
      <c r="A119" s="6" t="s">
        <v>136</v>
      </c>
      <c r="B119" s="6" t="s">
        <v>44</v>
      </c>
      <c r="C119" s="6" t="s">
        <v>309</v>
      </c>
      <c r="D119" s="6">
        <v>1189.663833333333</v>
      </c>
      <c r="E119" s="6" t="s">
        <v>174</v>
      </c>
      <c r="F119" s="6" t="s">
        <v>52</v>
      </c>
      <c r="G119" s="7">
        <v>91168.45115770098</v>
      </c>
      <c r="H119" s="6">
        <v>108459809.0833333</v>
      </c>
      <c r="I119" s="6" t="s">
        <v>179</v>
      </c>
      <c r="J119" s="15">
        <v>69.59999999999999</v>
      </c>
    </row>
    <row r="120" spans="1:10">
      <c r="A120" s="6" t="s">
        <v>136</v>
      </c>
      <c r="B120" s="6" t="s">
        <v>44</v>
      </c>
      <c r="C120" s="6" t="s">
        <v>310</v>
      </c>
      <c r="D120" s="6">
        <v>253.6210833333333</v>
      </c>
      <c r="E120" s="6" t="s">
        <v>174</v>
      </c>
      <c r="F120" s="6" t="s">
        <v>52</v>
      </c>
      <c r="G120" s="7">
        <v>101966.8194646016</v>
      </c>
      <c r="H120" s="6">
        <v>25860935.21666667</v>
      </c>
      <c r="I120" s="6" t="s">
        <v>179</v>
      </c>
      <c r="J120" s="15">
        <v>76.95833333333333</v>
      </c>
    </row>
    <row r="121" spans="1:10">
      <c r="A121" s="6" t="s">
        <v>136</v>
      </c>
      <c r="B121" s="6" t="s">
        <v>44</v>
      </c>
      <c r="C121" s="6" t="s">
        <v>311</v>
      </c>
      <c r="D121" s="6">
        <v>280.63175</v>
      </c>
      <c r="E121" s="6" t="s">
        <v>174</v>
      </c>
      <c r="F121" s="6" t="s">
        <v>51</v>
      </c>
      <c r="G121" s="7">
        <v>22378.64345356504</v>
      </c>
      <c r="H121" s="6">
        <v>6280157.875</v>
      </c>
      <c r="I121" s="6" t="s">
        <v>179</v>
      </c>
      <c r="J121" s="15">
        <v>31</v>
      </c>
    </row>
    <row r="122" spans="1:10">
      <c r="A122" s="6" t="s">
        <v>136</v>
      </c>
      <c r="B122" s="6" t="s">
        <v>44</v>
      </c>
      <c r="C122" s="6" t="s">
        <v>312</v>
      </c>
      <c r="D122" s="6">
        <v>58.30541666666667</v>
      </c>
      <c r="E122" s="6" t="s">
        <v>174</v>
      </c>
      <c r="F122" s="6" t="s">
        <v>54</v>
      </c>
      <c r="G122" s="7">
        <v>99103.91619886176</v>
      </c>
      <c r="H122" s="6">
        <v>5778295.127273051</v>
      </c>
      <c r="I122" s="6" t="s">
        <v>179</v>
      </c>
      <c r="J122" s="15">
        <v>79.65000000000001</v>
      </c>
    </row>
    <row r="123" spans="1:10">
      <c r="A123" s="6" t="s">
        <v>136</v>
      </c>
      <c r="B123" s="6" t="s">
        <v>44</v>
      </c>
      <c r="C123" s="6" t="s">
        <v>313</v>
      </c>
      <c r="D123" s="6">
        <v>127.2526666666667</v>
      </c>
      <c r="E123" s="6" t="s">
        <v>174</v>
      </c>
      <c r="F123" s="6" t="s">
        <v>51</v>
      </c>
      <c r="G123" s="7">
        <v>28821.66810714348</v>
      </c>
      <c r="H123" s="6">
        <v>3667634.124415627</v>
      </c>
      <c r="I123" s="6" t="s">
        <v>179</v>
      </c>
      <c r="J123" s="15">
        <v>17</v>
      </c>
    </row>
    <row r="124" spans="1:10">
      <c r="A124" s="6" t="s">
        <v>136</v>
      </c>
      <c r="B124" s="6" t="s">
        <v>44</v>
      </c>
      <c r="C124" s="6" t="s">
        <v>314</v>
      </c>
      <c r="D124" s="6">
        <v>49.67908333333333</v>
      </c>
      <c r="E124" s="6" t="s">
        <v>174</v>
      </c>
      <c r="F124" s="6" t="s">
        <v>51</v>
      </c>
      <c r="G124" s="7">
        <v>57290.59885869359</v>
      </c>
      <c r="H124" s="6">
        <v>2846144.43491761</v>
      </c>
      <c r="I124" s="6" t="s">
        <v>179</v>
      </c>
      <c r="J124" s="15">
        <v>17.49166666666667</v>
      </c>
    </row>
    <row r="125" spans="1:10">
      <c r="A125" s="6" t="s">
        <v>136</v>
      </c>
      <c r="B125" s="6" t="s">
        <v>44</v>
      </c>
      <c r="C125" s="6" t="s">
        <v>315</v>
      </c>
      <c r="D125" s="6">
        <v>89.35483333333333</v>
      </c>
      <c r="E125" s="6" t="s">
        <v>174</v>
      </c>
      <c r="F125" s="6" t="s">
        <v>51</v>
      </c>
      <c r="G125" s="7">
        <v>47743.91064626968</v>
      </c>
      <c r="H125" s="6">
        <v>4266149.178478986</v>
      </c>
      <c r="I125" s="6" t="s">
        <v>179</v>
      </c>
      <c r="J125" s="15">
        <v>21</v>
      </c>
    </row>
    <row r="126" spans="1:10">
      <c r="A126" s="6" t="s">
        <v>136</v>
      </c>
      <c r="B126" s="6" t="s">
        <v>44</v>
      </c>
      <c r="C126" s="6" t="s">
        <v>316</v>
      </c>
      <c r="D126" s="6">
        <v>1.48025</v>
      </c>
      <c r="E126" s="6" t="s">
        <v>174</v>
      </c>
      <c r="F126" s="6" t="s">
        <v>54</v>
      </c>
      <c r="G126" s="7">
        <v>78233.00759152489</v>
      </c>
      <c r="H126" s="6">
        <v>115804.4094873547</v>
      </c>
      <c r="I126" s="6" t="s">
        <v>180</v>
      </c>
      <c r="J126" s="15">
        <v>22.22134840703962</v>
      </c>
    </row>
    <row r="127" spans="1:10">
      <c r="A127" s="6" t="s">
        <v>136</v>
      </c>
      <c r="B127" s="6" t="s">
        <v>44</v>
      </c>
      <c r="C127" s="6" t="s">
        <v>317</v>
      </c>
      <c r="D127" s="6">
        <v>3.803916666666666</v>
      </c>
      <c r="E127" s="6" t="s">
        <v>174</v>
      </c>
      <c r="F127" s="6" t="s">
        <v>51</v>
      </c>
      <c r="G127" s="7">
        <v>21140.95965465714</v>
      </c>
      <c r="H127" s="6">
        <v>80418.44877967788</v>
      </c>
      <c r="I127" s="6" t="s">
        <v>179</v>
      </c>
      <c r="J127" s="15">
        <v>17</v>
      </c>
    </row>
    <row r="128" spans="1:10">
      <c r="A128" s="6" t="s">
        <v>136</v>
      </c>
      <c r="B128" s="6" t="s">
        <v>44</v>
      </c>
      <c r="C128" s="6" t="s">
        <v>318</v>
      </c>
      <c r="D128" s="6">
        <v>5.8245</v>
      </c>
      <c r="E128" s="6" t="s">
        <v>174</v>
      </c>
      <c r="F128" s="6" t="s">
        <v>52</v>
      </c>
      <c r="G128" s="7">
        <v>169484.6527688963</v>
      </c>
      <c r="H128" s="6">
        <v>987163.3600524365</v>
      </c>
      <c r="I128" s="6" t="s">
        <v>179</v>
      </c>
      <c r="J128" s="15">
        <v>46.16666666666666</v>
      </c>
    </row>
    <row r="129" spans="1:10">
      <c r="A129" s="6" t="s">
        <v>136</v>
      </c>
      <c r="B129" s="6" t="s">
        <v>44</v>
      </c>
      <c r="C129" s="6" t="s">
        <v>319</v>
      </c>
      <c r="D129" s="6">
        <v>25.15766666666667</v>
      </c>
      <c r="E129" s="6" t="s">
        <v>174</v>
      </c>
      <c r="F129" s="6" t="s">
        <v>52</v>
      </c>
      <c r="G129" s="7">
        <v>97197.58395921369</v>
      </c>
      <c r="H129" s="6">
        <v>2445264.418051245</v>
      </c>
      <c r="I129" s="6" t="s">
        <v>179</v>
      </c>
      <c r="J129" s="15">
        <v>89.88333333333334</v>
      </c>
    </row>
    <row r="130" spans="1:10">
      <c r="A130" s="6" t="s">
        <v>136</v>
      </c>
      <c r="B130" s="6" t="s">
        <v>44</v>
      </c>
      <c r="C130" s="6" t="s">
        <v>320</v>
      </c>
      <c r="D130" s="6">
        <v>370.4261666666666</v>
      </c>
      <c r="E130" s="6" t="s">
        <v>174</v>
      </c>
      <c r="F130" s="6" t="s">
        <v>51</v>
      </c>
      <c r="G130" s="7">
        <v>19671.04087638638</v>
      </c>
      <c r="H130" s="6">
        <v>7286668.266183114</v>
      </c>
      <c r="I130" s="6" t="s">
        <v>179</v>
      </c>
      <c r="J130" s="15">
        <v>13.5</v>
      </c>
    </row>
    <row r="131" spans="1:10">
      <c r="A131" s="6" t="s">
        <v>136</v>
      </c>
      <c r="B131" s="6" t="s">
        <v>44</v>
      </c>
      <c r="C131" s="6" t="s">
        <v>321</v>
      </c>
      <c r="D131" s="6">
        <v>2.06625</v>
      </c>
      <c r="E131" s="6" t="s">
        <v>174</v>
      </c>
      <c r="F131" s="6" t="s">
        <v>54</v>
      </c>
      <c r="G131" s="7">
        <v>89506.67473280903</v>
      </c>
      <c r="H131" s="6">
        <v>184943.1666666667</v>
      </c>
      <c r="I131" s="6" t="s">
        <v>179</v>
      </c>
      <c r="J131" s="15">
        <v>65</v>
      </c>
    </row>
    <row r="132" spans="1:10">
      <c r="A132" s="6" t="s">
        <v>136</v>
      </c>
      <c r="B132" s="6" t="s">
        <v>44</v>
      </c>
      <c r="C132" s="6" t="s">
        <v>322</v>
      </c>
      <c r="D132" s="6">
        <v>316.3165833333333</v>
      </c>
      <c r="E132" s="6" t="s">
        <v>174</v>
      </c>
      <c r="F132" s="6" t="s">
        <v>51</v>
      </c>
      <c r="G132" s="7">
        <v>17287.61454620521</v>
      </c>
      <c r="H132" s="6">
        <v>5468359.167239265</v>
      </c>
      <c r="I132" s="6" t="s">
        <v>179</v>
      </c>
      <c r="J132" s="15">
        <v>34.25833333333333</v>
      </c>
    </row>
    <row r="133" spans="1:10">
      <c r="A133" s="6" t="s">
        <v>136</v>
      </c>
      <c r="B133" s="6" t="s">
        <v>44</v>
      </c>
      <c r="C133" s="6" t="s">
        <v>323</v>
      </c>
      <c r="D133" s="6">
        <v>303.10875</v>
      </c>
      <c r="E133" s="6" t="s">
        <v>174</v>
      </c>
      <c r="F133" s="6" t="s">
        <v>55</v>
      </c>
      <c r="G133" s="7">
        <v>44740.69956922525</v>
      </c>
      <c r="H133" s="6">
        <v>13561297.5205534</v>
      </c>
      <c r="I133" s="6" t="s">
        <v>179</v>
      </c>
      <c r="J133" s="15">
        <v>49</v>
      </c>
    </row>
    <row r="134" spans="1:10">
      <c r="A134" s="6" t="s">
        <v>136</v>
      </c>
      <c r="B134" s="6" t="s">
        <v>44</v>
      </c>
      <c r="C134" s="6" t="s">
        <v>324</v>
      </c>
      <c r="D134" s="6">
        <v>1492.509916666667</v>
      </c>
      <c r="E134" s="6" t="s">
        <v>174</v>
      </c>
      <c r="F134" s="6" t="s">
        <v>51</v>
      </c>
      <c r="G134" s="7">
        <v>24363.28610429227</v>
      </c>
      <c r="H134" s="6">
        <v>36362446.11324342</v>
      </c>
      <c r="I134" s="6" t="s">
        <v>179</v>
      </c>
      <c r="J134" s="15">
        <v>23</v>
      </c>
    </row>
    <row r="135" spans="1:10">
      <c r="A135" s="6" t="s">
        <v>136</v>
      </c>
      <c r="B135" s="6" t="s">
        <v>44</v>
      </c>
      <c r="C135" s="6" t="s">
        <v>325</v>
      </c>
      <c r="D135" s="6">
        <v>0.9048333333333334</v>
      </c>
      <c r="E135" s="6" t="s">
        <v>174</v>
      </c>
      <c r="F135" s="6" t="s">
        <v>53</v>
      </c>
      <c r="G135" s="7">
        <v>62098.17040150194</v>
      </c>
      <c r="H135" s="6">
        <v>56188.49451829234</v>
      </c>
      <c r="I135" s="6" t="s">
        <v>180</v>
      </c>
      <c r="J135" s="15">
        <v>16.24412692699304</v>
      </c>
    </row>
    <row r="136" spans="1:10">
      <c r="A136" s="6" t="s">
        <v>136</v>
      </c>
      <c r="B136" s="6" t="s">
        <v>44</v>
      </c>
      <c r="C136" s="6" t="s">
        <v>326</v>
      </c>
      <c r="D136" s="6">
        <v>446.3632500000001</v>
      </c>
      <c r="E136" s="6" t="s">
        <v>174</v>
      </c>
      <c r="F136" s="6" t="s">
        <v>54</v>
      </c>
      <c r="G136" s="7">
        <v>88918.54864031605</v>
      </c>
      <c r="H136" s="6">
        <v>39689972.35637455</v>
      </c>
      <c r="I136" s="6" t="s">
        <v>179</v>
      </c>
      <c r="J136" s="15">
        <v>66.75833333333333</v>
      </c>
    </row>
    <row r="137" spans="1:10">
      <c r="A137" s="6" t="s">
        <v>136</v>
      </c>
      <c r="B137" s="6" t="s">
        <v>44</v>
      </c>
      <c r="C137" s="6" t="s">
        <v>327</v>
      </c>
      <c r="D137" s="6">
        <v>248.4029166666667</v>
      </c>
      <c r="E137" s="6" t="s">
        <v>174</v>
      </c>
      <c r="F137" s="6" t="s">
        <v>57</v>
      </c>
      <c r="G137" s="7">
        <v>40979.35428179214</v>
      </c>
      <c r="H137" s="6">
        <v>10179391.12671382</v>
      </c>
      <c r="I137" s="6" t="s">
        <v>179</v>
      </c>
      <c r="J137" s="15">
        <v>43.75</v>
      </c>
    </row>
    <row r="138" spans="1:10">
      <c r="A138" s="6" t="s">
        <v>136</v>
      </c>
      <c r="B138" s="6" t="s">
        <v>44</v>
      </c>
      <c r="C138" s="6" t="s">
        <v>328</v>
      </c>
      <c r="D138" s="6">
        <v>3.767333333333333</v>
      </c>
      <c r="E138" s="6" t="s">
        <v>174</v>
      </c>
      <c r="F138" s="6" t="s">
        <v>58</v>
      </c>
      <c r="G138" s="7">
        <v>68315.07045437419</v>
      </c>
      <c r="H138" s="6">
        <v>257365.642091779</v>
      </c>
      <c r="I138" s="6" t="s">
        <v>179</v>
      </c>
      <c r="J138" s="15">
        <v>32.08333333333333</v>
      </c>
    </row>
    <row r="139" spans="1:10">
      <c r="A139" s="6" t="s">
        <v>136</v>
      </c>
      <c r="B139" s="6" t="s">
        <v>44</v>
      </c>
      <c r="C139" s="6" t="s">
        <v>329</v>
      </c>
      <c r="D139" s="6">
        <v>2704.18675</v>
      </c>
      <c r="E139" s="6" t="s">
        <v>174</v>
      </c>
      <c r="F139" s="6" t="s">
        <v>58</v>
      </c>
      <c r="G139" s="7">
        <v>61073.72389180421</v>
      </c>
      <c r="H139" s="6">
        <v>165154754.9213754</v>
      </c>
      <c r="I139" s="6" t="s">
        <v>179</v>
      </c>
      <c r="J139" s="15">
        <v>26</v>
      </c>
    </row>
    <row r="140" spans="1:10">
      <c r="A140" s="6" t="s">
        <v>136</v>
      </c>
      <c r="B140" s="6" t="s">
        <v>44</v>
      </c>
      <c r="C140" s="6" t="s">
        <v>330</v>
      </c>
      <c r="D140" s="6">
        <v>6.04475</v>
      </c>
      <c r="E140" s="6" t="s">
        <v>174</v>
      </c>
      <c r="F140" s="6" t="s">
        <v>52</v>
      </c>
      <c r="G140" s="7">
        <v>78332.43723892634</v>
      </c>
      <c r="H140" s="6">
        <v>473500</v>
      </c>
      <c r="I140" s="6" t="s">
        <v>179</v>
      </c>
      <c r="J140" s="15">
        <v>90.33333333333333</v>
      </c>
    </row>
    <row r="141" spans="1:10">
      <c r="A141" s="6" t="s">
        <v>136</v>
      </c>
      <c r="B141" s="6" t="s">
        <v>44</v>
      </c>
      <c r="C141" s="6" t="s">
        <v>331</v>
      </c>
      <c r="D141" s="6">
        <v>946.773</v>
      </c>
      <c r="E141" s="6" t="s">
        <v>174</v>
      </c>
      <c r="F141" s="6" t="s">
        <v>58</v>
      </c>
      <c r="G141" s="7">
        <v>57688.3500255051</v>
      </c>
      <c r="H141" s="6">
        <v>54617772.21869754</v>
      </c>
      <c r="I141" s="6" t="s">
        <v>179</v>
      </c>
      <c r="J141" s="15">
        <v>27.625</v>
      </c>
    </row>
    <row r="142" spans="1:10">
      <c r="A142" s="6" t="s">
        <v>136</v>
      </c>
      <c r="B142" s="6" t="s">
        <v>44</v>
      </c>
      <c r="C142" s="6" t="s">
        <v>332</v>
      </c>
      <c r="D142" s="6">
        <v>816.198</v>
      </c>
      <c r="E142" s="6" t="s">
        <v>174</v>
      </c>
      <c r="F142" s="6" t="s">
        <v>55</v>
      </c>
      <c r="G142" s="7">
        <v>45151.10383039913</v>
      </c>
      <c r="H142" s="6">
        <v>36852240.64416411</v>
      </c>
      <c r="I142" s="6" t="s">
        <v>179</v>
      </c>
      <c r="J142" s="15">
        <v>40.03333333333333</v>
      </c>
    </row>
    <row r="143" spans="1:10">
      <c r="A143" s="6" t="s">
        <v>136</v>
      </c>
      <c r="B143" s="6" t="s">
        <v>44</v>
      </c>
      <c r="C143" s="6" t="s">
        <v>333</v>
      </c>
      <c r="D143" s="6">
        <v>486.2871666666667</v>
      </c>
      <c r="E143" s="6" t="s">
        <v>174</v>
      </c>
      <c r="F143" s="6" t="s">
        <v>51</v>
      </c>
      <c r="G143" s="7">
        <v>14927.02860564678</v>
      </c>
      <c r="H143" s="6">
        <v>7258822.447392258</v>
      </c>
      <c r="I143" s="6" t="s">
        <v>179</v>
      </c>
      <c r="J143" s="15">
        <v>17</v>
      </c>
    </row>
    <row r="144" spans="1:10">
      <c r="A144" s="6" t="s">
        <v>136</v>
      </c>
      <c r="B144" s="6" t="s">
        <v>86</v>
      </c>
      <c r="C144" s="6" t="s">
        <v>195</v>
      </c>
      <c r="D144" s="6">
        <v>276.5803333333333</v>
      </c>
      <c r="E144" s="6" t="s">
        <v>174</v>
      </c>
      <c r="F144" s="6" t="s">
        <v>54</v>
      </c>
      <c r="G144" s="7">
        <v>82918.53579994704</v>
      </c>
      <c r="H144" s="6">
        <v>22933636.27106129</v>
      </c>
      <c r="I144" s="6" t="s">
        <v>179</v>
      </c>
      <c r="J144" s="15">
        <v>41</v>
      </c>
    </row>
    <row r="145" spans="1:10">
      <c r="A145" s="6" t="s">
        <v>136</v>
      </c>
      <c r="B145" s="6" t="s">
        <v>86</v>
      </c>
      <c r="C145" s="6" t="s">
        <v>334</v>
      </c>
      <c r="D145" s="6">
        <v>0.00425</v>
      </c>
      <c r="E145" s="6" t="s">
        <v>174</v>
      </c>
      <c r="F145" s="6" t="s">
        <v>54</v>
      </c>
      <c r="G145" s="7">
        <v>79484.86508293969</v>
      </c>
      <c r="H145" s="6">
        <v>337.8106766024937</v>
      </c>
      <c r="I145" s="6" t="s">
        <v>180</v>
      </c>
      <c r="J145" s="15">
        <v>72</v>
      </c>
    </row>
    <row r="146" spans="1:10">
      <c r="A146" s="6" t="s">
        <v>136</v>
      </c>
      <c r="B146" s="6" t="s">
        <v>86</v>
      </c>
      <c r="C146" s="6" t="s">
        <v>335</v>
      </c>
      <c r="D146" s="6">
        <v>188.0494166666666</v>
      </c>
      <c r="E146" s="6" t="s">
        <v>174</v>
      </c>
      <c r="F146" s="6" t="s">
        <v>52</v>
      </c>
      <c r="G146" s="7">
        <v>101612.9380442109</v>
      </c>
      <c r="H146" s="6">
        <v>19108253.725</v>
      </c>
      <c r="I146" s="6" t="s">
        <v>179</v>
      </c>
      <c r="J146" s="15">
        <v>76.41666666666666</v>
      </c>
    </row>
    <row r="147" spans="1:10">
      <c r="A147" s="6" t="s">
        <v>136</v>
      </c>
      <c r="B147" s="6" t="s">
        <v>86</v>
      </c>
      <c r="C147" s="6" t="s">
        <v>336</v>
      </c>
      <c r="D147" s="6">
        <v>1595.194083333333</v>
      </c>
      <c r="E147" s="6" t="s">
        <v>174</v>
      </c>
      <c r="F147" s="6" t="s">
        <v>52</v>
      </c>
      <c r="G147" s="7">
        <v>108859.5896403202</v>
      </c>
      <c r="H147" s="6">
        <v>173652173.3083333</v>
      </c>
      <c r="I147" s="6" t="s">
        <v>179</v>
      </c>
      <c r="J147" s="15">
        <v>56.95833333333333</v>
      </c>
    </row>
    <row r="148" spans="1:10">
      <c r="A148" s="6" t="s">
        <v>136</v>
      </c>
      <c r="B148" s="6" t="s">
        <v>86</v>
      </c>
      <c r="C148" s="6" t="s">
        <v>197</v>
      </c>
      <c r="D148" s="6">
        <v>426.4714166666667</v>
      </c>
      <c r="E148" s="6" t="s">
        <v>174</v>
      </c>
      <c r="F148" s="6" t="s">
        <v>53</v>
      </c>
      <c r="G148" s="7">
        <v>55853.21520848444</v>
      </c>
      <c r="H148" s="6">
        <v>23819799.81535057</v>
      </c>
      <c r="I148" s="6" t="s">
        <v>179</v>
      </c>
      <c r="J148" s="15">
        <v>29</v>
      </c>
    </row>
    <row r="149" spans="1:10">
      <c r="A149" s="6" t="s">
        <v>136</v>
      </c>
      <c r="B149" s="6" t="s">
        <v>86</v>
      </c>
      <c r="C149" s="6" t="s">
        <v>199</v>
      </c>
      <c r="D149" s="6">
        <v>390.8878333333333</v>
      </c>
      <c r="E149" s="6" t="s">
        <v>174</v>
      </c>
      <c r="F149" s="6" t="s">
        <v>57</v>
      </c>
      <c r="G149" s="7">
        <v>52709.72675479725</v>
      </c>
      <c r="H149" s="6">
        <v>20603590.88677473</v>
      </c>
      <c r="I149" s="6" t="s">
        <v>179</v>
      </c>
      <c r="J149" s="15">
        <v>49.53333333333333</v>
      </c>
    </row>
    <row r="150" spans="1:10">
      <c r="A150" s="6" t="s">
        <v>136</v>
      </c>
      <c r="B150" s="6" t="s">
        <v>86</v>
      </c>
      <c r="C150" s="6" t="s">
        <v>337</v>
      </c>
      <c r="D150" s="6">
        <v>70.69500000000001</v>
      </c>
      <c r="E150" s="6" t="s">
        <v>174</v>
      </c>
      <c r="F150" s="6" t="s">
        <v>52</v>
      </c>
      <c r="G150" s="7">
        <v>76118.45485007425</v>
      </c>
      <c r="H150" s="6">
        <v>5381194.165626</v>
      </c>
      <c r="I150" s="6" t="s">
        <v>179</v>
      </c>
      <c r="J150" s="15">
        <v>50.90833333333333</v>
      </c>
    </row>
    <row r="151" spans="1:10">
      <c r="A151" s="6" t="s">
        <v>136</v>
      </c>
      <c r="B151" s="6" t="s">
        <v>86</v>
      </c>
      <c r="C151" s="6" t="s">
        <v>200</v>
      </c>
      <c r="D151" s="6">
        <v>87.99191666666667</v>
      </c>
      <c r="E151" s="6" t="s">
        <v>174</v>
      </c>
      <c r="F151" s="6" t="s">
        <v>52</v>
      </c>
      <c r="G151" s="7">
        <v>74043.30178681524</v>
      </c>
      <c r="H151" s="6">
        <v>6515212.040550298</v>
      </c>
      <c r="I151" s="6" t="s">
        <v>179</v>
      </c>
      <c r="J151" s="15">
        <v>64.11666666666666</v>
      </c>
    </row>
    <row r="152" spans="1:10">
      <c r="A152" s="6" t="s">
        <v>136</v>
      </c>
      <c r="B152" s="6" t="s">
        <v>86</v>
      </c>
      <c r="C152" s="6" t="s">
        <v>201</v>
      </c>
      <c r="D152" s="6">
        <v>130.9636666666667</v>
      </c>
      <c r="E152" s="6" t="s">
        <v>174</v>
      </c>
      <c r="F152" s="6" t="s">
        <v>56</v>
      </c>
      <c r="G152" s="7">
        <v>57893.42884687793</v>
      </c>
      <c r="H152" s="6">
        <v>7581935.717692906</v>
      </c>
      <c r="I152" s="6" t="s">
        <v>179</v>
      </c>
      <c r="J152" s="15">
        <v>34.10833333333333</v>
      </c>
    </row>
    <row r="153" spans="1:10">
      <c r="A153" s="6" t="s">
        <v>136</v>
      </c>
      <c r="B153" s="6" t="s">
        <v>86</v>
      </c>
      <c r="C153" s="6" t="s">
        <v>202</v>
      </c>
      <c r="D153" s="6">
        <v>1682.702416666667</v>
      </c>
      <c r="E153" s="6" t="s">
        <v>174</v>
      </c>
      <c r="F153" s="6" t="s">
        <v>54</v>
      </c>
      <c r="G153" s="7">
        <v>90789.34185131452</v>
      </c>
      <c r="H153" s="6">
        <v>152771444.9407831</v>
      </c>
      <c r="I153" s="6" t="s">
        <v>179</v>
      </c>
      <c r="J153" s="15">
        <v>65.125</v>
      </c>
    </row>
    <row r="154" spans="1:10">
      <c r="A154" s="6" t="s">
        <v>136</v>
      </c>
      <c r="B154" s="6" t="s">
        <v>86</v>
      </c>
      <c r="C154" s="6" t="s">
        <v>203</v>
      </c>
      <c r="D154" s="6">
        <v>2179.179333333333</v>
      </c>
      <c r="E154" s="6" t="s">
        <v>174</v>
      </c>
      <c r="F154" s="6" t="s">
        <v>53</v>
      </c>
      <c r="G154" s="7">
        <v>22045.15542894867</v>
      </c>
      <c r="H154" s="6">
        <v>48040347.11088608</v>
      </c>
      <c r="I154" s="6" t="s">
        <v>179</v>
      </c>
      <c r="J154" s="15">
        <v>8</v>
      </c>
    </row>
    <row r="155" spans="1:10">
      <c r="A155" s="6" t="s">
        <v>136</v>
      </c>
      <c r="B155" s="6" t="s">
        <v>86</v>
      </c>
      <c r="C155" s="6" t="s">
        <v>204</v>
      </c>
      <c r="D155" s="6">
        <v>2033.503333333333</v>
      </c>
      <c r="E155" s="6" t="s">
        <v>174</v>
      </c>
      <c r="F155" s="6" t="s">
        <v>51</v>
      </c>
      <c r="G155" s="7">
        <v>46344.34011305719</v>
      </c>
      <c r="H155" s="6">
        <v>94241370.10103552</v>
      </c>
      <c r="I155" s="6" t="s">
        <v>179</v>
      </c>
      <c r="J155" s="15">
        <v>45</v>
      </c>
    </row>
    <row r="156" spans="1:10">
      <c r="A156" s="6" t="s">
        <v>136</v>
      </c>
      <c r="B156" s="6" t="s">
        <v>86</v>
      </c>
      <c r="C156" s="6" t="s">
        <v>338</v>
      </c>
      <c r="D156" s="6">
        <v>58.3595</v>
      </c>
      <c r="E156" s="6" t="s">
        <v>174</v>
      </c>
      <c r="F156" s="6" t="s">
        <v>52</v>
      </c>
      <c r="G156" s="7">
        <v>71922.38560201312</v>
      </c>
      <c r="H156" s="6">
        <v>4197354.462540684</v>
      </c>
      <c r="I156" s="6" t="s">
        <v>179</v>
      </c>
      <c r="J156" s="15">
        <v>54.91666666666667</v>
      </c>
    </row>
    <row r="157" spans="1:10">
      <c r="A157" s="6" t="s">
        <v>136</v>
      </c>
      <c r="B157" s="6" t="s">
        <v>86</v>
      </c>
      <c r="C157" s="6" t="s">
        <v>339</v>
      </c>
      <c r="D157" s="6">
        <v>7.299250000000001</v>
      </c>
      <c r="E157" s="6" t="s">
        <v>174</v>
      </c>
      <c r="F157" s="6" t="s">
        <v>52</v>
      </c>
      <c r="G157" s="7">
        <v>115676.0706008608</v>
      </c>
      <c r="H157" s="6">
        <v>844348.5583333332</v>
      </c>
      <c r="I157" s="6" t="s">
        <v>179</v>
      </c>
      <c r="J157" s="15">
        <v>52</v>
      </c>
    </row>
    <row r="158" spans="1:10">
      <c r="A158" s="6" t="s">
        <v>136</v>
      </c>
      <c r="B158" s="6" t="s">
        <v>86</v>
      </c>
      <c r="C158" s="6" t="s">
        <v>205</v>
      </c>
      <c r="D158" s="6">
        <v>379.8056666666666</v>
      </c>
      <c r="E158" s="6" t="s">
        <v>174</v>
      </c>
      <c r="F158" s="6" t="s">
        <v>56</v>
      </c>
      <c r="G158" s="7">
        <v>60176.4051044983</v>
      </c>
      <c r="H158" s="6">
        <v>22855339.65831738</v>
      </c>
      <c r="I158" s="6" t="s">
        <v>179</v>
      </c>
      <c r="J158" s="15">
        <v>41</v>
      </c>
    </row>
    <row r="159" spans="1:10">
      <c r="A159" s="6" t="s">
        <v>136</v>
      </c>
      <c r="B159" s="6" t="s">
        <v>86</v>
      </c>
      <c r="C159" s="6" t="s">
        <v>340</v>
      </c>
      <c r="D159" s="6">
        <v>489.4245833333334</v>
      </c>
      <c r="E159" s="6" t="s">
        <v>174</v>
      </c>
      <c r="F159" s="6" t="s">
        <v>52</v>
      </c>
      <c r="G159" s="7">
        <v>76248.97905109002</v>
      </c>
      <c r="H159" s="6">
        <v>37318124.8016718</v>
      </c>
      <c r="I159" s="6" t="s">
        <v>179</v>
      </c>
      <c r="J159" s="15">
        <v>53.35833333333333</v>
      </c>
    </row>
    <row r="160" spans="1:10">
      <c r="A160" s="6" t="s">
        <v>136</v>
      </c>
      <c r="B160" s="6" t="s">
        <v>86</v>
      </c>
      <c r="C160" s="6" t="s">
        <v>208</v>
      </c>
      <c r="D160" s="6">
        <v>0.11375</v>
      </c>
      <c r="E160" s="6" t="s">
        <v>174</v>
      </c>
      <c r="F160" s="6" t="s">
        <v>51</v>
      </c>
      <c r="G160" s="7">
        <v>52043.19496136486</v>
      </c>
      <c r="H160" s="6">
        <v>5919.913426855253</v>
      </c>
      <c r="I160" s="6" t="s">
        <v>180</v>
      </c>
      <c r="J160" s="15">
        <v>8.879306790692469</v>
      </c>
    </row>
    <row r="161" spans="1:10">
      <c r="A161" s="6" t="s">
        <v>136</v>
      </c>
      <c r="B161" s="6" t="s">
        <v>86</v>
      </c>
      <c r="C161" s="6" t="s">
        <v>210</v>
      </c>
      <c r="D161" s="6">
        <v>3.081916666666666</v>
      </c>
      <c r="E161" s="6" t="s">
        <v>174</v>
      </c>
      <c r="F161" s="6" t="s">
        <v>53</v>
      </c>
      <c r="G161" s="7">
        <v>72202.09803976712</v>
      </c>
      <c r="H161" s="6">
        <v>222520.8493170589</v>
      </c>
      <c r="I161" s="6" t="s">
        <v>179</v>
      </c>
      <c r="J161" s="15">
        <v>10</v>
      </c>
    </row>
    <row r="162" spans="1:10">
      <c r="A162" s="6" t="s">
        <v>136</v>
      </c>
      <c r="B162" s="6" t="s">
        <v>86</v>
      </c>
      <c r="C162" s="6" t="s">
        <v>211</v>
      </c>
      <c r="D162" s="6">
        <v>729.0074166666667</v>
      </c>
      <c r="E162" s="6" t="s">
        <v>174</v>
      </c>
      <c r="F162" s="6" t="s">
        <v>55</v>
      </c>
      <c r="G162" s="7">
        <v>53062.99242745514</v>
      </c>
      <c r="H162" s="6">
        <v>38683315.03014197</v>
      </c>
      <c r="I162" s="6" t="s">
        <v>179</v>
      </c>
      <c r="J162" s="15">
        <v>38</v>
      </c>
    </row>
    <row r="163" spans="1:10">
      <c r="A163" s="6" t="s">
        <v>136</v>
      </c>
      <c r="B163" s="6" t="s">
        <v>86</v>
      </c>
      <c r="C163" s="6" t="s">
        <v>212</v>
      </c>
      <c r="D163" s="6">
        <v>165.4889166666667</v>
      </c>
      <c r="E163" s="6" t="s">
        <v>174</v>
      </c>
      <c r="F163" s="6" t="s">
        <v>55</v>
      </c>
      <c r="G163" s="7">
        <v>52156.54206456027</v>
      </c>
      <c r="H163" s="6">
        <v>8631329.643343508</v>
      </c>
      <c r="I163" s="6" t="s">
        <v>179</v>
      </c>
      <c r="J163" s="15">
        <v>36</v>
      </c>
    </row>
    <row r="164" spans="1:10">
      <c r="A164" s="6" t="s">
        <v>136</v>
      </c>
      <c r="B164" s="6" t="s">
        <v>86</v>
      </c>
      <c r="C164" s="6" t="s">
        <v>213</v>
      </c>
      <c r="D164" s="6">
        <v>96.04391666666668</v>
      </c>
      <c r="E164" s="6" t="s">
        <v>174</v>
      </c>
      <c r="F164" s="6" t="s">
        <v>52</v>
      </c>
      <c r="G164" s="7">
        <v>91659.65133947671</v>
      </c>
      <c r="H164" s="6">
        <v>8803351.914944423</v>
      </c>
      <c r="I164" s="6" t="s">
        <v>179</v>
      </c>
      <c r="J164" s="15">
        <v>69</v>
      </c>
    </row>
    <row r="165" spans="1:10">
      <c r="A165" s="6" t="s">
        <v>136</v>
      </c>
      <c r="B165" s="6" t="s">
        <v>86</v>
      </c>
      <c r="C165" s="6" t="s">
        <v>214</v>
      </c>
      <c r="D165" s="6">
        <v>4.325583333333333</v>
      </c>
      <c r="E165" s="6" t="s">
        <v>174</v>
      </c>
      <c r="F165" s="6" t="s">
        <v>53</v>
      </c>
      <c r="G165" s="7">
        <v>62513.37838365689</v>
      </c>
      <c r="H165" s="6">
        <v>270406.8276467065</v>
      </c>
      <c r="I165" s="6" t="s">
        <v>179</v>
      </c>
      <c r="J165" s="15">
        <v>28</v>
      </c>
    </row>
    <row r="166" spans="1:10">
      <c r="A166" s="6" t="s">
        <v>136</v>
      </c>
      <c r="B166" s="6" t="s">
        <v>86</v>
      </c>
      <c r="C166" s="6" t="s">
        <v>215</v>
      </c>
      <c r="D166" s="6">
        <v>1001.571166666667</v>
      </c>
      <c r="E166" s="6" t="s">
        <v>174</v>
      </c>
      <c r="F166" s="6" t="s">
        <v>54</v>
      </c>
      <c r="G166" s="7">
        <v>92290.56849765679</v>
      </c>
      <c r="H166" s="6">
        <v>92435572.36252801</v>
      </c>
      <c r="I166" s="6" t="s">
        <v>179</v>
      </c>
      <c r="J166" s="15">
        <v>62</v>
      </c>
    </row>
    <row r="167" spans="1:10">
      <c r="A167" s="6" t="s">
        <v>136</v>
      </c>
      <c r="B167" s="6" t="s">
        <v>86</v>
      </c>
      <c r="C167" s="6" t="s">
        <v>341</v>
      </c>
      <c r="D167" s="6">
        <v>14.7075</v>
      </c>
      <c r="E167" s="6" t="s">
        <v>174</v>
      </c>
      <c r="F167" s="6" t="s">
        <v>52</v>
      </c>
      <c r="G167" s="7">
        <v>67420.24760609666</v>
      </c>
      <c r="H167" s="6">
        <v>991583.2916666667</v>
      </c>
      <c r="I167" s="6" t="s">
        <v>179</v>
      </c>
      <c r="J167" s="15">
        <v>49.875</v>
      </c>
    </row>
    <row r="168" spans="1:10">
      <c r="A168" s="6" t="s">
        <v>136</v>
      </c>
      <c r="B168" s="6" t="s">
        <v>86</v>
      </c>
      <c r="C168" s="6" t="s">
        <v>217</v>
      </c>
      <c r="D168" s="6">
        <v>500.6846666666667</v>
      </c>
      <c r="E168" s="6" t="s">
        <v>174</v>
      </c>
      <c r="F168" s="6" t="s">
        <v>53</v>
      </c>
      <c r="G168" s="7">
        <v>76517.46742873012</v>
      </c>
      <c r="H168" s="6">
        <v>38311122.67373127</v>
      </c>
      <c r="I168" s="6" t="s">
        <v>179</v>
      </c>
      <c r="J168" s="15">
        <v>49</v>
      </c>
    </row>
    <row r="169" spans="1:10">
      <c r="A169" s="6" t="s">
        <v>136</v>
      </c>
      <c r="B169" s="6" t="s">
        <v>86</v>
      </c>
      <c r="C169" s="6" t="s">
        <v>218</v>
      </c>
      <c r="D169" s="6">
        <v>68.15691666666667</v>
      </c>
      <c r="E169" s="6" t="s">
        <v>174</v>
      </c>
      <c r="F169" s="6" t="s">
        <v>54</v>
      </c>
      <c r="G169" s="7">
        <v>78746.14398755912</v>
      </c>
      <c r="H169" s="6">
        <v>5367094.373581402</v>
      </c>
      <c r="I169" s="6" t="s">
        <v>179</v>
      </c>
      <c r="J169" s="15">
        <v>37.6</v>
      </c>
    </row>
    <row r="170" spans="1:10">
      <c r="A170" s="6" t="s">
        <v>136</v>
      </c>
      <c r="B170" s="6" t="s">
        <v>86</v>
      </c>
      <c r="C170" s="6" t="s">
        <v>219</v>
      </c>
      <c r="D170" s="6">
        <v>0.1570833333333333</v>
      </c>
      <c r="E170" s="6" t="s">
        <v>174</v>
      </c>
      <c r="F170" s="6" t="s">
        <v>51</v>
      </c>
      <c r="G170" s="7">
        <v>52259.13647561446</v>
      </c>
      <c r="H170" s="6">
        <v>8209.039354711105</v>
      </c>
      <c r="I170" s="6" t="s">
        <v>180</v>
      </c>
      <c r="J170" s="15">
        <v>8.944200287956821</v>
      </c>
    </row>
    <row r="171" spans="1:10">
      <c r="A171" s="6" t="s">
        <v>136</v>
      </c>
      <c r="B171" s="6" t="s">
        <v>86</v>
      </c>
      <c r="C171" s="6" t="s">
        <v>220</v>
      </c>
      <c r="D171" s="6">
        <v>12.005</v>
      </c>
      <c r="E171" s="6" t="s">
        <v>174</v>
      </c>
      <c r="F171" s="6" t="s">
        <v>57</v>
      </c>
      <c r="G171" s="7">
        <v>55010.17947726394</v>
      </c>
      <c r="H171" s="6">
        <v>660397.2046245537</v>
      </c>
      <c r="I171" s="6" t="s">
        <v>179</v>
      </c>
      <c r="J171" s="15">
        <v>6.921154133661506</v>
      </c>
    </row>
    <row r="172" spans="1:10">
      <c r="A172" s="6" t="s">
        <v>136</v>
      </c>
      <c r="B172" s="6" t="s">
        <v>86</v>
      </c>
      <c r="C172" s="6" t="s">
        <v>221</v>
      </c>
      <c r="D172" s="6">
        <v>0.05416666666666667</v>
      </c>
      <c r="E172" s="6" t="s">
        <v>174</v>
      </c>
      <c r="F172" s="6" t="s">
        <v>51</v>
      </c>
      <c r="G172" s="7">
        <v>49959.47837571311</v>
      </c>
      <c r="H172" s="6">
        <v>2706.138412017794</v>
      </c>
      <c r="I172" s="6" t="s">
        <v>180</v>
      </c>
      <c r="J172" s="15">
        <v>8.25312031135539</v>
      </c>
    </row>
    <row r="173" spans="1:10">
      <c r="A173" s="6" t="s">
        <v>136</v>
      </c>
      <c r="B173" s="6" t="s">
        <v>86</v>
      </c>
      <c r="C173" s="6" t="s">
        <v>342</v>
      </c>
      <c r="D173" s="6">
        <v>392.876</v>
      </c>
      <c r="E173" s="6" t="s">
        <v>174</v>
      </c>
      <c r="F173" s="6" t="s">
        <v>53</v>
      </c>
      <c r="G173" s="7">
        <v>33275.25972937583</v>
      </c>
      <c r="H173" s="6">
        <v>13073050.94143826</v>
      </c>
      <c r="I173" s="6" t="s">
        <v>179</v>
      </c>
      <c r="J173" s="15">
        <v>8</v>
      </c>
    </row>
    <row r="174" spans="1:10">
      <c r="A174" s="6" t="s">
        <v>136</v>
      </c>
      <c r="B174" s="6" t="s">
        <v>86</v>
      </c>
      <c r="C174" s="6" t="s">
        <v>343</v>
      </c>
      <c r="D174" s="6">
        <v>11.10891666666667</v>
      </c>
      <c r="E174" s="6" t="s">
        <v>174</v>
      </c>
      <c r="F174" s="6" t="s">
        <v>52</v>
      </c>
      <c r="G174" s="7">
        <v>69744.27374406446</v>
      </c>
      <c r="H174" s="6">
        <v>774783.325</v>
      </c>
      <c r="I174" s="6" t="s">
        <v>179</v>
      </c>
      <c r="J174" s="15">
        <v>50.60833333333333</v>
      </c>
    </row>
    <row r="175" spans="1:10">
      <c r="A175" s="6" t="s">
        <v>136</v>
      </c>
      <c r="B175" s="6" t="s">
        <v>86</v>
      </c>
      <c r="C175" s="6" t="s">
        <v>223</v>
      </c>
      <c r="D175" s="6">
        <v>516.2331666666666</v>
      </c>
      <c r="E175" s="6" t="s">
        <v>174</v>
      </c>
      <c r="F175" s="6" t="s">
        <v>53</v>
      </c>
      <c r="G175" s="7">
        <v>24418.66320757394</v>
      </c>
      <c r="H175" s="6">
        <v>12605723.83341272</v>
      </c>
      <c r="I175" s="6" t="s">
        <v>179</v>
      </c>
      <c r="J175" s="15">
        <v>7.983333333333333</v>
      </c>
    </row>
    <row r="176" spans="1:10">
      <c r="A176" s="6" t="s">
        <v>136</v>
      </c>
      <c r="B176" s="6" t="s">
        <v>86</v>
      </c>
      <c r="C176" s="6" t="s">
        <v>224</v>
      </c>
      <c r="D176" s="6">
        <v>741.7958333333332</v>
      </c>
      <c r="E176" s="6" t="s">
        <v>174</v>
      </c>
      <c r="F176" s="6" t="s">
        <v>51</v>
      </c>
      <c r="G176" s="7">
        <v>44832.66432506633</v>
      </c>
      <c r="H176" s="6">
        <v>33256683.59356618</v>
      </c>
      <c r="I176" s="6" t="s">
        <v>179</v>
      </c>
      <c r="J176" s="15">
        <v>47</v>
      </c>
    </row>
    <row r="177" spans="1:10">
      <c r="A177" s="6" t="s">
        <v>136</v>
      </c>
      <c r="B177" s="6" t="s">
        <v>86</v>
      </c>
      <c r="C177" s="6" t="s">
        <v>226</v>
      </c>
      <c r="D177" s="6">
        <v>658.94475</v>
      </c>
      <c r="E177" s="6" t="s">
        <v>174</v>
      </c>
      <c r="F177" s="6" t="s">
        <v>56</v>
      </c>
      <c r="G177" s="7">
        <v>74819.13266235047</v>
      </c>
      <c r="H177" s="6">
        <v>49301674.66740937</v>
      </c>
      <c r="I177" s="6" t="s">
        <v>179</v>
      </c>
      <c r="J177" s="15">
        <v>51.55</v>
      </c>
    </row>
    <row r="178" spans="1:10">
      <c r="A178" s="6" t="s">
        <v>136</v>
      </c>
      <c r="B178" s="6" t="s">
        <v>86</v>
      </c>
      <c r="C178" s="6" t="s">
        <v>344</v>
      </c>
      <c r="D178" s="6">
        <v>70.14216666666667</v>
      </c>
      <c r="E178" s="6" t="s">
        <v>174</v>
      </c>
      <c r="F178" s="6" t="s">
        <v>52</v>
      </c>
      <c r="G178" s="7">
        <v>80313.28920074231</v>
      </c>
      <c r="H178" s="6">
        <v>5633348.116666667</v>
      </c>
      <c r="I178" s="6" t="s">
        <v>179</v>
      </c>
      <c r="J178" s="15">
        <v>74.90833333333333</v>
      </c>
    </row>
    <row r="179" spans="1:10">
      <c r="A179" s="6" t="s">
        <v>136</v>
      </c>
      <c r="B179" s="6" t="s">
        <v>86</v>
      </c>
      <c r="C179" s="6" t="s">
        <v>345</v>
      </c>
      <c r="D179" s="6">
        <v>211.9394166666667</v>
      </c>
      <c r="E179" s="6" t="s">
        <v>174</v>
      </c>
      <c r="F179" s="6" t="s">
        <v>53</v>
      </c>
      <c r="G179" s="7">
        <v>31603.56115403747</v>
      </c>
      <c r="H179" s="6">
        <v>6698040.31557603</v>
      </c>
      <c r="I179" s="6" t="s">
        <v>179</v>
      </c>
      <c r="J179" s="15">
        <v>8</v>
      </c>
    </row>
    <row r="180" spans="1:10">
      <c r="A180" s="6" t="s">
        <v>136</v>
      </c>
      <c r="B180" s="6" t="s">
        <v>86</v>
      </c>
      <c r="C180" s="6" t="s">
        <v>227</v>
      </c>
      <c r="D180" s="6">
        <v>285.4803333333334</v>
      </c>
      <c r="E180" s="6" t="s">
        <v>174</v>
      </c>
      <c r="F180" s="6" t="s">
        <v>57</v>
      </c>
      <c r="G180" s="7">
        <v>50057.03584104127</v>
      </c>
      <c r="H180" s="6">
        <v>14290299.27757908</v>
      </c>
      <c r="I180" s="6" t="s">
        <v>179</v>
      </c>
      <c r="J180" s="15">
        <v>39</v>
      </c>
    </row>
    <row r="181" spans="1:10">
      <c r="A181" s="6" t="s">
        <v>136</v>
      </c>
      <c r="B181" s="6" t="s">
        <v>86</v>
      </c>
      <c r="C181" s="6" t="s">
        <v>228</v>
      </c>
      <c r="D181" s="6">
        <v>6.153833333333334</v>
      </c>
      <c r="E181" s="6" t="s">
        <v>174</v>
      </c>
      <c r="F181" s="6" t="s">
        <v>51</v>
      </c>
      <c r="G181" s="7">
        <v>80676.14561841678</v>
      </c>
      <c r="H181" s="6">
        <v>496467.5541114672</v>
      </c>
      <c r="I181" s="6" t="s">
        <v>179</v>
      </c>
      <c r="J181" s="15">
        <v>80.5</v>
      </c>
    </row>
    <row r="182" spans="1:10">
      <c r="A182" s="6" t="s">
        <v>136</v>
      </c>
      <c r="B182" s="6" t="s">
        <v>86</v>
      </c>
      <c r="C182" s="6" t="s">
        <v>229</v>
      </c>
      <c r="D182" s="6">
        <v>376.6728333333333</v>
      </c>
      <c r="E182" s="6" t="s">
        <v>174</v>
      </c>
      <c r="F182" s="6" t="s">
        <v>53</v>
      </c>
      <c r="G182" s="7">
        <v>21180.73880713652</v>
      </c>
      <c r="H182" s="6">
        <v>7978208.898577398</v>
      </c>
      <c r="I182" s="6" t="s">
        <v>179</v>
      </c>
      <c r="J182" s="15">
        <v>5</v>
      </c>
    </row>
    <row r="183" spans="1:10">
      <c r="A183" s="6" t="s">
        <v>136</v>
      </c>
      <c r="B183" s="6" t="s">
        <v>86</v>
      </c>
      <c r="C183" s="6" t="s">
        <v>230</v>
      </c>
      <c r="D183" s="6">
        <v>255.0915833333333</v>
      </c>
      <c r="E183" s="6" t="s">
        <v>174</v>
      </c>
      <c r="F183" s="6" t="s">
        <v>53</v>
      </c>
      <c r="G183" s="7">
        <v>31425.98001427314</v>
      </c>
      <c r="H183" s="6">
        <v>8016502.999642626</v>
      </c>
      <c r="I183" s="6" t="s">
        <v>179</v>
      </c>
      <c r="J183" s="15">
        <v>8</v>
      </c>
    </row>
    <row r="184" spans="1:10">
      <c r="A184" s="6" t="s">
        <v>136</v>
      </c>
      <c r="B184" s="6" t="s">
        <v>86</v>
      </c>
      <c r="C184" s="6" t="s">
        <v>231</v>
      </c>
      <c r="D184" s="6">
        <v>22.85366666666667</v>
      </c>
      <c r="E184" s="6" t="s">
        <v>174</v>
      </c>
      <c r="F184" s="6" t="s">
        <v>52</v>
      </c>
      <c r="G184" s="7">
        <v>92791.93151714627</v>
      </c>
      <c r="H184" s="6">
        <v>2120635.872249022</v>
      </c>
      <c r="I184" s="6" t="s">
        <v>179</v>
      </c>
      <c r="J184" s="15">
        <v>46</v>
      </c>
    </row>
    <row r="185" spans="1:10">
      <c r="A185" s="6" t="s">
        <v>136</v>
      </c>
      <c r="B185" s="6" t="s">
        <v>86</v>
      </c>
      <c r="C185" s="6" t="s">
        <v>346</v>
      </c>
      <c r="D185" s="6">
        <v>17.24741666666667</v>
      </c>
      <c r="E185" s="6" t="s">
        <v>174</v>
      </c>
      <c r="F185" s="6" t="s">
        <v>52</v>
      </c>
      <c r="G185" s="7">
        <v>91431.43065714603</v>
      </c>
      <c r="H185" s="6">
        <v>1576955.980973238</v>
      </c>
      <c r="I185" s="6" t="s">
        <v>179</v>
      </c>
      <c r="J185" s="15">
        <v>46</v>
      </c>
    </row>
    <row r="186" spans="1:10">
      <c r="A186" s="6" t="s">
        <v>136</v>
      </c>
      <c r="B186" s="6" t="s">
        <v>86</v>
      </c>
      <c r="C186" s="6" t="s">
        <v>232</v>
      </c>
      <c r="D186" s="6">
        <v>0.05416666666666667</v>
      </c>
      <c r="E186" s="6" t="s">
        <v>174</v>
      </c>
      <c r="F186" s="6" t="s">
        <v>51</v>
      </c>
      <c r="G186" s="7">
        <v>50639.92494996203</v>
      </c>
      <c r="H186" s="6">
        <v>2742.99593478961</v>
      </c>
      <c r="I186" s="6" t="s">
        <v>180</v>
      </c>
      <c r="J186" s="15">
        <v>8.457604187732773</v>
      </c>
    </row>
    <row r="187" spans="1:10">
      <c r="A187" s="6" t="s">
        <v>136</v>
      </c>
      <c r="B187" s="6" t="s">
        <v>86</v>
      </c>
      <c r="C187" s="6" t="s">
        <v>233</v>
      </c>
      <c r="D187" s="6">
        <v>250.19</v>
      </c>
      <c r="E187" s="6" t="s">
        <v>174</v>
      </c>
      <c r="F187" s="6" t="s">
        <v>59</v>
      </c>
      <c r="G187" s="7">
        <v>42805.8355381377</v>
      </c>
      <c r="H187" s="6">
        <v>10709591.99328667</v>
      </c>
      <c r="I187" s="6" t="s">
        <v>179</v>
      </c>
      <c r="J187" s="15">
        <v>27.26666666666667</v>
      </c>
    </row>
    <row r="188" spans="1:10">
      <c r="A188" s="6" t="s">
        <v>136</v>
      </c>
      <c r="B188" s="6" t="s">
        <v>86</v>
      </c>
      <c r="C188" s="6" t="s">
        <v>234</v>
      </c>
      <c r="D188" s="6">
        <v>188.96925</v>
      </c>
      <c r="E188" s="6" t="s">
        <v>174</v>
      </c>
      <c r="F188" s="6" t="s">
        <v>56</v>
      </c>
      <c r="G188" s="7">
        <v>61798.18645536575</v>
      </c>
      <c r="H188" s="6">
        <v>11677956.94583062</v>
      </c>
      <c r="I188" s="6" t="s">
        <v>179</v>
      </c>
      <c r="J188" s="15">
        <v>49</v>
      </c>
    </row>
    <row r="189" spans="1:10">
      <c r="A189" s="6" t="s">
        <v>136</v>
      </c>
      <c r="B189" s="6" t="s">
        <v>86</v>
      </c>
      <c r="C189" s="6" t="s">
        <v>236</v>
      </c>
      <c r="D189" s="6">
        <v>1235.99775</v>
      </c>
      <c r="E189" s="6" t="s">
        <v>174</v>
      </c>
      <c r="F189" s="6" t="s">
        <v>51</v>
      </c>
      <c r="G189" s="7">
        <v>45192.70977200848</v>
      </c>
      <c r="H189" s="6">
        <v>55858087.59460549</v>
      </c>
      <c r="I189" s="6" t="s">
        <v>179</v>
      </c>
      <c r="J189" s="15">
        <v>44.98333333333333</v>
      </c>
    </row>
    <row r="190" spans="1:10">
      <c r="A190" s="6" t="s">
        <v>136</v>
      </c>
      <c r="B190" s="6" t="s">
        <v>86</v>
      </c>
      <c r="C190" s="6" t="s">
        <v>237</v>
      </c>
      <c r="D190" s="6">
        <v>8.738333333333333</v>
      </c>
      <c r="E190" s="6" t="s">
        <v>174</v>
      </c>
      <c r="F190" s="6" t="s">
        <v>51</v>
      </c>
      <c r="G190" s="7">
        <v>63094.71676521076</v>
      </c>
      <c r="H190" s="6">
        <v>551342.6666666667</v>
      </c>
      <c r="I190" s="6" t="s">
        <v>179</v>
      </c>
      <c r="J190" s="15">
        <v>44</v>
      </c>
    </row>
    <row r="191" spans="1:10">
      <c r="A191" s="6" t="s">
        <v>136</v>
      </c>
      <c r="B191" s="6" t="s">
        <v>86</v>
      </c>
      <c r="C191" s="6" t="s">
        <v>238</v>
      </c>
      <c r="D191" s="6">
        <v>0.07041666666666667</v>
      </c>
      <c r="E191" s="6" t="s">
        <v>174</v>
      </c>
      <c r="F191" s="6" t="s">
        <v>51</v>
      </c>
      <c r="G191" s="7">
        <v>52817.93378501572</v>
      </c>
      <c r="H191" s="6">
        <v>3719.262837361523</v>
      </c>
      <c r="I191" s="6" t="s">
        <v>180</v>
      </c>
      <c r="J191" s="15">
        <v>9.112126829525121</v>
      </c>
    </row>
    <row r="192" spans="1:10">
      <c r="A192" s="6" t="s">
        <v>136</v>
      </c>
      <c r="B192" s="6" t="s">
        <v>86</v>
      </c>
      <c r="C192" s="6" t="s">
        <v>239</v>
      </c>
      <c r="D192" s="6">
        <v>383.9060833333333</v>
      </c>
      <c r="E192" s="6" t="s">
        <v>174</v>
      </c>
      <c r="F192" s="6" t="s">
        <v>54</v>
      </c>
      <c r="G192" s="7">
        <v>81786.38878957105</v>
      </c>
      <c r="H192" s="6">
        <v>31398292.19018146</v>
      </c>
      <c r="I192" s="6" t="s">
        <v>179</v>
      </c>
      <c r="J192" s="15">
        <v>44.55</v>
      </c>
    </row>
    <row r="193" spans="1:10">
      <c r="A193" s="6" t="s">
        <v>136</v>
      </c>
      <c r="B193" s="6" t="s">
        <v>86</v>
      </c>
      <c r="C193" s="6" t="s">
        <v>347</v>
      </c>
      <c r="D193" s="6">
        <v>5.375833333333333</v>
      </c>
      <c r="E193" s="6" t="s">
        <v>174</v>
      </c>
      <c r="F193" s="6" t="s">
        <v>52</v>
      </c>
      <c r="G193" s="7">
        <v>92106.23004185398</v>
      </c>
      <c r="H193" s="6">
        <v>495147.7416666667</v>
      </c>
      <c r="I193" s="6" t="s">
        <v>179</v>
      </c>
      <c r="J193" s="15">
        <v>69.23333333333333</v>
      </c>
    </row>
    <row r="194" spans="1:10">
      <c r="A194" s="6" t="s">
        <v>136</v>
      </c>
      <c r="B194" s="6" t="s">
        <v>86</v>
      </c>
      <c r="C194" s="6" t="s">
        <v>240</v>
      </c>
      <c r="D194" s="6">
        <v>0.1354166666666667</v>
      </c>
      <c r="E194" s="6" t="s">
        <v>174</v>
      </c>
      <c r="F194" s="6" t="s">
        <v>51</v>
      </c>
      <c r="G194" s="7">
        <v>53422.25984326284</v>
      </c>
      <c r="H194" s="6">
        <v>7234.264353775176</v>
      </c>
      <c r="I194" s="6" t="s">
        <v>180</v>
      </c>
      <c r="J194" s="15">
        <v>9.293735407865949</v>
      </c>
    </row>
    <row r="195" spans="1:10">
      <c r="A195" s="6" t="s">
        <v>136</v>
      </c>
      <c r="B195" s="6" t="s">
        <v>86</v>
      </c>
      <c r="C195" s="6" t="s">
        <v>241</v>
      </c>
      <c r="D195" s="6">
        <v>224.3420833333333</v>
      </c>
      <c r="E195" s="6" t="s">
        <v>174</v>
      </c>
      <c r="F195" s="6" t="s">
        <v>53</v>
      </c>
      <c r="G195" s="7">
        <v>43071.21343853512</v>
      </c>
      <c r="H195" s="6">
        <v>9662685.754495634</v>
      </c>
      <c r="I195" s="6" t="s">
        <v>179</v>
      </c>
      <c r="J195" s="15">
        <v>8.983333333333333</v>
      </c>
    </row>
    <row r="196" spans="1:10">
      <c r="A196" s="6" t="s">
        <v>136</v>
      </c>
      <c r="B196" s="6" t="s">
        <v>86</v>
      </c>
      <c r="C196" s="6" t="s">
        <v>242</v>
      </c>
      <c r="D196" s="6">
        <v>706.9435</v>
      </c>
      <c r="E196" s="6" t="s">
        <v>174</v>
      </c>
      <c r="F196" s="6" t="s">
        <v>56</v>
      </c>
      <c r="G196" s="7">
        <v>57221.26624687723</v>
      </c>
      <c r="H196" s="6">
        <v>40452202.23499925</v>
      </c>
      <c r="I196" s="6" t="s">
        <v>179</v>
      </c>
      <c r="J196" s="15">
        <v>35.83333333333333</v>
      </c>
    </row>
    <row r="197" spans="1:10">
      <c r="A197" s="6" t="s">
        <v>136</v>
      </c>
      <c r="B197" s="6" t="s">
        <v>86</v>
      </c>
      <c r="C197" s="6" t="s">
        <v>243</v>
      </c>
      <c r="D197" s="6">
        <v>0.07041666666666667</v>
      </c>
      <c r="E197" s="6" t="s">
        <v>174</v>
      </c>
      <c r="F197" s="6" t="s">
        <v>58</v>
      </c>
      <c r="G197" s="7">
        <v>65690.85748623914</v>
      </c>
      <c r="H197" s="6">
        <v>4625.731214656006</v>
      </c>
      <c r="I197" s="6" t="s">
        <v>180</v>
      </c>
      <c r="J197" s="15">
        <v>12.98062354676108</v>
      </c>
    </row>
    <row r="198" spans="1:10">
      <c r="A198" s="6" t="s">
        <v>136</v>
      </c>
      <c r="B198" s="6" t="s">
        <v>86</v>
      </c>
      <c r="C198" s="6" t="s">
        <v>245</v>
      </c>
      <c r="D198" s="6">
        <v>228.4598333333333</v>
      </c>
      <c r="E198" s="6" t="s">
        <v>174</v>
      </c>
      <c r="F198" s="6" t="s">
        <v>53</v>
      </c>
      <c r="G198" s="7">
        <v>25664.32175307323</v>
      </c>
      <c r="H198" s="6">
        <v>5863266.67032015</v>
      </c>
      <c r="I198" s="6" t="s">
        <v>179</v>
      </c>
      <c r="J198" s="15">
        <v>6.05</v>
      </c>
    </row>
    <row r="199" spans="1:10">
      <c r="A199" s="6" t="s">
        <v>136</v>
      </c>
      <c r="B199" s="6" t="s">
        <v>86</v>
      </c>
      <c r="C199" s="6" t="s">
        <v>348</v>
      </c>
      <c r="D199" s="6">
        <v>137.70525</v>
      </c>
      <c r="E199" s="6" t="s">
        <v>174</v>
      </c>
      <c r="F199" s="6" t="s">
        <v>52</v>
      </c>
      <c r="G199" s="7">
        <v>86810.6381175656</v>
      </c>
      <c r="H199" s="6">
        <v>11954280.6246389</v>
      </c>
      <c r="I199" s="6" t="s">
        <v>179</v>
      </c>
      <c r="J199" s="15">
        <v>67</v>
      </c>
    </row>
    <row r="200" spans="1:10">
      <c r="A200" s="6" t="s">
        <v>136</v>
      </c>
      <c r="B200" s="6" t="s">
        <v>86</v>
      </c>
      <c r="C200" s="6" t="s">
        <v>349</v>
      </c>
      <c r="D200" s="6">
        <v>17.30008333333333</v>
      </c>
      <c r="E200" s="6" t="s">
        <v>174</v>
      </c>
      <c r="F200" s="6" t="s">
        <v>52</v>
      </c>
      <c r="G200" s="7">
        <v>82458.24923772043</v>
      </c>
      <c r="H200" s="6">
        <v>1426534.583333333</v>
      </c>
      <c r="I200" s="6" t="s">
        <v>179</v>
      </c>
      <c r="J200" s="15">
        <v>81.75</v>
      </c>
    </row>
    <row r="201" spans="1:10">
      <c r="A201" s="6" t="s">
        <v>136</v>
      </c>
      <c r="B201" s="6" t="s">
        <v>86</v>
      </c>
      <c r="C201" s="6" t="s">
        <v>350</v>
      </c>
      <c r="D201" s="6">
        <v>34.47208333333333</v>
      </c>
      <c r="E201" s="6" t="s">
        <v>174</v>
      </c>
      <c r="F201" s="6" t="s">
        <v>52</v>
      </c>
      <c r="G201" s="7">
        <v>85975.84978182829</v>
      </c>
      <c r="H201" s="6">
        <v>2963766.658333333</v>
      </c>
      <c r="I201" s="6" t="s">
        <v>179</v>
      </c>
      <c r="J201" s="15">
        <v>60.49166666666667</v>
      </c>
    </row>
    <row r="202" spans="1:10">
      <c r="A202" s="6" t="s">
        <v>136</v>
      </c>
      <c r="B202" s="6" t="s">
        <v>86</v>
      </c>
      <c r="C202" s="6" t="s">
        <v>247</v>
      </c>
      <c r="D202" s="6">
        <v>357.02275</v>
      </c>
      <c r="E202" s="6" t="s">
        <v>174</v>
      </c>
      <c r="F202" s="6" t="s">
        <v>51</v>
      </c>
      <c r="G202" s="7">
        <v>47796.79242260937</v>
      </c>
      <c r="H202" s="6">
        <v>17064542.27189916</v>
      </c>
      <c r="I202" s="6" t="s">
        <v>179</v>
      </c>
      <c r="J202" s="15">
        <v>27.70833333333334</v>
      </c>
    </row>
    <row r="203" spans="1:10">
      <c r="A203" s="6" t="s">
        <v>136</v>
      </c>
      <c r="B203" s="6" t="s">
        <v>86</v>
      </c>
      <c r="C203" s="6" t="s">
        <v>248</v>
      </c>
      <c r="D203" s="6">
        <v>42.43966666666667</v>
      </c>
      <c r="E203" s="6" t="s">
        <v>174</v>
      </c>
      <c r="F203" s="6" t="s">
        <v>55</v>
      </c>
      <c r="G203" s="7">
        <v>106714.629788976</v>
      </c>
      <c r="H203" s="6">
        <v>4528933.31670088</v>
      </c>
      <c r="I203" s="6" t="s">
        <v>179</v>
      </c>
      <c r="J203" s="15">
        <v>59</v>
      </c>
    </row>
    <row r="204" spans="1:10">
      <c r="A204" s="6" t="s">
        <v>136</v>
      </c>
      <c r="B204" s="6" t="s">
        <v>86</v>
      </c>
      <c r="C204" s="6" t="s">
        <v>249</v>
      </c>
      <c r="D204" s="6">
        <v>1277.216916666667</v>
      </c>
      <c r="E204" s="6" t="s">
        <v>174</v>
      </c>
      <c r="F204" s="6" t="s">
        <v>53</v>
      </c>
      <c r="G204" s="7">
        <v>26147.16905457934</v>
      </c>
      <c r="H204" s="6">
        <v>33395606.63945189</v>
      </c>
      <c r="I204" s="6" t="s">
        <v>179</v>
      </c>
      <c r="J204" s="15">
        <v>8</v>
      </c>
    </row>
    <row r="205" spans="1:10">
      <c r="A205" s="6" t="s">
        <v>136</v>
      </c>
      <c r="B205" s="6" t="s">
        <v>86</v>
      </c>
      <c r="C205" s="6" t="s">
        <v>351</v>
      </c>
      <c r="D205" s="6">
        <v>12.72216666666667</v>
      </c>
      <c r="E205" s="6" t="s">
        <v>174</v>
      </c>
      <c r="F205" s="6" t="s">
        <v>53</v>
      </c>
      <c r="G205" s="7">
        <v>56922.31407124049</v>
      </c>
      <c r="H205" s="6">
        <v>724175.1666666666</v>
      </c>
      <c r="I205" s="6" t="s">
        <v>179</v>
      </c>
      <c r="J205" s="15">
        <v>9</v>
      </c>
    </row>
    <row r="206" spans="1:10">
      <c r="A206" s="6" t="s">
        <v>136</v>
      </c>
      <c r="B206" s="6" t="s">
        <v>86</v>
      </c>
      <c r="C206" s="6" t="s">
        <v>352</v>
      </c>
      <c r="D206" s="6">
        <v>57.88266666666667</v>
      </c>
      <c r="E206" s="6" t="s">
        <v>174</v>
      </c>
      <c r="F206" s="6" t="s">
        <v>52</v>
      </c>
      <c r="G206" s="7">
        <v>91209.78936001728</v>
      </c>
      <c r="H206" s="6">
        <v>5279465.83426276</v>
      </c>
      <c r="I206" s="6" t="s">
        <v>179</v>
      </c>
      <c r="J206" s="15">
        <v>64.825</v>
      </c>
    </row>
    <row r="207" spans="1:10">
      <c r="A207" s="6" t="s">
        <v>136</v>
      </c>
      <c r="B207" s="6" t="s">
        <v>86</v>
      </c>
      <c r="C207" s="6" t="s">
        <v>251</v>
      </c>
      <c r="D207" s="6">
        <v>2.693083333333333</v>
      </c>
      <c r="E207" s="6" t="s">
        <v>174</v>
      </c>
      <c r="F207" s="6" t="s">
        <v>53</v>
      </c>
      <c r="G207" s="7">
        <v>37508.53710293493</v>
      </c>
      <c r="H207" s="6">
        <v>101013.616129629</v>
      </c>
      <c r="I207" s="6" t="s">
        <v>179</v>
      </c>
      <c r="J207" s="15">
        <v>5.316666666666666</v>
      </c>
    </row>
    <row r="208" spans="1:10">
      <c r="A208" s="6" t="s">
        <v>136</v>
      </c>
      <c r="B208" s="6" t="s">
        <v>86</v>
      </c>
      <c r="C208" s="6" t="s">
        <v>252</v>
      </c>
      <c r="D208" s="6">
        <v>186.9913333333334</v>
      </c>
      <c r="E208" s="6" t="s">
        <v>174</v>
      </c>
      <c r="F208" s="6" t="s">
        <v>57</v>
      </c>
      <c r="G208" s="7">
        <v>46102.94284291674</v>
      </c>
      <c r="H208" s="6">
        <v>8620850.75278746</v>
      </c>
      <c r="I208" s="6" t="s">
        <v>179</v>
      </c>
      <c r="J208" s="15">
        <v>35.93333333333333</v>
      </c>
    </row>
    <row r="209" spans="1:10">
      <c r="A209" s="6" t="s">
        <v>136</v>
      </c>
      <c r="B209" s="6" t="s">
        <v>86</v>
      </c>
      <c r="C209" s="6" t="s">
        <v>253</v>
      </c>
      <c r="D209" s="6">
        <v>300.7621666666667</v>
      </c>
      <c r="E209" s="6" t="s">
        <v>174</v>
      </c>
      <c r="F209" s="6" t="s">
        <v>53</v>
      </c>
      <c r="G209" s="7">
        <v>38500.53307646881</v>
      </c>
      <c r="H209" s="6">
        <v>11579503.74590043</v>
      </c>
      <c r="I209" s="6" t="s">
        <v>179</v>
      </c>
      <c r="J209" s="15">
        <v>7.241666666666667</v>
      </c>
    </row>
    <row r="210" spans="1:10">
      <c r="A210" s="6" t="s">
        <v>136</v>
      </c>
      <c r="B210" s="6" t="s">
        <v>86</v>
      </c>
      <c r="C210" s="6" t="s">
        <v>353</v>
      </c>
      <c r="D210" s="6">
        <v>11.71941666666667</v>
      </c>
      <c r="E210" s="6" t="s">
        <v>174</v>
      </c>
      <c r="F210" s="6" t="s">
        <v>62</v>
      </c>
      <c r="G210" s="7">
        <v>81005.34654028571</v>
      </c>
      <c r="H210" s="6">
        <v>949335.4083333334</v>
      </c>
      <c r="I210" s="6" t="s">
        <v>179</v>
      </c>
      <c r="J210" s="15">
        <v>102.3</v>
      </c>
    </row>
    <row r="211" spans="1:10">
      <c r="A211" s="6" t="s">
        <v>136</v>
      </c>
      <c r="B211" s="6" t="s">
        <v>86</v>
      </c>
      <c r="C211" s="6" t="s">
        <v>254</v>
      </c>
      <c r="D211" s="6">
        <v>0.065</v>
      </c>
      <c r="E211" s="6" t="s">
        <v>174</v>
      </c>
      <c r="F211" s="6" t="s">
        <v>51</v>
      </c>
      <c r="G211" s="7">
        <v>51614.23657191667</v>
      </c>
      <c r="H211" s="6">
        <v>3354.925377174583</v>
      </c>
      <c r="I211" s="6" t="s">
        <v>180</v>
      </c>
      <c r="J211" s="15">
        <v>8.750398691807874</v>
      </c>
    </row>
    <row r="212" spans="1:10">
      <c r="A212" s="6" t="s">
        <v>136</v>
      </c>
      <c r="B212" s="6" t="s">
        <v>86</v>
      </c>
      <c r="C212" s="6" t="s">
        <v>257</v>
      </c>
      <c r="D212" s="6">
        <v>32.84208333333333</v>
      </c>
      <c r="E212" s="6" t="s">
        <v>174</v>
      </c>
      <c r="F212" s="6" t="s">
        <v>52</v>
      </c>
      <c r="G212" s="7">
        <v>92031.68978853835</v>
      </c>
      <c r="H212" s="6">
        <v>3022512.425342659</v>
      </c>
      <c r="I212" s="6" t="s">
        <v>179</v>
      </c>
      <c r="J212" s="15">
        <v>47</v>
      </c>
    </row>
    <row r="213" spans="1:10">
      <c r="A213" s="6" t="s">
        <v>136</v>
      </c>
      <c r="B213" s="6" t="s">
        <v>86</v>
      </c>
      <c r="C213" s="6" t="s">
        <v>258</v>
      </c>
      <c r="D213" s="6">
        <v>16.98116666666667</v>
      </c>
      <c r="E213" s="6" t="s">
        <v>174</v>
      </c>
      <c r="F213" s="6" t="s">
        <v>52</v>
      </c>
      <c r="G213" s="7">
        <v>85328.84139394178</v>
      </c>
      <c r="H213" s="6">
        <v>1448983.277184091</v>
      </c>
      <c r="I213" s="6" t="s">
        <v>179</v>
      </c>
      <c r="J213" s="15">
        <v>40.5</v>
      </c>
    </row>
    <row r="214" spans="1:10">
      <c r="A214" s="6" t="s">
        <v>136</v>
      </c>
      <c r="B214" s="6" t="s">
        <v>86</v>
      </c>
      <c r="C214" s="6" t="s">
        <v>259</v>
      </c>
      <c r="D214" s="6">
        <v>143.3156666666667</v>
      </c>
      <c r="E214" s="6" t="s">
        <v>174</v>
      </c>
      <c r="F214" s="6" t="s">
        <v>56</v>
      </c>
      <c r="G214" s="7">
        <v>59850.06651982686</v>
      </c>
      <c r="H214" s="6">
        <v>8577452.183333334</v>
      </c>
      <c r="I214" s="6" t="s">
        <v>179</v>
      </c>
      <c r="J214" s="15">
        <v>61.94166666666666</v>
      </c>
    </row>
    <row r="215" spans="1:10">
      <c r="A215" s="6" t="s">
        <v>136</v>
      </c>
      <c r="B215" s="6" t="s">
        <v>86</v>
      </c>
      <c r="C215" s="6" t="s">
        <v>260</v>
      </c>
      <c r="D215" s="6">
        <v>5010.603083333333</v>
      </c>
      <c r="E215" s="6" t="s">
        <v>174</v>
      </c>
      <c r="F215" s="6" t="s">
        <v>52</v>
      </c>
      <c r="G215" s="7">
        <v>56913.67510083943</v>
      </c>
      <c r="H215" s="6">
        <v>285171835.9440976</v>
      </c>
      <c r="I215" s="6" t="s">
        <v>179</v>
      </c>
      <c r="J215" s="15">
        <v>53.18333333333334</v>
      </c>
    </row>
    <row r="216" spans="1:10">
      <c r="A216" s="6" t="s">
        <v>136</v>
      </c>
      <c r="B216" s="6" t="s">
        <v>86</v>
      </c>
      <c r="C216" s="6" t="s">
        <v>262</v>
      </c>
      <c r="D216" s="6">
        <v>7.213833333333334</v>
      </c>
      <c r="E216" s="6" t="s">
        <v>174</v>
      </c>
      <c r="F216" s="6" t="s">
        <v>51</v>
      </c>
      <c r="G216" s="7">
        <v>49180.16248136549</v>
      </c>
      <c r="H216" s="6">
        <v>354777.4954468238</v>
      </c>
      <c r="I216" s="6" t="s">
        <v>179</v>
      </c>
      <c r="J216" s="15">
        <v>85</v>
      </c>
    </row>
    <row r="217" spans="1:10">
      <c r="A217" s="6" t="s">
        <v>136</v>
      </c>
      <c r="B217" s="6" t="s">
        <v>86</v>
      </c>
      <c r="C217" s="6" t="s">
        <v>263</v>
      </c>
      <c r="D217" s="6">
        <v>274.0964166666667</v>
      </c>
      <c r="E217" s="6" t="s">
        <v>174</v>
      </c>
      <c r="F217" s="6" t="s">
        <v>54</v>
      </c>
      <c r="G217" s="7">
        <v>88946.51400521626</v>
      </c>
      <c r="H217" s="6">
        <v>24379920.76382126</v>
      </c>
      <c r="I217" s="6" t="s">
        <v>179</v>
      </c>
      <c r="J217" s="15">
        <v>46.18333333333334</v>
      </c>
    </row>
    <row r="218" spans="1:10">
      <c r="A218" s="6" t="s">
        <v>136</v>
      </c>
      <c r="B218" s="6" t="s">
        <v>86</v>
      </c>
      <c r="C218" s="6" t="s">
        <v>264</v>
      </c>
      <c r="D218" s="6">
        <v>169.4524166666667</v>
      </c>
      <c r="E218" s="6" t="s">
        <v>174</v>
      </c>
      <c r="F218" s="6" t="s">
        <v>54</v>
      </c>
      <c r="G218" s="7">
        <v>105927.7948608726</v>
      </c>
      <c r="H218" s="6">
        <v>17949720.83134578</v>
      </c>
      <c r="I218" s="6" t="s">
        <v>179</v>
      </c>
      <c r="J218" s="15">
        <v>64.26666666666667</v>
      </c>
    </row>
    <row r="219" spans="1:10">
      <c r="A219" s="6" t="s">
        <v>136</v>
      </c>
      <c r="B219" s="6" t="s">
        <v>86</v>
      </c>
      <c r="C219" s="6" t="s">
        <v>265</v>
      </c>
      <c r="D219" s="6">
        <v>506.0463333333333</v>
      </c>
      <c r="E219" s="6" t="s">
        <v>174</v>
      </c>
      <c r="F219" s="6" t="s">
        <v>54</v>
      </c>
      <c r="G219" s="7">
        <v>88690.92662794892</v>
      </c>
      <c r="H219" s="6">
        <v>44881718.22000924</v>
      </c>
      <c r="I219" s="6" t="s">
        <v>179</v>
      </c>
      <c r="J219" s="15">
        <v>70.31666666666666</v>
      </c>
    </row>
    <row r="220" spans="1:10">
      <c r="A220" s="6" t="s">
        <v>136</v>
      </c>
      <c r="B220" s="6" t="s">
        <v>86</v>
      </c>
      <c r="C220" s="6" t="s">
        <v>266</v>
      </c>
      <c r="D220" s="6">
        <v>231.44025</v>
      </c>
      <c r="E220" s="6" t="s">
        <v>174</v>
      </c>
      <c r="F220" s="6" t="s">
        <v>57</v>
      </c>
      <c r="G220" s="7">
        <v>56598.40474601523</v>
      </c>
      <c r="H220" s="6">
        <v>13099148.94401895</v>
      </c>
      <c r="I220" s="6" t="s">
        <v>179</v>
      </c>
      <c r="J220" s="15">
        <v>41.60833333333333</v>
      </c>
    </row>
    <row r="221" spans="1:10">
      <c r="A221" s="6" t="s">
        <v>136</v>
      </c>
      <c r="B221" s="6" t="s">
        <v>86</v>
      </c>
      <c r="C221" s="6" t="s">
        <v>354</v>
      </c>
      <c r="D221" s="6">
        <v>0.308</v>
      </c>
      <c r="E221" s="6" t="s">
        <v>174</v>
      </c>
      <c r="F221" s="6" t="s">
        <v>51</v>
      </c>
      <c r="G221" s="7">
        <v>44088.02354954973</v>
      </c>
      <c r="H221" s="6">
        <v>13579.11125326132</v>
      </c>
      <c r="I221" s="6" t="s">
        <v>180</v>
      </c>
      <c r="J221" s="15">
        <v>6.488664602023904</v>
      </c>
    </row>
    <row r="222" spans="1:10">
      <c r="A222" s="6" t="s">
        <v>136</v>
      </c>
      <c r="B222" s="6" t="s">
        <v>86</v>
      </c>
      <c r="C222" s="6" t="s">
        <v>355</v>
      </c>
      <c r="D222" s="6">
        <v>46.00125</v>
      </c>
      <c r="E222" s="6" t="s">
        <v>174</v>
      </c>
      <c r="F222" s="6" t="s">
        <v>52</v>
      </c>
      <c r="G222" s="7">
        <v>87022.09088521145</v>
      </c>
      <c r="H222" s="6">
        <v>4003124.958333333</v>
      </c>
      <c r="I222" s="6" t="s">
        <v>179</v>
      </c>
      <c r="J222" s="15">
        <v>48.5</v>
      </c>
    </row>
    <row r="223" spans="1:10">
      <c r="A223" s="6" t="s">
        <v>136</v>
      </c>
      <c r="B223" s="6" t="s">
        <v>86</v>
      </c>
      <c r="C223" s="6" t="s">
        <v>267</v>
      </c>
      <c r="D223" s="6">
        <v>1888.34875</v>
      </c>
      <c r="E223" s="6" t="s">
        <v>174</v>
      </c>
      <c r="F223" s="6" t="s">
        <v>53</v>
      </c>
      <c r="G223" s="7">
        <v>29372.68127915858</v>
      </c>
      <c r="H223" s="6">
        <v>55465865.97764751</v>
      </c>
      <c r="I223" s="6" t="s">
        <v>179</v>
      </c>
      <c r="J223" s="15">
        <v>8</v>
      </c>
    </row>
    <row r="224" spans="1:10">
      <c r="A224" s="6" t="s">
        <v>136</v>
      </c>
      <c r="B224" s="6" t="s">
        <v>86</v>
      </c>
      <c r="C224" s="6" t="s">
        <v>268</v>
      </c>
      <c r="D224" s="6">
        <v>0.05416666666666667</v>
      </c>
      <c r="E224" s="6" t="s">
        <v>174</v>
      </c>
      <c r="F224" s="6" t="s">
        <v>51</v>
      </c>
      <c r="G224" s="7">
        <v>54934.22900617691</v>
      </c>
      <c r="H224" s="6">
        <v>2975.604071167916</v>
      </c>
      <c r="I224" s="6" t="s">
        <v>180</v>
      </c>
      <c r="J224" s="15">
        <v>9.748103652333924</v>
      </c>
    </row>
    <row r="225" spans="1:10">
      <c r="A225" s="6" t="s">
        <v>136</v>
      </c>
      <c r="B225" s="6" t="s">
        <v>86</v>
      </c>
      <c r="C225" s="6" t="s">
        <v>269</v>
      </c>
      <c r="D225" s="6">
        <v>34.44633333333334</v>
      </c>
      <c r="E225" s="6" t="s">
        <v>174</v>
      </c>
      <c r="F225" s="6" t="s">
        <v>52</v>
      </c>
      <c r="G225" s="7">
        <v>83790.30016891156</v>
      </c>
      <c r="H225" s="6">
        <v>2886268.609718384</v>
      </c>
      <c r="I225" s="6" t="s">
        <v>179</v>
      </c>
      <c r="J225" s="15">
        <v>44.5</v>
      </c>
    </row>
    <row r="226" spans="1:10">
      <c r="A226" s="6" t="s">
        <v>136</v>
      </c>
      <c r="B226" s="6" t="s">
        <v>86</v>
      </c>
      <c r="C226" s="6" t="s">
        <v>356</v>
      </c>
      <c r="D226" s="6">
        <v>28.51858333333334</v>
      </c>
      <c r="E226" s="6" t="s">
        <v>174</v>
      </c>
      <c r="F226" s="6" t="s">
        <v>52</v>
      </c>
      <c r="G226" s="7">
        <v>55062.04930703079</v>
      </c>
      <c r="H226" s="6">
        <v>1570291.641666667</v>
      </c>
      <c r="I226" s="6" t="s">
        <v>179</v>
      </c>
      <c r="J226" s="15">
        <v>48.93333333333333</v>
      </c>
    </row>
    <row r="227" spans="1:10">
      <c r="A227" s="6" t="s">
        <v>136</v>
      </c>
      <c r="B227" s="6" t="s">
        <v>86</v>
      </c>
      <c r="C227" s="6" t="s">
        <v>270</v>
      </c>
      <c r="D227" s="6">
        <v>64.94500000000001</v>
      </c>
      <c r="E227" s="6" t="s">
        <v>174</v>
      </c>
      <c r="F227" s="6" t="s">
        <v>59</v>
      </c>
      <c r="G227" s="7">
        <v>48832.25327446419</v>
      </c>
      <c r="H227" s="6">
        <v>3171410.688910077</v>
      </c>
      <c r="I227" s="6" t="s">
        <v>179</v>
      </c>
      <c r="J227" s="15">
        <v>27.28333333333333</v>
      </c>
    </row>
    <row r="228" spans="1:10">
      <c r="A228" s="6" t="s">
        <v>136</v>
      </c>
      <c r="B228" s="6" t="s">
        <v>86</v>
      </c>
      <c r="C228" s="6" t="s">
        <v>271</v>
      </c>
      <c r="D228" s="6">
        <v>892.1310833333333</v>
      </c>
      <c r="E228" s="6" t="s">
        <v>174</v>
      </c>
      <c r="F228" s="6" t="s">
        <v>54</v>
      </c>
      <c r="G228" s="7">
        <v>81091.15446449892</v>
      </c>
      <c r="H228" s="6">
        <v>72343939.48116408</v>
      </c>
      <c r="I228" s="6" t="s">
        <v>179</v>
      </c>
      <c r="J228" s="15">
        <v>47.58333333333334</v>
      </c>
    </row>
    <row r="229" spans="1:10">
      <c r="A229" s="6" t="s">
        <v>136</v>
      </c>
      <c r="B229" s="6" t="s">
        <v>86</v>
      </c>
      <c r="C229" s="6" t="s">
        <v>272</v>
      </c>
      <c r="D229" s="6">
        <v>3.570833333333333</v>
      </c>
      <c r="E229" s="6" t="s">
        <v>174</v>
      </c>
      <c r="F229" s="6" t="s">
        <v>51</v>
      </c>
      <c r="G229" s="7">
        <v>35610.26336083005</v>
      </c>
      <c r="H229" s="6">
        <v>127158.3154176306</v>
      </c>
      <c r="I229" s="6" t="s">
        <v>179</v>
      </c>
      <c r="J229" s="15">
        <v>8.94980137224452</v>
      </c>
    </row>
    <row r="230" spans="1:10">
      <c r="A230" s="6" t="s">
        <v>136</v>
      </c>
      <c r="B230" s="6" t="s">
        <v>86</v>
      </c>
      <c r="C230" s="6" t="s">
        <v>273</v>
      </c>
      <c r="D230" s="6">
        <v>278.58225</v>
      </c>
      <c r="E230" s="6" t="s">
        <v>174</v>
      </c>
      <c r="F230" s="6" t="s">
        <v>51</v>
      </c>
      <c r="G230" s="7">
        <v>67973.7631418879</v>
      </c>
      <c r="H230" s="6">
        <v>18936283.8770342</v>
      </c>
      <c r="I230" s="6" t="s">
        <v>179</v>
      </c>
      <c r="J230" s="15">
        <v>38.09999999999999</v>
      </c>
    </row>
    <row r="231" spans="1:10">
      <c r="A231" s="6" t="s">
        <v>136</v>
      </c>
      <c r="B231" s="6" t="s">
        <v>86</v>
      </c>
      <c r="C231" s="6" t="s">
        <v>274</v>
      </c>
      <c r="D231" s="6">
        <v>6.878583333333334</v>
      </c>
      <c r="E231" s="6" t="s">
        <v>174</v>
      </c>
      <c r="F231" s="6" t="s">
        <v>56</v>
      </c>
      <c r="G231" s="7">
        <v>78856.2682959418</v>
      </c>
      <c r="H231" s="6">
        <v>542419.412829327</v>
      </c>
      <c r="I231" s="6" t="s">
        <v>179</v>
      </c>
      <c r="J231" s="15">
        <v>85.5</v>
      </c>
    </row>
    <row r="232" spans="1:10">
      <c r="A232" s="6" t="s">
        <v>136</v>
      </c>
      <c r="B232" s="6" t="s">
        <v>86</v>
      </c>
      <c r="C232" s="6" t="s">
        <v>276</v>
      </c>
      <c r="D232" s="6">
        <v>127.3845</v>
      </c>
      <c r="E232" s="6" t="s">
        <v>174</v>
      </c>
      <c r="F232" s="6" t="s">
        <v>51</v>
      </c>
      <c r="G232" s="7">
        <v>60321.29966037828</v>
      </c>
      <c r="H232" s="6">
        <v>7683998.596587458</v>
      </c>
      <c r="I232" s="6" t="s">
        <v>179</v>
      </c>
      <c r="J232" s="15">
        <v>37.45</v>
      </c>
    </row>
    <row r="233" spans="1:10">
      <c r="A233" s="6" t="s">
        <v>136</v>
      </c>
      <c r="B233" s="6" t="s">
        <v>86</v>
      </c>
      <c r="C233" s="6" t="s">
        <v>277</v>
      </c>
      <c r="D233" s="6">
        <v>0.7741666666666666</v>
      </c>
      <c r="E233" s="6" t="s">
        <v>174</v>
      </c>
      <c r="F233" s="6" t="s">
        <v>57</v>
      </c>
      <c r="G233" s="7">
        <v>45163.47927531065</v>
      </c>
      <c r="H233" s="6">
        <v>34964.06020563633</v>
      </c>
      <c r="I233" s="6" t="s">
        <v>180</v>
      </c>
      <c r="J233" s="15">
        <v>6.811854348285148</v>
      </c>
    </row>
    <row r="234" spans="1:10">
      <c r="A234" s="6" t="s">
        <v>136</v>
      </c>
      <c r="B234" s="6" t="s">
        <v>86</v>
      </c>
      <c r="C234" s="6" t="s">
        <v>278</v>
      </c>
      <c r="D234" s="6">
        <v>576.0296666666667</v>
      </c>
      <c r="E234" s="6" t="s">
        <v>174</v>
      </c>
      <c r="F234" s="6" t="s">
        <v>55</v>
      </c>
      <c r="G234" s="7">
        <v>53128.99840502581</v>
      </c>
      <c r="H234" s="6">
        <v>30603879.24158088</v>
      </c>
      <c r="I234" s="6" t="s">
        <v>179</v>
      </c>
      <c r="J234" s="15">
        <v>40.01666666666667</v>
      </c>
    </row>
    <row r="235" spans="1:10">
      <c r="A235" s="6" t="s">
        <v>136</v>
      </c>
      <c r="B235" s="6" t="s">
        <v>86</v>
      </c>
      <c r="C235" s="6" t="s">
        <v>279</v>
      </c>
      <c r="D235" s="6">
        <v>6.004416666666667</v>
      </c>
      <c r="E235" s="6" t="s">
        <v>174</v>
      </c>
      <c r="F235" s="6" t="s">
        <v>52</v>
      </c>
      <c r="G235" s="7">
        <v>55167.7237588997</v>
      </c>
      <c r="H235" s="6">
        <v>331250</v>
      </c>
      <c r="I235" s="6" t="s">
        <v>179</v>
      </c>
      <c r="J235" s="15">
        <v>95</v>
      </c>
    </row>
    <row r="236" spans="1:10">
      <c r="A236" s="6" t="s">
        <v>136</v>
      </c>
      <c r="B236" s="6" t="s">
        <v>86</v>
      </c>
      <c r="C236" s="6" t="s">
        <v>280</v>
      </c>
      <c r="D236" s="6">
        <v>530.9914166666666</v>
      </c>
      <c r="E236" s="6" t="s">
        <v>174</v>
      </c>
      <c r="F236" s="6" t="s">
        <v>55</v>
      </c>
      <c r="G236" s="7">
        <v>96599.03834307451</v>
      </c>
      <c r="H236" s="6">
        <v>51293260.21842679</v>
      </c>
      <c r="I236" s="6" t="s">
        <v>179</v>
      </c>
      <c r="J236" s="15">
        <v>52.99166666666667</v>
      </c>
    </row>
    <row r="237" spans="1:10">
      <c r="A237" s="6" t="s">
        <v>136</v>
      </c>
      <c r="B237" s="6" t="s">
        <v>86</v>
      </c>
      <c r="C237" s="6" t="s">
        <v>281</v>
      </c>
      <c r="D237" s="6">
        <v>1007.574916666667</v>
      </c>
      <c r="E237" s="6" t="s">
        <v>174</v>
      </c>
      <c r="F237" s="6" t="s">
        <v>57</v>
      </c>
      <c r="G237" s="7">
        <v>64904.72664042063</v>
      </c>
      <c r="H237" s="6">
        <v>65396374.53599459</v>
      </c>
      <c r="I237" s="6" t="s">
        <v>179</v>
      </c>
      <c r="J237" s="15">
        <v>37.11666666666667</v>
      </c>
    </row>
    <row r="238" spans="1:10">
      <c r="A238" s="6" t="s">
        <v>136</v>
      </c>
      <c r="B238" s="6" t="s">
        <v>86</v>
      </c>
      <c r="C238" s="6" t="s">
        <v>283</v>
      </c>
      <c r="D238" s="6">
        <v>373.30475</v>
      </c>
      <c r="E238" s="6" t="s">
        <v>174</v>
      </c>
      <c r="F238" s="6" t="s">
        <v>51</v>
      </c>
      <c r="G238" s="7">
        <v>43749.65798536066</v>
      </c>
      <c r="H238" s="6">
        <v>16331955.13681057</v>
      </c>
      <c r="I238" s="6" t="s">
        <v>179</v>
      </c>
      <c r="J238" s="15">
        <v>26.78333333333333</v>
      </c>
    </row>
    <row r="239" spans="1:10">
      <c r="A239" s="6" t="s">
        <v>136</v>
      </c>
      <c r="B239" s="6" t="s">
        <v>86</v>
      </c>
      <c r="C239" s="6" t="s">
        <v>284</v>
      </c>
      <c r="D239" s="6">
        <v>191.7785833333333</v>
      </c>
      <c r="E239" s="6" t="s">
        <v>174</v>
      </c>
      <c r="F239" s="6" t="s">
        <v>55</v>
      </c>
      <c r="G239" s="7">
        <v>63545.27884100618</v>
      </c>
      <c r="H239" s="6">
        <v>12186623.55364981</v>
      </c>
      <c r="I239" s="6" t="s">
        <v>179</v>
      </c>
      <c r="J239" s="15">
        <v>52.41666666666666</v>
      </c>
    </row>
    <row r="240" spans="1:10">
      <c r="A240" s="6" t="s">
        <v>136</v>
      </c>
      <c r="B240" s="6" t="s">
        <v>86</v>
      </c>
      <c r="C240" s="6" t="s">
        <v>285</v>
      </c>
      <c r="D240" s="6">
        <v>5.183583333333334</v>
      </c>
      <c r="E240" s="6" t="s">
        <v>174</v>
      </c>
      <c r="F240" s="6" t="s">
        <v>52</v>
      </c>
      <c r="G240" s="7">
        <v>124592.4363366081</v>
      </c>
      <c r="H240" s="6">
        <v>645835.2764538361</v>
      </c>
      <c r="I240" s="6" t="s">
        <v>179</v>
      </c>
      <c r="J240" s="15">
        <v>102.5583333333333</v>
      </c>
    </row>
    <row r="241" spans="1:10">
      <c r="A241" s="6" t="s">
        <v>136</v>
      </c>
      <c r="B241" s="6" t="s">
        <v>86</v>
      </c>
      <c r="C241" s="6" t="s">
        <v>357</v>
      </c>
      <c r="D241" s="6">
        <v>45.72291666666666</v>
      </c>
      <c r="E241" s="6" t="s">
        <v>174</v>
      </c>
      <c r="F241" s="6" t="s">
        <v>52</v>
      </c>
      <c r="G241" s="7">
        <v>80365.60732674171</v>
      </c>
      <c r="H241" s="6">
        <v>3674549.966666667</v>
      </c>
      <c r="I241" s="6" t="s">
        <v>179</v>
      </c>
      <c r="J241" s="15">
        <v>67.90000000000001</v>
      </c>
    </row>
    <row r="242" spans="1:10">
      <c r="A242" s="6" t="s">
        <v>136</v>
      </c>
      <c r="B242" s="6" t="s">
        <v>86</v>
      </c>
      <c r="C242" s="6" t="s">
        <v>288</v>
      </c>
      <c r="D242" s="6">
        <v>0.08125</v>
      </c>
      <c r="E242" s="6" t="s">
        <v>174</v>
      </c>
      <c r="F242" s="6" t="s">
        <v>58</v>
      </c>
      <c r="G242" s="7">
        <v>72708.53956010977</v>
      </c>
      <c r="H242" s="6">
        <v>5907.568839258919</v>
      </c>
      <c r="I242" s="6" t="s">
        <v>180</v>
      </c>
      <c r="J242" s="15">
        <v>15.08953685157575</v>
      </c>
    </row>
    <row r="243" spans="1:10">
      <c r="A243" s="6" t="s">
        <v>136</v>
      </c>
      <c r="B243" s="6" t="s">
        <v>86</v>
      </c>
      <c r="C243" s="6" t="s">
        <v>358</v>
      </c>
      <c r="D243" s="6">
        <v>17.17558333333333</v>
      </c>
      <c r="E243" s="6" t="s">
        <v>174</v>
      </c>
      <c r="F243" s="6" t="s">
        <v>52</v>
      </c>
      <c r="G243" s="7">
        <v>54855.48768358183</v>
      </c>
      <c r="H243" s="6">
        <v>942174.9999999999</v>
      </c>
      <c r="I243" s="6" t="s">
        <v>179</v>
      </c>
      <c r="J243" s="15">
        <v>46.81666666666667</v>
      </c>
    </row>
    <row r="244" spans="1:10">
      <c r="A244" s="6" t="s">
        <v>136</v>
      </c>
      <c r="B244" s="6" t="s">
        <v>86</v>
      </c>
      <c r="C244" s="6" t="s">
        <v>359</v>
      </c>
      <c r="D244" s="6">
        <v>103.92225</v>
      </c>
      <c r="E244" s="6" t="s">
        <v>174</v>
      </c>
      <c r="F244" s="6" t="s">
        <v>60</v>
      </c>
      <c r="G244" s="7">
        <v>70718.26491100938</v>
      </c>
      <c r="H244" s="6">
        <v>7349201.205648145</v>
      </c>
      <c r="I244" s="6" t="s">
        <v>179</v>
      </c>
      <c r="J244" s="15">
        <v>29.98333333333333</v>
      </c>
    </row>
    <row r="245" spans="1:10">
      <c r="A245" s="6" t="s">
        <v>136</v>
      </c>
      <c r="B245" s="6" t="s">
        <v>86</v>
      </c>
      <c r="C245" s="6" t="s">
        <v>289</v>
      </c>
      <c r="D245" s="6">
        <v>2336.928833333333</v>
      </c>
      <c r="E245" s="6" t="s">
        <v>174</v>
      </c>
      <c r="F245" s="6" t="s">
        <v>52</v>
      </c>
      <c r="G245" s="7">
        <v>59342.46197897197</v>
      </c>
      <c r="H245" s="6">
        <v>138679110.4396467</v>
      </c>
      <c r="I245" s="6" t="s">
        <v>179</v>
      </c>
      <c r="J245" s="15">
        <v>65</v>
      </c>
    </row>
    <row r="246" spans="1:10">
      <c r="A246" s="6" t="s">
        <v>136</v>
      </c>
      <c r="B246" s="6" t="s">
        <v>86</v>
      </c>
      <c r="C246" s="6" t="s">
        <v>360</v>
      </c>
      <c r="D246" s="6">
        <v>90.59691666666667</v>
      </c>
      <c r="E246" s="6" t="s">
        <v>174</v>
      </c>
      <c r="F246" s="6" t="s">
        <v>52</v>
      </c>
      <c r="G246" s="7">
        <v>83997.51242453983</v>
      </c>
      <c r="H246" s="6">
        <v>7609915.633333334</v>
      </c>
      <c r="I246" s="6" t="s">
        <v>179</v>
      </c>
      <c r="J246" s="15">
        <v>60.11666666666667</v>
      </c>
    </row>
    <row r="247" spans="1:10">
      <c r="A247" s="6" t="s">
        <v>136</v>
      </c>
      <c r="B247" s="6" t="s">
        <v>86</v>
      </c>
      <c r="C247" s="6" t="s">
        <v>292</v>
      </c>
      <c r="D247" s="6">
        <v>193.2353333333333</v>
      </c>
      <c r="E247" s="6" t="s">
        <v>174</v>
      </c>
      <c r="F247" s="6" t="s">
        <v>54</v>
      </c>
      <c r="G247" s="7">
        <v>107403.6498671448</v>
      </c>
      <c r="H247" s="6">
        <v>20754180.08329435</v>
      </c>
      <c r="I247" s="6" t="s">
        <v>179</v>
      </c>
      <c r="J247" s="15">
        <v>64.08333333333333</v>
      </c>
    </row>
    <row r="248" spans="1:10">
      <c r="A248" s="6" t="s">
        <v>136</v>
      </c>
      <c r="B248" s="6" t="s">
        <v>86</v>
      </c>
      <c r="C248" s="6" t="s">
        <v>293</v>
      </c>
      <c r="D248" s="6">
        <v>573.3116666666666</v>
      </c>
      <c r="E248" s="6" t="s">
        <v>174</v>
      </c>
      <c r="F248" s="6" t="s">
        <v>53</v>
      </c>
      <c r="G248" s="7">
        <v>41597.32934492987</v>
      </c>
      <c r="H248" s="6">
        <v>23848234.21562398</v>
      </c>
      <c r="I248" s="6" t="s">
        <v>179</v>
      </c>
      <c r="J248" s="15">
        <v>8</v>
      </c>
    </row>
    <row r="249" spans="1:10">
      <c r="A249" s="6" t="s">
        <v>136</v>
      </c>
      <c r="B249" s="6" t="s">
        <v>86</v>
      </c>
      <c r="C249" s="6" t="s">
        <v>295</v>
      </c>
      <c r="D249" s="6">
        <v>93.11466666666666</v>
      </c>
      <c r="E249" s="6" t="s">
        <v>174</v>
      </c>
      <c r="F249" s="6" t="s">
        <v>53</v>
      </c>
      <c r="G249" s="7">
        <v>42004.62287217464</v>
      </c>
      <c r="H249" s="6">
        <v>3911246.457201585</v>
      </c>
      <c r="I249" s="6" t="s">
        <v>179</v>
      </c>
      <c r="J249" s="15">
        <v>8</v>
      </c>
    </row>
    <row r="250" spans="1:10">
      <c r="A250" s="6" t="s">
        <v>136</v>
      </c>
      <c r="B250" s="6" t="s">
        <v>86</v>
      </c>
      <c r="C250" s="6" t="s">
        <v>296</v>
      </c>
      <c r="D250" s="6">
        <v>336.3039166666667</v>
      </c>
      <c r="E250" s="6" t="s">
        <v>174</v>
      </c>
      <c r="F250" s="6" t="s">
        <v>54</v>
      </c>
      <c r="G250" s="7">
        <v>79361.07970771569</v>
      </c>
      <c r="H250" s="6">
        <v>26689441.93660031</v>
      </c>
      <c r="I250" s="6" t="s">
        <v>179</v>
      </c>
      <c r="J250" s="15">
        <v>52.1</v>
      </c>
    </row>
    <row r="251" spans="1:10">
      <c r="A251" s="6" t="s">
        <v>136</v>
      </c>
      <c r="B251" s="6" t="s">
        <v>86</v>
      </c>
      <c r="C251" s="6" t="s">
        <v>297</v>
      </c>
      <c r="D251" s="6">
        <v>17.02708333333333</v>
      </c>
      <c r="E251" s="6" t="s">
        <v>174</v>
      </c>
      <c r="F251" s="6" t="s">
        <v>52</v>
      </c>
      <c r="G251" s="7">
        <v>101698.6474446838</v>
      </c>
      <c r="H251" s="6">
        <v>1731631.344927918</v>
      </c>
      <c r="I251" s="6" t="s">
        <v>179</v>
      </c>
      <c r="J251" s="15">
        <v>48</v>
      </c>
    </row>
    <row r="252" spans="1:10">
      <c r="A252" s="6" t="s">
        <v>136</v>
      </c>
      <c r="B252" s="6" t="s">
        <v>86</v>
      </c>
      <c r="C252" s="6" t="s">
        <v>298</v>
      </c>
      <c r="D252" s="6">
        <v>0.004166666666666667</v>
      </c>
      <c r="E252" s="6" t="s">
        <v>174</v>
      </c>
      <c r="F252" s="6" t="s">
        <v>56</v>
      </c>
      <c r="G252" s="7">
        <v>56461.9741659997</v>
      </c>
      <c r="H252" s="6">
        <v>235.2582256916654</v>
      </c>
      <c r="I252" s="6" t="s">
        <v>180</v>
      </c>
      <c r="J252" s="15">
        <v>10.20721280832045</v>
      </c>
    </row>
    <row r="253" spans="1:10">
      <c r="A253" s="6" t="s">
        <v>136</v>
      </c>
      <c r="B253" s="6" t="s">
        <v>86</v>
      </c>
      <c r="C253" s="6" t="s">
        <v>300</v>
      </c>
      <c r="D253" s="6">
        <v>56.0885</v>
      </c>
      <c r="E253" s="6" t="s">
        <v>174</v>
      </c>
      <c r="F253" s="6" t="s">
        <v>52</v>
      </c>
      <c r="G253" s="7">
        <v>60613.11558221976</v>
      </c>
      <c r="H253" s="6">
        <v>3399698.733333333</v>
      </c>
      <c r="I253" s="6" t="s">
        <v>179</v>
      </c>
      <c r="J253" s="15">
        <v>39.13333333333333</v>
      </c>
    </row>
    <row r="254" spans="1:10">
      <c r="A254" s="6" t="s">
        <v>136</v>
      </c>
      <c r="B254" s="6" t="s">
        <v>86</v>
      </c>
      <c r="C254" s="6" t="s">
        <v>302</v>
      </c>
      <c r="D254" s="6">
        <v>711.9544999999999</v>
      </c>
      <c r="E254" s="6" t="s">
        <v>174</v>
      </c>
      <c r="F254" s="6" t="s">
        <v>52</v>
      </c>
      <c r="G254" s="7">
        <v>80746.62125224819</v>
      </c>
      <c r="H254" s="6">
        <v>57487920.36033373</v>
      </c>
      <c r="I254" s="6" t="s">
        <v>179</v>
      </c>
      <c r="J254" s="15">
        <v>74.09166666666667</v>
      </c>
    </row>
    <row r="255" spans="1:10">
      <c r="A255" s="6" t="s">
        <v>136</v>
      </c>
      <c r="B255" s="6" t="s">
        <v>86</v>
      </c>
      <c r="C255" s="6" t="s">
        <v>304</v>
      </c>
      <c r="D255" s="6">
        <v>149.4990833333333</v>
      </c>
      <c r="E255" s="6" t="s">
        <v>174</v>
      </c>
      <c r="F255" s="6" t="s">
        <v>52</v>
      </c>
      <c r="G255" s="7">
        <v>61933.94976223377</v>
      </c>
      <c r="H255" s="6">
        <v>9259068.716666667</v>
      </c>
      <c r="I255" s="6" t="s">
        <v>179</v>
      </c>
      <c r="J255" s="15">
        <v>61.50833333333333</v>
      </c>
    </row>
    <row r="256" spans="1:10">
      <c r="A256" s="6" t="s">
        <v>136</v>
      </c>
      <c r="B256" s="6" t="s">
        <v>86</v>
      </c>
      <c r="C256" s="6" t="s">
        <v>361</v>
      </c>
      <c r="D256" s="6">
        <v>635.8548333333333</v>
      </c>
      <c r="E256" s="6" t="s">
        <v>174</v>
      </c>
      <c r="F256" s="6" t="s">
        <v>52</v>
      </c>
      <c r="G256" s="7">
        <v>58941.63635603187</v>
      </c>
      <c r="H256" s="6">
        <v>37478324.36155859</v>
      </c>
      <c r="I256" s="6" t="s">
        <v>179</v>
      </c>
      <c r="J256" s="15">
        <v>64.18333333333334</v>
      </c>
    </row>
    <row r="257" spans="1:10">
      <c r="A257" s="6" t="s">
        <v>136</v>
      </c>
      <c r="B257" s="6" t="s">
        <v>86</v>
      </c>
      <c r="C257" s="6" t="s">
        <v>305</v>
      </c>
      <c r="D257" s="6">
        <v>525.9706666666667</v>
      </c>
      <c r="E257" s="6" t="s">
        <v>174</v>
      </c>
      <c r="F257" s="6" t="s">
        <v>54</v>
      </c>
      <c r="G257" s="7">
        <v>98575.27110239657</v>
      </c>
      <c r="H257" s="6">
        <v>51847701.05857493</v>
      </c>
      <c r="I257" s="6" t="s">
        <v>179</v>
      </c>
      <c r="J257" s="15">
        <v>67.27500000000001</v>
      </c>
    </row>
    <row r="258" spans="1:10">
      <c r="A258" s="6" t="s">
        <v>136</v>
      </c>
      <c r="B258" s="6" t="s">
        <v>86</v>
      </c>
      <c r="C258" s="6" t="s">
        <v>306</v>
      </c>
      <c r="D258" s="6">
        <v>33.14516666666667</v>
      </c>
      <c r="E258" s="6" t="s">
        <v>174</v>
      </c>
      <c r="F258" s="6" t="s">
        <v>57</v>
      </c>
      <c r="G258" s="7">
        <v>54237.63482677883</v>
      </c>
      <c r="H258" s="6">
        <v>1797715.445939389</v>
      </c>
      <c r="I258" s="6" t="s">
        <v>179</v>
      </c>
      <c r="J258" s="15">
        <v>7.283649717513925</v>
      </c>
    </row>
    <row r="259" spans="1:10">
      <c r="A259" s="6" t="s">
        <v>136</v>
      </c>
      <c r="B259" s="6" t="s">
        <v>86</v>
      </c>
      <c r="C259" s="6" t="s">
        <v>362</v>
      </c>
      <c r="D259" s="6">
        <v>2926.753333333334</v>
      </c>
      <c r="E259" s="6" t="s">
        <v>174</v>
      </c>
      <c r="F259" s="6" t="s">
        <v>52</v>
      </c>
      <c r="G259" s="7">
        <v>57401.5078649952</v>
      </c>
      <c r="H259" s="6">
        <v>168000054.4822343</v>
      </c>
      <c r="I259" s="6" t="s">
        <v>179</v>
      </c>
      <c r="J259" s="15">
        <v>50.76666666666667</v>
      </c>
    </row>
    <row r="260" spans="1:10">
      <c r="A260" s="6" t="s">
        <v>136</v>
      </c>
      <c r="B260" s="6" t="s">
        <v>86</v>
      </c>
      <c r="C260" s="6" t="s">
        <v>309</v>
      </c>
      <c r="D260" s="6">
        <v>1105.335</v>
      </c>
      <c r="E260" s="6" t="s">
        <v>174</v>
      </c>
      <c r="F260" s="6" t="s">
        <v>52</v>
      </c>
      <c r="G260" s="7">
        <v>76640.37565605484</v>
      </c>
      <c r="H260" s="6">
        <v>84713289.62578538</v>
      </c>
      <c r="I260" s="6" t="s">
        <v>179</v>
      </c>
      <c r="J260" s="15">
        <v>56.75</v>
      </c>
    </row>
    <row r="261" spans="1:10">
      <c r="A261" s="6" t="s">
        <v>136</v>
      </c>
      <c r="B261" s="6" t="s">
        <v>86</v>
      </c>
      <c r="C261" s="6" t="s">
        <v>310</v>
      </c>
      <c r="D261" s="6">
        <v>75.94241666666666</v>
      </c>
      <c r="E261" s="6" t="s">
        <v>174</v>
      </c>
      <c r="F261" s="6" t="s">
        <v>52</v>
      </c>
      <c r="G261" s="7">
        <v>90408.28872156367</v>
      </c>
      <c r="H261" s="6">
        <v>6865823.932213289</v>
      </c>
      <c r="I261" s="6" t="s">
        <v>179</v>
      </c>
      <c r="J261" s="15">
        <v>71.22499999999999</v>
      </c>
    </row>
    <row r="262" spans="1:10">
      <c r="A262" s="6" t="s">
        <v>136</v>
      </c>
      <c r="B262" s="6" t="s">
        <v>86</v>
      </c>
      <c r="C262" s="6" t="s">
        <v>311</v>
      </c>
      <c r="D262" s="6">
        <v>74.28633333333333</v>
      </c>
      <c r="E262" s="6" t="s">
        <v>174</v>
      </c>
      <c r="F262" s="6" t="s">
        <v>51</v>
      </c>
      <c r="G262" s="7">
        <v>45054.61286131107</v>
      </c>
      <c r="H262" s="6">
        <v>3346941.989219641</v>
      </c>
      <c r="I262" s="6" t="s">
        <v>179</v>
      </c>
      <c r="J262" s="15">
        <v>50.35</v>
      </c>
    </row>
    <row r="263" spans="1:10">
      <c r="A263" s="6" t="s">
        <v>136</v>
      </c>
      <c r="B263" s="6" t="s">
        <v>86</v>
      </c>
      <c r="C263" s="6" t="s">
        <v>312</v>
      </c>
      <c r="D263" s="6">
        <v>455.9483333333333</v>
      </c>
      <c r="E263" s="6" t="s">
        <v>174</v>
      </c>
      <c r="F263" s="6" t="s">
        <v>54</v>
      </c>
      <c r="G263" s="7">
        <v>81169.23103268788</v>
      </c>
      <c r="H263" s="6">
        <v>37008975.60730232</v>
      </c>
      <c r="I263" s="6" t="s">
        <v>179</v>
      </c>
      <c r="J263" s="15">
        <v>47.825</v>
      </c>
    </row>
    <row r="264" spans="1:10">
      <c r="A264" s="6" t="s">
        <v>136</v>
      </c>
      <c r="B264" s="6" t="s">
        <v>86</v>
      </c>
      <c r="C264" s="6" t="s">
        <v>313</v>
      </c>
      <c r="D264" s="6">
        <v>0.2275</v>
      </c>
      <c r="E264" s="6" t="s">
        <v>174</v>
      </c>
      <c r="F264" s="6" t="s">
        <v>51</v>
      </c>
      <c r="G264" s="7">
        <v>53462.78643120329</v>
      </c>
      <c r="H264" s="6">
        <v>12162.78391309875</v>
      </c>
      <c r="I264" s="6" t="s">
        <v>180</v>
      </c>
      <c r="J264" s="15">
        <v>9.305914224119906</v>
      </c>
    </row>
    <row r="265" spans="1:10">
      <c r="A265" s="6" t="s">
        <v>136</v>
      </c>
      <c r="B265" s="6" t="s">
        <v>86</v>
      </c>
      <c r="C265" s="6" t="s">
        <v>315</v>
      </c>
      <c r="D265" s="6">
        <v>4.037833333333333</v>
      </c>
      <c r="E265" s="6" t="s">
        <v>174</v>
      </c>
      <c r="F265" s="6" t="s">
        <v>51</v>
      </c>
      <c r="G265" s="7">
        <v>37464.72792440534</v>
      </c>
      <c r="H265" s="6">
        <v>151276.327237428</v>
      </c>
      <c r="I265" s="6" t="s">
        <v>179</v>
      </c>
      <c r="J265" s="15">
        <v>14</v>
      </c>
    </row>
    <row r="266" spans="1:10">
      <c r="A266" s="6" t="s">
        <v>136</v>
      </c>
      <c r="B266" s="6" t="s">
        <v>86</v>
      </c>
      <c r="C266" s="6" t="s">
        <v>317</v>
      </c>
      <c r="D266" s="6">
        <v>0.1408333333333333</v>
      </c>
      <c r="E266" s="6" t="s">
        <v>174</v>
      </c>
      <c r="F266" s="6" t="s">
        <v>51</v>
      </c>
      <c r="G266" s="7">
        <v>52842.46544157674</v>
      </c>
      <c r="H266" s="6">
        <v>7441.980549688724</v>
      </c>
      <c r="I266" s="6" t="s">
        <v>180</v>
      </c>
      <c r="J266" s="15">
        <v>9.119498941337266</v>
      </c>
    </row>
    <row r="267" spans="1:10">
      <c r="A267" s="6" t="s">
        <v>136</v>
      </c>
      <c r="B267" s="6" t="s">
        <v>86</v>
      </c>
      <c r="C267" s="6" t="s">
        <v>319</v>
      </c>
      <c r="D267" s="6">
        <v>109.1678333333333</v>
      </c>
      <c r="E267" s="6" t="s">
        <v>174</v>
      </c>
      <c r="F267" s="6" t="s">
        <v>52</v>
      </c>
      <c r="G267" s="7">
        <v>75015.8326520299</v>
      </c>
      <c r="H267" s="6">
        <v>8189315.916318024</v>
      </c>
      <c r="I267" s="6" t="s">
        <v>179</v>
      </c>
      <c r="J267" s="15">
        <v>68.13333333333333</v>
      </c>
    </row>
    <row r="268" spans="1:10">
      <c r="A268" s="6" t="s">
        <v>136</v>
      </c>
      <c r="B268" s="6" t="s">
        <v>86</v>
      </c>
      <c r="C268" s="6" t="s">
        <v>363</v>
      </c>
      <c r="D268" s="6">
        <v>28.19275</v>
      </c>
      <c r="E268" s="6" t="s">
        <v>174</v>
      </c>
      <c r="F268" s="6" t="s">
        <v>52</v>
      </c>
      <c r="G268" s="7">
        <v>86351.30633466643</v>
      </c>
      <c r="H268" s="6">
        <v>2434480.791666667</v>
      </c>
      <c r="I268" s="6" t="s">
        <v>179</v>
      </c>
      <c r="J268" s="15">
        <v>57.31666666666667</v>
      </c>
    </row>
    <row r="269" spans="1:10">
      <c r="A269" s="6" t="s">
        <v>136</v>
      </c>
      <c r="B269" s="6" t="s">
        <v>86</v>
      </c>
      <c r="C269" s="6" t="s">
        <v>320</v>
      </c>
      <c r="D269" s="6">
        <v>19.32675</v>
      </c>
      <c r="E269" s="6" t="s">
        <v>174</v>
      </c>
      <c r="F269" s="6" t="s">
        <v>51</v>
      </c>
      <c r="G269" s="7">
        <v>52021.16753243782</v>
      </c>
      <c r="H269" s="6">
        <v>1005400.099607543</v>
      </c>
      <c r="I269" s="6" t="s">
        <v>179</v>
      </c>
      <c r="J269" s="15">
        <v>101.05</v>
      </c>
    </row>
    <row r="270" spans="1:10">
      <c r="A270" s="6" t="s">
        <v>136</v>
      </c>
      <c r="B270" s="6" t="s">
        <v>86</v>
      </c>
      <c r="C270" s="6" t="s">
        <v>321</v>
      </c>
      <c r="D270" s="6">
        <v>31.85791666666667</v>
      </c>
      <c r="E270" s="6" t="s">
        <v>174</v>
      </c>
      <c r="F270" s="6" t="s">
        <v>54</v>
      </c>
      <c r="G270" s="7">
        <v>84541.41462789</v>
      </c>
      <c r="H270" s="6">
        <v>2693313.342097434</v>
      </c>
      <c r="I270" s="6" t="s">
        <v>179</v>
      </c>
      <c r="J270" s="15">
        <v>45.1</v>
      </c>
    </row>
    <row r="271" spans="1:10">
      <c r="A271" s="6" t="s">
        <v>136</v>
      </c>
      <c r="B271" s="6" t="s">
        <v>86</v>
      </c>
      <c r="C271" s="6" t="s">
        <v>322</v>
      </c>
      <c r="D271" s="6">
        <v>12.27183333333333</v>
      </c>
      <c r="E271" s="6" t="s">
        <v>174</v>
      </c>
      <c r="F271" s="6" t="s">
        <v>51</v>
      </c>
      <c r="G271" s="7">
        <v>45195.78581875691</v>
      </c>
      <c r="H271" s="6">
        <v>554635.150936815</v>
      </c>
      <c r="I271" s="6" t="s">
        <v>179</v>
      </c>
      <c r="J271" s="15">
        <v>55</v>
      </c>
    </row>
    <row r="272" spans="1:10">
      <c r="A272" s="6" t="s">
        <v>136</v>
      </c>
      <c r="B272" s="6" t="s">
        <v>86</v>
      </c>
      <c r="C272" s="6" t="s">
        <v>323</v>
      </c>
      <c r="D272" s="6">
        <v>125.0480833333333</v>
      </c>
      <c r="E272" s="6" t="s">
        <v>174</v>
      </c>
      <c r="F272" s="6" t="s">
        <v>55</v>
      </c>
      <c r="G272" s="7">
        <v>51933.23768987774</v>
      </c>
      <c r="H272" s="6">
        <v>6494151.83441364</v>
      </c>
      <c r="I272" s="6" t="s">
        <v>179</v>
      </c>
      <c r="J272" s="15">
        <v>44.21666666666667</v>
      </c>
    </row>
    <row r="273" spans="1:10">
      <c r="A273" s="6" t="s">
        <v>136</v>
      </c>
      <c r="B273" s="6" t="s">
        <v>86</v>
      </c>
      <c r="C273" s="6" t="s">
        <v>324</v>
      </c>
      <c r="D273" s="6">
        <v>16.03508333333333</v>
      </c>
      <c r="E273" s="6" t="s">
        <v>174</v>
      </c>
      <c r="F273" s="6" t="s">
        <v>51</v>
      </c>
      <c r="G273" s="7">
        <v>65955.72298493661</v>
      </c>
      <c r="H273" s="6">
        <v>1057605.514373707</v>
      </c>
      <c r="I273" s="6" t="s">
        <v>179</v>
      </c>
      <c r="J273" s="15">
        <v>47.5</v>
      </c>
    </row>
    <row r="274" spans="1:10">
      <c r="A274" s="6" t="s">
        <v>136</v>
      </c>
      <c r="B274" s="6" t="s">
        <v>86</v>
      </c>
      <c r="C274" s="6" t="s">
        <v>364</v>
      </c>
      <c r="D274" s="6">
        <v>101.8589166666667</v>
      </c>
      <c r="E274" s="6" t="s">
        <v>174</v>
      </c>
      <c r="F274" s="6" t="s">
        <v>52</v>
      </c>
      <c r="G274" s="7">
        <v>56618.13707440715</v>
      </c>
      <c r="H274" s="6">
        <v>5767062.106083948</v>
      </c>
      <c r="I274" s="6" t="s">
        <v>179</v>
      </c>
      <c r="J274" s="15">
        <v>40.41666666666667</v>
      </c>
    </row>
    <row r="275" spans="1:10">
      <c r="A275" s="6" t="s">
        <v>136</v>
      </c>
      <c r="B275" s="6" t="s">
        <v>86</v>
      </c>
      <c r="C275" s="6" t="s">
        <v>326</v>
      </c>
      <c r="D275" s="6">
        <v>863.0936666666666</v>
      </c>
      <c r="E275" s="6" t="s">
        <v>174</v>
      </c>
      <c r="F275" s="6" t="s">
        <v>54</v>
      </c>
      <c r="G275" s="7">
        <v>97273.81361845424</v>
      </c>
      <c r="H275" s="6">
        <v>83956412.4666016</v>
      </c>
      <c r="I275" s="6" t="s">
        <v>179</v>
      </c>
      <c r="J275" s="15">
        <v>59.10833333333333</v>
      </c>
    </row>
    <row r="276" spans="1:10">
      <c r="A276" s="6" t="s">
        <v>136</v>
      </c>
      <c r="B276" s="6" t="s">
        <v>86</v>
      </c>
      <c r="C276" s="6" t="s">
        <v>327</v>
      </c>
      <c r="D276" s="6">
        <v>332.7261666666666</v>
      </c>
      <c r="E276" s="6" t="s">
        <v>174</v>
      </c>
      <c r="F276" s="6" t="s">
        <v>57</v>
      </c>
      <c r="G276" s="7">
        <v>42782.89879327323</v>
      </c>
      <c r="H276" s="6">
        <v>14234989.91437376</v>
      </c>
      <c r="I276" s="6" t="s">
        <v>179</v>
      </c>
      <c r="J276" s="15">
        <v>30.675</v>
      </c>
    </row>
    <row r="277" spans="1:10">
      <c r="A277" s="6" t="s">
        <v>136</v>
      </c>
      <c r="B277" s="6" t="s">
        <v>86</v>
      </c>
      <c r="C277" s="6" t="s">
        <v>329</v>
      </c>
      <c r="D277" s="6">
        <v>83.11450000000001</v>
      </c>
      <c r="E277" s="6" t="s">
        <v>174</v>
      </c>
      <c r="F277" s="6" t="s">
        <v>58</v>
      </c>
      <c r="G277" s="7">
        <v>85146.30891396021</v>
      </c>
      <c r="H277" s="6">
        <v>7076892.892229347</v>
      </c>
      <c r="I277" s="6" t="s">
        <v>179</v>
      </c>
      <c r="J277" s="15">
        <v>40.19166666666666</v>
      </c>
    </row>
    <row r="278" spans="1:10">
      <c r="A278" s="6" t="s">
        <v>136</v>
      </c>
      <c r="B278" s="6" t="s">
        <v>86</v>
      </c>
      <c r="C278" s="6" t="s">
        <v>330</v>
      </c>
      <c r="D278" s="6">
        <v>100.5046666666667</v>
      </c>
      <c r="E278" s="6" t="s">
        <v>174</v>
      </c>
      <c r="F278" s="6" t="s">
        <v>52</v>
      </c>
      <c r="G278" s="7">
        <v>68396.7450959322</v>
      </c>
      <c r="H278" s="6">
        <v>6874192.066951633</v>
      </c>
      <c r="I278" s="6" t="s">
        <v>179</v>
      </c>
      <c r="J278" s="15">
        <v>71.97499999999999</v>
      </c>
    </row>
    <row r="279" spans="1:10">
      <c r="A279" s="6" t="s">
        <v>136</v>
      </c>
      <c r="B279" s="6" t="s">
        <v>86</v>
      </c>
      <c r="C279" s="6" t="s">
        <v>365</v>
      </c>
      <c r="D279" s="6">
        <v>20.40775</v>
      </c>
      <c r="E279" s="6" t="s">
        <v>174</v>
      </c>
      <c r="F279" s="6" t="s">
        <v>53</v>
      </c>
      <c r="G279" s="7">
        <v>49907.27415437595</v>
      </c>
      <c r="H279" s="6">
        <v>1018495.174123966</v>
      </c>
      <c r="I279" s="6" t="s">
        <v>179</v>
      </c>
      <c r="J279" s="15">
        <v>8</v>
      </c>
    </row>
    <row r="280" spans="1:10">
      <c r="A280" s="6" t="s">
        <v>136</v>
      </c>
      <c r="B280" s="6" t="s">
        <v>86</v>
      </c>
      <c r="C280" s="6" t="s">
        <v>331</v>
      </c>
      <c r="D280" s="6">
        <v>7.116833333333333</v>
      </c>
      <c r="E280" s="6" t="s">
        <v>174</v>
      </c>
      <c r="F280" s="6" t="s">
        <v>58</v>
      </c>
      <c r="G280" s="7">
        <v>93097.07632539523</v>
      </c>
      <c r="H280" s="6">
        <v>662556.3760284503</v>
      </c>
      <c r="I280" s="6" t="s">
        <v>179</v>
      </c>
      <c r="J280" s="15">
        <v>78.25</v>
      </c>
    </row>
    <row r="281" spans="1:10">
      <c r="A281" s="6" t="s">
        <v>136</v>
      </c>
      <c r="B281" s="6" t="s">
        <v>86</v>
      </c>
      <c r="C281" s="6" t="s">
        <v>332</v>
      </c>
      <c r="D281" s="6">
        <v>819.12875</v>
      </c>
      <c r="E281" s="6" t="s">
        <v>174</v>
      </c>
      <c r="F281" s="6" t="s">
        <v>55</v>
      </c>
      <c r="G281" s="7">
        <v>52935.75827117996</v>
      </c>
      <c r="H281" s="6">
        <v>43361201.50297379</v>
      </c>
      <c r="I281" s="6" t="s">
        <v>179</v>
      </c>
      <c r="J281" s="15">
        <v>39.75833333333333</v>
      </c>
    </row>
    <row r="282" spans="1:10">
      <c r="A282" s="6" t="s">
        <v>136</v>
      </c>
      <c r="B282" s="6" t="s">
        <v>86</v>
      </c>
      <c r="C282" s="6" t="s">
        <v>333</v>
      </c>
      <c r="D282" s="6">
        <v>1.434166666666667</v>
      </c>
      <c r="E282" s="6" t="s">
        <v>174</v>
      </c>
      <c r="F282" s="6" t="s">
        <v>51</v>
      </c>
      <c r="G282" s="7">
        <v>51556.63499677741</v>
      </c>
      <c r="H282" s="6">
        <v>73940.80735787828</v>
      </c>
      <c r="I282" s="6" t="s">
        <v>180</v>
      </c>
      <c r="J282" s="15">
        <v>8.73308859897227</v>
      </c>
    </row>
    <row r="283" spans="1:10">
      <c r="A283" s="6" t="s">
        <v>136</v>
      </c>
      <c r="B283" s="6" t="s">
        <v>88</v>
      </c>
      <c r="C283" s="6" t="s">
        <v>335</v>
      </c>
      <c r="D283" s="6">
        <v>802.7560833333333</v>
      </c>
      <c r="E283" s="6" t="s">
        <v>174</v>
      </c>
      <c r="F283" s="6" t="s">
        <v>52</v>
      </c>
      <c r="G283" s="7">
        <v>44280.88015614714</v>
      </c>
      <c r="H283" s="6">
        <v>35546745.9207014</v>
      </c>
      <c r="I283" s="6" t="s">
        <v>179</v>
      </c>
      <c r="J283" s="15">
        <v>39</v>
      </c>
    </row>
    <row r="284" spans="1:10">
      <c r="A284" s="6" t="s">
        <v>136</v>
      </c>
      <c r="B284" s="6" t="s">
        <v>88</v>
      </c>
      <c r="C284" s="6" t="s">
        <v>200</v>
      </c>
      <c r="D284" s="6">
        <v>129.5554166666667</v>
      </c>
      <c r="E284" s="6" t="s">
        <v>174</v>
      </c>
      <c r="F284" s="6" t="s">
        <v>52</v>
      </c>
      <c r="G284" s="7">
        <v>32832.77265499769</v>
      </c>
      <c r="H284" s="6">
        <v>4253663.541640166</v>
      </c>
      <c r="I284" s="6" t="s">
        <v>179</v>
      </c>
      <c r="J284" s="15">
        <v>28.025</v>
      </c>
    </row>
    <row r="285" spans="1:10">
      <c r="A285" s="6" t="s">
        <v>136</v>
      </c>
      <c r="B285" s="6" t="s">
        <v>88</v>
      </c>
      <c r="C285" s="6" t="s">
        <v>204</v>
      </c>
      <c r="D285" s="6">
        <v>195.6755</v>
      </c>
      <c r="E285" s="6" t="s">
        <v>174</v>
      </c>
      <c r="F285" s="6" t="s">
        <v>51</v>
      </c>
      <c r="G285" s="7">
        <v>47515.6825465949</v>
      </c>
      <c r="H285" s="6">
        <v>9297654.940146232</v>
      </c>
      <c r="I285" s="6" t="s">
        <v>179</v>
      </c>
      <c r="J285" s="15">
        <v>37.5</v>
      </c>
    </row>
    <row r="286" spans="1:10">
      <c r="A286" s="6" t="s">
        <v>136</v>
      </c>
      <c r="B286" s="6" t="s">
        <v>88</v>
      </c>
      <c r="C286" s="6" t="s">
        <v>340</v>
      </c>
      <c r="D286" s="6">
        <v>118.7876666666667</v>
      </c>
      <c r="E286" s="6" t="s">
        <v>174</v>
      </c>
      <c r="F286" s="6" t="s">
        <v>52</v>
      </c>
      <c r="G286" s="7">
        <v>114043.8535439901</v>
      </c>
      <c r="H286" s="6">
        <v>13547003.26016565</v>
      </c>
      <c r="I286" s="6" t="s">
        <v>179</v>
      </c>
      <c r="J286" s="15">
        <v>54.28333333333333</v>
      </c>
    </row>
    <row r="287" spans="1:10">
      <c r="A287" s="6" t="s">
        <v>136</v>
      </c>
      <c r="B287" s="6" t="s">
        <v>88</v>
      </c>
      <c r="C287" s="6" t="s">
        <v>223</v>
      </c>
      <c r="D287" s="6">
        <v>14.206</v>
      </c>
      <c r="E287" s="6" t="s">
        <v>174</v>
      </c>
      <c r="F287" s="6" t="s">
        <v>53</v>
      </c>
      <c r="G287" s="7">
        <v>30106.99676564071</v>
      </c>
      <c r="H287" s="6">
        <v>427699.9960526919</v>
      </c>
      <c r="I287" s="6" t="s">
        <v>180</v>
      </c>
      <c r="J287" s="15">
        <v>46</v>
      </c>
    </row>
    <row r="288" spans="1:10">
      <c r="A288" s="6" t="s">
        <v>136</v>
      </c>
      <c r="B288" s="6" t="s">
        <v>88</v>
      </c>
      <c r="C288" s="6" t="s">
        <v>236</v>
      </c>
      <c r="D288" s="6">
        <v>70.36858333333333</v>
      </c>
      <c r="E288" s="6" t="s">
        <v>174</v>
      </c>
      <c r="F288" s="6" t="s">
        <v>51</v>
      </c>
      <c r="G288" s="7">
        <v>39132.52854279902</v>
      </c>
      <c r="H288" s="6">
        <v>2753700.595807998</v>
      </c>
      <c r="I288" s="6" t="s">
        <v>179</v>
      </c>
      <c r="J288" s="15">
        <v>44</v>
      </c>
    </row>
    <row r="289" spans="1:10">
      <c r="A289" s="6" t="s">
        <v>136</v>
      </c>
      <c r="B289" s="6" t="s">
        <v>88</v>
      </c>
      <c r="C289" s="6" t="s">
        <v>260</v>
      </c>
      <c r="D289" s="6">
        <v>2052.496583333333</v>
      </c>
      <c r="E289" s="6" t="s">
        <v>174</v>
      </c>
      <c r="F289" s="6" t="s">
        <v>52</v>
      </c>
      <c r="G289" s="7">
        <v>32200.609517864</v>
      </c>
      <c r="H289" s="6">
        <v>66091641.01666667</v>
      </c>
      <c r="I289" s="6" t="s">
        <v>179</v>
      </c>
      <c r="J289" s="15">
        <v>31.95</v>
      </c>
    </row>
    <row r="290" spans="1:10">
      <c r="A290" s="6" t="s">
        <v>136</v>
      </c>
      <c r="B290" s="6" t="s">
        <v>88</v>
      </c>
      <c r="C290" s="6" t="s">
        <v>289</v>
      </c>
      <c r="D290" s="6">
        <v>1567.901166666667</v>
      </c>
      <c r="E290" s="6" t="s">
        <v>174</v>
      </c>
      <c r="F290" s="6" t="s">
        <v>52</v>
      </c>
      <c r="G290" s="7">
        <v>34757.37314593359</v>
      </c>
      <c r="H290" s="6">
        <v>54496125.90577794</v>
      </c>
      <c r="I290" s="6" t="s">
        <v>179</v>
      </c>
      <c r="J290" s="15">
        <v>49</v>
      </c>
    </row>
    <row r="291" spans="1:10">
      <c r="A291" s="6" t="s">
        <v>136</v>
      </c>
      <c r="B291" s="6" t="s">
        <v>88</v>
      </c>
      <c r="C291" s="6" t="s">
        <v>302</v>
      </c>
      <c r="D291" s="6">
        <v>1068.198083333333</v>
      </c>
      <c r="E291" s="6" t="s">
        <v>174</v>
      </c>
      <c r="F291" s="6" t="s">
        <v>52</v>
      </c>
      <c r="G291" s="7">
        <v>33240.74338740388</v>
      </c>
      <c r="H291" s="6">
        <v>35507698.37500001</v>
      </c>
      <c r="I291" s="6" t="s">
        <v>179</v>
      </c>
      <c r="J291" s="15">
        <v>34</v>
      </c>
    </row>
    <row r="292" spans="1:10">
      <c r="A292" s="6" t="s">
        <v>136</v>
      </c>
      <c r="B292" s="6" t="s">
        <v>88</v>
      </c>
      <c r="C292" s="6" t="s">
        <v>361</v>
      </c>
      <c r="D292" s="6">
        <v>59.64275</v>
      </c>
      <c r="E292" s="6" t="s">
        <v>174</v>
      </c>
      <c r="F292" s="6" t="s">
        <v>52</v>
      </c>
      <c r="G292" s="7">
        <v>41929.97821752574</v>
      </c>
      <c r="H292" s="6">
        <v>2500819.208333333</v>
      </c>
      <c r="I292" s="6" t="s">
        <v>179</v>
      </c>
      <c r="J292" s="15">
        <v>39.98333333333333</v>
      </c>
    </row>
    <row r="293" spans="1:10">
      <c r="A293" s="6" t="s">
        <v>136</v>
      </c>
      <c r="B293" s="6" t="s">
        <v>88</v>
      </c>
      <c r="C293" s="6" t="s">
        <v>362</v>
      </c>
      <c r="D293" s="6">
        <v>181.5828333333334</v>
      </c>
      <c r="E293" s="6" t="s">
        <v>174</v>
      </c>
      <c r="F293" s="6" t="s">
        <v>52</v>
      </c>
      <c r="G293" s="7">
        <v>36106.29405129155</v>
      </c>
      <c r="H293" s="6">
        <v>6556283.175</v>
      </c>
      <c r="I293" s="6" t="s">
        <v>179</v>
      </c>
      <c r="J293" s="15">
        <v>34.25</v>
      </c>
    </row>
    <row r="294" spans="1:10">
      <c r="A294" s="6" t="s">
        <v>136</v>
      </c>
      <c r="B294" s="6" t="s">
        <v>88</v>
      </c>
      <c r="C294" s="6" t="s">
        <v>309</v>
      </c>
      <c r="D294" s="6">
        <v>343.2818333333333</v>
      </c>
      <c r="E294" s="6" t="s">
        <v>174</v>
      </c>
      <c r="F294" s="6" t="s">
        <v>52</v>
      </c>
      <c r="G294" s="7">
        <v>43401.39202919273</v>
      </c>
      <c r="H294" s="6">
        <v>14898909.425</v>
      </c>
      <c r="I294" s="6" t="s">
        <v>179</v>
      </c>
      <c r="J294" s="15">
        <v>37.5</v>
      </c>
    </row>
    <row r="295" spans="1:10">
      <c r="A295" s="6" t="s">
        <v>136</v>
      </c>
      <c r="B295" s="6" t="s">
        <v>88</v>
      </c>
      <c r="C295" s="6" t="s">
        <v>310</v>
      </c>
      <c r="D295" s="6">
        <v>35.30658333333333</v>
      </c>
      <c r="E295" s="6" t="s">
        <v>174</v>
      </c>
      <c r="F295" s="6" t="s">
        <v>52</v>
      </c>
      <c r="G295" s="7">
        <v>169203.8684495049</v>
      </c>
      <c r="H295" s="6">
        <v>5974010.481734816</v>
      </c>
      <c r="I295" s="6" t="s">
        <v>179</v>
      </c>
      <c r="J295" s="15">
        <v>82.45</v>
      </c>
    </row>
    <row r="296" spans="1:10">
      <c r="A296" s="6" t="s">
        <v>136</v>
      </c>
      <c r="B296" s="6" t="s">
        <v>88</v>
      </c>
      <c r="C296" s="6" t="s">
        <v>320</v>
      </c>
      <c r="D296" s="6">
        <v>3.271666666666667</v>
      </c>
      <c r="E296" s="6" t="s">
        <v>174</v>
      </c>
      <c r="F296" s="6" t="s">
        <v>51</v>
      </c>
      <c r="G296" s="7">
        <v>27933.36261537085</v>
      </c>
      <c r="H296" s="6">
        <v>91388.65135662162</v>
      </c>
      <c r="I296" s="6" t="s">
        <v>180</v>
      </c>
      <c r="J296" s="15">
        <v>12.0455378640304</v>
      </c>
    </row>
    <row r="297" spans="1:10">
      <c r="A297" s="6" t="s">
        <v>136</v>
      </c>
      <c r="B297" s="6" t="s">
        <v>90</v>
      </c>
      <c r="C297" s="6" t="s">
        <v>194</v>
      </c>
      <c r="D297" s="6">
        <v>0.04166666666666666</v>
      </c>
      <c r="E297" s="6" t="s">
        <v>174</v>
      </c>
      <c r="F297" s="6" t="s">
        <v>58</v>
      </c>
      <c r="G297" s="7">
        <v>59839.94997846646</v>
      </c>
      <c r="H297" s="6">
        <v>2493.331249102769</v>
      </c>
      <c r="I297" s="6" t="s">
        <v>180</v>
      </c>
      <c r="J297" s="15">
        <v>69.98333333333333</v>
      </c>
    </row>
    <row r="298" spans="1:10">
      <c r="A298" s="6" t="s">
        <v>136</v>
      </c>
      <c r="B298" s="6" t="s">
        <v>90</v>
      </c>
      <c r="C298" s="6" t="s">
        <v>335</v>
      </c>
      <c r="D298" s="6">
        <v>431.656</v>
      </c>
      <c r="E298" s="6" t="s">
        <v>174</v>
      </c>
      <c r="F298" s="6" t="s">
        <v>52</v>
      </c>
      <c r="G298" s="7">
        <v>95698.07693963528</v>
      </c>
      <c r="H298" s="6">
        <v>41308649.09945521</v>
      </c>
      <c r="I298" s="6" t="s">
        <v>179</v>
      </c>
      <c r="J298" s="15">
        <v>62.25</v>
      </c>
    </row>
    <row r="299" spans="1:10">
      <c r="A299" s="6" t="s">
        <v>136</v>
      </c>
      <c r="B299" s="6" t="s">
        <v>90</v>
      </c>
      <c r="C299" s="6" t="s">
        <v>197</v>
      </c>
      <c r="D299" s="6">
        <v>7.684416666666666</v>
      </c>
      <c r="E299" s="6" t="s">
        <v>174</v>
      </c>
      <c r="F299" s="6" t="s">
        <v>53</v>
      </c>
      <c r="G299" s="7">
        <v>24873.23941462196</v>
      </c>
      <c r="H299" s="6">
        <v>191136.3355117112</v>
      </c>
      <c r="I299" s="6" t="s">
        <v>179</v>
      </c>
      <c r="J299" s="15">
        <v>27</v>
      </c>
    </row>
    <row r="300" spans="1:10">
      <c r="A300" s="6" t="s">
        <v>136</v>
      </c>
      <c r="B300" s="6" t="s">
        <v>90</v>
      </c>
      <c r="C300" s="6" t="s">
        <v>199</v>
      </c>
      <c r="D300" s="6">
        <v>53.25616666666667</v>
      </c>
      <c r="E300" s="6" t="s">
        <v>174</v>
      </c>
      <c r="F300" s="6" t="s">
        <v>57</v>
      </c>
      <c r="G300" s="7">
        <v>56186.72410453543</v>
      </c>
      <c r="H300" s="6">
        <v>2992289.543365156</v>
      </c>
      <c r="I300" s="6" t="s">
        <v>179</v>
      </c>
      <c r="J300" s="15">
        <v>8.999964910367698</v>
      </c>
    </row>
    <row r="301" spans="1:10">
      <c r="A301" s="6" t="s">
        <v>136</v>
      </c>
      <c r="B301" s="6" t="s">
        <v>90</v>
      </c>
      <c r="C301" s="6" t="s">
        <v>337</v>
      </c>
      <c r="D301" s="6">
        <v>0.04700000000000001</v>
      </c>
      <c r="E301" s="6" t="s">
        <v>174</v>
      </c>
      <c r="F301" s="6" t="s">
        <v>52</v>
      </c>
      <c r="G301" s="7">
        <v>59918.03179942394</v>
      </c>
      <c r="H301" s="6">
        <v>2816.147494572926</v>
      </c>
      <c r="I301" s="6" t="s">
        <v>180</v>
      </c>
      <c r="J301" s="15">
        <v>12.43871031134531</v>
      </c>
    </row>
    <row r="302" spans="1:10">
      <c r="A302" s="6" t="s">
        <v>136</v>
      </c>
      <c r="B302" s="6" t="s">
        <v>90</v>
      </c>
      <c r="C302" s="6" t="s">
        <v>202</v>
      </c>
      <c r="D302" s="6">
        <v>86.11833333333334</v>
      </c>
      <c r="E302" s="6" t="s">
        <v>174</v>
      </c>
      <c r="F302" s="6" t="s">
        <v>54</v>
      </c>
      <c r="G302" s="7">
        <v>97561.06954083586</v>
      </c>
      <c r="H302" s="6">
        <v>8401796.707074217</v>
      </c>
      <c r="I302" s="6" t="s">
        <v>179</v>
      </c>
      <c r="J302" s="15">
        <v>17.88099969416268</v>
      </c>
    </row>
    <row r="303" spans="1:10">
      <c r="A303" s="6" t="s">
        <v>136</v>
      </c>
      <c r="B303" s="6" t="s">
        <v>90</v>
      </c>
      <c r="C303" s="6" t="s">
        <v>203</v>
      </c>
      <c r="D303" s="6">
        <v>1049.853166666667</v>
      </c>
      <c r="E303" s="6" t="s">
        <v>174</v>
      </c>
      <c r="F303" s="6" t="s">
        <v>53</v>
      </c>
      <c r="G303" s="7">
        <v>17844.00974373058</v>
      </c>
      <c r="H303" s="6">
        <v>18733590.1354864</v>
      </c>
      <c r="I303" s="6" t="s">
        <v>179</v>
      </c>
      <c r="J303" s="15">
        <v>12</v>
      </c>
    </row>
    <row r="304" spans="1:10">
      <c r="A304" s="6" t="s">
        <v>136</v>
      </c>
      <c r="B304" s="6" t="s">
        <v>90</v>
      </c>
      <c r="C304" s="6" t="s">
        <v>204</v>
      </c>
      <c r="D304" s="6">
        <v>55.77933333333333</v>
      </c>
      <c r="E304" s="6" t="s">
        <v>174</v>
      </c>
      <c r="F304" s="6" t="s">
        <v>51</v>
      </c>
      <c r="G304" s="7">
        <v>48521.48309148364</v>
      </c>
      <c r="H304" s="6">
        <v>2706495.979187563</v>
      </c>
      <c r="I304" s="6" t="s">
        <v>179</v>
      </c>
      <c r="J304" s="15">
        <v>44.48333333333333</v>
      </c>
    </row>
    <row r="305" spans="1:10">
      <c r="A305" s="6" t="s">
        <v>136</v>
      </c>
      <c r="B305" s="6" t="s">
        <v>90</v>
      </c>
      <c r="C305" s="6" t="s">
        <v>206</v>
      </c>
      <c r="D305" s="6">
        <v>0.2990833333333333</v>
      </c>
      <c r="E305" s="6" t="s">
        <v>174</v>
      </c>
      <c r="F305" s="6" t="s">
        <v>55</v>
      </c>
      <c r="G305" s="7">
        <v>60123.96801866899</v>
      </c>
      <c r="H305" s="6">
        <v>17982.07676825025</v>
      </c>
      <c r="I305" s="6" t="s">
        <v>180</v>
      </c>
      <c r="J305" s="15">
        <v>12.5046970418405</v>
      </c>
    </row>
    <row r="306" spans="1:10">
      <c r="A306" s="6" t="s">
        <v>136</v>
      </c>
      <c r="B306" s="6" t="s">
        <v>90</v>
      </c>
      <c r="C306" s="6" t="s">
        <v>340</v>
      </c>
      <c r="D306" s="6">
        <v>2.519583333333333</v>
      </c>
      <c r="E306" s="6" t="s">
        <v>174</v>
      </c>
      <c r="F306" s="6" t="s">
        <v>52</v>
      </c>
      <c r="G306" s="7">
        <v>93021.31304779231</v>
      </c>
      <c r="H306" s="6">
        <v>234374.95</v>
      </c>
      <c r="I306" s="6" t="s">
        <v>179</v>
      </c>
      <c r="J306" s="15">
        <v>76.88333333333334</v>
      </c>
    </row>
    <row r="307" spans="1:10">
      <c r="A307" s="6" t="s">
        <v>136</v>
      </c>
      <c r="B307" s="6" t="s">
        <v>90</v>
      </c>
      <c r="C307" s="6" t="s">
        <v>207</v>
      </c>
      <c r="D307" s="6">
        <v>3.25</v>
      </c>
      <c r="E307" s="6" t="s">
        <v>174</v>
      </c>
      <c r="F307" s="6" t="s">
        <v>55</v>
      </c>
      <c r="G307" s="7">
        <v>51379.92992151718</v>
      </c>
      <c r="H307" s="6">
        <v>166984.7722449308</v>
      </c>
      <c r="I307" s="6" t="s">
        <v>180</v>
      </c>
      <c r="J307" s="15">
        <v>46</v>
      </c>
    </row>
    <row r="308" spans="1:10">
      <c r="A308" s="6" t="s">
        <v>136</v>
      </c>
      <c r="B308" s="6" t="s">
        <v>90</v>
      </c>
      <c r="C308" s="6" t="s">
        <v>208</v>
      </c>
      <c r="D308" s="6">
        <v>0.2596666666666667</v>
      </c>
      <c r="E308" s="6" t="s">
        <v>174</v>
      </c>
      <c r="F308" s="6" t="s">
        <v>51</v>
      </c>
      <c r="G308" s="7">
        <v>50863.64364522683</v>
      </c>
      <c r="H308" s="6">
        <v>13207.59279987723</v>
      </c>
      <c r="I308" s="6" t="s">
        <v>180</v>
      </c>
      <c r="J308" s="15">
        <v>49.81666666666667</v>
      </c>
    </row>
    <row r="309" spans="1:10">
      <c r="A309" s="6" t="s">
        <v>136</v>
      </c>
      <c r="B309" s="6" t="s">
        <v>90</v>
      </c>
      <c r="C309" s="6" t="s">
        <v>209</v>
      </c>
      <c r="D309" s="6">
        <v>3.76975</v>
      </c>
      <c r="E309" s="6" t="s">
        <v>174</v>
      </c>
      <c r="F309" s="6" t="s">
        <v>57</v>
      </c>
      <c r="G309" s="7">
        <v>49159.54940532756</v>
      </c>
      <c r="H309" s="6">
        <v>185319.2113707336</v>
      </c>
      <c r="I309" s="6" t="s">
        <v>180</v>
      </c>
      <c r="J309" s="15">
        <v>8.991443575659162</v>
      </c>
    </row>
    <row r="310" spans="1:10">
      <c r="A310" s="6" t="s">
        <v>136</v>
      </c>
      <c r="B310" s="6" t="s">
        <v>90</v>
      </c>
      <c r="C310" s="6" t="s">
        <v>210</v>
      </c>
      <c r="D310" s="6">
        <v>1.3275</v>
      </c>
      <c r="E310" s="6" t="s">
        <v>174</v>
      </c>
      <c r="F310" s="6" t="s">
        <v>53</v>
      </c>
      <c r="G310" s="7">
        <v>33962.09735450833</v>
      </c>
      <c r="H310" s="6">
        <v>45084.68423810981</v>
      </c>
      <c r="I310" s="6" t="s">
        <v>180</v>
      </c>
      <c r="J310" s="15">
        <v>12</v>
      </c>
    </row>
    <row r="311" spans="1:10">
      <c r="A311" s="6" t="s">
        <v>136</v>
      </c>
      <c r="B311" s="6" t="s">
        <v>90</v>
      </c>
      <c r="C311" s="6" t="s">
        <v>211</v>
      </c>
      <c r="D311" s="6">
        <v>20.52183333333333</v>
      </c>
      <c r="E311" s="6" t="s">
        <v>174</v>
      </c>
      <c r="F311" s="6" t="s">
        <v>55</v>
      </c>
      <c r="G311" s="7">
        <v>46692.76242695332</v>
      </c>
      <c r="H311" s="6">
        <v>958221.0883988648</v>
      </c>
      <c r="I311" s="6" t="s">
        <v>179</v>
      </c>
      <c r="J311" s="15">
        <v>27.95</v>
      </c>
    </row>
    <row r="312" spans="1:10">
      <c r="A312" s="6" t="s">
        <v>136</v>
      </c>
      <c r="B312" s="6" t="s">
        <v>90</v>
      </c>
      <c r="C312" s="6" t="s">
        <v>212</v>
      </c>
      <c r="D312" s="6">
        <v>3.955083333333333</v>
      </c>
      <c r="E312" s="6" t="s">
        <v>174</v>
      </c>
      <c r="F312" s="6" t="s">
        <v>55</v>
      </c>
      <c r="G312" s="7">
        <v>50564.67204652241</v>
      </c>
      <c r="H312" s="6">
        <v>199987.4916666666</v>
      </c>
      <c r="I312" s="6" t="s">
        <v>179</v>
      </c>
      <c r="J312" s="15">
        <v>30.11666666666667</v>
      </c>
    </row>
    <row r="313" spans="1:10">
      <c r="A313" s="6" t="s">
        <v>136</v>
      </c>
      <c r="B313" s="6" t="s">
        <v>90</v>
      </c>
      <c r="C313" s="6" t="s">
        <v>213</v>
      </c>
      <c r="D313" s="6">
        <v>45.98983333333334</v>
      </c>
      <c r="E313" s="6" t="s">
        <v>174</v>
      </c>
      <c r="F313" s="6" t="s">
        <v>52</v>
      </c>
      <c r="G313" s="7">
        <v>87922.06742521108</v>
      </c>
      <c r="H313" s="6">
        <v>4043521.227207554</v>
      </c>
      <c r="I313" s="6" t="s">
        <v>179</v>
      </c>
      <c r="J313" s="15">
        <v>49.5</v>
      </c>
    </row>
    <row r="314" spans="1:10">
      <c r="A314" s="6" t="s">
        <v>136</v>
      </c>
      <c r="B314" s="6" t="s">
        <v>90</v>
      </c>
      <c r="C314" s="6" t="s">
        <v>214</v>
      </c>
      <c r="D314" s="6">
        <v>2.991</v>
      </c>
      <c r="E314" s="6" t="s">
        <v>174</v>
      </c>
      <c r="F314" s="6" t="s">
        <v>53</v>
      </c>
      <c r="G314" s="7">
        <v>29230.07315219457</v>
      </c>
      <c r="H314" s="6">
        <v>87427.14879821395</v>
      </c>
      <c r="I314" s="6" t="s">
        <v>179</v>
      </c>
      <c r="J314" s="15">
        <v>27</v>
      </c>
    </row>
    <row r="315" spans="1:10">
      <c r="A315" s="6" t="s">
        <v>136</v>
      </c>
      <c r="B315" s="6" t="s">
        <v>90</v>
      </c>
      <c r="C315" s="6" t="s">
        <v>215</v>
      </c>
      <c r="D315" s="6">
        <v>74.65733333333334</v>
      </c>
      <c r="E315" s="6" t="s">
        <v>174</v>
      </c>
      <c r="F315" s="6" t="s">
        <v>54</v>
      </c>
      <c r="G315" s="7">
        <v>98451.26614065717</v>
      </c>
      <c r="H315" s="6">
        <v>7350108.993351757</v>
      </c>
      <c r="I315" s="6" t="s">
        <v>179</v>
      </c>
      <c r="J315" s="15">
        <v>57.11666666666667</v>
      </c>
    </row>
    <row r="316" spans="1:10">
      <c r="A316" s="6" t="s">
        <v>136</v>
      </c>
      <c r="B316" s="6" t="s">
        <v>90</v>
      </c>
      <c r="C316" s="6" t="s">
        <v>216</v>
      </c>
      <c r="D316" s="6">
        <v>12.60283333333333</v>
      </c>
      <c r="E316" s="6" t="s">
        <v>174</v>
      </c>
      <c r="F316" s="6" t="s">
        <v>55</v>
      </c>
      <c r="G316" s="7">
        <v>59347.09149684771</v>
      </c>
      <c r="H316" s="6">
        <v>747941.5029528555</v>
      </c>
      <c r="I316" s="6" t="s">
        <v>179</v>
      </c>
      <c r="J316" s="15">
        <v>8.461003645555749</v>
      </c>
    </row>
    <row r="317" spans="1:10">
      <c r="A317" s="6" t="s">
        <v>136</v>
      </c>
      <c r="B317" s="6" t="s">
        <v>90</v>
      </c>
      <c r="C317" s="6" t="s">
        <v>217</v>
      </c>
      <c r="D317" s="6">
        <v>12.67366666666667</v>
      </c>
      <c r="E317" s="6" t="s">
        <v>174</v>
      </c>
      <c r="F317" s="6" t="s">
        <v>53</v>
      </c>
      <c r="G317" s="7">
        <v>29595.99008532836</v>
      </c>
      <c r="H317" s="6">
        <v>375089.7130114232</v>
      </c>
      <c r="I317" s="6" t="s">
        <v>179</v>
      </c>
      <c r="J317" s="15">
        <v>15</v>
      </c>
    </row>
    <row r="318" spans="1:10">
      <c r="A318" s="6" t="s">
        <v>136</v>
      </c>
      <c r="B318" s="6" t="s">
        <v>90</v>
      </c>
      <c r="C318" s="6" t="s">
        <v>219</v>
      </c>
      <c r="D318" s="6">
        <v>1.373</v>
      </c>
      <c r="E318" s="6" t="s">
        <v>174</v>
      </c>
      <c r="F318" s="6" t="s">
        <v>51</v>
      </c>
      <c r="G318" s="7">
        <v>51094.03428788485</v>
      </c>
      <c r="H318" s="6">
        <v>70152.10907726589</v>
      </c>
      <c r="I318" s="6" t="s">
        <v>180</v>
      </c>
      <c r="J318" s="15">
        <v>34</v>
      </c>
    </row>
    <row r="319" spans="1:10">
      <c r="A319" s="6" t="s">
        <v>136</v>
      </c>
      <c r="B319" s="6" t="s">
        <v>90</v>
      </c>
      <c r="C319" s="6" t="s">
        <v>220</v>
      </c>
      <c r="D319" s="6">
        <v>9.047416666666667</v>
      </c>
      <c r="E319" s="6" t="s">
        <v>174</v>
      </c>
      <c r="F319" s="6" t="s">
        <v>57</v>
      </c>
      <c r="G319" s="7">
        <v>53924.04503825644</v>
      </c>
      <c r="H319" s="6">
        <v>487873.3038132053</v>
      </c>
      <c r="I319" s="6" t="s">
        <v>179</v>
      </c>
      <c r="J319" s="15">
        <v>7.538540506713255</v>
      </c>
    </row>
    <row r="320" spans="1:10">
      <c r="A320" s="6" t="s">
        <v>136</v>
      </c>
      <c r="B320" s="6" t="s">
        <v>90</v>
      </c>
      <c r="C320" s="6" t="s">
        <v>221</v>
      </c>
      <c r="D320" s="6">
        <v>0.2273333333333333</v>
      </c>
      <c r="E320" s="6" t="s">
        <v>174</v>
      </c>
      <c r="F320" s="6" t="s">
        <v>51</v>
      </c>
      <c r="G320" s="7">
        <v>48425.8383555996</v>
      </c>
      <c r="H320" s="6">
        <v>11008.80725283964</v>
      </c>
      <c r="I320" s="6" t="s">
        <v>180</v>
      </c>
      <c r="J320" s="15">
        <v>8.756345575524822</v>
      </c>
    </row>
    <row r="321" spans="1:10">
      <c r="A321" s="6" t="s">
        <v>136</v>
      </c>
      <c r="B321" s="6" t="s">
        <v>90</v>
      </c>
      <c r="C321" s="6" t="s">
        <v>222</v>
      </c>
      <c r="D321" s="6">
        <v>3.964583333333334</v>
      </c>
      <c r="E321" s="6" t="s">
        <v>174</v>
      </c>
      <c r="F321" s="6" t="s">
        <v>57</v>
      </c>
      <c r="G321" s="7">
        <v>48262.84075043558</v>
      </c>
      <c r="H321" s="6">
        <v>191342.0540584977</v>
      </c>
      <c r="I321" s="6" t="s">
        <v>180</v>
      </c>
      <c r="J321" s="15">
        <v>8.704117370681843</v>
      </c>
    </row>
    <row r="322" spans="1:10">
      <c r="A322" s="6" t="s">
        <v>136</v>
      </c>
      <c r="B322" s="6" t="s">
        <v>90</v>
      </c>
      <c r="C322" s="6" t="s">
        <v>342</v>
      </c>
      <c r="D322" s="6">
        <v>10.24625</v>
      </c>
      <c r="E322" s="6" t="s">
        <v>174</v>
      </c>
      <c r="F322" s="6" t="s">
        <v>53</v>
      </c>
      <c r="G322" s="7">
        <v>31674.534542392</v>
      </c>
      <c r="H322" s="6">
        <v>324545.1995549841</v>
      </c>
      <c r="I322" s="6" t="s">
        <v>179</v>
      </c>
      <c r="J322" s="15">
        <v>16</v>
      </c>
    </row>
    <row r="323" spans="1:10">
      <c r="A323" s="6" t="s">
        <v>136</v>
      </c>
      <c r="B323" s="6" t="s">
        <v>90</v>
      </c>
      <c r="C323" s="6" t="s">
        <v>223</v>
      </c>
      <c r="D323" s="6">
        <v>7.694166666666667</v>
      </c>
      <c r="E323" s="6" t="s">
        <v>174</v>
      </c>
      <c r="F323" s="6" t="s">
        <v>53</v>
      </c>
      <c r="G323" s="7">
        <v>25083.95562381905</v>
      </c>
      <c r="H323" s="6">
        <v>193000.1352289344</v>
      </c>
      <c r="I323" s="6" t="s">
        <v>179</v>
      </c>
      <c r="J323" s="15">
        <v>13.5</v>
      </c>
    </row>
    <row r="324" spans="1:10">
      <c r="A324" s="6" t="s">
        <v>136</v>
      </c>
      <c r="B324" s="6" t="s">
        <v>90</v>
      </c>
      <c r="C324" s="6" t="s">
        <v>224</v>
      </c>
      <c r="D324" s="6">
        <v>24.76308333333333</v>
      </c>
      <c r="E324" s="6" t="s">
        <v>174</v>
      </c>
      <c r="F324" s="6" t="s">
        <v>51</v>
      </c>
      <c r="G324" s="7">
        <v>42799.40931898241</v>
      </c>
      <c r="H324" s="6">
        <v>1059845.339583405</v>
      </c>
      <c r="I324" s="6" t="s">
        <v>179</v>
      </c>
      <c r="J324" s="15">
        <v>35.01666666666667</v>
      </c>
    </row>
    <row r="325" spans="1:10">
      <c r="A325" s="6" t="s">
        <v>136</v>
      </c>
      <c r="B325" s="6" t="s">
        <v>90</v>
      </c>
      <c r="C325" s="6" t="s">
        <v>225</v>
      </c>
      <c r="D325" s="6">
        <v>0.07258333333333333</v>
      </c>
      <c r="E325" s="6" t="s">
        <v>174</v>
      </c>
      <c r="F325" s="6" t="s">
        <v>54</v>
      </c>
      <c r="G325" s="7">
        <v>60801.11682439398</v>
      </c>
      <c r="H325" s="6">
        <v>4413.14772950393</v>
      </c>
      <c r="I325" s="6" t="s">
        <v>180</v>
      </c>
      <c r="J325" s="15">
        <v>12.72167119001276</v>
      </c>
    </row>
    <row r="326" spans="1:10">
      <c r="A326" s="6" t="s">
        <v>136</v>
      </c>
      <c r="B326" s="6" t="s">
        <v>90</v>
      </c>
      <c r="C326" s="6" t="s">
        <v>227</v>
      </c>
      <c r="D326" s="6">
        <v>16.49083333333333</v>
      </c>
      <c r="E326" s="6" t="s">
        <v>174</v>
      </c>
      <c r="F326" s="6" t="s">
        <v>57</v>
      </c>
      <c r="G326" s="7">
        <v>55105.68966338142</v>
      </c>
      <c r="H326" s="6">
        <v>908738.7439572125</v>
      </c>
      <c r="I326" s="6" t="s">
        <v>179</v>
      </c>
      <c r="J326" s="15">
        <v>105.6833333333333</v>
      </c>
    </row>
    <row r="327" spans="1:10">
      <c r="A327" s="6" t="s">
        <v>136</v>
      </c>
      <c r="B327" s="6" t="s">
        <v>90</v>
      </c>
      <c r="C327" s="6" t="s">
        <v>228</v>
      </c>
      <c r="D327" s="6">
        <v>0.1133333333333333</v>
      </c>
      <c r="E327" s="6" t="s">
        <v>174</v>
      </c>
      <c r="F327" s="6" t="s">
        <v>51</v>
      </c>
      <c r="G327" s="7">
        <v>55221.41986499156</v>
      </c>
      <c r="H327" s="6">
        <v>6258.427584699044</v>
      </c>
      <c r="I327" s="6" t="s">
        <v>180</v>
      </c>
      <c r="J327" s="15">
        <v>10.933807156893</v>
      </c>
    </row>
    <row r="328" spans="1:10">
      <c r="A328" s="6" t="s">
        <v>136</v>
      </c>
      <c r="B328" s="6" t="s">
        <v>90</v>
      </c>
      <c r="C328" s="6" t="s">
        <v>230</v>
      </c>
      <c r="D328" s="6">
        <v>192.0879166666666</v>
      </c>
      <c r="E328" s="6" t="s">
        <v>174</v>
      </c>
      <c r="F328" s="6" t="s">
        <v>53</v>
      </c>
      <c r="G328" s="7">
        <v>26357.64880300622</v>
      </c>
      <c r="H328" s="6">
        <v>5062985.846801125</v>
      </c>
      <c r="I328" s="6" t="s">
        <v>179</v>
      </c>
      <c r="J328" s="15">
        <v>20</v>
      </c>
    </row>
    <row r="329" spans="1:10">
      <c r="A329" s="6" t="s">
        <v>136</v>
      </c>
      <c r="B329" s="6" t="s">
        <v>90</v>
      </c>
      <c r="C329" s="6" t="s">
        <v>231</v>
      </c>
      <c r="D329" s="6">
        <v>17.39916666666667</v>
      </c>
      <c r="E329" s="6" t="s">
        <v>174</v>
      </c>
      <c r="F329" s="6" t="s">
        <v>52</v>
      </c>
      <c r="G329" s="7">
        <v>82232.89172108902</v>
      </c>
      <c r="H329" s="6">
        <v>1430783.788537181</v>
      </c>
      <c r="I329" s="6" t="s">
        <v>179</v>
      </c>
      <c r="J329" s="15">
        <v>52</v>
      </c>
    </row>
    <row r="330" spans="1:10">
      <c r="A330" s="6" t="s">
        <v>136</v>
      </c>
      <c r="B330" s="6" t="s">
        <v>90</v>
      </c>
      <c r="C330" s="6" t="s">
        <v>346</v>
      </c>
      <c r="D330" s="6">
        <v>11.45316666666667</v>
      </c>
      <c r="E330" s="6" t="s">
        <v>174</v>
      </c>
      <c r="F330" s="6" t="s">
        <v>52</v>
      </c>
      <c r="G330" s="7">
        <v>91163.5527628312</v>
      </c>
      <c r="H330" s="6">
        <v>1044111.363718166</v>
      </c>
      <c r="I330" s="6" t="s">
        <v>179</v>
      </c>
      <c r="J330" s="15">
        <v>48.5</v>
      </c>
    </row>
    <row r="331" spans="1:10">
      <c r="A331" s="6" t="s">
        <v>136</v>
      </c>
      <c r="B331" s="6" t="s">
        <v>90</v>
      </c>
      <c r="C331" s="6" t="s">
        <v>232</v>
      </c>
      <c r="D331" s="6">
        <v>0.16725</v>
      </c>
      <c r="E331" s="6" t="s">
        <v>174</v>
      </c>
      <c r="F331" s="6" t="s">
        <v>51</v>
      </c>
      <c r="G331" s="7">
        <v>49666.97485574454</v>
      </c>
      <c r="H331" s="6">
        <v>8306.801544623275</v>
      </c>
      <c r="I331" s="6" t="s">
        <v>180</v>
      </c>
      <c r="J331" s="15">
        <v>9.154034432992617</v>
      </c>
    </row>
    <row r="332" spans="1:10">
      <c r="A332" s="6" t="s">
        <v>136</v>
      </c>
      <c r="B332" s="6" t="s">
        <v>90</v>
      </c>
      <c r="C332" s="6" t="s">
        <v>233</v>
      </c>
      <c r="D332" s="6">
        <v>11.86166666666667</v>
      </c>
      <c r="E332" s="6" t="s">
        <v>174</v>
      </c>
      <c r="F332" s="6" t="s">
        <v>59</v>
      </c>
      <c r="G332" s="7">
        <v>45010.3800065543</v>
      </c>
      <c r="H332" s="6">
        <v>533898.1241777448</v>
      </c>
      <c r="I332" s="6" t="s">
        <v>179</v>
      </c>
      <c r="J332" s="15">
        <v>30.75</v>
      </c>
    </row>
    <row r="333" spans="1:10">
      <c r="A333" s="6" t="s">
        <v>136</v>
      </c>
      <c r="B333" s="6" t="s">
        <v>90</v>
      </c>
      <c r="C333" s="6" t="s">
        <v>234</v>
      </c>
      <c r="D333" s="6">
        <v>62.06208333333333</v>
      </c>
      <c r="E333" s="6" t="s">
        <v>174</v>
      </c>
      <c r="F333" s="6" t="s">
        <v>56</v>
      </c>
      <c r="G333" s="7">
        <v>133441.6069260497</v>
      </c>
      <c r="H333" s="6">
        <v>8281664.129178405</v>
      </c>
      <c r="I333" s="6" t="s">
        <v>179</v>
      </c>
      <c r="J333" s="15">
        <v>28</v>
      </c>
    </row>
    <row r="334" spans="1:10">
      <c r="A334" s="6" t="s">
        <v>136</v>
      </c>
      <c r="B334" s="6" t="s">
        <v>90</v>
      </c>
      <c r="C334" s="6" t="s">
        <v>235</v>
      </c>
      <c r="D334" s="6">
        <v>1.38475</v>
      </c>
      <c r="E334" s="6" t="s">
        <v>174</v>
      </c>
      <c r="F334" s="6" t="s">
        <v>53</v>
      </c>
      <c r="G334" s="7">
        <v>35566.8159439669</v>
      </c>
      <c r="H334" s="6">
        <v>49251.14837840817</v>
      </c>
      <c r="I334" s="6" t="s">
        <v>180</v>
      </c>
      <c r="J334" s="15">
        <v>38</v>
      </c>
    </row>
    <row r="335" spans="1:10">
      <c r="A335" s="6" t="s">
        <v>136</v>
      </c>
      <c r="B335" s="6" t="s">
        <v>90</v>
      </c>
      <c r="C335" s="6" t="s">
        <v>236</v>
      </c>
      <c r="D335" s="6">
        <v>58.5155</v>
      </c>
      <c r="E335" s="6" t="s">
        <v>174</v>
      </c>
      <c r="F335" s="6" t="s">
        <v>51</v>
      </c>
      <c r="G335" s="7">
        <v>47804.16828302459</v>
      </c>
      <c r="H335" s="6">
        <v>2797284.809165325</v>
      </c>
      <c r="I335" s="6" t="s">
        <v>179</v>
      </c>
      <c r="J335" s="15">
        <v>46.93333333333333</v>
      </c>
    </row>
    <row r="336" spans="1:10">
      <c r="A336" s="6" t="s">
        <v>136</v>
      </c>
      <c r="B336" s="6" t="s">
        <v>90</v>
      </c>
      <c r="C336" s="6" t="s">
        <v>237</v>
      </c>
      <c r="D336" s="6">
        <v>0.8793333333333333</v>
      </c>
      <c r="E336" s="6" t="s">
        <v>174</v>
      </c>
      <c r="F336" s="6" t="s">
        <v>51</v>
      </c>
      <c r="G336" s="7">
        <v>53666.69833269802</v>
      </c>
      <c r="H336" s="6">
        <v>47190.91673388579</v>
      </c>
      <c r="I336" s="6" t="s">
        <v>180</v>
      </c>
      <c r="J336" s="15">
        <v>10.43563839802869</v>
      </c>
    </row>
    <row r="337" spans="1:10">
      <c r="A337" s="6" t="s">
        <v>136</v>
      </c>
      <c r="B337" s="6" t="s">
        <v>90</v>
      </c>
      <c r="C337" s="6" t="s">
        <v>238</v>
      </c>
      <c r="D337" s="6">
        <v>0.01958333333333333</v>
      </c>
      <c r="E337" s="6" t="s">
        <v>174</v>
      </c>
      <c r="F337" s="6" t="s">
        <v>51</v>
      </c>
      <c r="G337" s="7">
        <v>51511.99694495334</v>
      </c>
      <c r="H337" s="6">
        <v>1008.776606838669</v>
      </c>
      <c r="I337" s="6" t="s">
        <v>180</v>
      </c>
      <c r="J337" s="15">
        <v>9.745222208531091</v>
      </c>
    </row>
    <row r="338" spans="1:10">
      <c r="A338" s="6" t="s">
        <v>136</v>
      </c>
      <c r="B338" s="6" t="s">
        <v>90</v>
      </c>
      <c r="C338" s="6" t="s">
        <v>239</v>
      </c>
      <c r="D338" s="6">
        <v>2.826333333333334</v>
      </c>
      <c r="E338" s="6" t="s">
        <v>174</v>
      </c>
      <c r="F338" s="6" t="s">
        <v>54</v>
      </c>
      <c r="G338" s="7">
        <v>77876.19751626256</v>
      </c>
      <c r="H338" s="6">
        <v>220104.0929134634</v>
      </c>
      <c r="I338" s="6" t="s">
        <v>179</v>
      </c>
      <c r="J338" s="15">
        <v>17.61605692581799</v>
      </c>
    </row>
    <row r="339" spans="1:10">
      <c r="A339" s="6" t="s">
        <v>136</v>
      </c>
      <c r="B339" s="6" t="s">
        <v>90</v>
      </c>
      <c r="C339" s="6" t="s">
        <v>240</v>
      </c>
      <c r="D339" s="6">
        <v>0.8065833333333333</v>
      </c>
      <c r="E339" s="6" t="s">
        <v>174</v>
      </c>
      <c r="F339" s="6" t="s">
        <v>51</v>
      </c>
      <c r="G339" s="7">
        <v>52330.78471449605</v>
      </c>
      <c r="H339" s="6">
        <v>42209.13877096728</v>
      </c>
      <c r="I339" s="6" t="s">
        <v>180</v>
      </c>
      <c r="J339" s="15">
        <v>42</v>
      </c>
    </row>
    <row r="340" spans="1:10">
      <c r="A340" s="6" t="s">
        <v>136</v>
      </c>
      <c r="B340" s="6" t="s">
        <v>90</v>
      </c>
      <c r="C340" s="6" t="s">
        <v>241</v>
      </c>
      <c r="D340" s="6">
        <v>9.528916666666666</v>
      </c>
      <c r="E340" s="6" t="s">
        <v>174</v>
      </c>
      <c r="F340" s="6" t="s">
        <v>53</v>
      </c>
      <c r="G340" s="7">
        <v>26388.49277067184</v>
      </c>
      <c r="H340" s="6">
        <v>251453.7485706677</v>
      </c>
      <c r="I340" s="6" t="s">
        <v>179</v>
      </c>
      <c r="J340" s="15">
        <v>14.36666666666667</v>
      </c>
    </row>
    <row r="341" spans="1:10">
      <c r="A341" s="6" t="s">
        <v>136</v>
      </c>
      <c r="B341" s="6" t="s">
        <v>90</v>
      </c>
      <c r="C341" s="6" t="s">
        <v>242</v>
      </c>
      <c r="D341" s="6">
        <v>11.05</v>
      </c>
      <c r="E341" s="6" t="s">
        <v>174</v>
      </c>
      <c r="F341" s="6" t="s">
        <v>56</v>
      </c>
      <c r="G341" s="7">
        <v>48613.69532428356</v>
      </c>
      <c r="H341" s="6">
        <v>537181.3333333333</v>
      </c>
      <c r="I341" s="6" t="s">
        <v>179</v>
      </c>
      <c r="J341" s="15">
        <v>6.75</v>
      </c>
    </row>
    <row r="342" spans="1:10">
      <c r="A342" s="6" t="s">
        <v>136</v>
      </c>
      <c r="B342" s="6" t="s">
        <v>90</v>
      </c>
      <c r="C342" s="6" t="s">
        <v>243</v>
      </c>
      <c r="D342" s="6">
        <v>0.02716666666666667</v>
      </c>
      <c r="E342" s="6" t="s">
        <v>174</v>
      </c>
      <c r="F342" s="6" t="s">
        <v>58</v>
      </c>
      <c r="G342" s="7">
        <v>63812.70248767162</v>
      </c>
      <c r="H342" s="6">
        <v>1733.578417581746</v>
      </c>
      <c r="I342" s="6" t="s">
        <v>180</v>
      </c>
      <c r="J342" s="15">
        <v>13.68665293171113</v>
      </c>
    </row>
    <row r="343" spans="1:10">
      <c r="A343" s="6" t="s">
        <v>136</v>
      </c>
      <c r="B343" s="6" t="s">
        <v>90</v>
      </c>
      <c r="C343" s="6" t="s">
        <v>244</v>
      </c>
      <c r="D343" s="6">
        <v>0.1876666666666667</v>
      </c>
      <c r="E343" s="6" t="s">
        <v>174</v>
      </c>
      <c r="F343" s="6" t="s">
        <v>55</v>
      </c>
      <c r="G343" s="7">
        <v>56778.78135882129</v>
      </c>
      <c r="H343" s="6">
        <v>10655.48463500546</v>
      </c>
      <c r="I343" s="6" t="s">
        <v>180</v>
      </c>
      <c r="J343" s="15">
        <v>11.43282182052843</v>
      </c>
    </row>
    <row r="344" spans="1:10">
      <c r="A344" s="6" t="s">
        <v>136</v>
      </c>
      <c r="B344" s="6" t="s">
        <v>90</v>
      </c>
      <c r="C344" s="6" t="s">
        <v>245</v>
      </c>
      <c r="D344" s="6">
        <v>2.717416666666667</v>
      </c>
      <c r="E344" s="6" t="s">
        <v>174</v>
      </c>
      <c r="F344" s="6" t="s">
        <v>53</v>
      </c>
      <c r="G344" s="7">
        <v>15981.96816829709</v>
      </c>
      <c r="H344" s="6">
        <v>43429.66666666666</v>
      </c>
      <c r="I344" s="6" t="s">
        <v>179</v>
      </c>
      <c r="J344" s="15">
        <v>38</v>
      </c>
    </row>
    <row r="345" spans="1:10">
      <c r="A345" s="6" t="s">
        <v>136</v>
      </c>
      <c r="B345" s="6" t="s">
        <v>90</v>
      </c>
      <c r="C345" s="6" t="s">
        <v>246</v>
      </c>
      <c r="D345" s="6">
        <v>0.6570833333333334</v>
      </c>
      <c r="E345" s="6" t="s">
        <v>174</v>
      </c>
      <c r="F345" s="6" t="s">
        <v>53</v>
      </c>
      <c r="G345" s="7">
        <v>33731.16398827116</v>
      </c>
      <c r="H345" s="6">
        <v>22164.18567062651</v>
      </c>
      <c r="I345" s="6" t="s">
        <v>180</v>
      </c>
      <c r="J345" s="15">
        <v>34.44166666666666</v>
      </c>
    </row>
    <row r="346" spans="1:10">
      <c r="A346" s="6" t="s">
        <v>136</v>
      </c>
      <c r="B346" s="6" t="s">
        <v>90</v>
      </c>
      <c r="C346" s="6" t="s">
        <v>348</v>
      </c>
      <c r="D346" s="6">
        <v>57.47191666666667</v>
      </c>
      <c r="E346" s="6" t="s">
        <v>174</v>
      </c>
      <c r="F346" s="6" t="s">
        <v>52</v>
      </c>
      <c r="G346" s="7">
        <v>84173.86100654831</v>
      </c>
      <c r="H346" s="6">
        <v>4837633.125279927</v>
      </c>
      <c r="I346" s="6" t="s">
        <v>179</v>
      </c>
      <c r="J346" s="15">
        <v>51</v>
      </c>
    </row>
    <row r="347" spans="1:10">
      <c r="A347" s="6" t="s">
        <v>136</v>
      </c>
      <c r="B347" s="6" t="s">
        <v>90</v>
      </c>
      <c r="C347" s="6" t="s">
        <v>247</v>
      </c>
      <c r="D347" s="6">
        <v>20.91558333333333</v>
      </c>
      <c r="E347" s="6" t="s">
        <v>174</v>
      </c>
      <c r="F347" s="6" t="s">
        <v>51</v>
      </c>
      <c r="G347" s="7">
        <v>47607.91710069619</v>
      </c>
      <c r="H347" s="6">
        <v>995747.3574460363</v>
      </c>
      <c r="I347" s="6" t="s">
        <v>179</v>
      </c>
      <c r="J347" s="15">
        <v>22.81666666666667</v>
      </c>
    </row>
    <row r="348" spans="1:10">
      <c r="A348" s="6" t="s">
        <v>136</v>
      </c>
      <c r="B348" s="6" t="s">
        <v>90</v>
      </c>
      <c r="C348" s="6" t="s">
        <v>248</v>
      </c>
      <c r="D348" s="6">
        <v>11.25425</v>
      </c>
      <c r="E348" s="6" t="s">
        <v>174</v>
      </c>
      <c r="F348" s="6" t="s">
        <v>55</v>
      </c>
      <c r="G348" s="7">
        <v>105730.4534899073</v>
      </c>
      <c r="H348" s="6">
        <v>1189916.95618879</v>
      </c>
      <c r="I348" s="6" t="s">
        <v>179</v>
      </c>
      <c r="J348" s="15">
        <v>62</v>
      </c>
    </row>
    <row r="349" spans="1:10">
      <c r="A349" s="6" t="s">
        <v>136</v>
      </c>
      <c r="B349" s="6" t="s">
        <v>90</v>
      </c>
      <c r="C349" s="6" t="s">
        <v>249</v>
      </c>
      <c r="D349" s="6">
        <v>57.554</v>
      </c>
      <c r="E349" s="6" t="s">
        <v>174</v>
      </c>
      <c r="F349" s="6" t="s">
        <v>53</v>
      </c>
      <c r="G349" s="7">
        <v>24606.21147932586</v>
      </c>
      <c r="H349" s="6">
        <v>1416185.895481121</v>
      </c>
      <c r="I349" s="6" t="s">
        <v>179</v>
      </c>
      <c r="J349" s="15">
        <v>18</v>
      </c>
    </row>
    <row r="350" spans="1:10">
      <c r="A350" s="6" t="s">
        <v>136</v>
      </c>
      <c r="B350" s="6" t="s">
        <v>90</v>
      </c>
      <c r="C350" s="6" t="s">
        <v>351</v>
      </c>
      <c r="D350" s="6">
        <v>0.9333333333333332</v>
      </c>
      <c r="E350" s="6" t="s">
        <v>174</v>
      </c>
      <c r="F350" s="6" t="s">
        <v>53</v>
      </c>
      <c r="G350" s="7">
        <v>38920.81072942021</v>
      </c>
      <c r="H350" s="6">
        <v>36326.09001412552</v>
      </c>
      <c r="I350" s="6" t="s">
        <v>180</v>
      </c>
      <c r="J350" s="15">
        <v>57</v>
      </c>
    </row>
    <row r="351" spans="1:10">
      <c r="A351" s="6" t="s">
        <v>136</v>
      </c>
      <c r="B351" s="6" t="s">
        <v>90</v>
      </c>
      <c r="C351" s="6" t="s">
        <v>250</v>
      </c>
      <c r="D351" s="6">
        <v>0.4788333333333334</v>
      </c>
      <c r="E351" s="6" t="s">
        <v>174</v>
      </c>
      <c r="F351" s="6" t="s">
        <v>55</v>
      </c>
      <c r="G351" s="7">
        <v>63627.67337809179</v>
      </c>
      <c r="H351" s="6">
        <v>30467.05093587629</v>
      </c>
      <c r="I351" s="6" t="s">
        <v>180</v>
      </c>
      <c r="J351" s="15">
        <v>13.62736532299243</v>
      </c>
    </row>
    <row r="352" spans="1:10">
      <c r="A352" s="6" t="s">
        <v>136</v>
      </c>
      <c r="B352" s="6" t="s">
        <v>90</v>
      </c>
      <c r="C352" s="6" t="s">
        <v>251</v>
      </c>
      <c r="D352" s="6">
        <v>16.37658333333333</v>
      </c>
      <c r="E352" s="6" t="s">
        <v>174</v>
      </c>
      <c r="F352" s="6" t="s">
        <v>53</v>
      </c>
      <c r="G352" s="7">
        <v>23642.19568206914</v>
      </c>
      <c r="H352" s="6">
        <v>387178.3877703788</v>
      </c>
      <c r="I352" s="6" t="s">
        <v>179</v>
      </c>
      <c r="J352" s="15">
        <v>18.675</v>
      </c>
    </row>
    <row r="353" spans="1:10">
      <c r="A353" s="6" t="s">
        <v>136</v>
      </c>
      <c r="B353" s="6" t="s">
        <v>90</v>
      </c>
      <c r="C353" s="6" t="s">
        <v>252</v>
      </c>
      <c r="D353" s="6">
        <v>0.156</v>
      </c>
      <c r="E353" s="6" t="s">
        <v>174</v>
      </c>
      <c r="F353" s="6" t="s">
        <v>57</v>
      </c>
      <c r="G353" s="7">
        <v>42694.47301830137</v>
      </c>
      <c r="H353" s="6">
        <v>6660.337790855013</v>
      </c>
      <c r="I353" s="6" t="s">
        <v>180</v>
      </c>
      <c r="J353" s="15">
        <v>6.919883484163813</v>
      </c>
    </row>
    <row r="354" spans="1:10">
      <c r="A354" s="6" t="s">
        <v>136</v>
      </c>
      <c r="B354" s="6" t="s">
        <v>90</v>
      </c>
      <c r="C354" s="6" t="s">
        <v>253</v>
      </c>
      <c r="D354" s="6">
        <v>14.62</v>
      </c>
      <c r="E354" s="6" t="s">
        <v>174</v>
      </c>
      <c r="F354" s="6" t="s">
        <v>53</v>
      </c>
      <c r="G354" s="7">
        <v>32446.79249986879</v>
      </c>
      <c r="H354" s="6">
        <v>474372.1063480817</v>
      </c>
      <c r="I354" s="6" t="s">
        <v>179</v>
      </c>
      <c r="J354" s="15">
        <v>16</v>
      </c>
    </row>
    <row r="355" spans="1:10">
      <c r="A355" s="6" t="s">
        <v>136</v>
      </c>
      <c r="B355" s="6" t="s">
        <v>90</v>
      </c>
      <c r="C355" s="6" t="s">
        <v>254</v>
      </c>
      <c r="D355" s="6">
        <v>0.06674999999999999</v>
      </c>
      <c r="E355" s="6" t="s">
        <v>174</v>
      </c>
      <c r="F355" s="6" t="s">
        <v>51</v>
      </c>
      <c r="G355" s="7">
        <v>50623.2876601551</v>
      </c>
      <c r="H355" s="6">
        <v>3379.104451315352</v>
      </c>
      <c r="I355" s="6" t="s">
        <v>180</v>
      </c>
      <c r="J355" s="15">
        <v>9.460459186856067</v>
      </c>
    </row>
    <row r="356" spans="1:10">
      <c r="A356" s="6" t="s">
        <v>136</v>
      </c>
      <c r="B356" s="6" t="s">
        <v>90</v>
      </c>
      <c r="C356" s="6" t="s">
        <v>256</v>
      </c>
      <c r="D356" s="6">
        <v>2.03125</v>
      </c>
      <c r="E356" s="6" t="s">
        <v>174</v>
      </c>
      <c r="F356" s="6" t="s">
        <v>57</v>
      </c>
      <c r="G356" s="7">
        <v>50139.25135563286</v>
      </c>
      <c r="H356" s="6">
        <v>101845.3543161292</v>
      </c>
      <c r="I356" s="6" t="s">
        <v>180</v>
      </c>
      <c r="J356" s="15">
        <v>64</v>
      </c>
    </row>
    <row r="357" spans="1:10">
      <c r="A357" s="6" t="s">
        <v>136</v>
      </c>
      <c r="B357" s="6" t="s">
        <v>90</v>
      </c>
      <c r="C357" s="6" t="s">
        <v>257</v>
      </c>
      <c r="D357" s="6">
        <v>18.89116666666667</v>
      </c>
      <c r="E357" s="6" t="s">
        <v>174</v>
      </c>
      <c r="F357" s="6" t="s">
        <v>52</v>
      </c>
      <c r="G357" s="7">
        <v>85265.7273803006</v>
      </c>
      <c r="H357" s="6">
        <v>1610769.066895822</v>
      </c>
      <c r="I357" s="6" t="s">
        <v>179</v>
      </c>
      <c r="J357" s="15">
        <v>44</v>
      </c>
    </row>
    <row r="358" spans="1:10">
      <c r="A358" s="6" t="s">
        <v>136</v>
      </c>
      <c r="B358" s="6" t="s">
        <v>90</v>
      </c>
      <c r="C358" s="6" t="s">
        <v>258</v>
      </c>
      <c r="D358" s="6">
        <v>5.824416666666667</v>
      </c>
      <c r="E358" s="6" t="s">
        <v>174</v>
      </c>
      <c r="F358" s="6" t="s">
        <v>52</v>
      </c>
      <c r="G358" s="7">
        <v>82626.29734022004</v>
      </c>
      <c r="H358" s="6">
        <v>481249.9833333333</v>
      </c>
      <c r="I358" s="6" t="s">
        <v>179</v>
      </c>
      <c r="J358" s="15">
        <v>47</v>
      </c>
    </row>
    <row r="359" spans="1:10">
      <c r="A359" s="6" t="s">
        <v>136</v>
      </c>
      <c r="B359" s="6" t="s">
        <v>90</v>
      </c>
      <c r="C359" s="6" t="s">
        <v>260</v>
      </c>
      <c r="D359" s="6">
        <v>374.2324166666667</v>
      </c>
      <c r="E359" s="6" t="s">
        <v>174</v>
      </c>
      <c r="F359" s="6" t="s">
        <v>52</v>
      </c>
      <c r="G359" s="7">
        <v>55804.87767627013</v>
      </c>
      <c r="H359" s="6">
        <v>20883994.23457829</v>
      </c>
      <c r="I359" s="6" t="s">
        <v>179</v>
      </c>
      <c r="J359" s="15">
        <v>64.03333333333333</v>
      </c>
    </row>
    <row r="360" spans="1:10">
      <c r="A360" s="6" t="s">
        <v>136</v>
      </c>
      <c r="B360" s="6" t="s">
        <v>90</v>
      </c>
      <c r="C360" s="6" t="s">
        <v>261</v>
      </c>
      <c r="D360" s="6">
        <v>2.250083333333333</v>
      </c>
      <c r="E360" s="6" t="s">
        <v>174</v>
      </c>
      <c r="F360" s="6" t="s">
        <v>54</v>
      </c>
      <c r="G360" s="7">
        <v>59278.32258850268</v>
      </c>
      <c r="H360" s="6">
        <v>133381.1656843467</v>
      </c>
      <c r="I360" s="6" t="s">
        <v>180</v>
      </c>
      <c r="J360" s="15">
        <v>12.23373267578856</v>
      </c>
    </row>
    <row r="361" spans="1:10">
      <c r="A361" s="6" t="s">
        <v>136</v>
      </c>
      <c r="B361" s="6" t="s">
        <v>90</v>
      </c>
      <c r="C361" s="6" t="s">
        <v>263</v>
      </c>
      <c r="D361" s="6">
        <v>18.17741666666667</v>
      </c>
      <c r="E361" s="6" t="s">
        <v>174</v>
      </c>
      <c r="F361" s="6" t="s">
        <v>54</v>
      </c>
      <c r="G361" s="7">
        <v>65896.61824279206</v>
      </c>
      <c r="H361" s="6">
        <v>1197830.286723499</v>
      </c>
      <c r="I361" s="6" t="s">
        <v>179</v>
      </c>
      <c r="J361" s="15">
        <v>46.91666666666666</v>
      </c>
    </row>
    <row r="362" spans="1:10">
      <c r="A362" s="6" t="s">
        <v>136</v>
      </c>
      <c r="B362" s="6" t="s">
        <v>90</v>
      </c>
      <c r="C362" s="6" t="s">
        <v>265</v>
      </c>
      <c r="D362" s="6">
        <v>10.85083333333333</v>
      </c>
      <c r="E362" s="6" t="s">
        <v>174</v>
      </c>
      <c r="F362" s="6" t="s">
        <v>54</v>
      </c>
      <c r="G362" s="7">
        <v>88348.04007123776</v>
      </c>
      <c r="H362" s="6">
        <v>958649.8581396558</v>
      </c>
      <c r="I362" s="6" t="s">
        <v>179</v>
      </c>
      <c r="J362" s="15">
        <v>17.53537223567039</v>
      </c>
    </row>
    <row r="363" spans="1:10">
      <c r="A363" s="6" t="s">
        <v>136</v>
      </c>
      <c r="B363" s="6" t="s">
        <v>90</v>
      </c>
      <c r="C363" s="6" t="s">
        <v>266</v>
      </c>
      <c r="D363" s="6">
        <v>56.62941666666666</v>
      </c>
      <c r="E363" s="6" t="s">
        <v>174</v>
      </c>
      <c r="F363" s="6" t="s">
        <v>57</v>
      </c>
      <c r="G363" s="7">
        <v>59085.91288749369</v>
      </c>
      <c r="H363" s="6">
        <v>3346000.78003625</v>
      </c>
      <c r="I363" s="6" t="s">
        <v>179</v>
      </c>
      <c r="J363" s="15">
        <v>7.229441618985901</v>
      </c>
    </row>
    <row r="364" spans="1:10">
      <c r="A364" s="6" t="s">
        <v>136</v>
      </c>
      <c r="B364" s="6" t="s">
        <v>90</v>
      </c>
      <c r="C364" s="6" t="s">
        <v>267</v>
      </c>
      <c r="D364" s="6">
        <v>1083.689166666667</v>
      </c>
      <c r="E364" s="6" t="s">
        <v>174</v>
      </c>
      <c r="F364" s="6" t="s">
        <v>53</v>
      </c>
      <c r="G364" s="7">
        <v>28187.4549918804</v>
      </c>
      <c r="H364" s="6">
        <v>30546439.61060505</v>
      </c>
      <c r="I364" s="6" t="s">
        <v>179</v>
      </c>
      <c r="J364" s="15">
        <v>17</v>
      </c>
    </row>
    <row r="365" spans="1:10">
      <c r="A365" s="6" t="s">
        <v>136</v>
      </c>
      <c r="B365" s="6" t="s">
        <v>90</v>
      </c>
      <c r="C365" s="6" t="s">
        <v>366</v>
      </c>
      <c r="D365" s="6">
        <v>22.40266666666666</v>
      </c>
      <c r="E365" s="6" t="s">
        <v>174</v>
      </c>
      <c r="F365" s="6" t="s">
        <v>52</v>
      </c>
      <c r="G365" s="7">
        <v>78732.78292762766</v>
      </c>
      <c r="H365" s="6">
        <v>1763824.291666667</v>
      </c>
      <c r="I365" s="6" t="s">
        <v>179</v>
      </c>
      <c r="J365" s="15">
        <v>56.95</v>
      </c>
    </row>
    <row r="366" spans="1:10">
      <c r="A366" s="6" t="s">
        <v>136</v>
      </c>
      <c r="B366" s="6" t="s">
        <v>90</v>
      </c>
      <c r="C366" s="6" t="s">
        <v>268</v>
      </c>
      <c r="D366" s="6">
        <v>0.1794166666666667</v>
      </c>
      <c r="E366" s="6" t="s">
        <v>174</v>
      </c>
      <c r="F366" s="6" t="s">
        <v>51</v>
      </c>
      <c r="G366" s="7">
        <v>53756.28752738577</v>
      </c>
      <c r="H366" s="6">
        <v>9644.773920538464</v>
      </c>
      <c r="I366" s="6" t="s">
        <v>180</v>
      </c>
      <c r="J366" s="15">
        <v>10.46434484931158</v>
      </c>
    </row>
    <row r="367" spans="1:10">
      <c r="A367" s="6" t="s">
        <v>136</v>
      </c>
      <c r="B367" s="6" t="s">
        <v>90</v>
      </c>
      <c r="C367" s="6" t="s">
        <v>269</v>
      </c>
      <c r="D367" s="6">
        <v>17.11475</v>
      </c>
      <c r="E367" s="6" t="s">
        <v>174</v>
      </c>
      <c r="F367" s="6" t="s">
        <v>52</v>
      </c>
      <c r="G367" s="7">
        <v>84417.47941334113</v>
      </c>
      <c r="H367" s="6">
        <v>1444784.05578948</v>
      </c>
      <c r="I367" s="6" t="s">
        <v>179</v>
      </c>
      <c r="J367" s="15">
        <v>68</v>
      </c>
    </row>
    <row r="368" spans="1:10">
      <c r="A368" s="6" t="s">
        <v>136</v>
      </c>
      <c r="B368" s="6" t="s">
        <v>90</v>
      </c>
      <c r="C368" s="6" t="s">
        <v>270</v>
      </c>
      <c r="D368" s="6">
        <v>2.758333333333333</v>
      </c>
      <c r="E368" s="6" t="s">
        <v>174</v>
      </c>
      <c r="F368" s="6" t="s">
        <v>59</v>
      </c>
      <c r="G368" s="7">
        <v>54632.02416918429</v>
      </c>
      <c r="H368" s="6">
        <v>150693.3333333333</v>
      </c>
      <c r="I368" s="6" t="s">
        <v>179</v>
      </c>
      <c r="J368" s="15">
        <v>20.25074634581768</v>
      </c>
    </row>
    <row r="369" spans="1:10">
      <c r="A369" s="6" t="s">
        <v>136</v>
      </c>
      <c r="B369" s="6" t="s">
        <v>90</v>
      </c>
      <c r="C369" s="6" t="s">
        <v>271</v>
      </c>
      <c r="D369" s="6">
        <v>26.92375</v>
      </c>
      <c r="E369" s="6" t="s">
        <v>174</v>
      </c>
      <c r="F369" s="6" t="s">
        <v>54</v>
      </c>
      <c r="G369" s="7">
        <v>103315.9726800454</v>
      </c>
      <c r="H369" s="6">
        <v>2781653.419444371</v>
      </c>
      <c r="I369" s="6" t="s">
        <v>179</v>
      </c>
      <c r="J369" s="15">
        <v>10.72046663415367</v>
      </c>
    </row>
    <row r="370" spans="1:10">
      <c r="A370" s="6" t="s">
        <v>136</v>
      </c>
      <c r="B370" s="6" t="s">
        <v>90</v>
      </c>
      <c r="C370" s="6" t="s">
        <v>273</v>
      </c>
      <c r="D370" s="6">
        <v>32.74125</v>
      </c>
      <c r="E370" s="6" t="s">
        <v>174</v>
      </c>
      <c r="F370" s="6" t="s">
        <v>51</v>
      </c>
      <c r="G370" s="7">
        <v>68796.23409337111</v>
      </c>
      <c r="H370" s="6">
        <v>2252474.699509587</v>
      </c>
      <c r="I370" s="6" t="s">
        <v>179</v>
      </c>
      <c r="J370" s="15">
        <v>27</v>
      </c>
    </row>
    <row r="371" spans="1:10">
      <c r="A371" s="6" t="s">
        <v>136</v>
      </c>
      <c r="B371" s="6" t="s">
        <v>90</v>
      </c>
      <c r="C371" s="6" t="s">
        <v>276</v>
      </c>
      <c r="D371" s="6">
        <v>7.381333333333333</v>
      </c>
      <c r="E371" s="6" t="s">
        <v>174</v>
      </c>
      <c r="F371" s="6" t="s">
        <v>51</v>
      </c>
      <c r="G371" s="7">
        <v>63381.90932521886</v>
      </c>
      <c r="H371" s="6">
        <v>467843.0000325488</v>
      </c>
      <c r="I371" s="6" t="s">
        <v>179</v>
      </c>
      <c r="J371" s="15">
        <v>57.28333333333333</v>
      </c>
    </row>
    <row r="372" spans="1:10">
      <c r="A372" s="6" t="s">
        <v>136</v>
      </c>
      <c r="B372" s="6" t="s">
        <v>90</v>
      </c>
      <c r="C372" s="6" t="s">
        <v>277</v>
      </c>
      <c r="D372" s="6">
        <v>1.139333333333333</v>
      </c>
      <c r="E372" s="6" t="s">
        <v>174</v>
      </c>
      <c r="F372" s="6" t="s">
        <v>57</v>
      </c>
      <c r="G372" s="7">
        <v>44258.82186038292</v>
      </c>
      <c r="H372" s="6">
        <v>50425.55103959628</v>
      </c>
      <c r="I372" s="6" t="s">
        <v>180</v>
      </c>
      <c r="J372" s="15">
        <v>7.421137055882822</v>
      </c>
    </row>
    <row r="373" spans="1:10">
      <c r="A373" s="6" t="s">
        <v>136</v>
      </c>
      <c r="B373" s="6" t="s">
        <v>90</v>
      </c>
      <c r="C373" s="6" t="s">
        <v>278</v>
      </c>
      <c r="D373" s="6">
        <v>18.55133333333334</v>
      </c>
      <c r="E373" s="6" t="s">
        <v>174</v>
      </c>
      <c r="F373" s="6" t="s">
        <v>55</v>
      </c>
      <c r="G373" s="7">
        <v>46621.33394129809</v>
      </c>
      <c r="H373" s="6">
        <v>864887.906389668</v>
      </c>
      <c r="I373" s="6" t="s">
        <v>179</v>
      </c>
      <c r="J373" s="15">
        <v>47.06666666666667</v>
      </c>
    </row>
    <row r="374" spans="1:10">
      <c r="A374" s="6" t="s">
        <v>136</v>
      </c>
      <c r="B374" s="6" t="s">
        <v>90</v>
      </c>
      <c r="C374" s="6" t="s">
        <v>280</v>
      </c>
      <c r="D374" s="6">
        <v>27.3935</v>
      </c>
      <c r="E374" s="6" t="s">
        <v>174</v>
      </c>
      <c r="F374" s="6" t="s">
        <v>55</v>
      </c>
      <c r="G374" s="7">
        <v>88199.71827653726</v>
      </c>
      <c r="H374" s="6">
        <v>2416098.982608323</v>
      </c>
      <c r="I374" s="6" t="s">
        <v>179</v>
      </c>
      <c r="J374" s="15">
        <v>61</v>
      </c>
    </row>
    <row r="375" spans="1:10">
      <c r="A375" s="6" t="s">
        <v>136</v>
      </c>
      <c r="B375" s="6" t="s">
        <v>90</v>
      </c>
      <c r="C375" s="6" t="s">
        <v>281</v>
      </c>
      <c r="D375" s="6">
        <v>161.0489166666667</v>
      </c>
      <c r="E375" s="6" t="s">
        <v>174</v>
      </c>
      <c r="F375" s="6" t="s">
        <v>57</v>
      </c>
      <c r="G375" s="7">
        <v>70375.78171760954</v>
      </c>
      <c r="H375" s="6">
        <v>11333943.40519082</v>
      </c>
      <c r="I375" s="6" t="s">
        <v>179</v>
      </c>
      <c r="J375" s="15">
        <v>25</v>
      </c>
    </row>
    <row r="376" spans="1:10">
      <c r="A376" s="6" t="s">
        <v>136</v>
      </c>
      <c r="B376" s="6" t="s">
        <v>90</v>
      </c>
      <c r="C376" s="6" t="s">
        <v>283</v>
      </c>
      <c r="D376" s="6">
        <v>40.90383333333333</v>
      </c>
      <c r="E376" s="6" t="s">
        <v>174</v>
      </c>
      <c r="F376" s="6" t="s">
        <v>51</v>
      </c>
      <c r="G376" s="7">
        <v>41673.53339700109</v>
      </c>
      <c r="H376" s="6">
        <v>1704607.264482033</v>
      </c>
      <c r="I376" s="6" t="s">
        <v>179</v>
      </c>
      <c r="J376" s="15">
        <v>26.5</v>
      </c>
    </row>
    <row r="377" spans="1:10">
      <c r="A377" s="6" t="s">
        <v>136</v>
      </c>
      <c r="B377" s="6" t="s">
        <v>90</v>
      </c>
      <c r="C377" s="6" t="s">
        <v>284</v>
      </c>
      <c r="D377" s="6">
        <v>1.52775</v>
      </c>
      <c r="E377" s="6" t="s">
        <v>174</v>
      </c>
      <c r="F377" s="6" t="s">
        <v>55</v>
      </c>
      <c r="G377" s="7">
        <v>71665.2692915682</v>
      </c>
      <c r="H377" s="6">
        <v>109486.6151601933</v>
      </c>
      <c r="I377" s="6" t="s">
        <v>180</v>
      </c>
      <c r="J377" s="15">
        <v>16.20279706256738</v>
      </c>
    </row>
    <row r="378" spans="1:10">
      <c r="A378" s="6" t="s">
        <v>136</v>
      </c>
      <c r="B378" s="6" t="s">
        <v>90</v>
      </c>
      <c r="C378" s="6" t="s">
        <v>287</v>
      </c>
      <c r="D378" s="6">
        <v>4.276666666666666</v>
      </c>
      <c r="E378" s="6" t="s">
        <v>174</v>
      </c>
      <c r="F378" s="6" t="s">
        <v>53</v>
      </c>
      <c r="G378" s="7">
        <v>25443.86066146324</v>
      </c>
      <c r="H378" s="6">
        <v>108814.9107621911</v>
      </c>
      <c r="I378" s="6" t="s">
        <v>179</v>
      </c>
      <c r="J378" s="15">
        <v>16</v>
      </c>
    </row>
    <row r="379" spans="1:10">
      <c r="A379" s="6" t="s">
        <v>136</v>
      </c>
      <c r="B379" s="6" t="s">
        <v>90</v>
      </c>
      <c r="C379" s="6" t="s">
        <v>357</v>
      </c>
      <c r="D379" s="6">
        <v>0.03</v>
      </c>
      <c r="E379" s="6" t="s">
        <v>174</v>
      </c>
      <c r="F379" s="6" t="s">
        <v>52</v>
      </c>
      <c r="G379" s="7">
        <v>59918.03179942394</v>
      </c>
      <c r="H379" s="6">
        <v>1797.540953982718</v>
      </c>
      <c r="I379" s="6" t="s">
        <v>180</v>
      </c>
      <c r="J379" s="15">
        <v>27</v>
      </c>
    </row>
    <row r="380" spans="1:10">
      <c r="A380" s="6" t="s">
        <v>136</v>
      </c>
      <c r="B380" s="6" t="s">
        <v>90</v>
      </c>
      <c r="C380" s="6" t="s">
        <v>288</v>
      </c>
      <c r="D380" s="6">
        <v>0.04908333333333333</v>
      </c>
      <c r="E380" s="6" t="s">
        <v>174</v>
      </c>
      <c r="F380" s="6" t="s">
        <v>58</v>
      </c>
      <c r="G380" s="7">
        <v>69966.42569413477</v>
      </c>
      <c r="H380" s="6">
        <v>3434.185394487115</v>
      </c>
      <c r="I380" s="6" t="s">
        <v>180</v>
      </c>
      <c r="J380" s="15">
        <v>15.65844825870828</v>
      </c>
    </row>
    <row r="381" spans="1:10">
      <c r="A381" s="6" t="s">
        <v>136</v>
      </c>
      <c r="B381" s="6" t="s">
        <v>90</v>
      </c>
      <c r="C381" s="6" t="s">
        <v>289</v>
      </c>
      <c r="D381" s="6">
        <v>108.6041666666667</v>
      </c>
      <c r="E381" s="6" t="s">
        <v>174</v>
      </c>
      <c r="F381" s="6" t="s">
        <v>52</v>
      </c>
      <c r="G381" s="7">
        <v>67135.49298692077</v>
      </c>
      <c r="H381" s="6">
        <v>7291194.269600375</v>
      </c>
      <c r="I381" s="6" t="s">
        <v>179</v>
      </c>
      <c r="J381" s="15">
        <v>64</v>
      </c>
    </row>
    <row r="382" spans="1:10">
      <c r="A382" s="6" t="s">
        <v>136</v>
      </c>
      <c r="B382" s="6" t="s">
        <v>90</v>
      </c>
      <c r="C382" s="6" t="s">
        <v>290</v>
      </c>
      <c r="D382" s="6">
        <v>0.1788333333333333</v>
      </c>
      <c r="E382" s="6" t="s">
        <v>174</v>
      </c>
      <c r="F382" s="6" t="s">
        <v>53</v>
      </c>
      <c r="G382" s="7">
        <v>33776.0793312915</v>
      </c>
      <c r="H382" s="6">
        <v>6040.288853745964</v>
      </c>
      <c r="I382" s="6" t="s">
        <v>180</v>
      </c>
      <c r="J382" s="15">
        <v>4.062223754214076</v>
      </c>
    </row>
    <row r="383" spans="1:10">
      <c r="A383" s="6" t="s">
        <v>136</v>
      </c>
      <c r="B383" s="6" t="s">
        <v>90</v>
      </c>
      <c r="C383" s="6" t="s">
        <v>292</v>
      </c>
      <c r="D383" s="6">
        <v>10.76458333333333</v>
      </c>
      <c r="E383" s="6" t="s">
        <v>174</v>
      </c>
      <c r="F383" s="6" t="s">
        <v>54</v>
      </c>
      <c r="G383" s="7">
        <v>102155.1088842532</v>
      </c>
      <c r="H383" s="6">
        <v>1099657.182510284</v>
      </c>
      <c r="I383" s="6" t="s">
        <v>179</v>
      </c>
      <c r="J383" s="15">
        <v>55</v>
      </c>
    </row>
    <row r="384" spans="1:10">
      <c r="A384" s="6" t="s">
        <v>136</v>
      </c>
      <c r="B384" s="6" t="s">
        <v>90</v>
      </c>
      <c r="C384" s="6" t="s">
        <v>293</v>
      </c>
      <c r="D384" s="6">
        <v>350.4799166666667</v>
      </c>
      <c r="E384" s="6" t="s">
        <v>174</v>
      </c>
      <c r="F384" s="6" t="s">
        <v>53</v>
      </c>
      <c r="G384" s="7">
        <v>41041.87189365314</v>
      </c>
      <c r="H384" s="6">
        <v>14384351.84113156</v>
      </c>
      <c r="I384" s="6" t="s">
        <v>179</v>
      </c>
      <c r="J384" s="15">
        <v>18</v>
      </c>
    </row>
    <row r="385" spans="1:10">
      <c r="A385" s="6" t="s">
        <v>136</v>
      </c>
      <c r="B385" s="6" t="s">
        <v>90</v>
      </c>
      <c r="C385" s="6" t="s">
        <v>294</v>
      </c>
      <c r="D385" s="6">
        <v>1.665083333333333</v>
      </c>
      <c r="E385" s="6" t="s">
        <v>174</v>
      </c>
      <c r="F385" s="6" t="s">
        <v>54</v>
      </c>
      <c r="G385" s="7">
        <v>73336.4313640656</v>
      </c>
      <c r="H385" s="6">
        <v>122111.2695904496</v>
      </c>
      <c r="I385" s="6" t="s">
        <v>180</v>
      </c>
      <c r="J385" s="15">
        <v>16.73827606522132</v>
      </c>
    </row>
    <row r="386" spans="1:10">
      <c r="A386" s="6" t="s">
        <v>136</v>
      </c>
      <c r="B386" s="6" t="s">
        <v>90</v>
      </c>
      <c r="C386" s="6" t="s">
        <v>295</v>
      </c>
      <c r="D386" s="6">
        <v>63.70825</v>
      </c>
      <c r="E386" s="6" t="s">
        <v>174</v>
      </c>
      <c r="F386" s="6" t="s">
        <v>53</v>
      </c>
      <c r="G386" s="7">
        <v>29529.16394109224</v>
      </c>
      <c r="H386" s="6">
        <v>1881251.358650089</v>
      </c>
      <c r="I386" s="6" t="s">
        <v>179</v>
      </c>
      <c r="J386" s="15">
        <v>15</v>
      </c>
    </row>
    <row r="387" spans="1:10">
      <c r="A387" s="6" t="s">
        <v>136</v>
      </c>
      <c r="B387" s="6" t="s">
        <v>90</v>
      </c>
      <c r="C387" s="6" t="s">
        <v>296</v>
      </c>
      <c r="D387" s="6">
        <v>3.852416666666667</v>
      </c>
      <c r="E387" s="6" t="s">
        <v>174</v>
      </c>
      <c r="F387" s="6" t="s">
        <v>54</v>
      </c>
      <c r="G387" s="7">
        <v>58003.92647416519</v>
      </c>
      <c r="H387" s="6">
        <v>223455.2930811819</v>
      </c>
      <c r="I387" s="6" t="s">
        <v>179</v>
      </c>
      <c r="J387" s="15">
        <v>13</v>
      </c>
    </row>
    <row r="388" spans="1:10">
      <c r="A388" s="6" t="s">
        <v>136</v>
      </c>
      <c r="B388" s="6" t="s">
        <v>90</v>
      </c>
      <c r="C388" s="6" t="s">
        <v>297</v>
      </c>
      <c r="D388" s="6">
        <v>5.56075</v>
      </c>
      <c r="E388" s="6" t="s">
        <v>174</v>
      </c>
      <c r="F388" s="6" t="s">
        <v>52</v>
      </c>
      <c r="G388" s="7">
        <v>86676.57256067361</v>
      </c>
      <c r="H388" s="6">
        <v>481986.7508667657</v>
      </c>
      <c r="I388" s="6" t="s">
        <v>179</v>
      </c>
      <c r="J388" s="15">
        <v>50</v>
      </c>
    </row>
    <row r="389" spans="1:10">
      <c r="A389" s="6" t="s">
        <v>136</v>
      </c>
      <c r="B389" s="6" t="s">
        <v>90</v>
      </c>
      <c r="C389" s="6" t="s">
        <v>298</v>
      </c>
      <c r="D389" s="6">
        <v>3.876833333333333</v>
      </c>
      <c r="E389" s="6" t="s">
        <v>174</v>
      </c>
      <c r="F389" s="6" t="s">
        <v>56</v>
      </c>
      <c r="G389" s="7">
        <v>48595.16583801468</v>
      </c>
      <c r="H389" s="6">
        <v>188395.3587596766</v>
      </c>
      <c r="I389" s="6" t="s">
        <v>179</v>
      </c>
      <c r="J389" s="15">
        <v>63.75</v>
      </c>
    </row>
    <row r="390" spans="1:10">
      <c r="A390" s="6" t="s">
        <v>136</v>
      </c>
      <c r="B390" s="6" t="s">
        <v>90</v>
      </c>
      <c r="C390" s="6" t="s">
        <v>299</v>
      </c>
      <c r="D390" s="6">
        <v>4.28025</v>
      </c>
      <c r="E390" s="6" t="s">
        <v>174</v>
      </c>
      <c r="F390" s="6" t="s">
        <v>53</v>
      </c>
      <c r="G390" s="7">
        <v>25973.79370043561</v>
      </c>
      <c r="H390" s="6">
        <v>111174.3304862895</v>
      </c>
      <c r="I390" s="6" t="s">
        <v>179</v>
      </c>
      <c r="J390" s="15">
        <v>14</v>
      </c>
    </row>
    <row r="391" spans="1:10">
      <c r="A391" s="6" t="s">
        <v>136</v>
      </c>
      <c r="B391" s="6" t="s">
        <v>90</v>
      </c>
      <c r="C391" s="6" t="s">
        <v>302</v>
      </c>
      <c r="D391" s="6">
        <v>107.0485833333333</v>
      </c>
      <c r="E391" s="6" t="s">
        <v>174</v>
      </c>
      <c r="F391" s="6" t="s">
        <v>52</v>
      </c>
      <c r="G391" s="7">
        <v>75366.35678233257</v>
      </c>
      <c r="H391" s="6">
        <v>8067861.72454326</v>
      </c>
      <c r="I391" s="6" t="s">
        <v>179</v>
      </c>
      <c r="J391" s="15">
        <v>59.01666666666667</v>
      </c>
    </row>
    <row r="392" spans="1:10">
      <c r="A392" s="6" t="s">
        <v>136</v>
      </c>
      <c r="B392" s="6" t="s">
        <v>90</v>
      </c>
      <c r="C392" s="6" t="s">
        <v>303</v>
      </c>
      <c r="D392" s="6">
        <v>2.008166666666666</v>
      </c>
      <c r="E392" s="6" t="s">
        <v>174</v>
      </c>
      <c r="F392" s="6" t="s">
        <v>53</v>
      </c>
      <c r="G392" s="7">
        <v>31792.00581425614</v>
      </c>
      <c r="H392" s="6">
        <v>63843.64634266204</v>
      </c>
      <c r="I392" s="6" t="s">
        <v>180</v>
      </c>
      <c r="J392" s="15">
        <v>14</v>
      </c>
    </row>
    <row r="393" spans="1:10">
      <c r="A393" s="6" t="s">
        <v>136</v>
      </c>
      <c r="B393" s="6" t="s">
        <v>90</v>
      </c>
      <c r="C393" s="6" t="s">
        <v>361</v>
      </c>
      <c r="D393" s="6">
        <v>4.416916666666666</v>
      </c>
      <c r="E393" s="6" t="s">
        <v>174</v>
      </c>
      <c r="F393" s="6" t="s">
        <v>52</v>
      </c>
      <c r="G393" s="7">
        <v>77309.29947361469</v>
      </c>
      <c r="H393" s="6">
        <v>341468.7333333333</v>
      </c>
      <c r="I393" s="6" t="s">
        <v>179</v>
      </c>
      <c r="J393" s="15">
        <v>52</v>
      </c>
    </row>
    <row r="394" spans="1:10">
      <c r="A394" s="6" t="s">
        <v>136</v>
      </c>
      <c r="B394" s="6" t="s">
        <v>90</v>
      </c>
      <c r="C394" s="6" t="s">
        <v>305</v>
      </c>
      <c r="D394" s="6">
        <v>40.28275</v>
      </c>
      <c r="E394" s="6" t="s">
        <v>174</v>
      </c>
      <c r="F394" s="6" t="s">
        <v>54</v>
      </c>
      <c r="G394" s="7">
        <v>98512.45602947168</v>
      </c>
      <c r="H394" s="6">
        <v>3968352.6381212</v>
      </c>
      <c r="I394" s="6" t="s">
        <v>179</v>
      </c>
      <c r="J394" s="15">
        <v>67</v>
      </c>
    </row>
    <row r="395" spans="1:10">
      <c r="A395" s="6" t="s">
        <v>136</v>
      </c>
      <c r="B395" s="6" t="s">
        <v>90</v>
      </c>
      <c r="C395" s="6" t="s">
        <v>306</v>
      </c>
      <c r="D395" s="6">
        <v>6.235583333333333</v>
      </c>
      <c r="E395" s="6" t="s">
        <v>174</v>
      </c>
      <c r="F395" s="6" t="s">
        <v>57</v>
      </c>
      <c r="G395" s="7">
        <v>50865.11911120607</v>
      </c>
      <c r="H395" s="6">
        <v>317173.6889778514</v>
      </c>
      <c r="I395" s="6" t="s">
        <v>179</v>
      </c>
      <c r="J395" s="15">
        <v>39</v>
      </c>
    </row>
    <row r="396" spans="1:10">
      <c r="A396" s="6" t="s">
        <v>136</v>
      </c>
      <c r="B396" s="6" t="s">
        <v>90</v>
      </c>
      <c r="C396" s="6" t="s">
        <v>307</v>
      </c>
      <c r="D396" s="6">
        <v>1.64225</v>
      </c>
      <c r="E396" s="6" t="s">
        <v>174</v>
      </c>
      <c r="F396" s="6" t="s">
        <v>53</v>
      </c>
      <c r="G396" s="7">
        <v>34610.3479059413</v>
      </c>
      <c r="H396" s="6">
        <v>56838.8438485321</v>
      </c>
      <c r="I396" s="6" t="s">
        <v>180</v>
      </c>
      <c r="J396" s="15">
        <v>13.5</v>
      </c>
    </row>
    <row r="397" spans="1:10">
      <c r="A397" s="6" t="s">
        <v>136</v>
      </c>
      <c r="B397" s="6" t="s">
        <v>90</v>
      </c>
      <c r="C397" s="6" t="s">
        <v>362</v>
      </c>
      <c r="D397" s="6">
        <v>110.20275</v>
      </c>
      <c r="E397" s="6" t="s">
        <v>174</v>
      </c>
      <c r="F397" s="6" t="s">
        <v>52</v>
      </c>
      <c r="G397" s="7">
        <v>56852.15728722059</v>
      </c>
      <c r="H397" s="6">
        <v>6265264.076484249</v>
      </c>
      <c r="I397" s="6" t="s">
        <v>179</v>
      </c>
      <c r="J397" s="15">
        <v>69</v>
      </c>
    </row>
    <row r="398" spans="1:10">
      <c r="A398" s="6" t="s">
        <v>136</v>
      </c>
      <c r="B398" s="6" t="s">
        <v>90</v>
      </c>
      <c r="C398" s="6" t="s">
        <v>308</v>
      </c>
      <c r="D398" s="6">
        <v>2.346583333333333</v>
      </c>
      <c r="E398" s="6" t="s">
        <v>174</v>
      </c>
      <c r="F398" s="6" t="s">
        <v>54</v>
      </c>
      <c r="G398" s="7">
        <v>61958.4525384317</v>
      </c>
      <c r="H398" s="6">
        <v>145390.6720858082</v>
      </c>
      <c r="I398" s="6" t="s">
        <v>180</v>
      </c>
      <c r="J398" s="15">
        <v>13.09250833626427</v>
      </c>
    </row>
    <row r="399" spans="1:10">
      <c r="A399" s="6" t="s">
        <v>136</v>
      </c>
      <c r="B399" s="6" t="s">
        <v>90</v>
      </c>
      <c r="C399" s="6" t="s">
        <v>309</v>
      </c>
      <c r="D399" s="6">
        <v>317.1308333333333</v>
      </c>
      <c r="E399" s="6" t="s">
        <v>174</v>
      </c>
      <c r="F399" s="6" t="s">
        <v>52</v>
      </c>
      <c r="G399" s="7">
        <v>73075.41331885532</v>
      </c>
      <c r="H399" s="6">
        <v>23174466.72198635</v>
      </c>
      <c r="I399" s="6" t="s">
        <v>179</v>
      </c>
      <c r="J399" s="15">
        <v>52</v>
      </c>
    </row>
    <row r="400" spans="1:10">
      <c r="A400" s="6" t="s">
        <v>136</v>
      </c>
      <c r="B400" s="6" t="s">
        <v>90</v>
      </c>
      <c r="C400" s="6" t="s">
        <v>310</v>
      </c>
      <c r="D400" s="6">
        <v>15.439</v>
      </c>
      <c r="E400" s="6" t="s">
        <v>174</v>
      </c>
      <c r="F400" s="6" t="s">
        <v>52</v>
      </c>
      <c r="G400" s="7">
        <v>72589.43692380768</v>
      </c>
      <c r="H400" s="6">
        <v>1120708.316666667</v>
      </c>
      <c r="I400" s="6" t="s">
        <v>179</v>
      </c>
      <c r="J400" s="15">
        <v>75.54166666666666</v>
      </c>
    </row>
    <row r="401" spans="1:10">
      <c r="A401" s="6" t="s">
        <v>136</v>
      </c>
      <c r="B401" s="6" t="s">
        <v>90</v>
      </c>
      <c r="C401" s="6" t="s">
        <v>312</v>
      </c>
      <c r="D401" s="6">
        <v>21.30975</v>
      </c>
      <c r="E401" s="6" t="s">
        <v>174</v>
      </c>
      <c r="F401" s="6" t="s">
        <v>54</v>
      </c>
      <c r="G401" s="7">
        <v>98038.89341868946</v>
      </c>
      <c r="H401" s="6">
        <v>2089184.309028918</v>
      </c>
      <c r="I401" s="6" t="s">
        <v>179</v>
      </c>
      <c r="J401" s="15">
        <v>97.98333333333333</v>
      </c>
    </row>
    <row r="402" spans="1:10">
      <c r="A402" s="6" t="s">
        <v>136</v>
      </c>
      <c r="B402" s="6" t="s">
        <v>90</v>
      </c>
      <c r="C402" s="6" t="s">
        <v>313</v>
      </c>
      <c r="D402" s="6">
        <v>0.3528333333333333</v>
      </c>
      <c r="E402" s="6" t="s">
        <v>174</v>
      </c>
      <c r="F402" s="6" t="s">
        <v>51</v>
      </c>
      <c r="G402" s="7">
        <v>52321.25291717758</v>
      </c>
      <c r="H402" s="6">
        <v>18460.68207094416</v>
      </c>
      <c r="I402" s="6" t="s">
        <v>180</v>
      </c>
      <c r="J402" s="15">
        <v>10.00452655012064</v>
      </c>
    </row>
    <row r="403" spans="1:10">
      <c r="A403" s="6" t="s">
        <v>136</v>
      </c>
      <c r="B403" s="6" t="s">
        <v>90</v>
      </c>
      <c r="C403" s="6" t="s">
        <v>315</v>
      </c>
      <c r="D403" s="6">
        <v>0.3106666666666666</v>
      </c>
      <c r="E403" s="6" t="s">
        <v>174</v>
      </c>
      <c r="F403" s="6" t="s">
        <v>51</v>
      </c>
      <c r="G403" s="7">
        <v>56453.56097958141</v>
      </c>
      <c r="H403" s="6">
        <v>17538.23961098996</v>
      </c>
      <c r="I403" s="6" t="s">
        <v>180</v>
      </c>
      <c r="J403" s="15">
        <v>11.32861368465454</v>
      </c>
    </row>
    <row r="404" spans="1:10">
      <c r="A404" s="6" t="s">
        <v>136</v>
      </c>
      <c r="B404" s="6" t="s">
        <v>90</v>
      </c>
      <c r="C404" s="6" t="s">
        <v>316</v>
      </c>
      <c r="D404" s="6">
        <v>5.352333333333333</v>
      </c>
      <c r="E404" s="6" t="s">
        <v>174</v>
      </c>
      <c r="F404" s="6" t="s">
        <v>54</v>
      </c>
      <c r="G404" s="7">
        <v>105094.6368493964</v>
      </c>
      <c r="H404" s="6">
        <v>562501.5279635859</v>
      </c>
      <c r="I404" s="6" t="s">
        <v>179</v>
      </c>
      <c r="J404" s="15">
        <v>17.72597931811622</v>
      </c>
    </row>
    <row r="405" spans="1:10">
      <c r="A405" s="6" t="s">
        <v>136</v>
      </c>
      <c r="B405" s="6" t="s">
        <v>90</v>
      </c>
      <c r="C405" s="6" t="s">
        <v>317</v>
      </c>
      <c r="D405" s="6">
        <v>0.202</v>
      </c>
      <c r="E405" s="6" t="s">
        <v>174</v>
      </c>
      <c r="F405" s="6" t="s">
        <v>51</v>
      </c>
      <c r="G405" s="7">
        <v>51588.11271374751</v>
      </c>
      <c r="H405" s="6">
        <v>10420.798768177</v>
      </c>
      <c r="I405" s="6" t="s">
        <v>180</v>
      </c>
      <c r="J405" s="15">
        <v>9.769611462350877</v>
      </c>
    </row>
    <row r="406" spans="1:10">
      <c r="A406" s="6" t="s">
        <v>136</v>
      </c>
      <c r="B406" s="6" t="s">
        <v>90</v>
      </c>
      <c r="C406" s="6" t="s">
        <v>320</v>
      </c>
      <c r="D406" s="6">
        <v>0.7163333333333334</v>
      </c>
      <c r="E406" s="6" t="s">
        <v>174</v>
      </c>
      <c r="F406" s="6" t="s">
        <v>51</v>
      </c>
      <c r="G406" s="7">
        <v>50478.21140108545</v>
      </c>
      <c r="H406" s="6">
        <v>36159.22543364421</v>
      </c>
      <c r="I406" s="6" t="s">
        <v>180</v>
      </c>
      <c r="J406" s="15">
        <v>9.413973396043877</v>
      </c>
    </row>
    <row r="407" spans="1:10">
      <c r="A407" s="6" t="s">
        <v>136</v>
      </c>
      <c r="B407" s="6" t="s">
        <v>90</v>
      </c>
      <c r="C407" s="6" t="s">
        <v>322</v>
      </c>
      <c r="D407" s="6">
        <v>0.052</v>
      </c>
      <c r="E407" s="6" t="s">
        <v>174</v>
      </c>
      <c r="F407" s="6" t="s">
        <v>51</v>
      </c>
      <c r="G407" s="7">
        <v>51362.83162893766</v>
      </c>
      <c r="H407" s="6">
        <v>2670.867244704758</v>
      </c>
      <c r="I407" s="6" t="s">
        <v>180</v>
      </c>
      <c r="J407" s="15">
        <v>9.697426189242986</v>
      </c>
    </row>
    <row r="408" spans="1:10">
      <c r="A408" s="6" t="s">
        <v>136</v>
      </c>
      <c r="B408" s="6" t="s">
        <v>90</v>
      </c>
      <c r="C408" s="6" t="s">
        <v>323</v>
      </c>
      <c r="D408" s="6">
        <v>2.5495</v>
      </c>
      <c r="E408" s="6" t="s">
        <v>174</v>
      </c>
      <c r="F408" s="6" t="s">
        <v>55</v>
      </c>
      <c r="G408" s="7">
        <v>54663.87536141942</v>
      </c>
      <c r="H408" s="6">
        <v>139365.5502339388</v>
      </c>
      <c r="I408" s="6" t="s">
        <v>180</v>
      </c>
      <c r="J408" s="15">
        <v>20.61666666666667</v>
      </c>
    </row>
    <row r="409" spans="1:10">
      <c r="A409" s="6" t="s">
        <v>136</v>
      </c>
      <c r="B409" s="6" t="s">
        <v>90</v>
      </c>
      <c r="C409" s="6" t="s">
        <v>324</v>
      </c>
      <c r="D409" s="6">
        <v>0.7860833333333334</v>
      </c>
      <c r="E409" s="6" t="s">
        <v>174</v>
      </c>
      <c r="F409" s="6" t="s">
        <v>51</v>
      </c>
      <c r="G409" s="7">
        <v>52939.45685818696</v>
      </c>
      <c r="H409" s="6">
        <v>41614.8247119398</v>
      </c>
      <c r="I409" s="6" t="s">
        <v>180</v>
      </c>
      <c r="J409" s="15">
        <v>10.20261339951505</v>
      </c>
    </row>
    <row r="410" spans="1:10">
      <c r="A410" s="6" t="s">
        <v>136</v>
      </c>
      <c r="B410" s="6" t="s">
        <v>90</v>
      </c>
      <c r="C410" s="6" t="s">
        <v>325</v>
      </c>
      <c r="D410" s="6">
        <v>3.46125</v>
      </c>
      <c r="E410" s="6" t="s">
        <v>174</v>
      </c>
      <c r="F410" s="6" t="s">
        <v>53</v>
      </c>
      <c r="G410" s="7">
        <v>27183.84720656899</v>
      </c>
      <c r="H410" s="6">
        <v>94090.09114373691</v>
      </c>
      <c r="I410" s="6" t="s">
        <v>179</v>
      </c>
      <c r="J410" s="15">
        <v>16</v>
      </c>
    </row>
    <row r="411" spans="1:10">
      <c r="A411" s="6" t="s">
        <v>136</v>
      </c>
      <c r="B411" s="6" t="s">
        <v>90</v>
      </c>
      <c r="C411" s="6" t="s">
        <v>364</v>
      </c>
      <c r="D411" s="6">
        <v>2.88325</v>
      </c>
      <c r="E411" s="6" t="s">
        <v>174</v>
      </c>
      <c r="F411" s="6" t="s">
        <v>52</v>
      </c>
      <c r="G411" s="7">
        <v>51274.29567237874</v>
      </c>
      <c r="H411" s="6">
        <v>147836.612997386</v>
      </c>
      <c r="I411" s="6" t="s">
        <v>179</v>
      </c>
      <c r="J411" s="15">
        <v>65</v>
      </c>
    </row>
    <row r="412" spans="1:10">
      <c r="A412" s="6" t="s">
        <v>136</v>
      </c>
      <c r="B412" s="6" t="s">
        <v>90</v>
      </c>
      <c r="C412" s="6" t="s">
        <v>326</v>
      </c>
      <c r="D412" s="6">
        <v>18.24525</v>
      </c>
      <c r="E412" s="6" t="s">
        <v>174</v>
      </c>
      <c r="F412" s="6" t="s">
        <v>54</v>
      </c>
      <c r="G412" s="7">
        <v>73204.69251441542</v>
      </c>
      <c r="H412" s="6">
        <v>1335637.916098638</v>
      </c>
      <c r="I412" s="6" t="s">
        <v>179</v>
      </c>
      <c r="J412" s="15">
        <v>50.55</v>
      </c>
    </row>
    <row r="413" spans="1:10">
      <c r="A413" s="6" t="s">
        <v>136</v>
      </c>
      <c r="B413" s="6" t="s">
        <v>90</v>
      </c>
      <c r="C413" s="6" t="s">
        <v>327</v>
      </c>
      <c r="D413" s="6">
        <v>3.525833333333333</v>
      </c>
      <c r="E413" s="6" t="s">
        <v>174</v>
      </c>
      <c r="F413" s="6" t="s">
        <v>57</v>
      </c>
      <c r="G413" s="7">
        <v>43941.25100916271</v>
      </c>
      <c r="H413" s="6">
        <v>154929.5275164729</v>
      </c>
      <c r="I413" s="6" t="s">
        <v>180</v>
      </c>
      <c r="J413" s="15">
        <v>7.319380005814523</v>
      </c>
    </row>
    <row r="414" spans="1:10">
      <c r="A414" s="6" t="s">
        <v>136</v>
      </c>
      <c r="B414" s="6" t="s">
        <v>90</v>
      </c>
      <c r="C414" s="6" t="s">
        <v>329</v>
      </c>
      <c r="D414" s="6">
        <v>0.67975</v>
      </c>
      <c r="E414" s="6" t="s">
        <v>174</v>
      </c>
      <c r="F414" s="6" t="s">
        <v>58</v>
      </c>
      <c r="G414" s="7">
        <v>59375.40509749136</v>
      </c>
      <c r="H414" s="6">
        <v>40360.43161501975</v>
      </c>
      <c r="I414" s="6" t="s">
        <v>180</v>
      </c>
      <c r="J414" s="15">
        <v>12.2648401583864</v>
      </c>
    </row>
    <row r="415" spans="1:10">
      <c r="A415" s="6" t="s">
        <v>136</v>
      </c>
      <c r="B415" s="6" t="s">
        <v>90</v>
      </c>
      <c r="C415" s="6" t="s">
        <v>330</v>
      </c>
      <c r="D415" s="6">
        <v>0.005999999999999999</v>
      </c>
      <c r="E415" s="6" t="s">
        <v>174</v>
      </c>
      <c r="F415" s="6" t="s">
        <v>52</v>
      </c>
      <c r="G415" s="7">
        <v>59918.03179942394</v>
      </c>
      <c r="H415" s="6">
        <v>359.5081907965436</v>
      </c>
      <c r="I415" s="6" t="s">
        <v>180</v>
      </c>
      <c r="J415" s="15">
        <v>47.43333333333333</v>
      </c>
    </row>
    <row r="416" spans="1:10">
      <c r="A416" s="6" t="s">
        <v>136</v>
      </c>
      <c r="B416" s="6" t="s">
        <v>90</v>
      </c>
      <c r="C416" s="6" t="s">
        <v>365</v>
      </c>
      <c r="D416" s="6">
        <v>2.0295</v>
      </c>
      <c r="E416" s="6" t="s">
        <v>174</v>
      </c>
      <c r="F416" s="6" t="s">
        <v>53</v>
      </c>
      <c r="G416" s="7">
        <v>52809.46858302614</v>
      </c>
      <c r="H416" s="6">
        <v>107176.8164892515</v>
      </c>
      <c r="I416" s="6" t="s">
        <v>179</v>
      </c>
      <c r="J416" s="15">
        <v>21.15</v>
      </c>
    </row>
    <row r="417" spans="1:10">
      <c r="A417" s="6" t="s">
        <v>136</v>
      </c>
      <c r="B417" s="6" t="s">
        <v>90</v>
      </c>
      <c r="C417" s="6" t="s">
        <v>331</v>
      </c>
      <c r="D417" s="6">
        <v>0.2289166666666667</v>
      </c>
      <c r="E417" s="6" t="s">
        <v>174</v>
      </c>
      <c r="F417" s="6" t="s">
        <v>58</v>
      </c>
      <c r="G417" s="7">
        <v>62490.71047845359</v>
      </c>
      <c r="H417" s="6">
        <v>14305.16514035933</v>
      </c>
      <c r="I417" s="6" t="s">
        <v>180</v>
      </c>
      <c r="J417" s="15">
        <v>13.26305609794943</v>
      </c>
    </row>
    <row r="418" spans="1:10">
      <c r="A418" s="6" t="s">
        <v>136</v>
      </c>
      <c r="B418" s="6" t="s">
        <v>90</v>
      </c>
      <c r="C418" s="6" t="s">
        <v>332</v>
      </c>
      <c r="D418" s="6">
        <v>28.72858333333333</v>
      </c>
      <c r="E418" s="6" t="s">
        <v>174</v>
      </c>
      <c r="F418" s="6" t="s">
        <v>55</v>
      </c>
      <c r="G418" s="7">
        <v>51480.939560739</v>
      </c>
      <c r="H418" s="6">
        <v>1478974.462248987</v>
      </c>
      <c r="I418" s="6" t="s">
        <v>179</v>
      </c>
      <c r="J418" s="15">
        <v>30.66666666666666</v>
      </c>
    </row>
    <row r="419" spans="1:10">
      <c r="A419" s="6" t="s">
        <v>136</v>
      </c>
      <c r="B419" s="6" t="s">
        <v>177</v>
      </c>
      <c r="C419" s="6" t="s">
        <v>197</v>
      </c>
      <c r="D419" s="6">
        <v>7.6125</v>
      </c>
      <c r="E419" s="6" t="s">
        <v>174</v>
      </c>
      <c r="F419" s="6" t="s">
        <v>53</v>
      </c>
      <c r="G419" s="7">
        <v>45456.95675971538</v>
      </c>
      <c r="H419" s="6">
        <v>346041.0833333333</v>
      </c>
      <c r="I419" s="6" t="s">
        <v>179</v>
      </c>
      <c r="J419" s="15">
        <v>48.4</v>
      </c>
    </row>
    <row r="420" spans="1:10">
      <c r="A420" s="6" t="s">
        <v>136</v>
      </c>
      <c r="B420" s="6" t="s">
        <v>177</v>
      </c>
      <c r="C420" s="6" t="s">
        <v>199</v>
      </c>
      <c r="D420" s="6">
        <v>3.125</v>
      </c>
      <c r="E420" s="6" t="s">
        <v>174</v>
      </c>
      <c r="F420" s="6" t="s">
        <v>57</v>
      </c>
      <c r="G420" s="7">
        <v>45333.33333333334</v>
      </c>
      <c r="H420" s="6">
        <v>141666.6666666667</v>
      </c>
      <c r="I420" s="6" t="s">
        <v>179</v>
      </c>
      <c r="J420" s="15">
        <v>45.9</v>
      </c>
    </row>
    <row r="421" spans="1:10">
      <c r="A421" s="6" t="s">
        <v>136</v>
      </c>
      <c r="B421" s="6" t="s">
        <v>177</v>
      </c>
      <c r="C421" s="6" t="s">
        <v>203</v>
      </c>
      <c r="D421" s="6">
        <v>259.6941666666667</v>
      </c>
      <c r="E421" s="6" t="s">
        <v>174</v>
      </c>
      <c r="F421" s="6" t="s">
        <v>53</v>
      </c>
      <c r="G421" s="7">
        <v>18690.67045612506</v>
      </c>
      <c r="H421" s="6">
        <v>4853858.088544684</v>
      </c>
      <c r="I421" s="6" t="s">
        <v>179</v>
      </c>
      <c r="J421" s="15">
        <v>11</v>
      </c>
    </row>
    <row r="422" spans="1:10">
      <c r="A422" s="6" t="s">
        <v>136</v>
      </c>
      <c r="B422" s="6" t="s">
        <v>177</v>
      </c>
      <c r="C422" s="6" t="s">
        <v>204</v>
      </c>
      <c r="D422" s="6">
        <v>9.782500000000001</v>
      </c>
      <c r="E422" s="6" t="s">
        <v>174</v>
      </c>
      <c r="F422" s="6" t="s">
        <v>51</v>
      </c>
      <c r="G422" s="7">
        <v>38188.60877684407</v>
      </c>
      <c r="H422" s="6">
        <v>373580.0653594771</v>
      </c>
      <c r="I422" s="6" t="s">
        <v>179</v>
      </c>
      <c r="J422" s="15">
        <v>49</v>
      </c>
    </row>
    <row r="423" spans="1:10">
      <c r="A423" s="6" t="s">
        <v>136</v>
      </c>
      <c r="B423" s="6" t="s">
        <v>177</v>
      </c>
      <c r="C423" s="6" t="s">
        <v>211</v>
      </c>
      <c r="D423" s="6">
        <v>22.8825</v>
      </c>
      <c r="E423" s="6" t="s">
        <v>174</v>
      </c>
      <c r="F423" s="6" t="s">
        <v>55</v>
      </c>
      <c r="G423" s="7">
        <v>42619.3034544512</v>
      </c>
      <c r="H423" s="6">
        <v>975236.2112964797</v>
      </c>
      <c r="I423" s="6" t="s">
        <v>179</v>
      </c>
      <c r="J423" s="15">
        <v>54.13333333333333</v>
      </c>
    </row>
    <row r="424" spans="1:10">
      <c r="A424" s="6" t="s">
        <v>136</v>
      </c>
      <c r="B424" s="6" t="s">
        <v>177</v>
      </c>
      <c r="C424" s="6" t="s">
        <v>212</v>
      </c>
      <c r="D424" s="6">
        <v>7.441666666666666</v>
      </c>
      <c r="E424" s="6" t="s">
        <v>174</v>
      </c>
      <c r="F424" s="6" t="s">
        <v>55</v>
      </c>
      <c r="G424" s="7">
        <v>67104.69204927213</v>
      </c>
      <c r="H424" s="6">
        <v>499370.7500000001</v>
      </c>
      <c r="I424" s="6" t="s">
        <v>179</v>
      </c>
      <c r="J424" s="15">
        <v>15.975</v>
      </c>
    </row>
    <row r="425" spans="1:10">
      <c r="A425" s="6" t="s">
        <v>136</v>
      </c>
      <c r="B425" s="6" t="s">
        <v>177</v>
      </c>
      <c r="C425" s="6" t="s">
        <v>215</v>
      </c>
      <c r="D425" s="6">
        <v>52.79208333333333</v>
      </c>
      <c r="E425" s="6" t="s">
        <v>174</v>
      </c>
      <c r="F425" s="6" t="s">
        <v>54</v>
      </c>
      <c r="G425" s="7">
        <v>92506.3937932613</v>
      </c>
      <c r="H425" s="6">
        <v>4883605.25</v>
      </c>
      <c r="I425" s="6" t="s">
        <v>179</v>
      </c>
      <c r="J425" s="15">
        <v>96.01666666666667</v>
      </c>
    </row>
    <row r="426" spans="1:10">
      <c r="A426" s="6" t="s">
        <v>136</v>
      </c>
      <c r="B426" s="6" t="s">
        <v>177</v>
      </c>
      <c r="C426" s="6" t="s">
        <v>342</v>
      </c>
      <c r="D426" s="6">
        <v>18.14083333333333</v>
      </c>
      <c r="E426" s="6" t="s">
        <v>174</v>
      </c>
      <c r="F426" s="6" t="s">
        <v>53</v>
      </c>
      <c r="G426" s="7">
        <v>26758.16987459231</v>
      </c>
      <c r="H426" s="6">
        <v>485415.5</v>
      </c>
      <c r="I426" s="6" t="s">
        <v>179</v>
      </c>
      <c r="J426" s="15">
        <v>12</v>
      </c>
    </row>
    <row r="427" spans="1:10">
      <c r="A427" s="6" t="s">
        <v>136</v>
      </c>
      <c r="B427" s="6" t="s">
        <v>177</v>
      </c>
      <c r="C427" s="6" t="s">
        <v>223</v>
      </c>
      <c r="D427" s="6">
        <v>0.2531666666666667</v>
      </c>
      <c r="E427" s="6" t="s">
        <v>174</v>
      </c>
      <c r="F427" s="6" t="s">
        <v>53</v>
      </c>
      <c r="G427" s="7">
        <v>24003.88776890918</v>
      </c>
      <c r="H427" s="6">
        <v>6076.984253495507</v>
      </c>
      <c r="I427" s="6" t="s">
        <v>180</v>
      </c>
      <c r="J427" s="15">
        <v>3.535869721312425</v>
      </c>
    </row>
    <row r="428" spans="1:10">
      <c r="A428" s="6" t="s">
        <v>136</v>
      </c>
      <c r="B428" s="6" t="s">
        <v>177</v>
      </c>
      <c r="C428" s="6" t="s">
        <v>226</v>
      </c>
      <c r="D428" s="6">
        <v>7.580833333333334</v>
      </c>
      <c r="E428" s="6" t="s">
        <v>174</v>
      </c>
      <c r="F428" s="6" t="s">
        <v>56</v>
      </c>
      <c r="G428" s="7">
        <v>67711.52028141146</v>
      </c>
      <c r="H428" s="6">
        <v>513309.7500000001</v>
      </c>
      <c r="I428" s="6" t="s">
        <v>179</v>
      </c>
      <c r="J428" s="15">
        <v>45</v>
      </c>
    </row>
    <row r="429" spans="1:10">
      <c r="A429" s="6" t="s">
        <v>136</v>
      </c>
      <c r="B429" s="6" t="s">
        <v>177</v>
      </c>
      <c r="C429" s="6" t="s">
        <v>345</v>
      </c>
      <c r="D429" s="6">
        <v>2.304166666666667</v>
      </c>
      <c r="E429" s="6" t="s">
        <v>174</v>
      </c>
      <c r="F429" s="6" t="s">
        <v>53</v>
      </c>
      <c r="G429" s="7">
        <v>28988.78842676311</v>
      </c>
      <c r="H429" s="6">
        <v>66795</v>
      </c>
      <c r="I429" s="6" t="s">
        <v>179</v>
      </c>
      <c r="J429" s="15">
        <v>11</v>
      </c>
    </row>
    <row r="430" spans="1:10">
      <c r="A430" s="6" t="s">
        <v>136</v>
      </c>
      <c r="B430" s="6" t="s">
        <v>177</v>
      </c>
      <c r="C430" s="6" t="s">
        <v>233</v>
      </c>
      <c r="D430" s="6">
        <v>8.5</v>
      </c>
      <c r="E430" s="6" t="s">
        <v>174</v>
      </c>
      <c r="F430" s="6" t="s">
        <v>59</v>
      </c>
      <c r="G430" s="7">
        <v>36482.41176470588</v>
      </c>
      <c r="H430" s="6">
        <v>310100.5</v>
      </c>
      <c r="I430" s="6" t="s">
        <v>179</v>
      </c>
      <c r="J430" s="15">
        <v>17.73937176633552</v>
      </c>
    </row>
    <row r="431" spans="1:10">
      <c r="A431" s="6" t="s">
        <v>136</v>
      </c>
      <c r="B431" s="6" t="s">
        <v>177</v>
      </c>
      <c r="C431" s="6" t="s">
        <v>247</v>
      </c>
      <c r="D431" s="6">
        <v>14.65</v>
      </c>
      <c r="E431" s="6" t="s">
        <v>174</v>
      </c>
      <c r="F431" s="6" t="s">
        <v>51</v>
      </c>
      <c r="G431" s="7">
        <v>43068.73720136519</v>
      </c>
      <c r="H431" s="6">
        <v>630957</v>
      </c>
      <c r="I431" s="6" t="s">
        <v>179</v>
      </c>
      <c r="J431" s="15">
        <v>21.25833333333333</v>
      </c>
    </row>
    <row r="432" spans="1:10">
      <c r="A432" s="6" t="s">
        <v>136</v>
      </c>
      <c r="B432" s="6" t="s">
        <v>177</v>
      </c>
      <c r="C432" s="6" t="s">
        <v>249</v>
      </c>
      <c r="D432" s="6">
        <v>40.74333333333333</v>
      </c>
      <c r="E432" s="6" t="s">
        <v>174</v>
      </c>
      <c r="F432" s="6" t="s">
        <v>53</v>
      </c>
      <c r="G432" s="7">
        <v>14538.66202667186</v>
      </c>
      <c r="H432" s="6">
        <v>592353.5531733671</v>
      </c>
      <c r="I432" s="6" t="s">
        <v>179</v>
      </c>
      <c r="J432" s="15">
        <v>12</v>
      </c>
    </row>
    <row r="433" spans="1:10">
      <c r="A433" s="6" t="s">
        <v>136</v>
      </c>
      <c r="B433" s="6" t="s">
        <v>177</v>
      </c>
      <c r="C433" s="6" t="s">
        <v>255</v>
      </c>
      <c r="D433" s="6">
        <v>2.573333333333333</v>
      </c>
      <c r="E433" s="6" t="s">
        <v>174</v>
      </c>
      <c r="F433" s="6" t="s">
        <v>51</v>
      </c>
      <c r="G433" s="7">
        <v>37778.46502590673</v>
      </c>
      <c r="H433" s="6">
        <v>97216.58333333333</v>
      </c>
      <c r="I433" s="6" t="s">
        <v>179</v>
      </c>
      <c r="J433" s="15">
        <v>42.31666666666667</v>
      </c>
    </row>
    <row r="434" spans="1:10">
      <c r="A434" s="6" t="s">
        <v>136</v>
      </c>
      <c r="B434" s="6" t="s">
        <v>177</v>
      </c>
      <c r="C434" s="6" t="s">
        <v>263</v>
      </c>
      <c r="D434" s="6">
        <v>4.063333333333333</v>
      </c>
      <c r="E434" s="6" t="s">
        <v>174</v>
      </c>
      <c r="F434" s="6" t="s">
        <v>54</v>
      </c>
      <c r="G434" s="7">
        <v>106644.7908121411</v>
      </c>
      <c r="H434" s="6">
        <v>433333.3333333333</v>
      </c>
      <c r="I434" s="6" t="s">
        <v>179</v>
      </c>
      <c r="J434" s="15">
        <v>66</v>
      </c>
    </row>
    <row r="435" spans="1:10">
      <c r="A435" s="6" t="s">
        <v>136</v>
      </c>
      <c r="B435" s="6" t="s">
        <v>177</v>
      </c>
      <c r="C435" s="6" t="s">
        <v>265</v>
      </c>
      <c r="D435" s="6">
        <v>6.480833333333333</v>
      </c>
      <c r="E435" s="6" t="s">
        <v>174</v>
      </c>
      <c r="F435" s="6" t="s">
        <v>54</v>
      </c>
      <c r="G435" s="7">
        <v>58171.79106369729</v>
      </c>
      <c r="H435" s="6">
        <v>377001.6825853115</v>
      </c>
      <c r="I435" s="6" t="s">
        <v>180</v>
      </c>
      <c r="J435" s="15">
        <v>47.98333333333333</v>
      </c>
    </row>
    <row r="436" spans="1:10">
      <c r="A436" s="6" t="s">
        <v>136</v>
      </c>
      <c r="B436" s="6" t="s">
        <v>177</v>
      </c>
      <c r="C436" s="6" t="s">
        <v>267</v>
      </c>
      <c r="D436" s="6">
        <v>27.779</v>
      </c>
      <c r="E436" s="6" t="s">
        <v>174</v>
      </c>
      <c r="F436" s="6" t="s">
        <v>53</v>
      </c>
      <c r="G436" s="7">
        <v>15855.10187551748</v>
      </c>
      <c r="H436" s="6">
        <v>440438.875</v>
      </c>
      <c r="I436" s="6" t="s">
        <v>179</v>
      </c>
      <c r="J436" s="15">
        <v>2</v>
      </c>
    </row>
    <row r="437" spans="1:10">
      <c r="A437" s="6" t="s">
        <v>136</v>
      </c>
      <c r="B437" s="6" t="s">
        <v>177</v>
      </c>
      <c r="C437" s="6" t="s">
        <v>270</v>
      </c>
      <c r="D437" s="6">
        <v>2.541666666666667</v>
      </c>
      <c r="E437" s="6" t="s">
        <v>174</v>
      </c>
      <c r="F437" s="6" t="s">
        <v>59</v>
      </c>
      <c r="G437" s="7">
        <v>50206.39344262295</v>
      </c>
      <c r="H437" s="6">
        <v>127607.9166666667</v>
      </c>
      <c r="I437" s="6" t="s">
        <v>179</v>
      </c>
      <c r="J437" s="15">
        <v>19.57631854929435</v>
      </c>
    </row>
    <row r="438" spans="1:10">
      <c r="A438" s="6" t="s">
        <v>136</v>
      </c>
      <c r="B438" s="6" t="s">
        <v>177</v>
      </c>
      <c r="C438" s="6" t="s">
        <v>271</v>
      </c>
      <c r="D438" s="6">
        <v>2.94</v>
      </c>
      <c r="E438" s="6" t="s">
        <v>174</v>
      </c>
      <c r="F438" s="6" t="s">
        <v>54</v>
      </c>
      <c r="G438" s="7">
        <v>76893.99092970521</v>
      </c>
      <c r="H438" s="6">
        <v>226068.3333333333</v>
      </c>
      <c r="I438" s="6" t="s">
        <v>179</v>
      </c>
      <c r="J438" s="15">
        <v>11.24969568312471</v>
      </c>
    </row>
    <row r="439" spans="1:10">
      <c r="A439" s="6" t="s">
        <v>136</v>
      </c>
      <c r="B439" s="6" t="s">
        <v>177</v>
      </c>
      <c r="C439" s="6" t="s">
        <v>273</v>
      </c>
      <c r="D439" s="6">
        <v>12.79166666666667</v>
      </c>
      <c r="E439" s="6" t="s">
        <v>174</v>
      </c>
      <c r="F439" s="6" t="s">
        <v>51</v>
      </c>
      <c r="G439" s="7">
        <v>68359.62214983713</v>
      </c>
      <c r="H439" s="6">
        <v>874433.4999999999</v>
      </c>
      <c r="I439" s="6" t="s">
        <v>179</v>
      </c>
      <c r="J439" s="15">
        <v>45</v>
      </c>
    </row>
    <row r="440" spans="1:10">
      <c r="A440" s="6" t="s">
        <v>136</v>
      </c>
      <c r="B440" s="6" t="s">
        <v>177</v>
      </c>
      <c r="C440" s="6" t="s">
        <v>276</v>
      </c>
      <c r="D440" s="6">
        <v>10.1375</v>
      </c>
      <c r="E440" s="6" t="s">
        <v>174</v>
      </c>
      <c r="F440" s="6" t="s">
        <v>51</v>
      </c>
      <c r="G440" s="7">
        <v>60863.13193588163</v>
      </c>
      <c r="H440" s="6">
        <v>617000</v>
      </c>
      <c r="I440" s="6" t="s">
        <v>179</v>
      </c>
      <c r="J440" s="15">
        <v>20</v>
      </c>
    </row>
    <row r="441" spans="1:10">
      <c r="A441" s="6" t="s">
        <v>136</v>
      </c>
      <c r="B441" s="6" t="s">
        <v>177</v>
      </c>
      <c r="C441" s="6" t="s">
        <v>280</v>
      </c>
      <c r="D441" s="6">
        <v>3.855</v>
      </c>
      <c r="E441" s="6" t="s">
        <v>174</v>
      </c>
      <c r="F441" s="6" t="s">
        <v>55</v>
      </c>
      <c r="G441" s="7">
        <v>85386.94336359706</v>
      </c>
      <c r="H441" s="6">
        <v>329166.6666666667</v>
      </c>
      <c r="I441" s="6" t="s">
        <v>179</v>
      </c>
      <c r="J441" s="15">
        <v>38.41666666666666</v>
      </c>
    </row>
    <row r="442" spans="1:10">
      <c r="A442" s="6" t="s">
        <v>136</v>
      </c>
      <c r="B442" s="6" t="s">
        <v>177</v>
      </c>
      <c r="C442" s="6" t="s">
        <v>283</v>
      </c>
      <c r="D442" s="6">
        <v>23.92566666666667</v>
      </c>
      <c r="E442" s="6" t="s">
        <v>174</v>
      </c>
      <c r="F442" s="6" t="s">
        <v>51</v>
      </c>
      <c r="G442" s="7">
        <v>41076.40678768965</v>
      </c>
      <c r="H442" s="6">
        <v>982780.4166666667</v>
      </c>
      <c r="I442" s="6" t="s">
        <v>179</v>
      </c>
      <c r="J442" s="15">
        <v>29.81666666666667</v>
      </c>
    </row>
    <row r="443" spans="1:10">
      <c r="A443" s="6" t="s">
        <v>136</v>
      </c>
      <c r="B443" s="6" t="s">
        <v>177</v>
      </c>
      <c r="C443" s="6" t="s">
        <v>284</v>
      </c>
      <c r="D443" s="6">
        <v>7.041666666666667</v>
      </c>
      <c r="E443" s="6" t="s">
        <v>174</v>
      </c>
      <c r="F443" s="6" t="s">
        <v>55</v>
      </c>
      <c r="G443" s="7">
        <v>48379.75147928994</v>
      </c>
      <c r="H443" s="6">
        <v>340674.0833333333</v>
      </c>
      <c r="I443" s="6" t="s">
        <v>179</v>
      </c>
      <c r="J443" s="15">
        <v>49</v>
      </c>
    </row>
    <row r="444" spans="1:10">
      <c r="A444" s="6" t="s">
        <v>136</v>
      </c>
      <c r="B444" s="6" t="s">
        <v>177</v>
      </c>
      <c r="C444" s="6" t="s">
        <v>359</v>
      </c>
      <c r="D444" s="6">
        <v>4.701666666666667</v>
      </c>
      <c r="E444" s="6" t="s">
        <v>174</v>
      </c>
      <c r="F444" s="6" t="s">
        <v>60</v>
      </c>
      <c r="G444" s="7">
        <v>63710.03190358029</v>
      </c>
      <c r="H444" s="6">
        <v>299543.3333333334</v>
      </c>
      <c r="I444" s="6" t="s">
        <v>179</v>
      </c>
      <c r="J444" s="15">
        <v>62.86666666666667</v>
      </c>
    </row>
    <row r="445" spans="1:10">
      <c r="A445" s="6" t="s">
        <v>136</v>
      </c>
      <c r="B445" s="6" t="s">
        <v>177</v>
      </c>
      <c r="C445" s="6" t="s">
        <v>312</v>
      </c>
      <c r="D445" s="6">
        <v>5.88</v>
      </c>
      <c r="E445" s="6" t="s">
        <v>174</v>
      </c>
      <c r="F445" s="6" t="s">
        <v>54</v>
      </c>
      <c r="G445" s="7">
        <v>84502.55102040817</v>
      </c>
      <c r="H445" s="6">
        <v>496875</v>
      </c>
      <c r="I445" s="6" t="s">
        <v>179</v>
      </c>
      <c r="J445" s="15">
        <v>43</v>
      </c>
    </row>
    <row r="446" spans="1:10">
      <c r="A446" s="6" t="s">
        <v>136</v>
      </c>
      <c r="B446" s="6" t="s">
        <v>177</v>
      </c>
      <c r="C446" s="6" t="s">
        <v>323</v>
      </c>
      <c r="D446" s="6">
        <v>3.9</v>
      </c>
      <c r="E446" s="6" t="s">
        <v>174</v>
      </c>
      <c r="F446" s="6" t="s">
        <v>55</v>
      </c>
      <c r="G446" s="7">
        <v>33549.0811965812</v>
      </c>
      <c r="H446" s="6">
        <v>130841.4166666667</v>
      </c>
      <c r="I446" s="6" t="s">
        <v>179</v>
      </c>
      <c r="J446" s="15">
        <v>10.05954112619791</v>
      </c>
    </row>
    <row r="447" spans="1:10">
      <c r="A447" s="6" t="s">
        <v>136</v>
      </c>
      <c r="B447" s="6" t="s">
        <v>177</v>
      </c>
      <c r="C447" s="6" t="s">
        <v>364</v>
      </c>
      <c r="D447" s="6">
        <v>3.5</v>
      </c>
      <c r="E447" s="6" t="s">
        <v>174</v>
      </c>
      <c r="F447" s="6" t="s">
        <v>52</v>
      </c>
      <c r="G447" s="7">
        <v>43523.95238095238</v>
      </c>
      <c r="H447" s="6">
        <v>152333.8333333333</v>
      </c>
      <c r="I447" s="6" t="s">
        <v>179</v>
      </c>
      <c r="J447" s="15">
        <v>13.11274919560723</v>
      </c>
    </row>
    <row r="448" spans="1:10">
      <c r="A448" s="6" t="s">
        <v>136</v>
      </c>
      <c r="B448" s="6" t="s">
        <v>177</v>
      </c>
      <c r="C448" s="6" t="s">
        <v>326</v>
      </c>
      <c r="D448" s="6">
        <v>5.215</v>
      </c>
      <c r="E448" s="6" t="s">
        <v>174</v>
      </c>
      <c r="F448" s="6" t="s">
        <v>54</v>
      </c>
      <c r="G448" s="7">
        <v>108581.0162991371</v>
      </c>
      <c r="H448" s="6">
        <v>566250</v>
      </c>
      <c r="I448" s="6" t="s">
        <v>179</v>
      </c>
      <c r="J448" s="15">
        <v>121.1666666666667</v>
      </c>
    </row>
    <row r="449" spans="1:10">
      <c r="A449" s="6" t="s">
        <v>136</v>
      </c>
      <c r="B449" s="6" t="s">
        <v>177</v>
      </c>
      <c r="C449" s="6" t="s">
        <v>332</v>
      </c>
      <c r="D449" s="6">
        <v>14.76416666666667</v>
      </c>
      <c r="E449" s="6" t="s">
        <v>174</v>
      </c>
      <c r="F449" s="6" t="s">
        <v>55</v>
      </c>
      <c r="G449" s="7">
        <v>44293.65016650674</v>
      </c>
      <c r="H449" s="6">
        <v>653958.8333333334</v>
      </c>
      <c r="I449" s="6" t="s">
        <v>179</v>
      </c>
      <c r="J449" s="15">
        <v>19.5</v>
      </c>
    </row>
    <row r="450" spans="1:10">
      <c r="A450" s="6" t="s">
        <v>136</v>
      </c>
      <c r="B450" s="6" t="s">
        <v>92</v>
      </c>
      <c r="C450" s="6" t="s">
        <v>194</v>
      </c>
      <c r="D450" s="6">
        <v>0.016</v>
      </c>
      <c r="E450" s="6" t="s">
        <v>174</v>
      </c>
      <c r="F450" s="6" t="s">
        <v>58</v>
      </c>
      <c r="G450" s="7">
        <v>50041.91995236529</v>
      </c>
      <c r="H450" s="6">
        <v>800.6707192378445</v>
      </c>
      <c r="I450" s="6" t="s">
        <v>180</v>
      </c>
      <c r="J450" s="15">
        <v>11.97643504980967</v>
      </c>
    </row>
    <row r="451" spans="1:10">
      <c r="A451" s="6" t="s">
        <v>136</v>
      </c>
      <c r="B451" s="6" t="s">
        <v>92</v>
      </c>
      <c r="C451" s="6" t="s">
        <v>197</v>
      </c>
      <c r="D451" s="6">
        <v>0.01516666666666667</v>
      </c>
      <c r="E451" s="6" t="s">
        <v>174</v>
      </c>
      <c r="F451" s="6" t="s">
        <v>53</v>
      </c>
      <c r="G451" s="7">
        <v>63461.32463788219</v>
      </c>
      <c r="H451" s="6">
        <v>962.4967570078799</v>
      </c>
      <c r="I451" s="6" t="s">
        <v>180</v>
      </c>
      <c r="J451" s="15">
        <v>17.00096960870551</v>
      </c>
    </row>
    <row r="452" spans="1:10">
      <c r="A452" s="6" t="s">
        <v>136</v>
      </c>
      <c r="B452" s="6" t="s">
        <v>92</v>
      </c>
      <c r="C452" s="6" t="s">
        <v>199</v>
      </c>
      <c r="D452" s="6">
        <v>29.24116666666667</v>
      </c>
      <c r="E452" s="6" t="s">
        <v>174</v>
      </c>
      <c r="F452" s="6" t="s">
        <v>57</v>
      </c>
      <c r="G452" s="7">
        <v>45943.9020712533</v>
      </c>
      <c r="H452" s="6">
        <v>1343453.29778253</v>
      </c>
      <c r="I452" s="6" t="s">
        <v>179</v>
      </c>
      <c r="J452" s="15">
        <v>30.95</v>
      </c>
    </row>
    <row r="453" spans="1:10">
      <c r="A453" s="6" t="s">
        <v>136</v>
      </c>
      <c r="B453" s="6" t="s">
        <v>92</v>
      </c>
      <c r="C453" s="6" t="s">
        <v>202</v>
      </c>
      <c r="D453" s="6">
        <v>561.6946666666666</v>
      </c>
      <c r="E453" s="6" t="s">
        <v>174</v>
      </c>
      <c r="F453" s="6" t="s">
        <v>54</v>
      </c>
      <c r="G453" s="7">
        <v>116136.3118282046</v>
      </c>
      <c r="H453" s="6">
        <v>65233146.96023942</v>
      </c>
      <c r="I453" s="6" t="s">
        <v>179</v>
      </c>
      <c r="J453" s="15">
        <v>73.68333333333334</v>
      </c>
    </row>
    <row r="454" spans="1:10">
      <c r="A454" s="6" t="s">
        <v>136</v>
      </c>
      <c r="B454" s="6" t="s">
        <v>92</v>
      </c>
      <c r="C454" s="6" t="s">
        <v>203</v>
      </c>
      <c r="D454" s="6">
        <v>372.2388333333333</v>
      </c>
      <c r="E454" s="6" t="s">
        <v>174</v>
      </c>
      <c r="F454" s="6" t="s">
        <v>53</v>
      </c>
      <c r="G454" s="7">
        <v>53637.98510318315</v>
      </c>
      <c r="H454" s="6">
        <v>19966140.99715961</v>
      </c>
      <c r="I454" s="6" t="s">
        <v>179</v>
      </c>
      <c r="J454" s="15">
        <v>51.68333333333333</v>
      </c>
    </row>
    <row r="455" spans="1:10">
      <c r="A455" s="6" t="s">
        <v>136</v>
      </c>
      <c r="B455" s="6" t="s">
        <v>92</v>
      </c>
      <c r="C455" s="6" t="s">
        <v>204</v>
      </c>
      <c r="D455" s="6">
        <v>1437.453833333333</v>
      </c>
      <c r="E455" s="6" t="s">
        <v>174</v>
      </c>
      <c r="F455" s="6" t="s">
        <v>51</v>
      </c>
      <c r="G455" s="7">
        <v>45931.03732154475</v>
      </c>
      <c r="H455" s="6">
        <v>66023745.6668309</v>
      </c>
      <c r="I455" s="6" t="s">
        <v>179</v>
      </c>
      <c r="J455" s="15">
        <v>41.54166666666667</v>
      </c>
    </row>
    <row r="456" spans="1:10">
      <c r="A456" s="6" t="s">
        <v>136</v>
      </c>
      <c r="B456" s="6" t="s">
        <v>92</v>
      </c>
      <c r="C456" s="6" t="s">
        <v>205</v>
      </c>
      <c r="D456" s="6">
        <v>443.19175</v>
      </c>
      <c r="E456" s="6" t="s">
        <v>174</v>
      </c>
      <c r="F456" s="6" t="s">
        <v>56</v>
      </c>
      <c r="G456" s="7">
        <v>74010.38875195781</v>
      </c>
      <c r="H456" s="6">
        <v>32800793.7091605</v>
      </c>
      <c r="I456" s="6" t="s">
        <v>179</v>
      </c>
      <c r="J456" s="15">
        <v>55</v>
      </c>
    </row>
    <row r="457" spans="1:10">
      <c r="A457" s="6" t="s">
        <v>136</v>
      </c>
      <c r="B457" s="6" t="s">
        <v>92</v>
      </c>
      <c r="C457" s="6" t="s">
        <v>206</v>
      </c>
      <c r="D457" s="6">
        <v>177.23725</v>
      </c>
      <c r="E457" s="6" t="s">
        <v>174</v>
      </c>
      <c r="F457" s="6" t="s">
        <v>55</v>
      </c>
      <c r="G457" s="7">
        <v>31981.7567354776</v>
      </c>
      <c r="H457" s="6">
        <v>5668358.613965028</v>
      </c>
      <c r="I457" s="6" t="s">
        <v>179</v>
      </c>
      <c r="J457" s="15">
        <v>16</v>
      </c>
    </row>
    <row r="458" spans="1:10">
      <c r="A458" s="6" t="s">
        <v>136</v>
      </c>
      <c r="B458" s="6" t="s">
        <v>92</v>
      </c>
      <c r="C458" s="6" t="s">
        <v>208</v>
      </c>
      <c r="D458" s="6">
        <v>0.0115</v>
      </c>
      <c r="E458" s="6" t="s">
        <v>174</v>
      </c>
      <c r="F458" s="6" t="s">
        <v>51</v>
      </c>
      <c r="G458" s="7">
        <v>50504.79293432883</v>
      </c>
      <c r="H458" s="6">
        <v>580.8051187447817</v>
      </c>
      <c r="I458" s="6" t="s">
        <v>180</v>
      </c>
      <c r="J458" s="15">
        <v>12.14974536787207</v>
      </c>
    </row>
    <row r="459" spans="1:10">
      <c r="A459" s="6" t="s">
        <v>136</v>
      </c>
      <c r="B459" s="6" t="s">
        <v>92</v>
      </c>
      <c r="C459" s="6" t="s">
        <v>210</v>
      </c>
      <c r="D459" s="6">
        <v>0.005666666666666667</v>
      </c>
      <c r="E459" s="6" t="s">
        <v>174</v>
      </c>
      <c r="F459" s="6" t="s">
        <v>53</v>
      </c>
      <c r="G459" s="7">
        <v>49345.5773914262</v>
      </c>
      <c r="H459" s="6">
        <v>279.6249385514151</v>
      </c>
      <c r="I459" s="6" t="s">
        <v>180</v>
      </c>
      <c r="J459" s="15">
        <v>11.71570833768923</v>
      </c>
    </row>
    <row r="460" spans="1:10">
      <c r="A460" s="6" t="s">
        <v>136</v>
      </c>
      <c r="B460" s="6" t="s">
        <v>92</v>
      </c>
      <c r="C460" s="6" t="s">
        <v>211</v>
      </c>
      <c r="D460" s="6">
        <v>2040.434666666667</v>
      </c>
      <c r="E460" s="6" t="s">
        <v>174</v>
      </c>
      <c r="F460" s="6" t="s">
        <v>55</v>
      </c>
      <c r="G460" s="7">
        <v>25336.04217074411</v>
      </c>
      <c r="H460" s="6">
        <v>51696538.76131487</v>
      </c>
      <c r="I460" s="6" t="s">
        <v>179</v>
      </c>
      <c r="J460" s="15">
        <v>16</v>
      </c>
    </row>
    <row r="461" spans="1:10">
      <c r="A461" s="6" t="s">
        <v>136</v>
      </c>
      <c r="B461" s="6" t="s">
        <v>92</v>
      </c>
      <c r="C461" s="6" t="s">
        <v>212</v>
      </c>
      <c r="D461" s="6">
        <v>53.29433333333333</v>
      </c>
      <c r="E461" s="6" t="s">
        <v>174</v>
      </c>
      <c r="F461" s="6" t="s">
        <v>55</v>
      </c>
      <c r="G461" s="7">
        <v>23468.05749758728</v>
      </c>
      <c r="H461" s="6">
        <v>1250714.478962249</v>
      </c>
      <c r="I461" s="6" t="s">
        <v>179</v>
      </c>
      <c r="J461" s="15">
        <v>15</v>
      </c>
    </row>
    <row r="462" spans="1:10">
      <c r="A462" s="6" t="s">
        <v>136</v>
      </c>
      <c r="B462" s="6" t="s">
        <v>92</v>
      </c>
      <c r="C462" s="6" t="s">
        <v>214</v>
      </c>
      <c r="D462" s="6">
        <v>0.008916666666666666</v>
      </c>
      <c r="E462" s="6" t="s">
        <v>174</v>
      </c>
      <c r="F462" s="6" t="s">
        <v>53</v>
      </c>
      <c r="G462" s="7">
        <v>62422.24836497094</v>
      </c>
      <c r="H462" s="6">
        <v>556.5983812543242</v>
      </c>
      <c r="I462" s="6" t="s">
        <v>180</v>
      </c>
      <c r="J462" s="15">
        <v>16.61191549155782</v>
      </c>
    </row>
    <row r="463" spans="1:10">
      <c r="A463" s="6" t="s">
        <v>136</v>
      </c>
      <c r="B463" s="6" t="s">
        <v>92</v>
      </c>
      <c r="C463" s="6" t="s">
        <v>216</v>
      </c>
      <c r="D463" s="6">
        <v>12.66325</v>
      </c>
      <c r="E463" s="6" t="s">
        <v>174</v>
      </c>
      <c r="F463" s="6" t="s">
        <v>55</v>
      </c>
      <c r="G463" s="7">
        <v>37794.08920614998</v>
      </c>
      <c r="H463" s="6">
        <v>478596.0001397787</v>
      </c>
      <c r="I463" s="6" t="s">
        <v>180</v>
      </c>
      <c r="J463" s="15">
        <v>22.25</v>
      </c>
    </row>
    <row r="464" spans="1:10">
      <c r="A464" s="6" t="s">
        <v>136</v>
      </c>
      <c r="B464" s="6" t="s">
        <v>92</v>
      </c>
      <c r="C464" s="6" t="s">
        <v>217</v>
      </c>
      <c r="D464" s="6">
        <v>0.03216666666666667</v>
      </c>
      <c r="E464" s="6" t="s">
        <v>174</v>
      </c>
      <c r="F464" s="6" t="s">
        <v>53</v>
      </c>
      <c r="G464" s="7">
        <v>65939.82541874713</v>
      </c>
      <c r="H464" s="6">
        <v>2121.064384303033</v>
      </c>
      <c r="I464" s="6" t="s">
        <v>180</v>
      </c>
      <c r="J464" s="15">
        <v>17.92897745402719</v>
      </c>
    </row>
    <row r="465" spans="1:10">
      <c r="A465" s="6" t="s">
        <v>136</v>
      </c>
      <c r="B465" s="6" t="s">
        <v>92</v>
      </c>
      <c r="C465" s="6" t="s">
        <v>219</v>
      </c>
      <c r="D465" s="6">
        <v>0.1280833333333333</v>
      </c>
      <c r="E465" s="6" t="s">
        <v>174</v>
      </c>
      <c r="F465" s="6" t="s">
        <v>51</v>
      </c>
      <c r="G465" s="7">
        <v>50028.12386913064</v>
      </c>
      <c r="H465" s="6">
        <v>6407.768865571148</v>
      </c>
      <c r="I465" s="6" t="s">
        <v>180</v>
      </c>
      <c r="J465" s="15">
        <v>11.97126947811596</v>
      </c>
    </row>
    <row r="466" spans="1:10">
      <c r="A466" s="6" t="s">
        <v>136</v>
      </c>
      <c r="B466" s="6" t="s">
        <v>92</v>
      </c>
      <c r="C466" s="6" t="s">
        <v>220</v>
      </c>
      <c r="D466" s="6">
        <v>1.6875</v>
      </c>
      <c r="E466" s="6" t="s">
        <v>174</v>
      </c>
      <c r="F466" s="6" t="s">
        <v>57</v>
      </c>
      <c r="G466" s="7">
        <v>40832.06893400874</v>
      </c>
      <c r="H466" s="6">
        <v>68904.11632613975</v>
      </c>
      <c r="I466" s="6" t="s">
        <v>180</v>
      </c>
      <c r="J466" s="15">
        <v>8.528054454062554</v>
      </c>
    </row>
    <row r="467" spans="1:10">
      <c r="A467" s="6" t="s">
        <v>136</v>
      </c>
      <c r="B467" s="6" t="s">
        <v>92</v>
      </c>
      <c r="C467" s="6" t="s">
        <v>221</v>
      </c>
      <c r="D467" s="6">
        <v>2.883083333333333</v>
      </c>
      <c r="E467" s="6" t="s">
        <v>174</v>
      </c>
      <c r="F467" s="6" t="s">
        <v>51</v>
      </c>
      <c r="G467" s="7">
        <v>44450.04061738423</v>
      </c>
      <c r="H467" s="6">
        <v>128153.1712699702</v>
      </c>
      <c r="I467" s="6" t="s">
        <v>179</v>
      </c>
      <c r="J467" s="15">
        <v>39.525</v>
      </c>
    </row>
    <row r="468" spans="1:10">
      <c r="A468" s="6" t="s">
        <v>136</v>
      </c>
      <c r="B468" s="6" t="s">
        <v>92</v>
      </c>
      <c r="C468" s="6" t="s">
        <v>223</v>
      </c>
      <c r="D468" s="6">
        <v>28.216</v>
      </c>
      <c r="E468" s="6" t="s">
        <v>174</v>
      </c>
      <c r="F468" s="6" t="s">
        <v>53</v>
      </c>
      <c r="G468" s="7">
        <v>48232.87547336299</v>
      </c>
      <c r="H468" s="6">
        <v>1360938.81435641</v>
      </c>
      <c r="I468" s="6" t="s">
        <v>179</v>
      </c>
      <c r="J468" s="15">
        <v>53.5</v>
      </c>
    </row>
    <row r="469" spans="1:10">
      <c r="A469" s="6" t="s">
        <v>136</v>
      </c>
      <c r="B469" s="6" t="s">
        <v>92</v>
      </c>
      <c r="C469" s="6" t="s">
        <v>224</v>
      </c>
      <c r="D469" s="6">
        <v>526.70325</v>
      </c>
      <c r="E469" s="6" t="s">
        <v>174</v>
      </c>
      <c r="F469" s="6" t="s">
        <v>51</v>
      </c>
      <c r="G469" s="7">
        <v>46793.10139429578</v>
      </c>
      <c r="H469" s="6">
        <v>24646078.58195512</v>
      </c>
      <c r="I469" s="6" t="s">
        <v>179</v>
      </c>
      <c r="J469" s="15">
        <v>41.85</v>
      </c>
    </row>
    <row r="470" spans="1:10">
      <c r="A470" s="6" t="s">
        <v>136</v>
      </c>
      <c r="B470" s="6" t="s">
        <v>92</v>
      </c>
      <c r="C470" s="6" t="s">
        <v>226</v>
      </c>
      <c r="D470" s="6">
        <v>5.549083333333333</v>
      </c>
      <c r="E470" s="6" t="s">
        <v>174</v>
      </c>
      <c r="F470" s="6" t="s">
        <v>56</v>
      </c>
      <c r="G470" s="7">
        <v>115634.7099370767</v>
      </c>
      <c r="H470" s="6">
        <v>641666.6416666666</v>
      </c>
      <c r="I470" s="6" t="s">
        <v>179</v>
      </c>
      <c r="J470" s="15">
        <v>137</v>
      </c>
    </row>
    <row r="471" spans="1:10">
      <c r="A471" s="6" t="s">
        <v>136</v>
      </c>
      <c r="B471" s="6" t="s">
        <v>92</v>
      </c>
      <c r="C471" s="6" t="s">
        <v>227</v>
      </c>
      <c r="D471" s="6">
        <v>33.89125</v>
      </c>
      <c r="E471" s="6" t="s">
        <v>174</v>
      </c>
      <c r="F471" s="6" t="s">
        <v>57</v>
      </c>
      <c r="G471" s="7">
        <v>53193.31448576911</v>
      </c>
      <c r="H471" s="6">
        <v>1802787.919565822</v>
      </c>
      <c r="I471" s="6" t="s">
        <v>179</v>
      </c>
      <c r="J471" s="15">
        <v>43</v>
      </c>
    </row>
    <row r="472" spans="1:10">
      <c r="A472" s="6" t="s">
        <v>136</v>
      </c>
      <c r="B472" s="6" t="s">
        <v>92</v>
      </c>
      <c r="C472" s="6" t="s">
        <v>228</v>
      </c>
      <c r="D472" s="6">
        <v>13.12475</v>
      </c>
      <c r="E472" s="6" t="s">
        <v>174</v>
      </c>
      <c r="F472" s="6" t="s">
        <v>51</v>
      </c>
      <c r="G472" s="7">
        <v>40082.62252520998</v>
      </c>
      <c r="H472" s="6">
        <v>526074.3999877496</v>
      </c>
      <c r="I472" s="6" t="s">
        <v>179</v>
      </c>
      <c r="J472" s="15">
        <v>26.025</v>
      </c>
    </row>
    <row r="473" spans="1:10">
      <c r="A473" s="6" t="s">
        <v>136</v>
      </c>
      <c r="B473" s="6" t="s">
        <v>92</v>
      </c>
      <c r="C473" s="6" t="s">
        <v>367</v>
      </c>
      <c r="D473" s="6">
        <v>15.63883333333333</v>
      </c>
      <c r="E473" s="6" t="s">
        <v>174</v>
      </c>
      <c r="F473" s="6" t="s">
        <v>55</v>
      </c>
      <c r="G473" s="7">
        <v>42283.6525693799</v>
      </c>
      <c r="H473" s="6">
        <v>661266.9952571039</v>
      </c>
      <c r="I473" s="6" t="s">
        <v>179</v>
      </c>
      <c r="J473" s="15">
        <v>15</v>
      </c>
    </row>
    <row r="474" spans="1:10">
      <c r="A474" s="6" t="s">
        <v>136</v>
      </c>
      <c r="B474" s="6" t="s">
        <v>92</v>
      </c>
      <c r="C474" s="6" t="s">
        <v>230</v>
      </c>
      <c r="D474" s="6">
        <v>4.87075</v>
      </c>
      <c r="E474" s="6" t="s">
        <v>174</v>
      </c>
      <c r="F474" s="6" t="s">
        <v>53</v>
      </c>
      <c r="G474" s="7">
        <v>50127.30283720783</v>
      </c>
      <c r="H474" s="6">
        <v>244157.56029433</v>
      </c>
      <c r="I474" s="6" t="s">
        <v>180</v>
      </c>
      <c r="J474" s="15">
        <v>42.83333333333334</v>
      </c>
    </row>
    <row r="475" spans="1:10">
      <c r="A475" s="6" t="s">
        <v>136</v>
      </c>
      <c r="B475" s="6" t="s">
        <v>92</v>
      </c>
      <c r="C475" s="6" t="s">
        <v>232</v>
      </c>
      <c r="D475" s="6">
        <v>0.03475</v>
      </c>
      <c r="E475" s="6" t="s">
        <v>174</v>
      </c>
      <c r="F475" s="6" t="s">
        <v>51</v>
      </c>
      <c r="G475" s="7">
        <v>47655.11283939263</v>
      </c>
      <c r="H475" s="6">
        <v>1656.015171168894</v>
      </c>
      <c r="I475" s="6" t="s">
        <v>180</v>
      </c>
      <c r="J475" s="15">
        <v>11.08275942815615</v>
      </c>
    </row>
    <row r="476" spans="1:10">
      <c r="A476" s="6" t="s">
        <v>136</v>
      </c>
      <c r="B476" s="6" t="s">
        <v>92</v>
      </c>
      <c r="C476" s="6" t="s">
        <v>233</v>
      </c>
      <c r="D476" s="6">
        <v>0.14475</v>
      </c>
      <c r="E476" s="6" t="s">
        <v>174</v>
      </c>
      <c r="F476" s="6" t="s">
        <v>59</v>
      </c>
      <c r="G476" s="7">
        <v>44232.39847084988</v>
      </c>
      <c r="H476" s="6">
        <v>6402.639678655521</v>
      </c>
      <c r="I476" s="6" t="s">
        <v>180</v>
      </c>
      <c r="J476" s="15">
        <v>9.801216242523401</v>
      </c>
    </row>
    <row r="477" spans="1:10">
      <c r="A477" s="6" t="s">
        <v>136</v>
      </c>
      <c r="B477" s="6" t="s">
        <v>92</v>
      </c>
      <c r="C477" s="6" t="s">
        <v>234</v>
      </c>
      <c r="D477" s="6">
        <v>2.186</v>
      </c>
      <c r="E477" s="6" t="s">
        <v>174</v>
      </c>
      <c r="F477" s="6" t="s">
        <v>56</v>
      </c>
      <c r="G477" s="7">
        <v>77276.78495905263</v>
      </c>
      <c r="H477" s="6">
        <v>168927.0519204891</v>
      </c>
      <c r="I477" s="6" t="s">
        <v>179</v>
      </c>
      <c r="J477" s="15">
        <v>56.5</v>
      </c>
    </row>
    <row r="478" spans="1:10">
      <c r="A478" s="6" t="s">
        <v>136</v>
      </c>
      <c r="B478" s="6" t="s">
        <v>92</v>
      </c>
      <c r="C478" s="6" t="s">
        <v>236</v>
      </c>
      <c r="D478" s="6">
        <v>954.8985833333332</v>
      </c>
      <c r="E478" s="6" t="s">
        <v>174</v>
      </c>
      <c r="F478" s="6" t="s">
        <v>51</v>
      </c>
      <c r="G478" s="7">
        <v>44660.20742498994</v>
      </c>
      <c r="H478" s="6">
        <v>42645968.8014957</v>
      </c>
      <c r="I478" s="6" t="s">
        <v>179</v>
      </c>
      <c r="J478" s="15">
        <v>46.28333333333333</v>
      </c>
    </row>
    <row r="479" spans="1:10">
      <c r="A479" s="6" t="s">
        <v>136</v>
      </c>
      <c r="B479" s="6" t="s">
        <v>92</v>
      </c>
      <c r="C479" s="6" t="s">
        <v>237</v>
      </c>
      <c r="D479" s="6">
        <v>0.1165833333333333</v>
      </c>
      <c r="E479" s="6" t="s">
        <v>174</v>
      </c>
      <c r="F479" s="6" t="s">
        <v>51</v>
      </c>
      <c r="G479" s="7">
        <v>45814.12048649801</v>
      </c>
      <c r="H479" s="6">
        <v>5341.162880050892</v>
      </c>
      <c r="I479" s="6" t="s">
        <v>180</v>
      </c>
      <c r="J479" s="15">
        <v>10.39344943888626</v>
      </c>
    </row>
    <row r="480" spans="1:10">
      <c r="A480" s="6" t="s">
        <v>136</v>
      </c>
      <c r="B480" s="6" t="s">
        <v>92</v>
      </c>
      <c r="C480" s="6" t="s">
        <v>238</v>
      </c>
      <c r="D480" s="6">
        <v>0.002833333333333334</v>
      </c>
      <c r="E480" s="6" t="s">
        <v>174</v>
      </c>
      <c r="F480" s="6" t="s">
        <v>51</v>
      </c>
      <c r="G480" s="7">
        <v>51984.33495522587</v>
      </c>
      <c r="H480" s="6">
        <v>147.2889490398066</v>
      </c>
      <c r="I480" s="6" t="s">
        <v>180</v>
      </c>
      <c r="J480" s="15">
        <v>12.70372001798148</v>
      </c>
    </row>
    <row r="481" spans="1:10">
      <c r="A481" s="6" t="s">
        <v>136</v>
      </c>
      <c r="B481" s="6" t="s">
        <v>92</v>
      </c>
      <c r="C481" s="6" t="s">
        <v>368</v>
      </c>
      <c r="D481" s="6">
        <v>5.712</v>
      </c>
      <c r="E481" s="6" t="s">
        <v>174</v>
      </c>
      <c r="F481" s="6" t="s">
        <v>55</v>
      </c>
      <c r="G481" s="7">
        <v>43717.6088593299</v>
      </c>
      <c r="H481" s="6">
        <v>249714.9818044924</v>
      </c>
      <c r="I481" s="6" t="s">
        <v>179</v>
      </c>
      <c r="J481" s="15">
        <v>15</v>
      </c>
    </row>
    <row r="482" spans="1:10">
      <c r="A482" s="6" t="s">
        <v>136</v>
      </c>
      <c r="B482" s="6" t="s">
        <v>92</v>
      </c>
      <c r="C482" s="6" t="s">
        <v>240</v>
      </c>
      <c r="D482" s="6">
        <v>0.08566666666666667</v>
      </c>
      <c r="E482" s="6" t="s">
        <v>174</v>
      </c>
      <c r="F482" s="6" t="s">
        <v>51</v>
      </c>
      <c r="G482" s="7">
        <v>42218.72021108094</v>
      </c>
      <c r="H482" s="6">
        <v>3616.737031415934</v>
      </c>
      <c r="I482" s="6" t="s">
        <v>180</v>
      </c>
      <c r="J482" s="15">
        <v>9.04724866767069</v>
      </c>
    </row>
    <row r="483" spans="1:10">
      <c r="A483" s="6" t="s">
        <v>136</v>
      </c>
      <c r="B483" s="6" t="s">
        <v>92</v>
      </c>
      <c r="C483" s="6" t="s">
        <v>241</v>
      </c>
      <c r="D483" s="6">
        <v>0.002833333333333334</v>
      </c>
      <c r="E483" s="6" t="s">
        <v>174</v>
      </c>
      <c r="F483" s="6" t="s">
        <v>53</v>
      </c>
      <c r="G483" s="7">
        <v>52223.82604068523</v>
      </c>
      <c r="H483" s="6">
        <v>147.9675071152748</v>
      </c>
      <c r="I483" s="6" t="s">
        <v>180</v>
      </c>
      <c r="J483" s="15">
        <v>12.79339100291993</v>
      </c>
    </row>
    <row r="484" spans="1:10">
      <c r="A484" s="6" t="s">
        <v>136</v>
      </c>
      <c r="B484" s="6" t="s">
        <v>92</v>
      </c>
      <c r="C484" s="6" t="s">
        <v>243</v>
      </c>
      <c r="D484" s="6">
        <v>0.009416666666666667</v>
      </c>
      <c r="E484" s="6" t="s">
        <v>174</v>
      </c>
      <c r="F484" s="6" t="s">
        <v>58</v>
      </c>
      <c r="G484" s="7">
        <v>50145.16283380362</v>
      </c>
      <c r="H484" s="6">
        <v>472.2002833516507</v>
      </c>
      <c r="I484" s="6" t="s">
        <v>180</v>
      </c>
      <c r="J484" s="15">
        <v>12.01509156534846</v>
      </c>
    </row>
    <row r="485" spans="1:10">
      <c r="A485" s="6" t="s">
        <v>136</v>
      </c>
      <c r="B485" s="6" t="s">
        <v>92</v>
      </c>
      <c r="C485" s="6" t="s">
        <v>369</v>
      </c>
      <c r="D485" s="6">
        <v>8.485250000000001</v>
      </c>
      <c r="E485" s="6" t="s">
        <v>174</v>
      </c>
      <c r="F485" s="6" t="s">
        <v>55</v>
      </c>
      <c r="G485" s="7">
        <v>40825.70263339478</v>
      </c>
      <c r="H485" s="6">
        <v>346416.2932700131</v>
      </c>
      <c r="I485" s="6" t="s">
        <v>179</v>
      </c>
      <c r="J485" s="15">
        <v>15.5</v>
      </c>
    </row>
    <row r="486" spans="1:10">
      <c r="A486" s="6" t="s">
        <v>136</v>
      </c>
      <c r="B486" s="6" t="s">
        <v>92</v>
      </c>
      <c r="C486" s="6" t="s">
        <v>244</v>
      </c>
      <c r="D486" s="6">
        <v>66.96383333333334</v>
      </c>
      <c r="E486" s="6" t="s">
        <v>174</v>
      </c>
      <c r="F486" s="6" t="s">
        <v>55</v>
      </c>
      <c r="G486" s="7">
        <v>48892.00333862133</v>
      </c>
      <c r="H486" s="6">
        <v>3273995.962900216</v>
      </c>
      <c r="I486" s="6" t="s">
        <v>179</v>
      </c>
      <c r="J486" s="15">
        <v>17</v>
      </c>
    </row>
    <row r="487" spans="1:10">
      <c r="A487" s="6" t="s">
        <v>136</v>
      </c>
      <c r="B487" s="6" t="s">
        <v>92</v>
      </c>
      <c r="C487" s="6" t="s">
        <v>245</v>
      </c>
      <c r="D487" s="6">
        <v>80.95016666666668</v>
      </c>
      <c r="E487" s="6" t="s">
        <v>174</v>
      </c>
      <c r="F487" s="6" t="s">
        <v>53</v>
      </c>
      <c r="G487" s="7">
        <v>55652.01866398296</v>
      </c>
      <c r="H487" s="6">
        <v>4505040.186185866</v>
      </c>
      <c r="I487" s="6" t="s">
        <v>179</v>
      </c>
      <c r="J487" s="15">
        <v>39</v>
      </c>
    </row>
    <row r="488" spans="1:10">
      <c r="A488" s="6" t="s">
        <v>136</v>
      </c>
      <c r="B488" s="6" t="s">
        <v>92</v>
      </c>
      <c r="C488" s="6" t="s">
        <v>246</v>
      </c>
      <c r="D488" s="6">
        <v>0.003833333333333333</v>
      </c>
      <c r="E488" s="6" t="s">
        <v>174</v>
      </c>
      <c r="F488" s="6" t="s">
        <v>53</v>
      </c>
      <c r="G488" s="7">
        <v>52060.28389589844</v>
      </c>
      <c r="H488" s="6">
        <v>199.564421600944</v>
      </c>
      <c r="I488" s="6" t="s">
        <v>180</v>
      </c>
      <c r="J488" s="15">
        <v>12.73215705271319</v>
      </c>
    </row>
    <row r="489" spans="1:10">
      <c r="A489" s="6" t="s">
        <v>136</v>
      </c>
      <c r="B489" s="6" t="s">
        <v>92</v>
      </c>
      <c r="C489" s="6" t="s">
        <v>348</v>
      </c>
      <c r="D489" s="6">
        <v>17.50958333333334</v>
      </c>
      <c r="E489" s="6" t="s">
        <v>174</v>
      </c>
      <c r="F489" s="6" t="s">
        <v>52</v>
      </c>
      <c r="G489" s="7">
        <v>122789.8974371178</v>
      </c>
      <c r="H489" s="6">
        <v>2149999.941666667</v>
      </c>
      <c r="I489" s="6" t="s">
        <v>179</v>
      </c>
      <c r="J489" s="15">
        <v>51</v>
      </c>
    </row>
    <row r="490" spans="1:10">
      <c r="A490" s="6" t="s">
        <v>136</v>
      </c>
      <c r="B490" s="6" t="s">
        <v>92</v>
      </c>
      <c r="C490" s="6" t="s">
        <v>247</v>
      </c>
      <c r="D490" s="6">
        <v>78.96758333333334</v>
      </c>
      <c r="E490" s="6" t="s">
        <v>174</v>
      </c>
      <c r="F490" s="6" t="s">
        <v>51</v>
      </c>
      <c r="G490" s="7">
        <v>46237.23227272295</v>
      </c>
      <c r="H490" s="6">
        <v>3651242.492598939</v>
      </c>
      <c r="I490" s="6" t="s">
        <v>179</v>
      </c>
      <c r="J490" s="15">
        <v>29.3</v>
      </c>
    </row>
    <row r="491" spans="1:10">
      <c r="A491" s="6" t="s">
        <v>136</v>
      </c>
      <c r="B491" s="6" t="s">
        <v>92</v>
      </c>
      <c r="C491" s="6" t="s">
        <v>248</v>
      </c>
      <c r="D491" s="6">
        <v>173.88475</v>
      </c>
      <c r="E491" s="6" t="s">
        <v>174</v>
      </c>
      <c r="F491" s="6" t="s">
        <v>55</v>
      </c>
      <c r="G491" s="7">
        <v>58404.33083392808</v>
      </c>
      <c r="H491" s="6">
        <v>10155622.46597488</v>
      </c>
      <c r="I491" s="6" t="s">
        <v>179</v>
      </c>
      <c r="J491" s="15">
        <v>49.38333333333333</v>
      </c>
    </row>
    <row r="492" spans="1:10">
      <c r="A492" s="6" t="s">
        <v>136</v>
      </c>
      <c r="B492" s="6" t="s">
        <v>92</v>
      </c>
      <c r="C492" s="6" t="s">
        <v>249</v>
      </c>
      <c r="D492" s="6">
        <v>117.1636666666667</v>
      </c>
      <c r="E492" s="6" t="s">
        <v>174</v>
      </c>
      <c r="F492" s="6" t="s">
        <v>53</v>
      </c>
      <c r="G492" s="7">
        <v>38542.7817237839</v>
      </c>
      <c r="H492" s="6">
        <v>4515813.630291509</v>
      </c>
      <c r="I492" s="6" t="s">
        <v>179</v>
      </c>
      <c r="J492" s="15">
        <v>47.575</v>
      </c>
    </row>
    <row r="493" spans="1:10">
      <c r="A493" s="6" t="s">
        <v>136</v>
      </c>
      <c r="B493" s="6" t="s">
        <v>92</v>
      </c>
      <c r="C493" s="6" t="s">
        <v>250</v>
      </c>
      <c r="D493" s="6">
        <v>57.94483333333333</v>
      </c>
      <c r="E493" s="6" t="s">
        <v>174</v>
      </c>
      <c r="F493" s="6" t="s">
        <v>55</v>
      </c>
      <c r="G493" s="7">
        <v>37321.61329653078</v>
      </c>
      <c r="H493" s="6">
        <v>2162594.662198593</v>
      </c>
      <c r="I493" s="6" t="s">
        <v>179</v>
      </c>
      <c r="J493" s="15">
        <v>15</v>
      </c>
    </row>
    <row r="494" spans="1:10">
      <c r="A494" s="6" t="s">
        <v>136</v>
      </c>
      <c r="B494" s="6" t="s">
        <v>92</v>
      </c>
      <c r="C494" s="6" t="s">
        <v>251</v>
      </c>
      <c r="D494" s="6">
        <v>0.07233333333333333</v>
      </c>
      <c r="E494" s="6" t="s">
        <v>174</v>
      </c>
      <c r="F494" s="6" t="s">
        <v>53</v>
      </c>
      <c r="G494" s="7">
        <v>49502.3667901282</v>
      </c>
      <c r="H494" s="6">
        <v>3580.671197819273</v>
      </c>
      <c r="I494" s="6" t="s">
        <v>180</v>
      </c>
      <c r="J494" s="15">
        <v>11.77441390404695</v>
      </c>
    </row>
    <row r="495" spans="1:10">
      <c r="A495" s="6" t="s">
        <v>136</v>
      </c>
      <c r="B495" s="6" t="s">
        <v>92</v>
      </c>
      <c r="C495" s="6" t="s">
        <v>252</v>
      </c>
      <c r="D495" s="6">
        <v>0.03441666666666667</v>
      </c>
      <c r="E495" s="6" t="s">
        <v>174</v>
      </c>
      <c r="F495" s="6" t="s">
        <v>57</v>
      </c>
      <c r="G495" s="7">
        <v>48993.49682082658</v>
      </c>
      <c r="H495" s="6">
        <v>1686.192848916782</v>
      </c>
      <c r="I495" s="6" t="s">
        <v>180</v>
      </c>
      <c r="J495" s="15">
        <v>11.58388125325807</v>
      </c>
    </row>
    <row r="496" spans="1:10">
      <c r="A496" s="6" t="s">
        <v>136</v>
      </c>
      <c r="B496" s="6" t="s">
        <v>92</v>
      </c>
      <c r="C496" s="6" t="s">
        <v>253</v>
      </c>
      <c r="D496" s="6">
        <v>0.01375</v>
      </c>
      <c r="E496" s="6" t="s">
        <v>174</v>
      </c>
      <c r="F496" s="6" t="s">
        <v>53</v>
      </c>
      <c r="G496" s="7">
        <v>49900.32874056988</v>
      </c>
      <c r="H496" s="6">
        <v>686.1295201828358</v>
      </c>
      <c r="I496" s="6" t="s">
        <v>180</v>
      </c>
      <c r="J496" s="15">
        <v>11.92342003509223</v>
      </c>
    </row>
    <row r="497" spans="1:10">
      <c r="A497" s="6" t="s">
        <v>136</v>
      </c>
      <c r="B497" s="6" t="s">
        <v>92</v>
      </c>
      <c r="C497" s="6" t="s">
        <v>254</v>
      </c>
      <c r="D497" s="6">
        <v>0.006749999999999999</v>
      </c>
      <c r="E497" s="6" t="s">
        <v>174</v>
      </c>
      <c r="F497" s="6" t="s">
        <v>51</v>
      </c>
      <c r="G497" s="7">
        <v>46071.76246643075</v>
      </c>
      <c r="H497" s="6">
        <v>310.9843966484075</v>
      </c>
      <c r="I497" s="6" t="s">
        <v>180</v>
      </c>
      <c r="J497" s="15">
        <v>10.48991653726593</v>
      </c>
    </row>
    <row r="498" spans="1:10">
      <c r="A498" s="6" t="s">
        <v>136</v>
      </c>
      <c r="B498" s="6" t="s">
        <v>92</v>
      </c>
      <c r="C498" s="6" t="s">
        <v>259</v>
      </c>
      <c r="D498" s="6">
        <v>18.15233333333333</v>
      </c>
      <c r="E498" s="6" t="s">
        <v>174</v>
      </c>
      <c r="F498" s="6" t="s">
        <v>56</v>
      </c>
      <c r="G498" s="7">
        <v>79439.18458600363</v>
      </c>
      <c r="H498" s="6">
        <v>1442006.558333333</v>
      </c>
      <c r="I498" s="6" t="s">
        <v>179</v>
      </c>
      <c r="J498" s="15">
        <v>47.91666666666666</v>
      </c>
    </row>
    <row r="499" spans="1:10">
      <c r="A499" s="6" t="s">
        <v>136</v>
      </c>
      <c r="B499" s="6" t="s">
        <v>92</v>
      </c>
      <c r="C499" s="6" t="s">
        <v>265</v>
      </c>
      <c r="D499" s="6">
        <v>0.05166666666666667</v>
      </c>
      <c r="E499" s="6" t="s">
        <v>174</v>
      </c>
      <c r="F499" s="6" t="s">
        <v>54</v>
      </c>
      <c r="G499" s="7">
        <v>90743.37559946225</v>
      </c>
      <c r="H499" s="6">
        <v>4688.40773930555</v>
      </c>
      <c r="I499" s="6" t="s">
        <v>180</v>
      </c>
      <c r="J499" s="15">
        <v>27.21599859892306</v>
      </c>
    </row>
    <row r="500" spans="1:10">
      <c r="A500" s="6" t="s">
        <v>136</v>
      </c>
      <c r="B500" s="6" t="s">
        <v>92</v>
      </c>
      <c r="C500" s="6" t="s">
        <v>266</v>
      </c>
      <c r="D500" s="6">
        <v>33.72458333333334</v>
      </c>
      <c r="E500" s="6" t="s">
        <v>174</v>
      </c>
      <c r="F500" s="6" t="s">
        <v>57</v>
      </c>
      <c r="G500" s="7">
        <v>66010.94055680964</v>
      </c>
      <c r="H500" s="6">
        <v>2226191.46571984</v>
      </c>
      <c r="I500" s="6" t="s">
        <v>179</v>
      </c>
      <c r="J500" s="15">
        <v>90.49166666666667</v>
      </c>
    </row>
    <row r="501" spans="1:10">
      <c r="A501" s="6" t="s">
        <v>136</v>
      </c>
      <c r="B501" s="6" t="s">
        <v>92</v>
      </c>
      <c r="C501" s="6" t="s">
        <v>267</v>
      </c>
      <c r="D501" s="6">
        <v>58.25783333333334</v>
      </c>
      <c r="E501" s="6" t="s">
        <v>174</v>
      </c>
      <c r="F501" s="6" t="s">
        <v>53</v>
      </c>
      <c r="G501" s="7">
        <v>48956.37381074637</v>
      </c>
      <c r="H501" s="6">
        <v>2852092.266070827</v>
      </c>
      <c r="I501" s="6" t="s">
        <v>179</v>
      </c>
      <c r="J501" s="15">
        <v>31.05</v>
      </c>
    </row>
    <row r="502" spans="1:10">
      <c r="A502" s="6" t="s">
        <v>136</v>
      </c>
      <c r="B502" s="6" t="s">
        <v>92</v>
      </c>
      <c r="C502" s="6" t="s">
        <v>268</v>
      </c>
      <c r="D502" s="6">
        <v>0.03683333333333334</v>
      </c>
      <c r="E502" s="6" t="s">
        <v>174</v>
      </c>
      <c r="F502" s="6" t="s">
        <v>51</v>
      </c>
      <c r="G502" s="7">
        <v>43172.09311535833</v>
      </c>
      <c r="H502" s="6">
        <v>1590.172096415699</v>
      </c>
      <c r="I502" s="6" t="s">
        <v>180</v>
      </c>
      <c r="J502" s="15">
        <v>9.404213467325818</v>
      </c>
    </row>
    <row r="503" spans="1:10">
      <c r="A503" s="6" t="s">
        <v>136</v>
      </c>
      <c r="B503" s="6" t="s">
        <v>92</v>
      </c>
      <c r="C503" s="6" t="s">
        <v>271</v>
      </c>
      <c r="D503" s="6">
        <v>37.0935</v>
      </c>
      <c r="E503" s="6" t="s">
        <v>174</v>
      </c>
      <c r="F503" s="6" t="s">
        <v>54</v>
      </c>
      <c r="G503" s="7">
        <v>122853.6199370354</v>
      </c>
      <c r="H503" s="6">
        <v>4557070.751134421</v>
      </c>
      <c r="I503" s="6" t="s">
        <v>179</v>
      </c>
      <c r="J503" s="15">
        <v>72.03333333333333</v>
      </c>
    </row>
    <row r="504" spans="1:10">
      <c r="A504" s="6" t="s">
        <v>136</v>
      </c>
      <c r="B504" s="6" t="s">
        <v>92</v>
      </c>
      <c r="C504" s="6" t="s">
        <v>273</v>
      </c>
      <c r="D504" s="6">
        <v>323.6433333333333</v>
      </c>
      <c r="E504" s="6" t="s">
        <v>174</v>
      </c>
      <c r="F504" s="6" t="s">
        <v>51</v>
      </c>
      <c r="G504" s="7">
        <v>39415.32644745876</v>
      </c>
      <c r="H504" s="6">
        <v>12756507.63587704</v>
      </c>
      <c r="I504" s="6" t="s">
        <v>179</v>
      </c>
      <c r="J504" s="15">
        <v>27</v>
      </c>
    </row>
    <row r="505" spans="1:10">
      <c r="A505" s="6" t="s">
        <v>136</v>
      </c>
      <c r="B505" s="6" t="s">
        <v>92</v>
      </c>
      <c r="C505" s="6" t="s">
        <v>277</v>
      </c>
      <c r="D505" s="6">
        <v>0.1756666666666667</v>
      </c>
      <c r="E505" s="6" t="s">
        <v>174</v>
      </c>
      <c r="F505" s="6" t="s">
        <v>57</v>
      </c>
      <c r="G505" s="7">
        <v>41020.02489344452</v>
      </c>
      <c r="H505" s="6">
        <v>7205.851039615087</v>
      </c>
      <c r="I505" s="6" t="s">
        <v>180</v>
      </c>
      <c r="J505" s="15">
        <v>8.598429499444013</v>
      </c>
    </row>
    <row r="506" spans="1:10">
      <c r="A506" s="6" t="s">
        <v>136</v>
      </c>
      <c r="B506" s="6" t="s">
        <v>92</v>
      </c>
      <c r="C506" s="6" t="s">
        <v>278</v>
      </c>
      <c r="D506" s="6">
        <v>846.5839999999999</v>
      </c>
      <c r="E506" s="6" t="s">
        <v>174</v>
      </c>
      <c r="F506" s="6" t="s">
        <v>55</v>
      </c>
      <c r="G506" s="7">
        <v>30336.77880022909</v>
      </c>
      <c r="H506" s="6">
        <v>25682631.54381314</v>
      </c>
      <c r="I506" s="6" t="s">
        <v>179</v>
      </c>
      <c r="J506" s="15">
        <v>14</v>
      </c>
    </row>
    <row r="507" spans="1:10">
      <c r="A507" s="6" t="s">
        <v>136</v>
      </c>
      <c r="B507" s="6" t="s">
        <v>92</v>
      </c>
      <c r="C507" s="6" t="s">
        <v>280</v>
      </c>
      <c r="D507" s="6">
        <v>476.2775833333333</v>
      </c>
      <c r="E507" s="6" t="s">
        <v>174</v>
      </c>
      <c r="F507" s="6" t="s">
        <v>55</v>
      </c>
      <c r="G507" s="7">
        <v>58368.69681371454</v>
      </c>
      <c r="H507" s="6">
        <v>27799701.860752</v>
      </c>
      <c r="I507" s="6" t="s">
        <v>179</v>
      </c>
      <c r="J507" s="15">
        <v>52.875</v>
      </c>
    </row>
    <row r="508" spans="1:10">
      <c r="A508" s="6" t="s">
        <v>136</v>
      </c>
      <c r="B508" s="6" t="s">
        <v>92</v>
      </c>
      <c r="C508" s="6" t="s">
        <v>281</v>
      </c>
      <c r="D508" s="6">
        <v>708.654</v>
      </c>
      <c r="E508" s="6" t="s">
        <v>174</v>
      </c>
      <c r="F508" s="6" t="s">
        <v>57</v>
      </c>
      <c r="G508" s="7">
        <v>47725.16793448776</v>
      </c>
      <c r="H508" s="6">
        <v>33820631.15744649</v>
      </c>
      <c r="I508" s="6" t="s">
        <v>179</v>
      </c>
      <c r="J508" s="15">
        <v>36</v>
      </c>
    </row>
    <row r="509" spans="1:10">
      <c r="A509" s="6" t="s">
        <v>136</v>
      </c>
      <c r="B509" s="6" t="s">
        <v>92</v>
      </c>
      <c r="C509" s="6" t="s">
        <v>283</v>
      </c>
      <c r="D509" s="6">
        <v>83.65325</v>
      </c>
      <c r="E509" s="6" t="s">
        <v>174</v>
      </c>
      <c r="F509" s="6" t="s">
        <v>51</v>
      </c>
      <c r="G509" s="7">
        <v>40169.43882543561</v>
      </c>
      <c r="H509" s="6">
        <v>3360304.108423871</v>
      </c>
      <c r="I509" s="6" t="s">
        <v>179</v>
      </c>
      <c r="J509" s="15">
        <v>27.40833333333333</v>
      </c>
    </row>
    <row r="510" spans="1:10">
      <c r="A510" s="6" t="s">
        <v>136</v>
      </c>
      <c r="B510" s="6" t="s">
        <v>92</v>
      </c>
      <c r="C510" s="6" t="s">
        <v>284</v>
      </c>
      <c r="D510" s="6">
        <v>133.4458333333333</v>
      </c>
      <c r="E510" s="6" t="s">
        <v>174</v>
      </c>
      <c r="F510" s="6" t="s">
        <v>55</v>
      </c>
      <c r="G510" s="7">
        <v>36138.38846146646</v>
      </c>
      <c r="H510" s="6">
        <v>4822517.363564109</v>
      </c>
      <c r="I510" s="6" t="s">
        <v>179</v>
      </c>
      <c r="J510" s="15">
        <v>40.2</v>
      </c>
    </row>
    <row r="511" spans="1:10">
      <c r="A511" s="6" t="s">
        <v>136</v>
      </c>
      <c r="B511" s="6" t="s">
        <v>92</v>
      </c>
      <c r="C511" s="6" t="s">
        <v>287</v>
      </c>
      <c r="D511" s="6">
        <v>0.007083333333333334</v>
      </c>
      <c r="E511" s="6" t="s">
        <v>174</v>
      </c>
      <c r="F511" s="6" t="s">
        <v>53</v>
      </c>
      <c r="G511" s="7">
        <v>57298.25349141887</v>
      </c>
      <c r="H511" s="6">
        <v>405.8626288975504</v>
      </c>
      <c r="I511" s="6" t="s">
        <v>180</v>
      </c>
      <c r="J511" s="15">
        <v>14.69337365418751</v>
      </c>
    </row>
    <row r="512" spans="1:10">
      <c r="A512" s="6" t="s">
        <v>136</v>
      </c>
      <c r="B512" s="6" t="s">
        <v>92</v>
      </c>
      <c r="C512" s="6" t="s">
        <v>288</v>
      </c>
      <c r="D512" s="6">
        <v>0.0145</v>
      </c>
      <c r="E512" s="6" t="s">
        <v>174</v>
      </c>
      <c r="F512" s="6" t="s">
        <v>58</v>
      </c>
      <c r="G512" s="7">
        <v>64645.17061643103</v>
      </c>
      <c r="H512" s="6">
        <v>937.3549739382498</v>
      </c>
      <c r="I512" s="6" t="s">
        <v>180</v>
      </c>
      <c r="J512" s="15">
        <v>17.44422884195959</v>
      </c>
    </row>
    <row r="513" spans="1:10">
      <c r="A513" s="6" t="s">
        <v>136</v>
      </c>
      <c r="B513" s="6" t="s">
        <v>92</v>
      </c>
      <c r="C513" s="6" t="s">
        <v>370</v>
      </c>
      <c r="D513" s="6">
        <v>5.763416666666667</v>
      </c>
      <c r="E513" s="6" t="s">
        <v>174</v>
      </c>
      <c r="F513" s="6" t="s">
        <v>55</v>
      </c>
      <c r="G513" s="7">
        <v>51841.61441272812</v>
      </c>
      <c r="H513" s="6">
        <v>298784.8245332242</v>
      </c>
      <c r="I513" s="6" t="s">
        <v>179</v>
      </c>
      <c r="J513" s="15">
        <v>15</v>
      </c>
    </row>
    <row r="514" spans="1:10">
      <c r="A514" s="6" t="s">
        <v>136</v>
      </c>
      <c r="B514" s="6" t="s">
        <v>92</v>
      </c>
      <c r="C514" s="6" t="s">
        <v>290</v>
      </c>
      <c r="D514" s="6">
        <v>0.001</v>
      </c>
      <c r="E514" s="6" t="s">
        <v>174</v>
      </c>
      <c r="F514" s="6" t="s">
        <v>53</v>
      </c>
      <c r="G514" s="7">
        <v>49488.52827244454</v>
      </c>
      <c r="H514" s="6">
        <v>49.48852827244453</v>
      </c>
      <c r="I514" s="6" t="s">
        <v>180</v>
      </c>
      <c r="J514" s="15">
        <v>11.76923244391702</v>
      </c>
    </row>
    <row r="515" spans="1:10">
      <c r="A515" s="6" t="s">
        <v>136</v>
      </c>
      <c r="B515" s="6" t="s">
        <v>92</v>
      </c>
      <c r="C515" s="6" t="s">
        <v>291</v>
      </c>
      <c r="D515" s="6">
        <v>0.001916666666666667</v>
      </c>
      <c r="E515" s="6" t="s">
        <v>174</v>
      </c>
      <c r="F515" s="6" t="s">
        <v>51</v>
      </c>
      <c r="G515" s="7">
        <v>42426.84693805363</v>
      </c>
      <c r="H515" s="6">
        <v>81.31812329793611</v>
      </c>
      <c r="I515" s="6" t="s">
        <v>180</v>
      </c>
      <c r="J515" s="15">
        <v>9.125176113545601</v>
      </c>
    </row>
    <row r="516" spans="1:10">
      <c r="A516" s="6" t="s">
        <v>136</v>
      </c>
      <c r="B516" s="6" t="s">
        <v>92</v>
      </c>
      <c r="C516" s="6" t="s">
        <v>293</v>
      </c>
      <c r="D516" s="6">
        <v>59.37358333333333</v>
      </c>
      <c r="E516" s="6" t="s">
        <v>174</v>
      </c>
      <c r="F516" s="6" t="s">
        <v>53</v>
      </c>
      <c r="G516" s="7">
        <v>67567.57931334202</v>
      </c>
      <c r="H516" s="6">
        <v>4011729.300992322</v>
      </c>
      <c r="I516" s="6" t="s">
        <v>179</v>
      </c>
      <c r="J516" s="15">
        <v>26.71666666666667</v>
      </c>
    </row>
    <row r="517" spans="1:10">
      <c r="A517" s="6" t="s">
        <v>136</v>
      </c>
      <c r="B517" s="6" t="s">
        <v>92</v>
      </c>
      <c r="C517" s="6" t="s">
        <v>371</v>
      </c>
      <c r="D517" s="6">
        <v>6.68725</v>
      </c>
      <c r="E517" s="6" t="s">
        <v>174</v>
      </c>
      <c r="F517" s="6" t="s">
        <v>55</v>
      </c>
      <c r="G517" s="7">
        <v>58476.58943095681</v>
      </c>
      <c r="H517" s="6">
        <v>391047.5726721659</v>
      </c>
      <c r="I517" s="6" t="s">
        <v>179</v>
      </c>
      <c r="J517" s="15">
        <v>17</v>
      </c>
    </row>
    <row r="518" spans="1:10">
      <c r="A518" s="6" t="s">
        <v>136</v>
      </c>
      <c r="B518" s="6" t="s">
        <v>92</v>
      </c>
      <c r="C518" s="6" t="s">
        <v>295</v>
      </c>
      <c r="D518" s="6">
        <v>14.22991666666667</v>
      </c>
      <c r="E518" s="6" t="s">
        <v>174</v>
      </c>
      <c r="F518" s="6" t="s">
        <v>53</v>
      </c>
      <c r="G518" s="7">
        <v>43665.47276142767</v>
      </c>
      <c r="H518" s="6">
        <v>621356.038605719</v>
      </c>
      <c r="I518" s="6" t="s">
        <v>179</v>
      </c>
      <c r="J518" s="15">
        <v>37</v>
      </c>
    </row>
    <row r="519" spans="1:10">
      <c r="A519" s="6" t="s">
        <v>136</v>
      </c>
      <c r="B519" s="6" t="s">
        <v>92</v>
      </c>
      <c r="C519" s="6" t="s">
        <v>296</v>
      </c>
      <c r="D519" s="6">
        <v>2.784</v>
      </c>
      <c r="E519" s="6" t="s">
        <v>174</v>
      </c>
      <c r="F519" s="6" t="s">
        <v>54</v>
      </c>
      <c r="G519" s="7">
        <v>53088.58925206317</v>
      </c>
      <c r="H519" s="6">
        <v>147798.6324777439</v>
      </c>
      <c r="I519" s="6" t="s">
        <v>179</v>
      </c>
      <c r="J519" s="15">
        <v>21</v>
      </c>
    </row>
    <row r="520" spans="1:10">
      <c r="A520" s="6" t="s">
        <v>136</v>
      </c>
      <c r="B520" s="6" t="s">
        <v>92</v>
      </c>
      <c r="C520" s="6" t="s">
        <v>299</v>
      </c>
      <c r="D520" s="6">
        <v>0.019</v>
      </c>
      <c r="E520" s="6" t="s">
        <v>174</v>
      </c>
      <c r="F520" s="6" t="s">
        <v>53</v>
      </c>
      <c r="G520" s="7">
        <v>52009.60071301651</v>
      </c>
      <c r="H520" s="6">
        <v>988.1824135473137</v>
      </c>
      <c r="I520" s="6" t="s">
        <v>180</v>
      </c>
      <c r="J520" s="15">
        <v>12.7131801003138</v>
      </c>
    </row>
    <row r="521" spans="1:10">
      <c r="A521" s="6" t="s">
        <v>136</v>
      </c>
      <c r="B521" s="6" t="s">
        <v>92</v>
      </c>
      <c r="C521" s="6" t="s">
        <v>303</v>
      </c>
      <c r="D521" s="6">
        <v>0.006333333333333333</v>
      </c>
      <c r="E521" s="6" t="s">
        <v>174</v>
      </c>
      <c r="F521" s="6" t="s">
        <v>53</v>
      </c>
      <c r="G521" s="7">
        <v>52579.50648328198</v>
      </c>
      <c r="H521" s="6">
        <v>333.0035410607858</v>
      </c>
      <c r="I521" s="6" t="s">
        <v>180</v>
      </c>
      <c r="J521" s="15">
        <v>12.92656596243804</v>
      </c>
    </row>
    <row r="522" spans="1:10">
      <c r="A522" s="6" t="s">
        <v>136</v>
      </c>
      <c r="B522" s="6" t="s">
        <v>92</v>
      </c>
      <c r="C522" s="6" t="s">
        <v>306</v>
      </c>
      <c r="D522" s="6">
        <v>1.266666666666667</v>
      </c>
      <c r="E522" s="6" t="s">
        <v>174</v>
      </c>
      <c r="F522" s="6" t="s">
        <v>57</v>
      </c>
      <c r="G522" s="7">
        <v>39936.89263645957</v>
      </c>
      <c r="H522" s="6">
        <v>50586.73067284878</v>
      </c>
      <c r="I522" s="6" t="s">
        <v>180</v>
      </c>
      <c r="J522" s="15">
        <v>8.192879805950582</v>
      </c>
    </row>
    <row r="523" spans="1:10">
      <c r="A523" s="6" t="s">
        <v>136</v>
      </c>
      <c r="B523" s="6" t="s">
        <v>92</v>
      </c>
      <c r="C523" s="6" t="s">
        <v>307</v>
      </c>
      <c r="D523" s="6">
        <v>0.001</v>
      </c>
      <c r="E523" s="6" t="s">
        <v>174</v>
      </c>
      <c r="F523" s="6" t="s">
        <v>53</v>
      </c>
      <c r="G523" s="7">
        <v>52756.89179587198</v>
      </c>
      <c r="H523" s="6">
        <v>52.75689179587199</v>
      </c>
      <c r="I523" s="6" t="s">
        <v>180</v>
      </c>
      <c r="J523" s="15">
        <v>12.99298311388671</v>
      </c>
    </row>
    <row r="524" spans="1:10">
      <c r="A524" s="6" t="s">
        <v>136</v>
      </c>
      <c r="B524" s="6" t="s">
        <v>92</v>
      </c>
      <c r="C524" s="6" t="s">
        <v>311</v>
      </c>
      <c r="D524" s="6">
        <v>87.78633333333333</v>
      </c>
      <c r="E524" s="6" t="s">
        <v>174</v>
      </c>
      <c r="F524" s="6" t="s">
        <v>51</v>
      </c>
      <c r="G524" s="7">
        <v>47093.06261970591</v>
      </c>
      <c r="H524" s="6">
        <v>4134127.292821043</v>
      </c>
      <c r="I524" s="6" t="s">
        <v>179</v>
      </c>
      <c r="J524" s="15">
        <v>49.65833333333333</v>
      </c>
    </row>
    <row r="525" spans="1:10">
      <c r="A525" s="6" t="s">
        <v>136</v>
      </c>
      <c r="B525" s="6" t="s">
        <v>92</v>
      </c>
      <c r="C525" s="6" t="s">
        <v>313</v>
      </c>
      <c r="D525" s="6">
        <v>0.1023333333333333</v>
      </c>
      <c r="E525" s="6" t="s">
        <v>174</v>
      </c>
      <c r="F525" s="6" t="s">
        <v>51</v>
      </c>
      <c r="G525" s="7">
        <v>47731.50326829251</v>
      </c>
      <c r="H525" s="6">
        <v>4884.523834455266</v>
      </c>
      <c r="I525" s="6" t="s">
        <v>180</v>
      </c>
      <c r="J525" s="15">
        <v>11.11136176626066</v>
      </c>
    </row>
    <row r="526" spans="1:10">
      <c r="A526" s="6" t="s">
        <v>136</v>
      </c>
      <c r="B526" s="6" t="s">
        <v>92</v>
      </c>
      <c r="C526" s="6" t="s">
        <v>315</v>
      </c>
      <c r="D526" s="6">
        <v>22.41783333333333</v>
      </c>
      <c r="E526" s="6" t="s">
        <v>174</v>
      </c>
      <c r="F526" s="6" t="s">
        <v>51</v>
      </c>
      <c r="G526" s="7">
        <v>36977.7141649833</v>
      </c>
      <c r="H526" s="6">
        <v>828960.2331982348</v>
      </c>
      <c r="I526" s="6" t="s">
        <v>179</v>
      </c>
      <c r="J526" s="15">
        <v>20.63333333333333</v>
      </c>
    </row>
    <row r="527" spans="1:10">
      <c r="A527" s="6" t="s">
        <v>136</v>
      </c>
      <c r="B527" s="6" t="s">
        <v>92</v>
      </c>
      <c r="C527" s="6" t="s">
        <v>317</v>
      </c>
      <c r="D527" s="6">
        <v>0.04075</v>
      </c>
      <c r="E527" s="6" t="s">
        <v>174</v>
      </c>
      <c r="F527" s="6" t="s">
        <v>51</v>
      </c>
      <c r="G527" s="7">
        <v>51135.75391883078</v>
      </c>
      <c r="H527" s="6">
        <v>2083.781972192354</v>
      </c>
      <c r="I527" s="6" t="s">
        <v>180</v>
      </c>
      <c r="J527" s="15">
        <v>12.38599171010859</v>
      </c>
    </row>
    <row r="528" spans="1:10">
      <c r="A528" s="6" t="s">
        <v>136</v>
      </c>
      <c r="B528" s="6" t="s">
        <v>92</v>
      </c>
      <c r="C528" s="6" t="s">
        <v>320</v>
      </c>
      <c r="D528" s="6">
        <v>447.4558333333334</v>
      </c>
      <c r="E528" s="6" t="s">
        <v>174</v>
      </c>
      <c r="F528" s="6" t="s">
        <v>51</v>
      </c>
      <c r="G528" s="7">
        <v>42399.1324717879</v>
      </c>
      <c r="H528" s="6">
        <v>18971739.15277425</v>
      </c>
      <c r="I528" s="6" t="s">
        <v>179</v>
      </c>
      <c r="J528" s="15">
        <v>45</v>
      </c>
    </row>
    <row r="529" spans="1:10">
      <c r="A529" s="6" t="s">
        <v>136</v>
      </c>
      <c r="B529" s="6" t="s">
        <v>92</v>
      </c>
      <c r="C529" s="6" t="s">
        <v>322</v>
      </c>
      <c r="D529" s="6">
        <v>1.4625</v>
      </c>
      <c r="E529" s="6" t="s">
        <v>174</v>
      </c>
      <c r="F529" s="6" t="s">
        <v>51</v>
      </c>
      <c r="G529" s="7">
        <v>51594.95855690809</v>
      </c>
      <c r="H529" s="6">
        <v>75457.62688947808</v>
      </c>
      <c r="I529" s="6" t="s">
        <v>180</v>
      </c>
      <c r="J529" s="15">
        <v>12.55792851562985</v>
      </c>
    </row>
    <row r="530" spans="1:10">
      <c r="A530" s="6" t="s">
        <v>136</v>
      </c>
      <c r="B530" s="6" t="s">
        <v>92</v>
      </c>
      <c r="C530" s="6" t="s">
        <v>323</v>
      </c>
      <c r="D530" s="6">
        <v>164.1835</v>
      </c>
      <c r="E530" s="6" t="s">
        <v>174</v>
      </c>
      <c r="F530" s="6" t="s">
        <v>55</v>
      </c>
      <c r="G530" s="7">
        <v>37901.84707720344</v>
      </c>
      <c r="H530" s="6">
        <v>6222857.909600032</v>
      </c>
      <c r="I530" s="6" t="s">
        <v>179</v>
      </c>
      <c r="J530" s="15">
        <v>17</v>
      </c>
    </row>
    <row r="531" spans="1:10">
      <c r="A531" s="6" t="s">
        <v>136</v>
      </c>
      <c r="B531" s="6" t="s">
        <v>92</v>
      </c>
      <c r="C531" s="6" t="s">
        <v>324</v>
      </c>
      <c r="D531" s="6">
        <v>154.1544166666667</v>
      </c>
      <c r="E531" s="6" t="s">
        <v>174</v>
      </c>
      <c r="F531" s="6" t="s">
        <v>51</v>
      </c>
      <c r="G531" s="7">
        <v>59286.87997138536</v>
      </c>
      <c r="H531" s="6">
        <v>9139334.397975594</v>
      </c>
      <c r="I531" s="6" t="s">
        <v>179</v>
      </c>
      <c r="J531" s="15">
        <v>44</v>
      </c>
    </row>
    <row r="532" spans="1:10">
      <c r="A532" s="6" t="s">
        <v>136</v>
      </c>
      <c r="B532" s="6" t="s">
        <v>92</v>
      </c>
      <c r="C532" s="6" t="s">
        <v>372</v>
      </c>
      <c r="D532" s="6">
        <v>10.15925</v>
      </c>
      <c r="E532" s="6" t="s">
        <v>174</v>
      </c>
      <c r="F532" s="6" t="s">
        <v>55</v>
      </c>
      <c r="G532" s="7">
        <v>68202.26587027434</v>
      </c>
      <c r="H532" s="6">
        <v>692883.8695425845</v>
      </c>
      <c r="I532" s="6" t="s">
        <v>179</v>
      </c>
      <c r="J532" s="15">
        <v>66.26666666666667</v>
      </c>
    </row>
    <row r="533" spans="1:10">
      <c r="A533" s="6" t="s">
        <v>136</v>
      </c>
      <c r="B533" s="6" t="s">
        <v>92</v>
      </c>
      <c r="C533" s="6" t="s">
        <v>325</v>
      </c>
      <c r="D533" s="6">
        <v>0.01316666666666667</v>
      </c>
      <c r="E533" s="6" t="s">
        <v>174</v>
      </c>
      <c r="F533" s="6" t="s">
        <v>53</v>
      </c>
      <c r="G533" s="7">
        <v>65311.40887625943</v>
      </c>
      <c r="H533" s="6">
        <v>859.9335502040824</v>
      </c>
      <c r="I533" s="6" t="s">
        <v>180</v>
      </c>
      <c r="J533" s="15">
        <v>17.69368380955434</v>
      </c>
    </row>
    <row r="534" spans="1:10">
      <c r="A534" s="6" t="s">
        <v>136</v>
      </c>
      <c r="B534" s="6" t="s">
        <v>92</v>
      </c>
      <c r="C534" s="6" t="s">
        <v>326</v>
      </c>
      <c r="D534" s="6">
        <v>0.516</v>
      </c>
      <c r="E534" s="6" t="s">
        <v>174</v>
      </c>
      <c r="F534" s="6" t="s">
        <v>54</v>
      </c>
      <c r="G534" s="7">
        <v>91760.91506579834</v>
      </c>
      <c r="H534" s="6">
        <v>47348.63217395195</v>
      </c>
      <c r="I534" s="6" t="s">
        <v>180</v>
      </c>
      <c r="J534" s="15">
        <v>27.59698883906121</v>
      </c>
    </row>
    <row r="535" spans="1:10">
      <c r="A535" s="6" t="s">
        <v>136</v>
      </c>
      <c r="B535" s="6" t="s">
        <v>92</v>
      </c>
      <c r="C535" s="6" t="s">
        <v>373</v>
      </c>
      <c r="D535" s="6">
        <v>2.967666666666667</v>
      </c>
      <c r="E535" s="6" t="s">
        <v>174</v>
      </c>
      <c r="F535" s="6" t="s">
        <v>55</v>
      </c>
      <c r="G535" s="7">
        <v>55106.40770760055</v>
      </c>
      <c r="H535" s="6">
        <v>163537.4492735892</v>
      </c>
      <c r="I535" s="6" t="s">
        <v>179</v>
      </c>
      <c r="J535" s="15">
        <v>18</v>
      </c>
    </row>
    <row r="536" spans="1:10">
      <c r="A536" s="6" t="s">
        <v>136</v>
      </c>
      <c r="B536" s="6" t="s">
        <v>92</v>
      </c>
      <c r="C536" s="6" t="s">
        <v>374</v>
      </c>
      <c r="D536" s="6">
        <v>0.5459166666666667</v>
      </c>
      <c r="E536" s="6" t="s">
        <v>174</v>
      </c>
      <c r="F536" s="6" t="s">
        <v>55</v>
      </c>
      <c r="G536" s="7">
        <v>29054.37866544401</v>
      </c>
      <c r="H536" s="6">
        <v>15861.26955311031</v>
      </c>
      <c r="I536" s="6" t="s">
        <v>180</v>
      </c>
      <c r="J536" s="15">
        <v>15.81666666666667</v>
      </c>
    </row>
    <row r="537" spans="1:10">
      <c r="A537" s="6" t="s">
        <v>136</v>
      </c>
      <c r="B537" s="6" t="s">
        <v>92</v>
      </c>
      <c r="C537" s="6" t="s">
        <v>327</v>
      </c>
      <c r="D537" s="6">
        <v>20.94716666666666</v>
      </c>
      <c r="E537" s="6" t="s">
        <v>174</v>
      </c>
      <c r="F537" s="6" t="s">
        <v>57</v>
      </c>
      <c r="G537" s="7">
        <v>56364.20131387505</v>
      </c>
      <c r="H537" s="6">
        <v>1180670.318955293</v>
      </c>
      <c r="I537" s="6" t="s">
        <v>179</v>
      </c>
      <c r="J537" s="15">
        <v>41.5</v>
      </c>
    </row>
    <row r="538" spans="1:10">
      <c r="A538" s="6" t="s">
        <v>136</v>
      </c>
      <c r="B538" s="6" t="s">
        <v>92</v>
      </c>
      <c r="C538" s="6" t="s">
        <v>329</v>
      </c>
      <c r="D538" s="6">
        <v>74.15158333333333</v>
      </c>
      <c r="E538" s="6" t="s">
        <v>174</v>
      </c>
      <c r="F538" s="6" t="s">
        <v>58</v>
      </c>
      <c r="G538" s="7">
        <v>67115.81850755938</v>
      </c>
      <c r="H538" s="6">
        <v>4976744.209048165</v>
      </c>
      <c r="I538" s="6" t="s">
        <v>179</v>
      </c>
      <c r="J538" s="15">
        <v>43.45833333333333</v>
      </c>
    </row>
    <row r="539" spans="1:10">
      <c r="A539" s="6" t="s">
        <v>136</v>
      </c>
      <c r="B539" s="6" t="s">
        <v>92</v>
      </c>
      <c r="C539" s="6" t="s">
        <v>331</v>
      </c>
      <c r="D539" s="6">
        <v>4.121333333333333</v>
      </c>
      <c r="E539" s="6" t="s">
        <v>174</v>
      </c>
      <c r="F539" s="6" t="s">
        <v>58</v>
      </c>
      <c r="G539" s="7">
        <v>52490.82308035896</v>
      </c>
      <c r="H539" s="6">
        <v>216332.1788551861</v>
      </c>
      <c r="I539" s="6" t="s">
        <v>179</v>
      </c>
      <c r="J539" s="15">
        <v>17.40719355741339</v>
      </c>
    </row>
    <row r="540" spans="1:10">
      <c r="A540" s="6" t="s">
        <v>136</v>
      </c>
      <c r="B540" s="6" t="s">
        <v>92</v>
      </c>
      <c r="C540" s="6" t="s">
        <v>332</v>
      </c>
      <c r="D540" s="6">
        <v>1391.917166666667</v>
      </c>
      <c r="E540" s="6" t="s">
        <v>174</v>
      </c>
      <c r="F540" s="6" t="s">
        <v>55</v>
      </c>
      <c r="G540" s="7">
        <v>18935.91078298569</v>
      </c>
      <c r="H540" s="6">
        <v>26357219.28530622</v>
      </c>
      <c r="I540" s="6" t="s">
        <v>179</v>
      </c>
      <c r="J540" s="15">
        <v>13</v>
      </c>
    </row>
    <row r="541" spans="1:10">
      <c r="A541" s="6" t="s">
        <v>136</v>
      </c>
      <c r="B541" s="6" t="s">
        <v>92</v>
      </c>
      <c r="C541" s="6" t="s">
        <v>375</v>
      </c>
      <c r="D541" s="6">
        <v>6.15675</v>
      </c>
      <c r="E541" s="6" t="s">
        <v>174</v>
      </c>
      <c r="F541" s="6" t="s">
        <v>55</v>
      </c>
      <c r="G541" s="7">
        <v>58290.07698164284</v>
      </c>
      <c r="H541" s="6">
        <v>358877.4314567295</v>
      </c>
      <c r="I541" s="6" t="s">
        <v>179</v>
      </c>
      <c r="J541" s="15">
        <v>16.5</v>
      </c>
    </row>
    <row r="542" spans="1:10">
      <c r="A542" s="6" t="s">
        <v>136</v>
      </c>
      <c r="B542" s="6" t="s">
        <v>94</v>
      </c>
      <c r="C542" s="6" t="s">
        <v>202</v>
      </c>
      <c r="D542" s="6">
        <v>643.3268333333333</v>
      </c>
      <c r="E542" s="6" t="s">
        <v>174</v>
      </c>
      <c r="F542" s="6" t="s">
        <v>54</v>
      </c>
      <c r="G542" s="7">
        <v>44850.57289754543</v>
      </c>
      <c r="H542" s="6">
        <v>28853577.03536373</v>
      </c>
      <c r="I542" s="6" t="s">
        <v>179</v>
      </c>
      <c r="J542" s="15">
        <v>56</v>
      </c>
    </row>
    <row r="543" spans="1:10">
      <c r="A543" s="6" t="s">
        <v>136</v>
      </c>
      <c r="B543" s="6" t="s">
        <v>94</v>
      </c>
      <c r="C543" s="6" t="s">
        <v>215</v>
      </c>
      <c r="D543" s="6">
        <v>305.7491666666667</v>
      </c>
      <c r="E543" s="6" t="s">
        <v>174</v>
      </c>
      <c r="F543" s="6" t="s">
        <v>54</v>
      </c>
      <c r="G543" s="7">
        <v>58630.10256485675</v>
      </c>
      <c r="H543" s="6">
        <v>17926105.00078615</v>
      </c>
      <c r="I543" s="6" t="s">
        <v>179</v>
      </c>
      <c r="J543" s="15">
        <v>48</v>
      </c>
    </row>
    <row r="544" spans="1:10">
      <c r="A544" s="6" t="s">
        <v>136</v>
      </c>
      <c r="B544" s="6" t="s">
        <v>94</v>
      </c>
      <c r="C544" s="6" t="s">
        <v>239</v>
      </c>
      <c r="D544" s="6">
        <v>134.6674166666667</v>
      </c>
      <c r="E544" s="6" t="s">
        <v>174</v>
      </c>
      <c r="F544" s="6" t="s">
        <v>54</v>
      </c>
      <c r="G544" s="7">
        <v>57702.78236019595</v>
      </c>
      <c r="H544" s="6">
        <v>7770684.634926491</v>
      </c>
      <c r="I544" s="6" t="s">
        <v>179</v>
      </c>
      <c r="J544" s="15">
        <v>48</v>
      </c>
    </row>
    <row r="545" spans="1:10">
      <c r="A545" s="6" t="s">
        <v>136</v>
      </c>
      <c r="B545" s="6" t="s">
        <v>94</v>
      </c>
      <c r="C545" s="6" t="s">
        <v>263</v>
      </c>
      <c r="D545" s="6">
        <v>0.03891666666666666</v>
      </c>
      <c r="E545" s="6" t="s">
        <v>174</v>
      </c>
      <c r="F545" s="6" t="s">
        <v>54</v>
      </c>
      <c r="G545" s="7">
        <v>69832.51460560261</v>
      </c>
      <c r="H545" s="6">
        <v>2717.648693401368</v>
      </c>
      <c r="I545" s="6" t="s">
        <v>180</v>
      </c>
      <c r="J545" s="15">
        <v>16</v>
      </c>
    </row>
    <row r="546" spans="1:10">
      <c r="A546" s="6" t="s">
        <v>136</v>
      </c>
      <c r="B546" s="6" t="s">
        <v>94</v>
      </c>
      <c r="C546" s="6" t="s">
        <v>264</v>
      </c>
      <c r="D546" s="6">
        <v>2.36</v>
      </c>
      <c r="E546" s="6" t="s">
        <v>174</v>
      </c>
      <c r="F546" s="6" t="s">
        <v>54</v>
      </c>
      <c r="G546" s="7">
        <v>31826.55238508553</v>
      </c>
      <c r="H546" s="6">
        <v>75110.66362880185</v>
      </c>
      <c r="I546" s="6" t="s">
        <v>179</v>
      </c>
      <c r="J546" s="15">
        <v>16</v>
      </c>
    </row>
    <row r="547" spans="1:10">
      <c r="A547" s="6" t="s">
        <v>136</v>
      </c>
      <c r="B547" s="6" t="s">
        <v>94</v>
      </c>
      <c r="C547" s="6" t="s">
        <v>265</v>
      </c>
      <c r="D547" s="6">
        <v>20.08833333333333</v>
      </c>
      <c r="E547" s="6" t="s">
        <v>174</v>
      </c>
      <c r="F547" s="6" t="s">
        <v>54</v>
      </c>
      <c r="G547" s="7">
        <v>47952.63580740233</v>
      </c>
      <c r="H547" s="6">
        <v>963288.5323110339</v>
      </c>
      <c r="I547" s="6" t="s">
        <v>179</v>
      </c>
      <c r="J547" s="15">
        <v>72</v>
      </c>
    </row>
    <row r="548" spans="1:10">
      <c r="A548" s="6" t="s">
        <v>136</v>
      </c>
      <c r="B548" s="6" t="s">
        <v>94</v>
      </c>
      <c r="C548" s="6" t="s">
        <v>271</v>
      </c>
      <c r="D548" s="6">
        <v>138.23375</v>
      </c>
      <c r="E548" s="6" t="s">
        <v>174</v>
      </c>
      <c r="F548" s="6" t="s">
        <v>54</v>
      </c>
      <c r="G548" s="7">
        <v>82762.39420065151</v>
      </c>
      <c r="H548" s="6">
        <v>11440556.10933431</v>
      </c>
      <c r="I548" s="6" t="s">
        <v>179</v>
      </c>
      <c r="J548" s="15">
        <v>48</v>
      </c>
    </row>
    <row r="549" spans="1:10">
      <c r="A549" s="6" t="s">
        <v>136</v>
      </c>
      <c r="B549" s="6" t="s">
        <v>94</v>
      </c>
      <c r="C549" s="6" t="s">
        <v>376</v>
      </c>
      <c r="D549" s="6">
        <v>2.636083333333333</v>
      </c>
      <c r="E549" s="6" t="s">
        <v>174</v>
      </c>
      <c r="F549" s="6" t="s">
        <v>54</v>
      </c>
      <c r="G549" s="7">
        <v>66788.5768068559</v>
      </c>
      <c r="H549" s="6">
        <v>176060.254177606</v>
      </c>
      <c r="I549" s="6" t="s">
        <v>179</v>
      </c>
      <c r="J549" s="15">
        <v>57</v>
      </c>
    </row>
    <row r="550" spans="1:10">
      <c r="A550" s="6" t="s">
        <v>136</v>
      </c>
      <c r="B550" s="6" t="s">
        <v>94</v>
      </c>
      <c r="C550" s="6" t="s">
        <v>292</v>
      </c>
      <c r="D550" s="6">
        <v>11.247</v>
      </c>
      <c r="E550" s="6" t="s">
        <v>174</v>
      </c>
      <c r="F550" s="6" t="s">
        <v>54</v>
      </c>
      <c r="G550" s="7">
        <v>60347.89770905773</v>
      </c>
      <c r="H550" s="6">
        <v>678732.8055337723</v>
      </c>
      <c r="I550" s="6" t="s">
        <v>179</v>
      </c>
      <c r="J550" s="15">
        <v>96</v>
      </c>
    </row>
    <row r="551" spans="1:10">
      <c r="A551" s="6" t="s">
        <v>136</v>
      </c>
      <c r="B551" s="6" t="s">
        <v>94</v>
      </c>
      <c r="C551" s="6" t="s">
        <v>293</v>
      </c>
      <c r="D551" s="6">
        <v>1.216333333333333</v>
      </c>
      <c r="E551" s="6" t="s">
        <v>174</v>
      </c>
      <c r="F551" s="6" t="s">
        <v>53</v>
      </c>
      <c r="G551" s="7">
        <v>115505.1335239995</v>
      </c>
      <c r="H551" s="6">
        <v>140492.7440763581</v>
      </c>
      <c r="I551" s="6" t="s">
        <v>180</v>
      </c>
      <c r="J551" s="15">
        <v>44</v>
      </c>
    </row>
    <row r="552" spans="1:10">
      <c r="A552" s="6" t="s">
        <v>136</v>
      </c>
      <c r="B552" s="6" t="s">
        <v>94</v>
      </c>
      <c r="C552" s="6" t="s">
        <v>296</v>
      </c>
      <c r="D552" s="6">
        <v>7.583749999999999</v>
      </c>
      <c r="E552" s="6" t="s">
        <v>174</v>
      </c>
      <c r="F552" s="6" t="s">
        <v>54</v>
      </c>
      <c r="G552" s="7">
        <v>69013.18353849441</v>
      </c>
      <c r="H552" s="6">
        <v>523378.730660057</v>
      </c>
      <c r="I552" s="6" t="s">
        <v>179</v>
      </c>
      <c r="J552" s="15">
        <v>48</v>
      </c>
    </row>
    <row r="553" spans="1:10">
      <c r="A553" s="6" t="s">
        <v>136</v>
      </c>
      <c r="B553" s="6" t="s">
        <v>94</v>
      </c>
      <c r="C553" s="6" t="s">
        <v>305</v>
      </c>
      <c r="D553" s="6">
        <v>120.9755833333333</v>
      </c>
      <c r="E553" s="6" t="s">
        <v>174</v>
      </c>
      <c r="F553" s="6" t="s">
        <v>54</v>
      </c>
      <c r="G553" s="7">
        <v>50012.34506011685</v>
      </c>
      <c r="H553" s="6">
        <v>6050272.617515588</v>
      </c>
      <c r="I553" s="6" t="s">
        <v>179</v>
      </c>
      <c r="J553" s="15">
        <v>72</v>
      </c>
    </row>
    <row r="554" spans="1:10">
      <c r="A554" s="6" t="s">
        <v>136</v>
      </c>
      <c r="B554" s="6" t="s">
        <v>94</v>
      </c>
      <c r="C554" s="6" t="s">
        <v>312</v>
      </c>
      <c r="D554" s="6">
        <v>25.01458333333333</v>
      </c>
      <c r="E554" s="6" t="s">
        <v>174</v>
      </c>
      <c r="F554" s="6" t="s">
        <v>54</v>
      </c>
      <c r="G554" s="7">
        <v>75665.15041688115</v>
      </c>
      <c r="H554" s="6">
        <v>1892732.210532275</v>
      </c>
      <c r="I554" s="6" t="s">
        <v>179</v>
      </c>
      <c r="J554" s="15">
        <v>28</v>
      </c>
    </row>
    <row r="555" spans="1:10">
      <c r="A555" s="6" t="s">
        <v>136</v>
      </c>
      <c r="B555" s="6" t="s">
        <v>94</v>
      </c>
      <c r="C555" s="6" t="s">
        <v>316</v>
      </c>
      <c r="D555" s="6">
        <v>15.28108333333333</v>
      </c>
      <c r="E555" s="6" t="s">
        <v>174</v>
      </c>
      <c r="F555" s="6" t="s">
        <v>54</v>
      </c>
      <c r="G555" s="7">
        <v>46536.77922077922</v>
      </c>
      <c r="H555" s="6">
        <v>711132.4013376624</v>
      </c>
      <c r="I555" s="6" t="s">
        <v>179</v>
      </c>
      <c r="J555" s="15">
        <v>58</v>
      </c>
    </row>
    <row r="556" spans="1:10">
      <c r="A556" s="6" t="s">
        <v>136</v>
      </c>
      <c r="B556" s="6" t="s">
        <v>94</v>
      </c>
      <c r="C556" s="6" t="s">
        <v>326</v>
      </c>
      <c r="D556" s="6">
        <v>276.7250833333333</v>
      </c>
      <c r="E556" s="6" t="s">
        <v>174</v>
      </c>
      <c r="F556" s="6" t="s">
        <v>54</v>
      </c>
      <c r="G556" s="7">
        <v>59485.52221921444</v>
      </c>
      <c r="H556" s="6">
        <v>16461136.09323897</v>
      </c>
      <c r="I556" s="6" t="s">
        <v>179</v>
      </c>
      <c r="J556" s="15">
        <v>72</v>
      </c>
    </row>
    <row r="557" spans="1:10">
      <c r="A557" s="6" t="s">
        <v>136</v>
      </c>
      <c r="B557" s="6" t="s">
        <v>97</v>
      </c>
      <c r="C557" s="6" t="s">
        <v>259</v>
      </c>
      <c r="D557" s="6">
        <v>3.72475</v>
      </c>
      <c r="E557" s="6" t="s">
        <v>174</v>
      </c>
      <c r="F557" s="6" t="s">
        <v>56</v>
      </c>
      <c r="G557" s="7">
        <v>63297.87234042553</v>
      </c>
      <c r="H557" s="6">
        <v>235768.75</v>
      </c>
      <c r="I557" s="6" t="s">
        <v>179</v>
      </c>
      <c r="J557" s="15">
        <v>8.766666666666667</v>
      </c>
    </row>
    <row r="558" spans="1:10">
      <c r="A558" s="6" t="s">
        <v>136</v>
      </c>
      <c r="B558" s="6" t="s">
        <v>99</v>
      </c>
      <c r="C558" s="6" t="s">
        <v>377</v>
      </c>
      <c r="D558" s="6">
        <v>4.917083333333333</v>
      </c>
      <c r="E558" s="6" t="s">
        <v>174</v>
      </c>
      <c r="F558" s="6" t="s">
        <v>51</v>
      </c>
      <c r="G558" s="7">
        <v>35583.84204728413</v>
      </c>
      <c r="H558" s="6">
        <v>174968.7166666667</v>
      </c>
      <c r="I558" s="6" t="s">
        <v>179</v>
      </c>
      <c r="J558" s="15">
        <v>23.61666666666667</v>
      </c>
    </row>
    <row r="559" spans="1:10">
      <c r="A559" s="6" t="s">
        <v>136</v>
      </c>
      <c r="B559" s="6" t="s">
        <v>99</v>
      </c>
      <c r="C559" s="6" t="s">
        <v>378</v>
      </c>
      <c r="D559" s="6">
        <v>30.90441666666667</v>
      </c>
      <c r="E559" s="6" t="s">
        <v>174</v>
      </c>
      <c r="F559" s="6" t="s">
        <v>51</v>
      </c>
      <c r="G559" s="7">
        <v>42435.71083411619</v>
      </c>
      <c r="H559" s="6">
        <v>1311450.889163708</v>
      </c>
      <c r="I559" s="6" t="s">
        <v>179</v>
      </c>
      <c r="J559" s="15">
        <v>17</v>
      </c>
    </row>
    <row r="560" spans="1:10">
      <c r="A560" s="6" t="s">
        <v>136</v>
      </c>
      <c r="B560" s="6" t="s">
        <v>99</v>
      </c>
      <c r="C560" s="6" t="s">
        <v>233</v>
      </c>
      <c r="D560" s="6">
        <v>111.1525833333333</v>
      </c>
      <c r="E560" s="6" t="s">
        <v>174</v>
      </c>
      <c r="F560" s="6" t="s">
        <v>59</v>
      </c>
      <c r="G560" s="7">
        <v>40040.33219225397</v>
      </c>
      <c r="H560" s="6">
        <v>4450586.360693858</v>
      </c>
      <c r="I560" s="6" t="s">
        <v>179</v>
      </c>
      <c r="J560" s="15">
        <v>48</v>
      </c>
    </row>
    <row r="561" spans="1:10">
      <c r="A561" s="6" t="s">
        <v>136</v>
      </c>
      <c r="B561" s="6" t="s">
        <v>99</v>
      </c>
      <c r="C561" s="6" t="s">
        <v>379</v>
      </c>
      <c r="D561" s="6">
        <v>20.42675</v>
      </c>
      <c r="E561" s="6" t="s">
        <v>174</v>
      </c>
      <c r="F561" s="6" t="s">
        <v>51</v>
      </c>
      <c r="G561" s="7">
        <v>40779.52434215925</v>
      </c>
      <c r="H561" s="6">
        <v>832993.1488562014</v>
      </c>
      <c r="I561" s="6" t="s">
        <v>179</v>
      </c>
      <c r="J561" s="15">
        <v>29</v>
      </c>
    </row>
    <row r="562" spans="1:10">
      <c r="A562" s="6" t="s">
        <v>136</v>
      </c>
      <c r="B562" s="6" t="s">
        <v>99</v>
      </c>
      <c r="C562" s="6" t="s">
        <v>240</v>
      </c>
      <c r="D562" s="6">
        <v>20.90591666666667</v>
      </c>
      <c r="E562" s="6" t="s">
        <v>174</v>
      </c>
      <c r="F562" s="6" t="s">
        <v>51</v>
      </c>
      <c r="G562" s="7">
        <v>39114.55614370987</v>
      </c>
      <c r="H562" s="6">
        <v>817725.6511940532</v>
      </c>
      <c r="I562" s="6" t="s">
        <v>179</v>
      </c>
      <c r="J562" s="15">
        <v>28</v>
      </c>
    </row>
    <row r="563" spans="1:10">
      <c r="A563" s="6" t="s">
        <v>136</v>
      </c>
      <c r="B563" s="6" t="s">
        <v>99</v>
      </c>
      <c r="C563" s="6" t="s">
        <v>247</v>
      </c>
      <c r="D563" s="6">
        <v>662.5438333333333</v>
      </c>
      <c r="E563" s="6" t="s">
        <v>174</v>
      </c>
      <c r="F563" s="6" t="s">
        <v>51</v>
      </c>
      <c r="G563" s="7">
        <v>36189.46765156386</v>
      </c>
      <c r="H563" s="6">
        <v>23977108.62415978</v>
      </c>
      <c r="I563" s="6" t="s">
        <v>179</v>
      </c>
      <c r="J563" s="15">
        <v>26</v>
      </c>
    </row>
    <row r="564" spans="1:10">
      <c r="A564" s="6" t="s">
        <v>136</v>
      </c>
      <c r="B564" s="6" t="s">
        <v>99</v>
      </c>
      <c r="C564" s="6" t="s">
        <v>255</v>
      </c>
      <c r="D564" s="6">
        <v>79.31958333333334</v>
      </c>
      <c r="E564" s="6" t="s">
        <v>174</v>
      </c>
      <c r="F564" s="6" t="s">
        <v>51</v>
      </c>
      <c r="G564" s="7">
        <v>36962.48996947323</v>
      </c>
      <c r="H564" s="6">
        <v>2931849.30334113</v>
      </c>
      <c r="I564" s="6" t="s">
        <v>179</v>
      </c>
      <c r="J564" s="15">
        <v>26.63333333333333</v>
      </c>
    </row>
    <row r="565" spans="1:10">
      <c r="A565" s="6" t="s">
        <v>136</v>
      </c>
      <c r="B565" s="6" t="s">
        <v>99</v>
      </c>
      <c r="C565" s="6" t="s">
        <v>267</v>
      </c>
      <c r="D565" s="6">
        <v>0.007083333333333334</v>
      </c>
      <c r="E565" s="6" t="s">
        <v>174</v>
      </c>
      <c r="F565" s="6" t="s">
        <v>53</v>
      </c>
      <c r="G565" s="7">
        <v>46984.15318135542</v>
      </c>
      <c r="H565" s="6">
        <v>332.8044183679342</v>
      </c>
      <c r="I565" s="6" t="s">
        <v>180</v>
      </c>
      <c r="J565" s="15">
        <v>8.927599272642651</v>
      </c>
    </row>
    <row r="566" spans="1:10">
      <c r="A566" s="6" t="s">
        <v>136</v>
      </c>
      <c r="B566" s="6" t="s">
        <v>99</v>
      </c>
      <c r="C566" s="6" t="s">
        <v>270</v>
      </c>
      <c r="D566" s="6">
        <v>37.28483333333333</v>
      </c>
      <c r="E566" s="6" t="s">
        <v>174</v>
      </c>
      <c r="F566" s="6" t="s">
        <v>59</v>
      </c>
      <c r="G566" s="7">
        <v>54249.01363714516</v>
      </c>
      <c r="H566" s="6">
        <v>2022665.431958684</v>
      </c>
      <c r="I566" s="6" t="s">
        <v>179</v>
      </c>
      <c r="J566" s="15">
        <v>51.11666666666667</v>
      </c>
    </row>
    <row r="567" spans="1:10">
      <c r="A567" s="6" t="s">
        <v>136</v>
      </c>
      <c r="B567" s="6" t="s">
        <v>99</v>
      </c>
      <c r="C567" s="6" t="s">
        <v>273</v>
      </c>
      <c r="D567" s="6">
        <v>518.3556666666667</v>
      </c>
      <c r="E567" s="6" t="s">
        <v>174</v>
      </c>
      <c r="F567" s="6" t="s">
        <v>51</v>
      </c>
      <c r="G567" s="7">
        <v>40686.65056493157</v>
      </c>
      <c r="H567" s="6">
        <v>21090155.87801882</v>
      </c>
      <c r="I567" s="6" t="s">
        <v>179</v>
      </c>
      <c r="J567" s="15">
        <v>43</v>
      </c>
    </row>
    <row r="568" spans="1:10">
      <c r="A568" s="6" t="s">
        <v>136</v>
      </c>
      <c r="B568" s="6" t="s">
        <v>99</v>
      </c>
      <c r="C568" s="6" t="s">
        <v>276</v>
      </c>
      <c r="D568" s="6">
        <v>24.49808333333333</v>
      </c>
      <c r="E568" s="6" t="s">
        <v>174</v>
      </c>
      <c r="F568" s="6" t="s">
        <v>51</v>
      </c>
      <c r="G568" s="7">
        <v>37977.83667651232</v>
      </c>
      <c r="H568" s="6">
        <v>930384.2077209217</v>
      </c>
      <c r="I568" s="6" t="s">
        <v>179</v>
      </c>
      <c r="J568" s="15">
        <v>30.21666666666667</v>
      </c>
    </row>
    <row r="569" spans="1:10">
      <c r="A569" s="6" t="s">
        <v>136</v>
      </c>
      <c r="B569" s="6" t="s">
        <v>99</v>
      </c>
      <c r="C569" s="6" t="s">
        <v>283</v>
      </c>
      <c r="D569" s="6">
        <v>172.0451666666667</v>
      </c>
      <c r="E569" s="6" t="s">
        <v>174</v>
      </c>
      <c r="F569" s="6" t="s">
        <v>51</v>
      </c>
      <c r="G569" s="7">
        <v>39882.72680304461</v>
      </c>
      <c r="H569" s="6">
        <v>6861630.379950944</v>
      </c>
      <c r="I569" s="6" t="s">
        <v>179</v>
      </c>
      <c r="J569" s="15">
        <v>31.18333333333333</v>
      </c>
    </row>
    <row r="570" spans="1:10">
      <c r="A570" s="6" t="s">
        <v>136</v>
      </c>
      <c r="B570" s="6" t="s">
        <v>99</v>
      </c>
      <c r="C570" s="6" t="s">
        <v>293</v>
      </c>
      <c r="D570" s="6">
        <v>0.006333333333333333</v>
      </c>
      <c r="E570" s="6" t="s">
        <v>174</v>
      </c>
      <c r="F570" s="6" t="s">
        <v>53</v>
      </c>
      <c r="G570" s="7">
        <v>45817.6664917512</v>
      </c>
      <c r="H570" s="6">
        <v>290.1785544477576</v>
      </c>
      <c r="I570" s="6" t="s">
        <v>180</v>
      </c>
      <c r="J570" s="15">
        <v>8.538109261544154</v>
      </c>
    </row>
    <row r="571" spans="1:10">
      <c r="A571" s="6" t="s">
        <v>136</v>
      </c>
      <c r="B571" s="6" t="s">
        <v>99</v>
      </c>
      <c r="C571" s="6" t="s">
        <v>296</v>
      </c>
      <c r="D571" s="6">
        <v>3.20825</v>
      </c>
      <c r="E571" s="6" t="s">
        <v>174</v>
      </c>
      <c r="F571" s="6" t="s">
        <v>54</v>
      </c>
      <c r="G571" s="7">
        <v>54050.92289209261</v>
      </c>
      <c r="H571" s="6">
        <v>173408.8733685561</v>
      </c>
      <c r="I571" s="6" t="s">
        <v>179</v>
      </c>
      <c r="J571" s="15">
        <v>29.43333333333333</v>
      </c>
    </row>
    <row r="572" spans="1:10">
      <c r="A572" s="6" t="s">
        <v>139</v>
      </c>
      <c r="B572" s="6" t="s">
        <v>44</v>
      </c>
      <c r="C572" s="6" t="s">
        <v>194</v>
      </c>
      <c r="D572" s="6">
        <v>1.55925</v>
      </c>
      <c r="E572" s="6" t="s">
        <v>44</v>
      </c>
      <c r="F572" s="6" t="s">
        <v>58</v>
      </c>
      <c r="G572" s="7">
        <v>20829.42392802728</v>
      </c>
      <c r="H572" s="6">
        <v>32478.27925977653</v>
      </c>
      <c r="I572" s="6" t="s">
        <v>179</v>
      </c>
      <c r="J572" s="15">
        <v>14.33333333333333</v>
      </c>
    </row>
    <row r="573" spans="1:10">
      <c r="A573" s="6" t="s">
        <v>139</v>
      </c>
      <c r="B573" s="6" t="s">
        <v>44</v>
      </c>
      <c r="C573" s="6" t="s">
        <v>195</v>
      </c>
      <c r="D573" s="6">
        <v>131.8341666666667</v>
      </c>
      <c r="E573" s="6" t="s">
        <v>44</v>
      </c>
      <c r="F573" s="6" t="s">
        <v>54</v>
      </c>
      <c r="G573" s="7">
        <v>84052.83905275936</v>
      </c>
      <c r="H573" s="6">
        <v>11081035.99248799</v>
      </c>
      <c r="I573" s="6" t="s">
        <v>179</v>
      </c>
      <c r="J573" s="15">
        <v>47.38333333333333</v>
      </c>
    </row>
    <row r="574" spans="1:10">
      <c r="A574" s="6" t="s">
        <v>139</v>
      </c>
      <c r="B574" s="6" t="s">
        <v>44</v>
      </c>
      <c r="C574" s="6" t="s">
        <v>196</v>
      </c>
      <c r="D574" s="6">
        <v>10.6975</v>
      </c>
      <c r="E574" s="6" t="s">
        <v>44</v>
      </c>
      <c r="F574" s="6" t="s">
        <v>52</v>
      </c>
      <c r="G574" s="7">
        <v>69869.94547012541</v>
      </c>
      <c r="H574" s="6">
        <v>747433.7416666666</v>
      </c>
      <c r="I574" s="6" t="s">
        <v>179</v>
      </c>
      <c r="J574" s="15">
        <v>67.825</v>
      </c>
    </row>
    <row r="575" spans="1:10">
      <c r="A575" s="6" t="s">
        <v>139</v>
      </c>
      <c r="B575" s="6" t="s">
        <v>44</v>
      </c>
      <c r="C575" s="6" t="s">
        <v>197</v>
      </c>
      <c r="D575" s="6">
        <v>95.67633333333333</v>
      </c>
      <c r="E575" s="6" t="s">
        <v>44</v>
      </c>
      <c r="F575" s="6" t="s">
        <v>53</v>
      </c>
      <c r="G575" s="7">
        <v>60160.27030168513</v>
      </c>
      <c r="H575" s="6">
        <v>5755914.07480746</v>
      </c>
      <c r="I575" s="6" t="s">
        <v>180</v>
      </c>
      <c r="J575" s="15">
        <v>15.52622330228389</v>
      </c>
    </row>
    <row r="576" spans="1:10">
      <c r="A576" s="6" t="s">
        <v>139</v>
      </c>
      <c r="B576" s="6" t="s">
        <v>44</v>
      </c>
      <c r="C576" s="6" t="s">
        <v>198</v>
      </c>
      <c r="D576" s="6">
        <v>235.5045</v>
      </c>
      <c r="E576" s="6" t="s">
        <v>44</v>
      </c>
      <c r="F576" s="6" t="s">
        <v>58</v>
      </c>
      <c r="G576" s="7">
        <v>87192.31842895708</v>
      </c>
      <c r="H576" s="6">
        <v>20534183.35545232</v>
      </c>
      <c r="I576" s="6" t="s">
        <v>179</v>
      </c>
      <c r="J576" s="15">
        <v>38</v>
      </c>
    </row>
    <row r="577" spans="1:10">
      <c r="A577" s="6" t="s">
        <v>139</v>
      </c>
      <c r="B577" s="6" t="s">
        <v>44</v>
      </c>
      <c r="C577" s="6" t="s">
        <v>199</v>
      </c>
      <c r="D577" s="6">
        <v>396.36925</v>
      </c>
      <c r="E577" s="6" t="s">
        <v>44</v>
      </c>
      <c r="F577" s="6" t="s">
        <v>57</v>
      </c>
      <c r="G577" s="7">
        <v>42727.16197460723</v>
      </c>
      <c r="H577" s="6">
        <v>16935733.14650359</v>
      </c>
      <c r="I577" s="6" t="s">
        <v>179</v>
      </c>
      <c r="J577" s="15">
        <v>44.83333333333334</v>
      </c>
    </row>
    <row r="578" spans="1:10">
      <c r="A578" s="6" t="s">
        <v>139</v>
      </c>
      <c r="B578" s="6" t="s">
        <v>44</v>
      </c>
      <c r="C578" s="6" t="s">
        <v>337</v>
      </c>
      <c r="D578" s="6">
        <v>21.07416666666667</v>
      </c>
      <c r="E578" s="6" t="s">
        <v>44</v>
      </c>
      <c r="F578" s="6" t="s">
        <v>52</v>
      </c>
      <c r="G578" s="7">
        <v>64169.74384104699</v>
      </c>
      <c r="H578" s="6">
        <v>1352323.876663531</v>
      </c>
      <c r="I578" s="6" t="s">
        <v>180</v>
      </c>
      <c r="J578" s="15">
        <v>17.01155042897912</v>
      </c>
    </row>
    <row r="579" spans="1:10">
      <c r="A579" s="6" t="s">
        <v>139</v>
      </c>
      <c r="B579" s="6" t="s">
        <v>44</v>
      </c>
      <c r="C579" s="6" t="s">
        <v>200</v>
      </c>
      <c r="D579" s="6">
        <v>5.533333333333334</v>
      </c>
      <c r="E579" s="6" t="s">
        <v>44</v>
      </c>
      <c r="F579" s="6" t="s">
        <v>52</v>
      </c>
      <c r="G579" s="7">
        <v>79455.19213558563</v>
      </c>
      <c r="H579" s="6">
        <v>439652.0631502406</v>
      </c>
      <c r="I579" s="6" t="s">
        <v>179</v>
      </c>
      <c r="J579" s="15">
        <v>83.38333333333334</v>
      </c>
    </row>
    <row r="580" spans="1:10">
      <c r="A580" s="6" t="s">
        <v>139</v>
      </c>
      <c r="B580" s="6" t="s">
        <v>44</v>
      </c>
      <c r="C580" s="6" t="s">
        <v>201</v>
      </c>
      <c r="D580" s="6">
        <v>187.5303333333333</v>
      </c>
      <c r="E580" s="6" t="s">
        <v>44</v>
      </c>
      <c r="F580" s="6" t="s">
        <v>56</v>
      </c>
      <c r="G580" s="7">
        <v>55387.37653085204</v>
      </c>
      <c r="H580" s="6">
        <v>10386813.18328953</v>
      </c>
      <c r="I580" s="6" t="s">
        <v>179</v>
      </c>
      <c r="J580" s="15">
        <v>24</v>
      </c>
    </row>
    <row r="581" spans="1:10">
      <c r="A581" s="6" t="s">
        <v>139</v>
      </c>
      <c r="B581" s="6" t="s">
        <v>44</v>
      </c>
      <c r="C581" s="6" t="s">
        <v>202</v>
      </c>
      <c r="D581" s="6">
        <v>985.8955</v>
      </c>
      <c r="E581" s="6" t="s">
        <v>44</v>
      </c>
      <c r="F581" s="6" t="s">
        <v>54</v>
      </c>
      <c r="G581" s="7">
        <v>97582.35964345603</v>
      </c>
      <c r="H581" s="6">
        <v>96206009.25186491</v>
      </c>
      <c r="I581" s="6" t="s">
        <v>179</v>
      </c>
      <c r="J581" s="15">
        <v>68</v>
      </c>
    </row>
    <row r="582" spans="1:10">
      <c r="A582" s="6" t="s">
        <v>139</v>
      </c>
      <c r="B582" s="6" t="s">
        <v>44</v>
      </c>
      <c r="C582" s="6" t="s">
        <v>203</v>
      </c>
      <c r="D582" s="6">
        <v>846.3657499999999</v>
      </c>
      <c r="E582" s="6" t="s">
        <v>44</v>
      </c>
      <c r="F582" s="6" t="s">
        <v>53</v>
      </c>
      <c r="G582" s="7">
        <v>40461.29080326468</v>
      </c>
      <c r="H582" s="6">
        <v>34245050.73667321</v>
      </c>
      <c r="I582" s="6" t="s">
        <v>179</v>
      </c>
      <c r="J582" s="15">
        <v>44.11666666666667</v>
      </c>
    </row>
    <row r="583" spans="1:10">
      <c r="A583" s="6" t="s">
        <v>139</v>
      </c>
      <c r="B583" s="6" t="s">
        <v>44</v>
      </c>
      <c r="C583" s="6" t="s">
        <v>204</v>
      </c>
      <c r="D583" s="6">
        <v>5156.542166666666</v>
      </c>
      <c r="E583" s="6" t="s">
        <v>44</v>
      </c>
      <c r="F583" s="6" t="s">
        <v>51</v>
      </c>
      <c r="G583" s="7">
        <v>22075.51100893869</v>
      </c>
      <c r="H583" s="6">
        <v>113833303.3683066</v>
      </c>
      <c r="I583" s="6" t="s">
        <v>179</v>
      </c>
      <c r="J583" s="15">
        <v>17.73333333333333</v>
      </c>
    </row>
    <row r="584" spans="1:10">
      <c r="A584" s="6" t="s">
        <v>139</v>
      </c>
      <c r="B584" s="6" t="s">
        <v>44</v>
      </c>
      <c r="C584" s="6" t="s">
        <v>338</v>
      </c>
      <c r="D584" s="6">
        <v>32.20891666666667</v>
      </c>
      <c r="E584" s="6" t="s">
        <v>44</v>
      </c>
      <c r="F584" s="6" t="s">
        <v>52</v>
      </c>
      <c r="G584" s="7">
        <v>64169.74384104699</v>
      </c>
      <c r="H584" s="6">
        <v>2066837.931897629</v>
      </c>
      <c r="I584" s="6" t="s">
        <v>180</v>
      </c>
      <c r="J584" s="15">
        <v>17.01155042897912</v>
      </c>
    </row>
    <row r="585" spans="1:10">
      <c r="A585" s="6" t="s">
        <v>139</v>
      </c>
      <c r="B585" s="6" t="s">
        <v>44</v>
      </c>
      <c r="C585" s="6" t="s">
        <v>205</v>
      </c>
      <c r="D585" s="6">
        <v>495.1654166666667</v>
      </c>
      <c r="E585" s="6" t="s">
        <v>44</v>
      </c>
      <c r="F585" s="6" t="s">
        <v>56</v>
      </c>
      <c r="G585" s="7">
        <v>54049.79733429672</v>
      </c>
      <c r="H585" s="6">
        <v>26763590.41778592</v>
      </c>
      <c r="I585" s="6" t="s">
        <v>179</v>
      </c>
      <c r="J585" s="15">
        <v>22.35</v>
      </c>
    </row>
    <row r="586" spans="1:10">
      <c r="A586" s="6" t="s">
        <v>139</v>
      </c>
      <c r="B586" s="6" t="s">
        <v>44</v>
      </c>
      <c r="C586" s="6" t="s">
        <v>206</v>
      </c>
      <c r="D586" s="6">
        <v>107.5035</v>
      </c>
      <c r="E586" s="6" t="s">
        <v>44</v>
      </c>
      <c r="F586" s="6" t="s">
        <v>55</v>
      </c>
      <c r="G586" s="7">
        <v>52787.66629507686</v>
      </c>
      <c r="H586" s="6">
        <v>5674858.883552794</v>
      </c>
      <c r="I586" s="6" t="s">
        <v>179</v>
      </c>
      <c r="J586" s="15">
        <v>47</v>
      </c>
    </row>
    <row r="587" spans="1:10">
      <c r="A587" s="6" t="s">
        <v>139</v>
      </c>
      <c r="B587" s="6" t="s">
        <v>44</v>
      </c>
      <c r="C587" s="6" t="s">
        <v>207</v>
      </c>
      <c r="D587" s="6">
        <v>1.658833333333333</v>
      </c>
      <c r="E587" s="6" t="s">
        <v>44</v>
      </c>
      <c r="F587" s="6" t="s">
        <v>55</v>
      </c>
      <c r="G587" s="7">
        <v>43102.17610390013</v>
      </c>
      <c r="H587" s="6">
        <v>71499.32646035298</v>
      </c>
      <c r="I587" s="6" t="s">
        <v>180</v>
      </c>
      <c r="J587" s="15">
        <v>106.2666666666667</v>
      </c>
    </row>
    <row r="588" spans="1:10">
      <c r="A588" s="6" t="s">
        <v>139</v>
      </c>
      <c r="B588" s="6" t="s">
        <v>44</v>
      </c>
      <c r="C588" s="6" t="s">
        <v>208</v>
      </c>
      <c r="D588" s="6">
        <v>27.72366666666667</v>
      </c>
      <c r="E588" s="6" t="s">
        <v>44</v>
      </c>
      <c r="F588" s="6" t="s">
        <v>51</v>
      </c>
      <c r="G588" s="7">
        <v>21097.10902947491</v>
      </c>
      <c r="H588" s="6">
        <v>584889.218363486</v>
      </c>
      <c r="I588" s="6" t="s">
        <v>179</v>
      </c>
      <c r="J588" s="15">
        <v>30</v>
      </c>
    </row>
    <row r="589" spans="1:10">
      <c r="A589" s="6" t="s">
        <v>139</v>
      </c>
      <c r="B589" s="6" t="s">
        <v>44</v>
      </c>
      <c r="C589" s="6" t="s">
        <v>209</v>
      </c>
      <c r="D589" s="6">
        <v>2.454166666666667</v>
      </c>
      <c r="E589" s="6" t="s">
        <v>44</v>
      </c>
      <c r="F589" s="6" t="s">
        <v>57</v>
      </c>
      <c r="G589" s="7">
        <v>41050.93445745452</v>
      </c>
      <c r="H589" s="6">
        <v>100745.834981003</v>
      </c>
      <c r="I589" s="6" t="s">
        <v>180</v>
      </c>
      <c r="J589" s="15">
        <v>8.447085698826186</v>
      </c>
    </row>
    <row r="590" spans="1:10">
      <c r="A590" s="6" t="s">
        <v>139</v>
      </c>
      <c r="B590" s="6" t="s">
        <v>44</v>
      </c>
      <c r="C590" s="6" t="s">
        <v>210</v>
      </c>
      <c r="D590" s="6">
        <v>1.879583333333333</v>
      </c>
      <c r="E590" s="6" t="s">
        <v>44</v>
      </c>
      <c r="F590" s="6" t="s">
        <v>53</v>
      </c>
      <c r="G590" s="7">
        <v>43419.65361451151</v>
      </c>
      <c r="H590" s="6">
        <v>81610.85727294226</v>
      </c>
      <c r="I590" s="6" t="s">
        <v>180</v>
      </c>
      <c r="J590" s="15">
        <v>9.324588140221366</v>
      </c>
    </row>
    <row r="591" spans="1:10">
      <c r="A591" s="6" t="s">
        <v>139</v>
      </c>
      <c r="B591" s="6" t="s">
        <v>44</v>
      </c>
      <c r="C591" s="6" t="s">
        <v>211</v>
      </c>
      <c r="D591" s="6">
        <v>1728.87925</v>
      </c>
      <c r="E591" s="6" t="s">
        <v>44</v>
      </c>
      <c r="F591" s="6" t="s">
        <v>55</v>
      </c>
      <c r="G591" s="7">
        <v>51366.3962792253</v>
      </c>
      <c r="H591" s="6">
        <v>88806296.67442982</v>
      </c>
      <c r="I591" s="6" t="s">
        <v>179</v>
      </c>
      <c r="J591" s="15">
        <v>40.03333333333333</v>
      </c>
    </row>
    <row r="592" spans="1:10">
      <c r="A592" s="6" t="s">
        <v>139</v>
      </c>
      <c r="B592" s="6" t="s">
        <v>44</v>
      </c>
      <c r="C592" s="6" t="s">
        <v>212</v>
      </c>
      <c r="D592" s="6">
        <v>361.2061666666667</v>
      </c>
      <c r="E592" s="6" t="s">
        <v>44</v>
      </c>
      <c r="F592" s="6" t="s">
        <v>55</v>
      </c>
      <c r="G592" s="7">
        <v>42485.0021579509</v>
      </c>
      <c r="H592" s="6">
        <v>15345844.77029851</v>
      </c>
      <c r="I592" s="6" t="s">
        <v>179</v>
      </c>
      <c r="J592" s="15">
        <v>39.03333333333333</v>
      </c>
    </row>
    <row r="593" spans="1:10">
      <c r="A593" s="6" t="s">
        <v>139</v>
      </c>
      <c r="B593" s="6" t="s">
        <v>44</v>
      </c>
      <c r="C593" s="6" t="s">
        <v>213</v>
      </c>
      <c r="D593" s="6">
        <v>31.05183333333333</v>
      </c>
      <c r="E593" s="6" t="s">
        <v>44</v>
      </c>
      <c r="F593" s="6" t="s">
        <v>52</v>
      </c>
      <c r="G593" s="7">
        <v>64169.74384104699</v>
      </c>
      <c r="H593" s="6">
        <v>1992588.190794884</v>
      </c>
      <c r="I593" s="6" t="s">
        <v>180</v>
      </c>
      <c r="J593" s="15">
        <v>68</v>
      </c>
    </row>
    <row r="594" spans="1:10">
      <c r="A594" s="6" t="s">
        <v>139</v>
      </c>
      <c r="B594" s="6" t="s">
        <v>44</v>
      </c>
      <c r="C594" s="6" t="s">
        <v>214</v>
      </c>
      <c r="D594" s="6">
        <v>2.968416666666666</v>
      </c>
      <c r="E594" s="6" t="s">
        <v>44</v>
      </c>
      <c r="F594" s="6" t="s">
        <v>53</v>
      </c>
      <c r="G594" s="7">
        <v>59521.22119718234</v>
      </c>
      <c r="H594" s="6">
        <v>176683.7850220693</v>
      </c>
      <c r="I594" s="6" t="s">
        <v>180</v>
      </c>
      <c r="J594" s="15">
        <v>15.28948474773556</v>
      </c>
    </row>
    <row r="595" spans="1:10">
      <c r="A595" s="6" t="s">
        <v>139</v>
      </c>
      <c r="B595" s="6" t="s">
        <v>44</v>
      </c>
      <c r="C595" s="6" t="s">
        <v>215</v>
      </c>
      <c r="D595" s="6">
        <v>932.8936666666666</v>
      </c>
      <c r="E595" s="6" t="s">
        <v>44</v>
      </c>
      <c r="F595" s="6" t="s">
        <v>54</v>
      </c>
      <c r="G595" s="7">
        <v>99644.87381086698</v>
      </c>
      <c r="H595" s="6">
        <v>92958071.693957</v>
      </c>
      <c r="I595" s="6" t="s">
        <v>179</v>
      </c>
      <c r="J595" s="15">
        <v>65.5</v>
      </c>
    </row>
    <row r="596" spans="1:10">
      <c r="A596" s="6" t="s">
        <v>139</v>
      </c>
      <c r="B596" s="6" t="s">
        <v>44</v>
      </c>
      <c r="C596" s="6" t="s">
        <v>216</v>
      </c>
      <c r="D596" s="6">
        <v>8.022833333333333</v>
      </c>
      <c r="E596" s="6" t="s">
        <v>44</v>
      </c>
      <c r="F596" s="6" t="s">
        <v>55</v>
      </c>
      <c r="G596" s="7">
        <v>42969.13562366418</v>
      </c>
      <c r="H596" s="6">
        <v>344734.2135860538</v>
      </c>
      <c r="I596" s="6" t="s">
        <v>180</v>
      </c>
      <c r="J596" s="15">
        <v>9.157691766844557</v>
      </c>
    </row>
    <row r="597" spans="1:10">
      <c r="A597" s="6" t="s">
        <v>139</v>
      </c>
      <c r="B597" s="6" t="s">
        <v>90</v>
      </c>
      <c r="C597" s="6" t="s">
        <v>217</v>
      </c>
      <c r="D597" s="6">
        <v>100.9948333333333</v>
      </c>
      <c r="E597" s="6" t="s">
        <v>44</v>
      </c>
      <c r="F597" s="6" t="s">
        <v>53</v>
      </c>
      <c r="G597" s="7">
        <v>29595.99008532836</v>
      </c>
      <c r="H597" s="6">
        <v>2989042.086002723</v>
      </c>
      <c r="I597" s="6" t="s">
        <v>179</v>
      </c>
      <c r="J597" s="15">
        <v>15</v>
      </c>
    </row>
    <row r="598" spans="1:10">
      <c r="A598" s="6" t="s">
        <v>139</v>
      </c>
      <c r="B598" s="6" t="s">
        <v>90</v>
      </c>
      <c r="C598" s="6" t="s">
        <v>218</v>
      </c>
      <c r="D598" s="6">
        <v>6.811416666666666</v>
      </c>
      <c r="E598" s="6" t="s">
        <v>44</v>
      </c>
      <c r="F598" s="6" t="s">
        <v>54</v>
      </c>
      <c r="G598" s="7">
        <v>55803.8509311504</v>
      </c>
      <c r="H598" s="6">
        <v>380103.28029662</v>
      </c>
      <c r="I598" s="6" t="s">
        <v>180</v>
      </c>
      <c r="J598" s="15">
        <v>11.12043154931672</v>
      </c>
    </row>
    <row r="599" spans="1:10">
      <c r="A599" s="6" t="s">
        <v>139</v>
      </c>
      <c r="B599" s="6" t="s">
        <v>44</v>
      </c>
      <c r="C599" s="6" t="s">
        <v>219</v>
      </c>
      <c r="D599" s="6">
        <v>145.8383333333333</v>
      </c>
      <c r="E599" s="6" t="s">
        <v>44</v>
      </c>
      <c r="F599" s="6" t="s">
        <v>51</v>
      </c>
      <c r="G599" s="7">
        <v>24699.68371704026</v>
      </c>
      <c r="H599" s="6">
        <v>3602160.707153623</v>
      </c>
      <c r="I599" s="6" t="s">
        <v>179</v>
      </c>
      <c r="J599" s="15">
        <v>13.96666666666667</v>
      </c>
    </row>
    <row r="600" spans="1:10">
      <c r="A600" s="6" t="s">
        <v>139</v>
      </c>
      <c r="B600" s="6" t="s">
        <v>44</v>
      </c>
      <c r="C600" s="6" t="s">
        <v>220</v>
      </c>
      <c r="D600" s="6">
        <v>6.391666666666667</v>
      </c>
      <c r="E600" s="6" t="s">
        <v>44</v>
      </c>
      <c r="F600" s="6" t="s">
        <v>57</v>
      </c>
      <c r="G600" s="7">
        <v>40154.70104495549</v>
      </c>
      <c r="H600" s="6">
        <v>256655.4641790072</v>
      </c>
      <c r="I600" s="6" t="s">
        <v>180</v>
      </c>
      <c r="J600" s="15">
        <v>8.115072084977196</v>
      </c>
    </row>
    <row r="601" spans="1:10">
      <c r="A601" s="6" t="s">
        <v>139</v>
      </c>
      <c r="B601" s="6" t="s">
        <v>44</v>
      </c>
      <c r="C601" s="6" t="s">
        <v>221</v>
      </c>
      <c r="D601" s="6">
        <v>151.9730833333333</v>
      </c>
      <c r="E601" s="6" t="s">
        <v>44</v>
      </c>
      <c r="F601" s="6" t="s">
        <v>51</v>
      </c>
      <c r="G601" s="7">
        <v>26492.73446871235</v>
      </c>
      <c r="H601" s="6">
        <v>4026182.543141495</v>
      </c>
      <c r="I601" s="6" t="s">
        <v>179</v>
      </c>
      <c r="J601" s="15">
        <v>21.28333333333333</v>
      </c>
    </row>
    <row r="602" spans="1:10">
      <c r="A602" s="6" t="s">
        <v>139</v>
      </c>
      <c r="B602" s="6" t="s">
        <v>44</v>
      </c>
      <c r="C602" s="6" t="s">
        <v>222</v>
      </c>
      <c r="D602" s="6">
        <v>2.2715</v>
      </c>
      <c r="E602" s="6" t="s">
        <v>44</v>
      </c>
      <c r="F602" s="6" t="s">
        <v>57</v>
      </c>
      <c r="G602" s="7">
        <v>40818.44055788575</v>
      </c>
      <c r="H602" s="6">
        <v>92719.08772723748</v>
      </c>
      <c r="I602" s="6" t="s">
        <v>180</v>
      </c>
      <c r="J602" s="15">
        <v>8.360957310041353</v>
      </c>
    </row>
    <row r="603" spans="1:10">
      <c r="A603" s="6" t="s">
        <v>139</v>
      </c>
      <c r="B603" s="6" t="s">
        <v>44</v>
      </c>
      <c r="C603" s="6" t="s">
        <v>342</v>
      </c>
      <c r="D603" s="6">
        <v>116.1869166666667</v>
      </c>
      <c r="E603" s="6" t="s">
        <v>44</v>
      </c>
      <c r="F603" s="6" t="s">
        <v>53</v>
      </c>
      <c r="G603" s="7">
        <v>45319.56223077881</v>
      </c>
      <c r="H603" s="6">
        <v>5265540.200277312</v>
      </c>
      <c r="I603" s="6" t="s">
        <v>180</v>
      </c>
      <c r="J603" s="15">
        <v>10.02841765257</v>
      </c>
    </row>
    <row r="604" spans="1:10">
      <c r="A604" s="6" t="s">
        <v>139</v>
      </c>
      <c r="B604" s="6" t="s">
        <v>44</v>
      </c>
      <c r="C604" s="6" t="s">
        <v>223</v>
      </c>
      <c r="D604" s="6">
        <v>346.6553333333334</v>
      </c>
      <c r="E604" s="6" t="s">
        <v>44</v>
      </c>
      <c r="F604" s="6" t="s">
        <v>53</v>
      </c>
      <c r="G604" s="7">
        <v>50716.83334368051</v>
      </c>
      <c r="H604" s="6">
        <v>17581260.76836468</v>
      </c>
      <c r="I604" s="6" t="s">
        <v>179</v>
      </c>
      <c r="J604" s="15">
        <v>42.04166666666667</v>
      </c>
    </row>
    <row r="605" spans="1:10">
      <c r="A605" s="6" t="s">
        <v>139</v>
      </c>
      <c r="B605" s="6" t="s">
        <v>44</v>
      </c>
      <c r="C605" s="6" t="s">
        <v>224</v>
      </c>
      <c r="D605" s="6">
        <v>1411.88675</v>
      </c>
      <c r="E605" s="6" t="s">
        <v>44</v>
      </c>
      <c r="F605" s="6" t="s">
        <v>51</v>
      </c>
      <c r="G605" s="7">
        <v>20842.13163725611</v>
      </c>
      <c r="H605" s="6">
        <v>29426729.50039771</v>
      </c>
      <c r="I605" s="6" t="s">
        <v>179</v>
      </c>
      <c r="J605" s="15">
        <v>11</v>
      </c>
    </row>
    <row r="606" spans="1:10">
      <c r="A606" s="6" t="s">
        <v>139</v>
      </c>
      <c r="B606" s="6" t="s">
        <v>44</v>
      </c>
      <c r="C606" s="6" t="s">
        <v>225</v>
      </c>
      <c r="D606" s="6">
        <v>0.06325</v>
      </c>
      <c r="E606" s="6" t="s">
        <v>44</v>
      </c>
      <c r="F606" s="6" t="s">
        <v>54</v>
      </c>
      <c r="G606" s="7">
        <v>67290.20302962229</v>
      </c>
      <c r="H606" s="6">
        <v>4256.10534162361</v>
      </c>
      <c r="I606" s="6" t="s">
        <v>180</v>
      </c>
      <c r="J606" s="15">
        <v>18.16753827502286</v>
      </c>
    </row>
    <row r="607" spans="1:10">
      <c r="A607" s="6" t="s">
        <v>139</v>
      </c>
      <c r="B607" s="6" t="s">
        <v>44</v>
      </c>
      <c r="C607" s="6" t="s">
        <v>226</v>
      </c>
      <c r="D607" s="6">
        <v>1023.44975</v>
      </c>
      <c r="E607" s="6" t="s">
        <v>44</v>
      </c>
      <c r="F607" s="6" t="s">
        <v>56</v>
      </c>
      <c r="G607" s="7">
        <v>59921.09743873261</v>
      </c>
      <c r="H607" s="6">
        <v>61326232.19339652</v>
      </c>
      <c r="I607" s="6" t="s">
        <v>179</v>
      </c>
      <c r="J607" s="15">
        <v>47.875</v>
      </c>
    </row>
    <row r="608" spans="1:10">
      <c r="A608" s="6" t="s">
        <v>139</v>
      </c>
      <c r="B608" s="6" t="s">
        <v>44</v>
      </c>
      <c r="C608" s="6" t="s">
        <v>345</v>
      </c>
      <c r="D608" s="6">
        <v>54.56216666666666</v>
      </c>
      <c r="E608" s="6" t="s">
        <v>44</v>
      </c>
      <c r="F608" s="6" t="s">
        <v>53</v>
      </c>
      <c r="G608" s="7">
        <v>44066.89222480646</v>
      </c>
      <c r="H608" s="6">
        <v>2404385.118051927</v>
      </c>
      <c r="I608" s="6" t="s">
        <v>180</v>
      </c>
      <c r="J608" s="15">
        <v>9.564360533249458</v>
      </c>
    </row>
    <row r="609" spans="1:10">
      <c r="A609" s="6" t="s">
        <v>139</v>
      </c>
      <c r="B609" s="6" t="s">
        <v>44</v>
      </c>
      <c r="C609" s="6" t="s">
        <v>227</v>
      </c>
      <c r="D609" s="6">
        <v>192.1373333333333</v>
      </c>
      <c r="E609" s="6" t="s">
        <v>44</v>
      </c>
      <c r="F609" s="6" t="s">
        <v>57</v>
      </c>
      <c r="G609" s="7">
        <v>47608.30251275475</v>
      </c>
      <c r="H609" s="6">
        <v>9147332.289327331</v>
      </c>
      <c r="I609" s="6" t="s">
        <v>179</v>
      </c>
      <c r="J609" s="15">
        <v>51.93333333333333</v>
      </c>
    </row>
    <row r="610" spans="1:10">
      <c r="A610" s="6" t="s">
        <v>139</v>
      </c>
      <c r="B610" s="6" t="s">
        <v>44</v>
      </c>
      <c r="C610" s="6" t="s">
        <v>228</v>
      </c>
      <c r="D610" s="6">
        <v>209.60425</v>
      </c>
      <c r="E610" s="6" t="s">
        <v>44</v>
      </c>
      <c r="F610" s="6" t="s">
        <v>51</v>
      </c>
      <c r="G610" s="7">
        <v>36404.73502976458</v>
      </c>
      <c r="H610" s="6">
        <v>7630587.182362533</v>
      </c>
      <c r="I610" s="6" t="s">
        <v>179</v>
      </c>
      <c r="J610" s="15">
        <v>21</v>
      </c>
    </row>
    <row r="611" spans="1:10">
      <c r="A611" s="6" t="s">
        <v>139</v>
      </c>
      <c r="B611" s="6" t="s">
        <v>44</v>
      </c>
      <c r="C611" s="6" t="s">
        <v>229</v>
      </c>
      <c r="D611" s="6">
        <v>111.4259166666667</v>
      </c>
      <c r="E611" s="6" t="s">
        <v>44</v>
      </c>
      <c r="F611" s="6" t="s">
        <v>53</v>
      </c>
      <c r="G611" s="7">
        <v>41295.07283256564</v>
      </c>
      <c r="H611" s="6">
        <v>4601341.34418539</v>
      </c>
      <c r="I611" s="6" t="s">
        <v>180</v>
      </c>
      <c r="J611" s="15">
        <v>8.537527834847253</v>
      </c>
    </row>
    <row r="612" spans="1:10">
      <c r="A612" s="6" t="s">
        <v>139</v>
      </c>
      <c r="B612" s="6" t="s">
        <v>44</v>
      </c>
      <c r="C612" s="6" t="s">
        <v>367</v>
      </c>
      <c r="D612" s="6">
        <v>3.60125</v>
      </c>
      <c r="E612" s="6" t="s">
        <v>44</v>
      </c>
      <c r="F612" s="6" t="s">
        <v>55</v>
      </c>
      <c r="G612" s="7">
        <v>49244.11517900768</v>
      </c>
      <c r="H612" s="6">
        <v>177340.3697884014</v>
      </c>
      <c r="I612" s="6" t="s">
        <v>180</v>
      </c>
      <c r="J612" s="15">
        <v>11.48228557236773</v>
      </c>
    </row>
    <row r="613" spans="1:10">
      <c r="A613" s="6" t="s">
        <v>139</v>
      </c>
      <c r="B613" s="6" t="s">
        <v>44</v>
      </c>
      <c r="C613" s="6" t="s">
        <v>230</v>
      </c>
      <c r="D613" s="6">
        <v>132.8643333333333</v>
      </c>
      <c r="E613" s="6" t="s">
        <v>44</v>
      </c>
      <c r="F613" s="6" t="s">
        <v>53</v>
      </c>
      <c r="G613" s="7">
        <v>40526.99807878413</v>
      </c>
      <c r="H613" s="6">
        <v>5384592.581738935</v>
      </c>
      <c r="I613" s="6" t="s">
        <v>179</v>
      </c>
      <c r="J613" s="15">
        <v>43.54166666666667</v>
      </c>
    </row>
    <row r="614" spans="1:10">
      <c r="A614" s="6" t="s">
        <v>139</v>
      </c>
      <c r="B614" s="6" t="s">
        <v>44</v>
      </c>
      <c r="C614" s="6" t="s">
        <v>378</v>
      </c>
      <c r="D614" s="6">
        <v>9.616249999999999</v>
      </c>
      <c r="E614" s="6" t="s">
        <v>44</v>
      </c>
      <c r="F614" s="6" t="s">
        <v>51</v>
      </c>
      <c r="G614" s="7">
        <v>36833.11874185415</v>
      </c>
      <c r="H614" s="6">
        <v>354196.478101355</v>
      </c>
      <c r="I614" s="6" t="s">
        <v>180</v>
      </c>
      <c r="J614" s="15">
        <v>6.884577295595829</v>
      </c>
    </row>
    <row r="615" spans="1:10">
      <c r="A615" s="6" t="s">
        <v>139</v>
      </c>
      <c r="B615" s="6" t="s">
        <v>44</v>
      </c>
      <c r="C615" s="6" t="s">
        <v>231</v>
      </c>
      <c r="D615" s="6">
        <v>11.5035</v>
      </c>
      <c r="E615" s="6" t="s">
        <v>44</v>
      </c>
      <c r="F615" s="6" t="s">
        <v>52</v>
      </c>
      <c r="G615" s="7">
        <v>106696.4944389694</v>
      </c>
      <c r="H615" s="6">
        <v>1227383.123778685</v>
      </c>
      <c r="I615" s="6" t="s">
        <v>179</v>
      </c>
      <c r="J615" s="15">
        <v>75</v>
      </c>
    </row>
    <row r="616" spans="1:10">
      <c r="A616" s="6" t="s">
        <v>139</v>
      </c>
      <c r="B616" s="6" t="s">
        <v>44</v>
      </c>
      <c r="C616" s="6" t="s">
        <v>346</v>
      </c>
      <c r="D616" s="6">
        <v>7.308166666666666</v>
      </c>
      <c r="E616" s="6" t="s">
        <v>44</v>
      </c>
      <c r="F616" s="6" t="s">
        <v>52</v>
      </c>
      <c r="G616" s="7">
        <v>64169.74384104699</v>
      </c>
      <c r="H616" s="6">
        <v>468963.1829476782</v>
      </c>
      <c r="I616" s="6" t="s">
        <v>180</v>
      </c>
      <c r="J616" s="15">
        <v>17.01155042897912</v>
      </c>
    </row>
    <row r="617" spans="1:10">
      <c r="A617" s="6" t="s">
        <v>139</v>
      </c>
      <c r="B617" s="6" t="s">
        <v>44</v>
      </c>
      <c r="C617" s="6" t="s">
        <v>232</v>
      </c>
      <c r="D617" s="6">
        <v>22.3795</v>
      </c>
      <c r="E617" s="6" t="s">
        <v>44</v>
      </c>
      <c r="F617" s="6" t="s">
        <v>51</v>
      </c>
      <c r="G617" s="7">
        <v>28201.41411980885</v>
      </c>
      <c r="H617" s="6">
        <v>631133.5472942622</v>
      </c>
      <c r="I617" s="6" t="s">
        <v>179</v>
      </c>
      <c r="J617" s="15">
        <v>20</v>
      </c>
    </row>
    <row r="618" spans="1:10">
      <c r="A618" s="6" t="s">
        <v>139</v>
      </c>
      <c r="B618" s="6" t="s">
        <v>44</v>
      </c>
      <c r="C618" s="6" t="s">
        <v>233</v>
      </c>
      <c r="D618" s="6">
        <v>266.1396666666666</v>
      </c>
      <c r="E618" s="6" t="s">
        <v>44</v>
      </c>
      <c r="F618" s="6" t="s">
        <v>59</v>
      </c>
      <c r="G618" s="7">
        <v>60259.27520860936</v>
      </c>
      <c r="H618" s="6">
        <v>16037383.41759422</v>
      </c>
      <c r="I618" s="6" t="s">
        <v>179</v>
      </c>
      <c r="J618" s="15">
        <v>40.40833333333333</v>
      </c>
    </row>
    <row r="619" spans="1:10">
      <c r="A619" s="6" t="s">
        <v>139</v>
      </c>
      <c r="B619" s="6" t="s">
        <v>44</v>
      </c>
      <c r="C619" s="6" t="s">
        <v>234</v>
      </c>
      <c r="D619" s="6">
        <v>129.9406666666667</v>
      </c>
      <c r="E619" s="6" t="s">
        <v>44</v>
      </c>
      <c r="F619" s="6" t="s">
        <v>56</v>
      </c>
      <c r="G619" s="7">
        <v>60675.69596540061</v>
      </c>
      <c r="H619" s="6">
        <v>7884240.384208132</v>
      </c>
      <c r="I619" s="6" t="s">
        <v>179</v>
      </c>
      <c r="J619" s="15">
        <v>37.40833333333333</v>
      </c>
    </row>
    <row r="620" spans="1:10">
      <c r="A620" s="6" t="s">
        <v>139</v>
      </c>
      <c r="B620" s="6" t="s">
        <v>44</v>
      </c>
      <c r="C620" s="6" t="s">
        <v>235</v>
      </c>
      <c r="D620" s="6">
        <v>0.8140833333333334</v>
      </c>
      <c r="E620" s="6" t="s">
        <v>44</v>
      </c>
      <c r="F620" s="6" t="s">
        <v>53</v>
      </c>
      <c r="G620" s="7">
        <v>42906.76971531406</v>
      </c>
      <c r="H620" s="6">
        <v>34929.68611240859</v>
      </c>
      <c r="I620" s="6" t="s">
        <v>180</v>
      </c>
      <c r="J620" s="15">
        <v>9.134588041494082</v>
      </c>
    </row>
    <row r="621" spans="1:10">
      <c r="A621" s="6" t="s">
        <v>139</v>
      </c>
      <c r="B621" s="6" t="s">
        <v>44</v>
      </c>
      <c r="C621" s="6" t="s">
        <v>236</v>
      </c>
      <c r="D621" s="6">
        <v>1422.2875</v>
      </c>
      <c r="E621" s="6" t="s">
        <v>44</v>
      </c>
      <c r="F621" s="6" t="s">
        <v>51</v>
      </c>
      <c r="G621" s="7">
        <v>16875.52434086435</v>
      </c>
      <c r="H621" s="6">
        <v>24001847.32595711</v>
      </c>
      <c r="I621" s="6" t="s">
        <v>179</v>
      </c>
      <c r="J621" s="15">
        <v>16.31666666666667</v>
      </c>
    </row>
    <row r="622" spans="1:10">
      <c r="A622" s="6" t="s">
        <v>139</v>
      </c>
      <c r="B622" s="6" t="s">
        <v>44</v>
      </c>
      <c r="C622" s="6" t="s">
        <v>237</v>
      </c>
      <c r="D622" s="6">
        <v>161.22475</v>
      </c>
      <c r="E622" s="6" t="s">
        <v>44</v>
      </c>
      <c r="F622" s="6" t="s">
        <v>51</v>
      </c>
      <c r="G622" s="7">
        <v>25931.08338799715</v>
      </c>
      <c r="H622" s="6">
        <v>4180732.436458993</v>
      </c>
      <c r="I622" s="6" t="s">
        <v>179</v>
      </c>
      <c r="J622" s="15">
        <v>20</v>
      </c>
    </row>
    <row r="623" spans="1:10">
      <c r="A623" s="6" t="s">
        <v>139</v>
      </c>
      <c r="B623" s="6" t="s">
        <v>44</v>
      </c>
      <c r="C623" s="6" t="s">
        <v>238</v>
      </c>
      <c r="D623" s="6">
        <v>455.6541666666667</v>
      </c>
      <c r="E623" s="6" t="s">
        <v>44</v>
      </c>
      <c r="F623" s="6" t="s">
        <v>51</v>
      </c>
      <c r="G623" s="7">
        <v>21509.06685400382</v>
      </c>
      <c r="H623" s="6">
        <v>9800695.933138734</v>
      </c>
      <c r="I623" s="6" t="s">
        <v>179</v>
      </c>
      <c r="J623" s="15">
        <v>11</v>
      </c>
    </row>
    <row r="624" spans="1:10">
      <c r="A624" s="6" t="s">
        <v>139</v>
      </c>
      <c r="B624" s="6" t="s">
        <v>44</v>
      </c>
      <c r="C624" s="6" t="s">
        <v>239</v>
      </c>
      <c r="D624" s="6">
        <v>342.6151666666667</v>
      </c>
      <c r="E624" s="6" t="s">
        <v>44</v>
      </c>
      <c r="F624" s="6" t="s">
        <v>54</v>
      </c>
      <c r="G624" s="7">
        <v>91141.09901653728</v>
      </c>
      <c r="H624" s="6">
        <v>31226322.82973409</v>
      </c>
      <c r="I624" s="6" t="s">
        <v>179</v>
      </c>
      <c r="J624" s="15">
        <v>62</v>
      </c>
    </row>
    <row r="625" spans="1:10">
      <c r="A625" s="6" t="s">
        <v>139</v>
      </c>
      <c r="B625" s="6" t="s">
        <v>44</v>
      </c>
      <c r="C625" s="6" t="s">
        <v>379</v>
      </c>
      <c r="D625" s="6">
        <v>3.39925</v>
      </c>
      <c r="E625" s="6" t="s">
        <v>44</v>
      </c>
      <c r="F625" s="6" t="s">
        <v>51</v>
      </c>
      <c r="G625" s="7">
        <v>54300.15081254677</v>
      </c>
      <c r="H625" s="6">
        <v>184579.7876495496</v>
      </c>
      <c r="I625" s="6" t="s">
        <v>180</v>
      </c>
      <c r="J625" s="15">
        <v>13.35531623494908</v>
      </c>
    </row>
    <row r="626" spans="1:10">
      <c r="A626" s="6" t="s">
        <v>139</v>
      </c>
      <c r="B626" s="6" t="s">
        <v>44</v>
      </c>
      <c r="C626" s="6" t="s">
        <v>347</v>
      </c>
      <c r="D626" s="6">
        <v>0.3916666666666667</v>
      </c>
      <c r="E626" s="6" t="s">
        <v>44</v>
      </c>
      <c r="F626" s="6" t="s">
        <v>52</v>
      </c>
      <c r="G626" s="7">
        <v>64169.74384104699</v>
      </c>
      <c r="H626" s="6">
        <v>25133.14967107674</v>
      </c>
      <c r="I626" s="6" t="s">
        <v>180</v>
      </c>
      <c r="J626" s="15">
        <v>17.01155042897912</v>
      </c>
    </row>
    <row r="627" spans="1:10">
      <c r="A627" s="6" t="s">
        <v>139</v>
      </c>
      <c r="B627" s="6" t="s">
        <v>44</v>
      </c>
      <c r="C627" s="6" t="s">
        <v>368</v>
      </c>
      <c r="D627" s="6">
        <v>1.29775</v>
      </c>
      <c r="E627" s="6" t="s">
        <v>44</v>
      </c>
      <c r="F627" s="6" t="s">
        <v>55</v>
      </c>
      <c r="G627" s="7">
        <v>48770.50191399889</v>
      </c>
      <c r="H627" s="6">
        <v>63291.91885889207</v>
      </c>
      <c r="I627" s="6" t="s">
        <v>180</v>
      </c>
      <c r="J627" s="15">
        <v>11.30683345298744</v>
      </c>
    </row>
    <row r="628" spans="1:10">
      <c r="A628" s="6" t="s">
        <v>139</v>
      </c>
      <c r="B628" s="6" t="s">
        <v>44</v>
      </c>
      <c r="C628" s="6" t="s">
        <v>240</v>
      </c>
      <c r="D628" s="6">
        <v>17.5255</v>
      </c>
      <c r="E628" s="6" t="s">
        <v>44</v>
      </c>
      <c r="F628" s="6" t="s">
        <v>51</v>
      </c>
      <c r="G628" s="7">
        <v>18174.39388396715</v>
      </c>
      <c r="H628" s="6">
        <v>318515.3400134663</v>
      </c>
      <c r="I628" s="6" t="s">
        <v>179</v>
      </c>
      <c r="J628" s="15">
        <v>18</v>
      </c>
    </row>
    <row r="629" spans="1:10">
      <c r="A629" s="6" t="s">
        <v>139</v>
      </c>
      <c r="B629" s="6" t="s">
        <v>90</v>
      </c>
      <c r="C629" s="6" t="s">
        <v>241</v>
      </c>
      <c r="D629" s="6">
        <v>175.13625</v>
      </c>
      <c r="E629" s="6" t="s">
        <v>44</v>
      </c>
      <c r="F629" s="6" t="s">
        <v>53</v>
      </c>
      <c r="G629" s="7">
        <v>26388.49277067184</v>
      </c>
      <c r="H629" s="6">
        <v>4621581.667007577</v>
      </c>
      <c r="I629" s="6" t="s">
        <v>179</v>
      </c>
      <c r="J629" s="15">
        <v>14.36666666666667</v>
      </c>
    </row>
    <row r="630" spans="1:10">
      <c r="A630" s="6" t="s">
        <v>139</v>
      </c>
      <c r="B630" s="6" t="s">
        <v>44</v>
      </c>
      <c r="C630" s="6" t="s">
        <v>242</v>
      </c>
      <c r="D630" s="6">
        <v>908.7548333333333</v>
      </c>
      <c r="E630" s="6" t="s">
        <v>44</v>
      </c>
      <c r="F630" s="6" t="s">
        <v>56</v>
      </c>
      <c r="G630" s="7">
        <v>41454.84700212286</v>
      </c>
      <c r="H630" s="6">
        <v>37672292.578273</v>
      </c>
      <c r="I630" s="6" t="s">
        <v>179</v>
      </c>
      <c r="J630" s="15">
        <v>28.81666666666667</v>
      </c>
    </row>
    <row r="631" spans="1:10">
      <c r="A631" s="6" t="s">
        <v>139</v>
      </c>
      <c r="B631" s="6" t="s">
        <v>44</v>
      </c>
      <c r="C631" s="6" t="s">
        <v>243</v>
      </c>
      <c r="D631" s="6">
        <v>1.189916666666667</v>
      </c>
      <c r="E631" s="6" t="s">
        <v>44</v>
      </c>
      <c r="F631" s="6" t="s">
        <v>58</v>
      </c>
      <c r="G631" s="7">
        <v>39072.48177856206</v>
      </c>
      <c r="H631" s="6">
        <v>46492.99727634064</v>
      </c>
      <c r="I631" s="6" t="s">
        <v>180</v>
      </c>
      <c r="J631" s="15">
        <v>7.714159192642155</v>
      </c>
    </row>
    <row r="632" spans="1:10">
      <c r="A632" s="6" t="s">
        <v>139</v>
      </c>
      <c r="B632" s="6" t="s">
        <v>44</v>
      </c>
      <c r="C632" s="6" t="s">
        <v>369</v>
      </c>
      <c r="D632" s="6">
        <v>1.974166666666667</v>
      </c>
      <c r="E632" s="6" t="s">
        <v>44</v>
      </c>
      <c r="F632" s="6" t="s">
        <v>55</v>
      </c>
      <c r="G632" s="7">
        <v>49104.86498874119</v>
      </c>
      <c r="H632" s="6">
        <v>96941.1876319399</v>
      </c>
      <c r="I632" s="6" t="s">
        <v>180</v>
      </c>
      <c r="J632" s="15">
        <v>11.43069972625358</v>
      </c>
    </row>
    <row r="633" spans="1:10">
      <c r="A633" s="6" t="s">
        <v>139</v>
      </c>
      <c r="B633" s="6" t="s">
        <v>44</v>
      </c>
      <c r="C633" s="6" t="s">
        <v>244</v>
      </c>
      <c r="D633" s="6">
        <v>13.3525</v>
      </c>
      <c r="E633" s="6" t="s">
        <v>44</v>
      </c>
      <c r="F633" s="6" t="s">
        <v>55</v>
      </c>
      <c r="G633" s="7">
        <v>48324.15434814322</v>
      </c>
      <c r="H633" s="6">
        <v>645248.2709335822</v>
      </c>
      <c r="I633" s="6" t="s">
        <v>180</v>
      </c>
      <c r="J633" s="15">
        <v>25.75</v>
      </c>
    </row>
    <row r="634" spans="1:10">
      <c r="A634" s="6" t="s">
        <v>139</v>
      </c>
      <c r="B634" s="6" t="s">
        <v>90</v>
      </c>
      <c r="C634" s="6" t="s">
        <v>245</v>
      </c>
      <c r="D634" s="6">
        <v>181.953</v>
      </c>
      <c r="E634" s="6" t="s">
        <v>44</v>
      </c>
      <c r="F634" s="6" t="s">
        <v>53</v>
      </c>
      <c r="G634" s="7">
        <v>15981.96816829709</v>
      </c>
      <c r="H634" s="6">
        <v>2907967.054126161</v>
      </c>
      <c r="I634" s="6" t="s">
        <v>179</v>
      </c>
      <c r="J634" s="15">
        <v>38</v>
      </c>
    </row>
    <row r="635" spans="1:10">
      <c r="A635" s="6" t="s">
        <v>139</v>
      </c>
      <c r="B635" s="6" t="s">
        <v>44</v>
      </c>
      <c r="C635" s="6" t="s">
        <v>246</v>
      </c>
      <c r="D635" s="6">
        <v>0.4736666666666667</v>
      </c>
      <c r="E635" s="6" t="s">
        <v>44</v>
      </c>
      <c r="F635" s="6" t="s">
        <v>53</v>
      </c>
      <c r="G635" s="7">
        <v>41073.70877033749</v>
      </c>
      <c r="H635" s="6">
        <v>19455.24672088319</v>
      </c>
      <c r="I635" s="6" t="s">
        <v>180</v>
      </c>
      <c r="J635" s="15">
        <v>8.45552254331084</v>
      </c>
    </row>
    <row r="636" spans="1:10">
      <c r="A636" s="6" t="s">
        <v>139</v>
      </c>
      <c r="B636" s="6" t="s">
        <v>44</v>
      </c>
      <c r="C636" s="6" t="s">
        <v>348</v>
      </c>
      <c r="D636" s="6">
        <v>0.4583333333333333</v>
      </c>
      <c r="E636" s="6" t="s">
        <v>44</v>
      </c>
      <c r="F636" s="6" t="s">
        <v>52</v>
      </c>
      <c r="G636" s="7">
        <v>64169.74384104699</v>
      </c>
      <c r="H636" s="6">
        <v>29411.1325938132</v>
      </c>
      <c r="I636" s="6" t="s">
        <v>180</v>
      </c>
      <c r="J636" s="15">
        <v>17.01155042897912</v>
      </c>
    </row>
    <row r="637" spans="1:10">
      <c r="A637" s="6" t="s">
        <v>139</v>
      </c>
      <c r="B637" s="6" t="s">
        <v>44</v>
      </c>
      <c r="C637" s="6" t="s">
        <v>349</v>
      </c>
      <c r="D637" s="6">
        <v>7.521666666666666</v>
      </c>
      <c r="E637" s="6" t="s">
        <v>44</v>
      </c>
      <c r="F637" s="6" t="s">
        <v>52</v>
      </c>
      <c r="G637" s="7">
        <v>64169.74384104699</v>
      </c>
      <c r="H637" s="6">
        <v>482663.4232577417</v>
      </c>
      <c r="I637" s="6" t="s">
        <v>180</v>
      </c>
      <c r="J637" s="15">
        <v>17.01155042897912</v>
      </c>
    </row>
    <row r="638" spans="1:10">
      <c r="A638" s="6" t="s">
        <v>139</v>
      </c>
      <c r="B638" s="6" t="s">
        <v>44</v>
      </c>
      <c r="C638" s="6" t="s">
        <v>247</v>
      </c>
      <c r="D638" s="6">
        <v>819.9693333333333</v>
      </c>
      <c r="E638" s="6" t="s">
        <v>44</v>
      </c>
      <c r="F638" s="6" t="s">
        <v>51</v>
      </c>
      <c r="G638" s="7">
        <v>30572.38239922268</v>
      </c>
      <c r="H638" s="6">
        <v>25068416.01430236</v>
      </c>
      <c r="I638" s="6" t="s">
        <v>179</v>
      </c>
      <c r="J638" s="15">
        <v>25.55</v>
      </c>
    </row>
    <row r="639" spans="1:10">
      <c r="A639" s="6" t="s">
        <v>139</v>
      </c>
      <c r="B639" s="6" t="s">
        <v>44</v>
      </c>
      <c r="C639" s="6" t="s">
        <v>248</v>
      </c>
      <c r="D639" s="6">
        <v>77.06775</v>
      </c>
      <c r="E639" s="6" t="s">
        <v>44</v>
      </c>
      <c r="F639" s="6" t="s">
        <v>55</v>
      </c>
      <c r="G639" s="7">
        <v>87415.63794531897</v>
      </c>
      <c r="H639" s="6">
        <v>6736926.531260356</v>
      </c>
      <c r="I639" s="6" t="s">
        <v>179</v>
      </c>
      <c r="J639" s="15">
        <v>48.6</v>
      </c>
    </row>
    <row r="640" spans="1:10">
      <c r="A640" s="6" t="s">
        <v>139</v>
      </c>
      <c r="B640" s="6" t="s">
        <v>44</v>
      </c>
      <c r="C640" s="6" t="s">
        <v>249</v>
      </c>
      <c r="D640" s="6">
        <v>840.1836666666667</v>
      </c>
      <c r="E640" s="6" t="s">
        <v>44</v>
      </c>
      <c r="F640" s="6" t="s">
        <v>53</v>
      </c>
      <c r="G640" s="7">
        <v>42005.85786023017</v>
      </c>
      <c r="H640" s="6">
        <v>35292635.67848701</v>
      </c>
      <c r="I640" s="6" t="s">
        <v>179</v>
      </c>
      <c r="J640" s="15">
        <v>39.98333333333333</v>
      </c>
    </row>
    <row r="641" spans="1:10">
      <c r="A641" s="6" t="s">
        <v>139</v>
      </c>
      <c r="B641" s="6" t="s">
        <v>44</v>
      </c>
      <c r="C641" s="6" t="s">
        <v>351</v>
      </c>
      <c r="D641" s="6">
        <v>7.031</v>
      </c>
      <c r="E641" s="6" t="s">
        <v>44</v>
      </c>
      <c r="F641" s="6" t="s">
        <v>53</v>
      </c>
      <c r="G641" s="7">
        <v>50618.83248175711</v>
      </c>
      <c r="H641" s="6">
        <v>355901.0111792343</v>
      </c>
      <c r="I641" s="6" t="s">
        <v>180</v>
      </c>
      <c r="J641" s="15">
        <v>11.99155565016354</v>
      </c>
    </row>
    <row r="642" spans="1:10">
      <c r="A642" s="6" t="s">
        <v>139</v>
      </c>
      <c r="B642" s="6" t="s">
        <v>44</v>
      </c>
      <c r="C642" s="6" t="s">
        <v>250</v>
      </c>
      <c r="D642" s="6">
        <v>16.90166666666667</v>
      </c>
      <c r="E642" s="6" t="s">
        <v>44</v>
      </c>
      <c r="F642" s="6" t="s">
        <v>55</v>
      </c>
      <c r="G642" s="7">
        <v>52905.45321842405</v>
      </c>
      <c r="H642" s="6">
        <v>894190.3351467305</v>
      </c>
      <c r="I642" s="6" t="s">
        <v>180</v>
      </c>
      <c r="J642" s="15">
        <v>29</v>
      </c>
    </row>
    <row r="643" spans="1:10">
      <c r="A643" s="6" t="s">
        <v>139</v>
      </c>
      <c r="B643" s="6" t="s">
        <v>44</v>
      </c>
      <c r="C643" s="6" t="s">
        <v>251</v>
      </c>
      <c r="D643" s="6">
        <v>8.853333333333333</v>
      </c>
      <c r="E643" s="6" t="s">
        <v>44</v>
      </c>
      <c r="F643" s="6" t="s">
        <v>53</v>
      </c>
      <c r="G643" s="7">
        <v>35076.47747982296</v>
      </c>
      <c r="H643" s="6">
        <v>310543.7472880326</v>
      </c>
      <c r="I643" s="6" t="s">
        <v>179</v>
      </c>
      <c r="J643" s="15">
        <v>8.671570765153875</v>
      </c>
    </row>
    <row r="644" spans="1:10">
      <c r="A644" s="6" t="s">
        <v>139</v>
      </c>
      <c r="B644" s="6" t="s">
        <v>44</v>
      </c>
      <c r="C644" s="6" t="s">
        <v>252</v>
      </c>
      <c r="D644" s="6">
        <v>81.4145</v>
      </c>
      <c r="E644" s="6" t="s">
        <v>44</v>
      </c>
      <c r="F644" s="6" t="s">
        <v>57</v>
      </c>
      <c r="G644" s="7">
        <v>29402.0465874927</v>
      </c>
      <c r="H644" s="6">
        <v>2393752.921897424</v>
      </c>
      <c r="I644" s="6" t="s">
        <v>179</v>
      </c>
      <c r="J644" s="15">
        <v>20</v>
      </c>
    </row>
    <row r="645" spans="1:10">
      <c r="A645" s="6" t="s">
        <v>139</v>
      </c>
      <c r="B645" s="6" t="s">
        <v>90</v>
      </c>
      <c r="C645" s="6" t="s">
        <v>253</v>
      </c>
      <c r="D645" s="6">
        <v>288.2659166666667</v>
      </c>
      <c r="E645" s="6" t="s">
        <v>44</v>
      </c>
      <c r="F645" s="6" t="s">
        <v>53</v>
      </c>
      <c r="G645" s="7">
        <v>32446.79249986879</v>
      </c>
      <c r="H645" s="6">
        <v>9353304.382867802</v>
      </c>
      <c r="I645" s="6" t="s">
        <v>179</v>
      </c>
      <c r="J645" s="15">
        <v>16</v>
      </c>
    </row>
    <row r="646" spans="1:10">
      <c r="A646" s="6" t="s">
        <v>139</v>
      </c>
      <c r="B646" s="6" t="s">
        <v>86</v>
      </c>
      <c r="C646" s="6" t="s">
        <v>353</v>
      </c>
      <c r="D646" s="6">
        <v>3.799166666666667</v>
      </c>
      <c r="E646" s="6" t="s">
        <v>44</v>
      </c>
      <c r="F646" s="6" t="s">
        <v>62</v>
      </c>
      <c r="G646" s="7">
        <v>81005.34654028571</v>
      </c>
      <c r="H646" s="6">
        <v>307752.8123976355</v>
      </c>
      <c r="I646" s="6" t="s">
        <v>179</v>
      </c>
      <c r="J646" s="15">
        <v>102.3</v>
      </c>
    </row>
    <row r="647" spans="1:10">
      <c r="A647" s="6" t="s">
        <v>139</v>
      </c>
      <c r="B647" s="6" t="s">
        <v>44</v>
      </c>
      <c r="C647" s="6" t="s">
        <v>254</v>
      </c>
      <c r="D647" s="6">
        <v>3.932083333333333</v>
      </c>
      <c r="E647" s="6" t="s">
        <v>44</v>
      </c>
      <c r="F647" s="6" t="s">
        <v>51</v>
      </c>
      <c r="G647" s="7">
        <v>67100.46594067648</v>
      </c>
      <c r="H647" s="6">
        <v>263844.623784235</v>
      </c>
      <c r="I647" s="6" t="s">
        <v>179</v>
      </c>
      <c r="J647" s="15">
        <v>18.5</v>
      </c>
    </row>
    <row r="648" spans="1:10">
      <c r="A648" s="6" t="s">
        <v>139</v>
      </c>
      <c r="B648" s="6" t="s">
        <v>44</v>
      </c>
      <c r="C648" s="6" t="s">
        <v>255</v>
      </c>
      <c r="D648" s="6">
        <v>47.29499999999999</v>
      </c>
      <c r="E648" s="6" t="s">
        <v>44</v>
      </c>
      <c r="F648" s="6" t="s">
        <v>51</v>
      </c>
      <c r="G648" s="7">
        <v>32463.72189421727</v>
      </c>
      <c r="H648" s="6">
        <v>1535371.726987005</v>
      </c>
      <c r="I648" s="6" t="s">
        <v>179</v>
      </c>
      <c r="J648" s="15">
        <v>13.29939623747558</v>
      </c>
    </row>
    <row r="649" spans="1:10">
      <c r="A649" s="6" t="s">
        <v>139</v>
      </c>
      <c r="B649" s="6" t="s">
        <v>44</v>
      </c>
      <c r="C649" s="6" t="s">
        <v>256</v>
      </c>
      <c r="D649" s="6">
        <v>1.44975</v>
      </c>
      <c r="E649" s="6" t="s">
        <v>44</v>
      </c>
      <c r="F649" s="6" t="s">
        <v>57</v>
      </c>
      <c r="G649" s="7">
        <v>42467.27080588165</v>
      </c>
      <c r="H649" s="6">
        <v>61566.92585082693</v>
      </c>
      <c r="I649" s="6" t="s">
        <v>180</v>
      </c>
      <c r="J649" s="15">
        <v>25.26666666666667</v>
      </c>
    </row>
    <row r="650" spans="1:10">
      <c r="A650" s="6" t="s">
        <v>139</v>
      </c>
      <c r="B650" s="6" t="s">
        <v>44</v>
      </c>
      <c r="C650" s="6" t="s">
        <v>257</v>
      </c>
      <c r="D650" s="6">
        <v>15.38883333333333</v>
      </c>
      <c r="E650" s="6" t="s">
        <v>44</v>
      </c>
      <c r="F650" s="6" t="s">
        <v>52</v>
      </c>
      <c r="G650" s="7">
        <v>107450.6744285106</v>
      </c>
      <c r="H650" s="6">
        <v>1653540.520334611</v>
      </c>
      <c r="I650" s="6" t="s">
        <v>179</v>
      </c>
      <c r="J650" s="15">
        <v>29</v>
      </c>
    </row>
    <row r="651" spans="1:10">
      <c r="A651" s="6" t="s">
        <v>139</v>
      </c>
      <c r="B651" s="6" t="s">
        <v>44</v>
      </c>
      <c r="C651" s="6" t="s">
        <v>258</v>
      </c>
      <c r="D651" s="6">
        <v>10.9775</v>
      </c>
      <c r="E651" s="6" t="s">
        <v>44</v>
      </c>
      <c r="F651" s="6" t="s">
        <v>52</v>
      </c>
      <c r="G651" s="7">
        <v>106696.4944389694</v>
      </c>
      <c r="H651" s="6">
        <v>1171260.767703787</v>
      </c>
      <c r="I651" s="6" t="s">
        <v>179</v>
      </c>
      <c r="J651" s="15">
        <v>74</v>
      </c>
    </row>
    <row r="652" spans="1:10">
      <c r="A652" s="6" t="s">
        <v>139</v>
      </c>
      <c r="B652" s="6" t="s">
        <v>44</v>
      </c>
      <c r="C652" s="6" t="s">
        <v>259</v>
      </c>
      <c r="D652" s="6">
        <v>129.1553333333333</v>
      </c>
      <c r="E652" s="6" t="s">
        <v>44</v>
      </c>
      <c r="F652" s="6" t="s">
        <v>56</v>
      </c>
      <c r="G652" s="7">
        <v>42233.6310286505</v>
      </c>
      <c r="H652" s="6">
        <v>5454698.693382365</v>
      </c>
      <c r="I652" s="6" t="s">
        <v>179</v>
      </c>
      <c r="J652" s="15">
        <v>38.91666666666667</v>
      </c>
    </row>
    <row r="653" spans="1:10">
      <c r="A653" s="6" t="s">
        <v>139</v>
      </c>
      <c r="B653" s="6" t="s">
        <v>44</v>
      </c>
      <c r="C653" s="6" t="s">
        <v>260</v>
      </c>
      <c r="D653" s="6">
        <v>756.3085833333333</v>
      </c>
      <c r="E653" s="6" t="s">
        <v>44</v>
      </c>
      <c r="F653" s="6" t="s">
        <v>52</v>
      </c>
      <c r="G653" s="7">
        <v>54560.56274648917</v>
      </c>
      <c r="H653" s="6">
        <v>41264621.91666667</v>
      </c>
      <c r="I653" s="6" t="s">
        <v>179</v>
      </c>
      <c r="J653" s="15">
        <v>53</v>
      </c>
    </row>
    <row r="654" spans="1:10">
      <c r="A654" s="6" t="s">
        <v>139</v>
      </c>
      <c r="B654" s="6" t="s">
        <v>44</v>
      </c>
      <c r="C654" s="6" t="s">
        <v>261</v>
      </c>
      <c r="D654" s="6">
        <v>1.104916666666667</v>
      </c>
      <c r="E654" s="6" t="s">
        <v>44</v>
      </c>
      <c r="F654" s="6" t="s">
        <v>54</v>
      </c>
      <c r="G654" s="7">
        <v>66379.62434043601</v>
      </c>
      <c r="H654" s="6">
        <v>73343.9532608201</v>
      </c>
      <c r="I654" s="6" t="s">
        <v>180</v>
      </c>
      <c r="J654" s="15">
        <v>17.83021039026165</v>
      </c>
    </row>
    <row r="655" spans="1:10">
      <c r="A655" s="6" t="s">
        <v>139</v>
      </c>
      <c r="B655" s="6" t="s">
        <v>44</v>
      </c>
      <c r="C655" s="6" t="s">
        <v>262</v>
      </c>
      <c r="D655" s="6">
        <v>282.8776666666667</v>
      </c>
      <c r="E655" s="6" t="s">
        <v>44</v>
      </c>
      <c r="F655" s="6" t="s">
        <v>51</v>
      </c>
      <c r="G655" s="7">
        <v>21698.35157241016</v>
      </c>
      <c r="H655" s="6">
        <v>6137979.063316383</v>
      </c>
      <c r="I655" s="6" t="s">
        <v>179</v>
      </c>
      <c r="J655" s="15">
        <v>22.96666666666667</v>
      </c>
    </row>
    <row r="656" spans="1:10">
      <c r="A656" s="6" t="s">
        <v>139</v>
      </c>
      <c r="B656" s="6" t="s">
        <v>44</v>
      </c>
      <c r="C656" s="6" t="s">
        <v>263</v>
      </c>
      <c r="D656" s="6">
        <v>115.7004166666667</v>
      </c>
      <c r="E656" s="6" t="s">
        <v>44</v>
      </c>
      <c r="F656" s="6" t="s">
        <v>54</v>
      </c>
      <c r="G656" s="7">
        <v>94947.43860056643</v>
      </c>
      <c r="H656" s="6">
        <v>10985458.20751829</v>
      </c>
      <c r="I656" s="6" t="s">
        <v>179</v>
      </c>
      <c r="J656" s="15">
        <v>48.44166666666666</v>
      </c>
    </row>
    <row r="657" spans="1:10">
      <c r="A657" s="6" t="s">
        <v>139</v>
      </c>
      <c r="B657" s="6" t="s">
        <v>44</v>
      </c>
      <c r="C657" s="6" t="s">
        <v>264</v>
      </c>
      <c r="D657" s="6">
        <v>41.19958333333333</v>
      </c>
      <c r="E657" s="6" t="s">
        <v>44</v>
      </c>
      <c r="F657" s="6" t="s">
        <v>54</v>
      </c>
      <c r="G657" s="7">
        <v>119405.935407702</v>
      </c>
      <c r="H657" s="6">
        <v>4919474.786324235</v>
      </c>
      <c r="I657" s="6" t="s">
        <v>179</v>
      </c>
      <c r="J657" s="15">
        <v>91.11666666666667</v>
      </c>
    </row>
    <row r="658" spans="1:10">
      <c r="A658" s="6" t="s">
        <v>139</v>
      </c>
      <c r="B658" s="6" t="s">
        <v>44</v>
      </c>
      <c r="C658" s="6" t="s">
        <v>265</v>
      </c>
      <c r="D658" s="6">
        <v>268.5270833333333</v>
      </c>
      <c r="E658" s="6" t="s">
        <v>44</v>
      </c>
      <c r="F658" s="6" t="s">
        <v>54</v>
      </c>
      <c r="G658" s="7">
        <v>99228.92218252944</v>
      </c>
      <c r="H658" s="6">
        <v>26645653.05598493</v>
      </c>
      <c r="I658" s="6" t="s">
        <v>179</v>
      </c>
      <c r="J658" s="15">
        <v>72.81666666666666</v>
      </c>
    </row>
    <row r="659" spans="1:10">
      <c r="A659" s="6" t="s">
        <v>139</v>
      </c>
      <c r="B659" s="6" t="s">
        <v>44</v>
      </c>
      <c r="C659" s="6" t="s">
        <v>266</v>
      </c>
      <c r="D659" s="6">
        <v>184.8669166666667</v>
      </c>
      <c r="E659" s="6" t="s">
        <v>44</v>
      </c>
      <c r="F659" s="6" t="s">
        <v>57</v>
      </c>
      <c r="G659" s="7">
        <v>50415.37206732162</v>
      </c>
      <c r="H659" s="6">
        <v>9320134.38668854</v>
      </c>
      <c r="I659" s="6" t="s">
        <v>179</v>
      </c>
      <c r="J659" s="15">
        <v>51.35</v>
      </c>
    </row>
    <row r="660" spans="1:10">
      <c r="A660" s="6" t="s">
        <v>139</v>
      </c>
      <c r="B660" s="6" t="s">
        <v>44</v>
      </c>
      <c r="C660" s="6" t="s">
        <v>354</v>
      </c>
      <c r="D660" s="6">
        <v>0.1165</v>
      </c>
      <c r="E660" s="6" t="s">
        <v>44</v>
      </c>
      <c r="F660" s="6" t="s">
        <v>51</v>
      </c>
      <c r="G660" s="7">
        <v>34245.1170714133</v>
      </c>
      <c r="H660" s="6">
        <v>3989.556138819649</v>
      </c>
      <c r="I660" s="6" t="s">
        <v>180</v>
      </c>
      <c r="J660" s="15">
        <v>5.925840681598826</v>
      </c>
    </row>
    <row r="661" spans="1:10">
      <c r="A661" s="6" t="s">
        <v>139</v>
      </c>
      <c r="B661" s="6" t="s">
        <v>44</v>
      </c>
      <c r="C661" s="6" t="s">
        <v>355</v>
      </c>
      <c r="D661" s="6">
        <v>2.770833333333333</v>
      </c>
      <c r="E661" s="6" t="s">
        <v>44</v>
      </c>
      <c r="F661" s="6" t="s">
        <v>52</v>
      </c>
      <c r="G661" s="7">
        <v>64169.74384104699</v>
      </c>
      <c r="H661" s="6">
        <v>177803.6652262344</v>
      </c>
      <c r="I661" s="6" t="s">
        <v>180</v>
      </c>
      <c r="J661" s="15">
        <v>17.01155042897912</v>
      </c>
    </row>
    <row r="662" spans="1:10">
      <c r="A662" s="6" t="s">
        <v>139</v>
      </c>
      <c r="B662" s="6" t="s">
        <v>44</v>
      </c>
      <c r="C662" s="6" t="s">
        <v>267</v>
      </c>
      <c r="D662" s="6">
        <v>1564.735583333333</v>
      </c>
      <c r="E662" s="6" t="s">
        <v>44</v>
      </c>
      <c r="F662" s="6" t="s">
        <v>53</v>
      </c>
      <c r="G662" s="7">
        <v>48667.70261730252</v>
      </c>
      <c r="H662" s="6">
        <v>76152086.04437803</v>
      </c>
      <c r="I662" s="6" t="s">
        <v>179</v>
      </c>
      <c r="J662" s="15">
        <v>37</v>
      </c>
    </row>
    <row r="663" spans="1:10">
      <c r="A663" s="6" t="s">
        <v>139</v>
      </c>
      <c r="B663" s="6" t="s">
        <v>44</v>
      </c>
      <c r="C663" s="6" t="s">
        <v>268</v>
      </c>
      <c r="D663" s="6">
        <v>2.836916666666667</v>
      </c>
      <c r="E663" s="6" t="s">
        <v>44</v>
      </c>
      <c r="F663" s="6" t="s">
        <v>51</v>
      </c>
      <c r="G663" s="7">
        <v>19920.3047306236</v>
      </c>
      <c r="H663" s="6">
        <v>56512.24449538495</v>
      </c>
      <c r="I663" s="6" t="s">
        <v>179</v>
      </c>
      <c r="J663" s="15">
        <v>6.233478833728606</v>
      </c>
    </row>
    <row r="664" spans="1:10">
      <c r="A664" s="6" t="s">
        <v>139</v>
      </c>
      <c r="B664" s="6" t="s">
        <v>44</v>
      </c>
      <c r="C664" s="6" t="s">
        <v>269</v>
      </c>
      <c r="D664" s="6">
        <v>16.59816666666667</v>
      </c>
      <c r="E664" s="6" t="s">
        <v>44</v>
      </c>
      <c r="F664" s="6" t="s">
        <v>52</v>
      </c>
      <c r="G664" s="7">
        <v>106696.4944389694</v>
      </c>
      <c r="H664" s="6">
        <v>1770966.197447088</v>
      </c>
      <c r="I664" s="6" t="s">
        <v>179</v>
      </c>
      <c r="J664" s="15">
        <v>67</v>
      </c>
    </row>
    <row r="665" spans="1:10">
      <c r="A665" s="6" t="s">
        <v>139</v>
      </c>
      <c r="B665" s="6" t="s">
        <v>44</v>
      </c>
      <c r="C665" s="6" t="s">
        <v>270</v>
      </c>
      <c r="D665" s="6">
        <v>99.83199999999999</v>
      </c>
      <c r="E665" s="6" t="s">
        <v>44</v>
      </c>
      <c r="F665" s="6" t="s">
        <v>59</v>
      </c>
      <c r="G665" s="7">
        <v>65211.48255173301</v>
      </c>
      <c r="H665" s="6">
        <v>6510192.72610461</v>
      </c>
      <c r="I665" s="6" t="s">
        <v>179</v>
      </c>
      <c r="J665" s="15">
        <v>52.22499999999999</v>
      </c>
    </row>
    <row r="666" spans="1:10">
      <c r="A666" s="6" t="s">
        <v>139</v>
      </c>
      <c r="B666" s="6" t="s">
        <v>99</v>
      </c>
      <c r="C666" s="6" t="s">
        <v>271</v>
      </c>
      <c r="D666" s="6">
        <v>483.07375</v>
      </c>
      <c r="E666" s="6" t="s">
        <v>44</v>
      </c>
      <c r="F666" s="6" t="s">
        <v>54</v>
      </c>
      <c r="G666" s="7">
        <v>71251.68519479706</v>
      </c>
      <c r="H666" s="6">
        <v>34419818.7608701</v>
      </c>
      <c r="I666" s="6" t="s">
        <v>180</v>
      </c>
      <c r="J666" s="15">
        <v>17.03053040549212</v>
      </c>
    </row>
    <row r="667" spans="1:10">
      <c r="A667" s="6" t="s">
        <v>139</v>
      </c>
      <c r="B667" s="6" t="s">
        <v>44</v>
      </c>
      <c r="C667" s="6" t="s">
        <v>272</v>
      </c>
      <c r="D667" s="6">
        <v>42.02708333333333</v>
      </c>
      <c r="E667" s="6" t="s">
        <v>44</v>
      </c>
      <c r="F667" s="6" t="s">
        <v>51</v>
      </c>
      <c r="G667" s="7">
        <v>25556.23235325186</v>
      </c>
      <c r="H667" s="6">
        <v>1074053.906796145</v>
      </c>
      <c r="I667" s="6" t="s">
        <v>179</v>
      </c>
      <c r="J667" s="15">
        <v>19</v>
      </c>
    </row>
    <row r="668" spans="1:10">
      <c r="A668" s="6" t="s">
        <v>139</v>
      </c>
      <c r="B668" s="6" t="s">
        <v>44</v>
      </c>
      <c r="C668" s="6" t="s">
        <v>273</v>
      </c>
      <c r="D668" s="6">
        <v>658.1949999999999</v>
      </c>
      <c r="E668" s="6" t="s">
        <v>44</v>
      </c>
      <c r="F668" s="6" t="s">
        <v>51</v>
      </c>
      <c r="G668" s="7">
        <v>40826.03765706107</v>
      </c>
      <c r="H668" s="6">
        <v>26871493.85568931</v>
      </c>
      <c r="I668" s="6" t="s">
        <v>179</v>
      </c>
      <c r="J668" s="15">
        <v>26.31666666666667</v>
      </c>
    </row>
    <row r="669" spans="1:10">
      <c r="A669" s="6" t="s">
        <v>139</v>
      </c>
      <c r="B669" s="6" t="s">
        <v>44</v>
      </c>
      <c r="C669" s="6" t="s">
        <v>274</v>
      </c>
      <c r="D669" s="6">
        <v>112.4979166666667</v>
      </c>
      <c r="E669" s="6" t="s">
        <v>44</v>
      </c>
      <c r="F669" s="6" t="s">
        <v>56</v>
      </c>
      <c r="G669" s="7">
        <v>71131.25468556939</v>
      </c>
      <c r="H669" s="6">
        <v>8002117.962012628</v>
      </c>
      <c r="I669" s="6" t="s">
        <v>179</v>
      </c>
      <c r="J669" s="15">
        <v>42</v>
      </c>
    </row>
    <row r="670" spans="1:10">
      <c r="A670" s="6" t="s">
        <v>139</v>
      </c>
      <c r="B670" s="6" t="s">
        <v>44</v>
      </c>
      <c r="C670" s="6" t="s">
        <v>275</v>
      </c>
      <c r="D670" s="6">
        <v>7.375583333333334</v>
      </c>
      <c r="E670" s="6" t="s">
        <v>44</v>
      </c>
      <c r="F670" s="6" t="s">
        <v>51</v>
      </c>
      <c r="G670" s="7">
        <v>59571.48346905452</v>
      </c>
      <c r="H670" s="6">
        <v>439374.4406163007</v>
      </c>
      <c r="I670" s="6" t="s">
        <v>179</v>
      </c>
      <c r="J670" s="15">
        <v>19</v>
      </c>
    </row>
    <row r="671" spans="1:10">
      <c r="A671" s="6" t="s">
        <v>139</v>
      </c>
      <c r="B671" s="6" t="s">
        <v>44</v>
      </c>
      <c r="C671" s="6" t="s">
        <v>276</v>
      </c>
      <c r="D671" s="6">
        <v>164.26475</v>
      </c>
      <c r="E671" s="6" t="s">
        <v>44</v>
      </c>
      <c r="F671" s="6" t="s">
        <v>51</v>
      </c>
      <c r="G671" s="7">
        <v>39632.99974164585</v>
      </c>
      <c r="H671" s="6">
        <v>6510304.79431152</v>
      </c>
      <c r="I671" s="6" t="s">
        <v>179</v>
      </c>
      <c r="J671" s="15">
        <v>46</v>
      </c>
    </row>
    <row r="672" spans="1:10">
      <c r="A672" s="6" t="s">
        <v>139</v>
      </c>
      <c r="B672" s="6" t="s">
        <v>44</v>
      </c>
      <c r="C672" s="6" t="s">
        <v>277</v>
      </c>
      <c r="D672" s="6">
        <v>0.6919166666666667</v>
      </c>
      <c r="E672" s="6" t="s">
        <v>44</v>
      </c>
      <c r="F672" s="6" t="s">
        <v>57</v>
      </c>
      <c r="G672" s="7">
        <v>40351.08108770724</v>
      </c>
      <c r="H672" s="6">
        <v>27919.58552260277</v>
      </c>
      <c r="I672" s="6" t="s">
        <v>180</v>
      </c>
      <c r="J672" s="15">
        <v>8.187821936491906</v>
      </c>
    </row>
    <row r="673" spans="1:10">
      <c r="A673" s="6" t="s">
        <v>139</v>
      </c>
      <c r="B673" s="6" t="s">
        <v>92</v>
      </c>
      <c r="C673" s="6" t="s">
        <v>278</v>
      </c>
      <c r="D673" s="6">
        <v>387.6993333333334</v>
      </c>
      <c r="E673" s="6" t="s">
        <v>44</v>
      </c>
      <c r="F673" s="6" t="s">
        <v>55</v>
      </c>
      <c r="G673" s="7">
        <v>30336.77880022909</v>
      </c>
      <c r="H673" s="6">
        <v>11761548.91632962</v>
      </c>
      <c r="I673" s="6" t="s">
        <v>179</v>
      </c>
      <c r="J673" s="15">
        <v>14</v>
      </c>
    </row>
    <row r="674" spans="1:10">
      <c r="A674" s="6" t="s">
        <v>139</v>
      </c>
      <c r="B674" s="6" t="s">
        <v>44</v>
      </c>
      <c r="C674" s="6" t="s">
        <v>279</v>
      </c>
      <c r="D674" s="6">
        <v>111.3375833333333</v>
      </c>
      <c r="E674" s="6" t="s">
        <v>44</v>
      </c>
      <c r="F674" s="6" t="s">
        <v>52</v>
      </c>
      <c r="G674" s="7">
        <v>53440.82611531692</v>
      </c>
      <c r="H674" s="6">
        <v>5949972.431016274</v>
      </c>
      <c r="I674" s="6" t="s">
        <v>179</v>
      </c>
      <c r="J674" s="15">
        <v>43.65</v>
      </c>
    </row>
    <row r="675" spans="1:10">
      <c r="A675" s="6" t="s">
        <v>139</v>
      </c>
      <c r="B675" s="6" t="s">
        <v>44</v>
      </c>
      <c r="C675" s="6" t="s">
        <v>280</v>
      </c>
      <c r="D675" s="6">
        <v>662.8100000000001</v>
      </c>
      <c r="E675" s="6" t="s">
        <v>44</v>
      </c>
      <c r="F675" s="6" t="s">
        <v>55</v>
      </c>
      <c r="G675" s="7">
        <v>70181.01398935323</v>
      </c>
      <c r="H675" s="6">
        <v>46516677.88228322</v>
      </c>
      <c r="I675" s="6" t="s">
        <v>179</v>
      </c>
      <c r="J675" s="15">
        <v>56.09999999999999</v>
      </c>
    </row>
    <row r="676" spans="1:10">
      <c r="A676" s="6" t="s">
        <v>139</v>
      </c>
      <c r="B676" s="6" t="s">
        <v>99</v>
      </c>
      <c r="C676" s="6" t="s">
        <v>281</v>
      </c>
      <c r="D676" s="6">
        <v>552.1869166666667</v>
      </c>
      <c r="E676" s="6" t="s">
        <v>44</v>
      </c>
      <c r="F676" s="6" t="s">
        <v>57</v>
      </c>
      <c r="G676" s="7">
        <v>35247.74734936949</v>
      </c>
      <c r="H676" s="6">
        <v>19463344.92829401</v>
      </c>
      <c r="I676" s="6" t="s">
        <v>180</v>
      </c>
      <c r="J676" s="15">
        <v>5.008812304479592</v>
      </c>
    </row>
    <row r="677" spans="1:10">
      <c r="A677" s="6" t="s">
        <v>139</v>
      </c>
      <c r="B677" s="6" t="s">
        <v>44</v>
      </c>
      <c r="C677" s="6" t="s">
        <v>282</v>
      </c>
      <c r="D677" s="6">
        <v>2.250666666666667</v>
      </c>
      <c r="E677" s="6" t="s">
        <v>44</v>
      </c>
      <c r="F677" s="6" t="s">
        <v>56</v>
      </c>
      <c r="G677" s="7">
        <v>62372.04989791066</v>
      </c>
      <c r="H677" s="6">
        <v>140378.6936368976</v>
      </c>
      <c r="I677" s="6" t="s">
        <v>179</v>
      </c>
      <c r="J677" s="15">
        <v>43.03333333333333</v>
      </c>
    </row>
    <row r="678" spans="1:10">
      <c r="A678" s="6" t="s">
        <v>139</v>
      </c>
      <c r="B678" s="6" t="s">
        <v>44</v>
      </c>
      <c r="C678" s="6" t="s">
        <v>283</v>
      </c>
      <c r="D678" s="6">
        <v>443.0314166666666</v>
      </c>
      <c r="E678" s="6" t="s">
        <v>44</v>
      </c>
      <c r="F678" s="6" t="s">
        <v>51</v>
      </c>
      <c r="G678" s="7">
        <v>51675.72551452865</v>
      </c>
      <c r="H678" s="6">
        <v>22893969.88197944</v>
      </c>
      <c r="I678" s="6" t="s">
        <v>179</v>
      </c>
      <c r="J678" s="15">
        <v>42.25</v>
      </c>
    </row>
    <row r="679" spans="1:10">
      <c r="A679" s="6" t="s">
        <v>139</v>
      </c>
      <c r="B679" s="6" t="s">
        <v>44</v>
      </c>
      <c r="C679" s="6" t="s">
        <v>284</v>
      </c>
      <c r="D679" s="6">
        <v>284.5685</v>
      </c>
      <c r="E679" s="6" t="s">
        <v>44</v>
      </c>
      <c r="F679" s="6" t="s">
        <v>55</v>
      </c>
      <c r="G679" s="7">
        <v>52691.68338907469</v>
      </c>
      <c r="H679" s="6">
        <v>14994393.3045039</v>
      </c>
      <c r="I679" s="6" t="s">
        <v>179</v>
      </c>
      <c r="J679" s="15">
        <v>61</v>
      </c>
    </row>
    <row r="680" spans="1:10">
      <c r="A680" s="6" t="s">
        <v>139</v>
      </c>
      <c r="B680" s="6" t="s">
        <v>44</v>
      </c>
      <c r="C680" s="6" t="s">
        <v>285</v>
      </c>
      <c r="D680" s="6">
        <v>6.180666666666667</v>
      </c>
      <c r="E680" s="6" t="s">
        <v>44</v>
      </c>
      <c r="F680" s="6" t="s">
        <v>52</v>
      </c>
      <c r="G680" s="7">
        <v>109530.9227207585</v>
      </c>
      <c r="H680" s="6">
        <v>676974.1230294346</v>
      </c>
      <c r="I680" s="6" t="s">
        <v>179</v>
      </c>
      <c r="J680" s="15">
        <v>68.40000000000001</v>
      </c>
    </row>
    <row r="681" spans="1:10">
      <c r="A681" s="6" t="s">
        <v>139</v>
      </c>
      <c r="B681" s="6" t="s">
        <v>44</v>
      </c>
      <c r="C681" s="6" t="s">
        <v>286</v>
      </c>
      <c r="D681" s="6">
        <v>50.80075</v>
      </c>
      <c r="E681" s="6" t="s">
        <v>44</v>
      </c>
      <c r="F681" s="6" t="s">
        <v>59</v>
      </c>
      <c r="G681" s="7">
        <v>70858.2206620012</v>
      </c>
      <c r="H681" s="6">
        <v>3599650.753295158</v>
      </c>
      <c r="I681" s="6" t="s">
        <v>179</v>
      </c>
      <c r="J681" s="15">
        <v>56.70833333333333</v>
      </c>
    </row>
    <row r="682" spans="1:10">
      <c r="A682" s="6" t="s">
        <v>139</v>
      </c>
      <c r="B682" s="6" t="s">
        <v>44</v>
      </c>
      <c r="C682" s="6" t="s">
        <v>287</v>
      </c>
      <c r="D682" s="6">
        <v>1.62025</v>
      </c>
      <c r="E682" s="6" t="s">
        <v>44</v>
      </c>
      <c r="F682" s="6" t="s">
        <v>53</v>
      </c>
      <c r="G682" s="7">
        <v>39870.55547829608</v>
      </c>
      <c r="H682" s="6">
        <v>64600.26751370922</v>
      </c>
      <c r="I682" s="6" t="s">
        <v>180</v>
      </c>
      <c r="J682" s="15">
        <v>70</v>
      </c>
    </row>
    <row r="683" spans="1:10">
      <c r="A683" s="6" t="s">
        <v>139</v>
      </c>
      <c r="B683" s="6" t="s">
        <v>44</v>
      </c>
      <c r="C683" s="6" t="s">
        <v>376</v>
      </c>
      <c r="D683" s="6">
        <v>0.5596666666666666</v>
      </c>
      <c r="E683" s="6" t="s">
        <v>44</v>
      </c>
      <c r="F683" s="6" t="s">
        <v>54</v>
      </c>
      <c r="G683" s="7">
        <v>79057.97495815926</v>
      </c>
      <c r="H683" s="6">
        <v>44246.1133182498</v>
      </c>
      <c r="I683" s="6" t="s">
        <v>180</v>
      </c>
      <c r="J683" s="15">
        <v>22.52696120040784</v>
      </c>
    </row>
    <row r="684" spans="1:10">
      <c r="A684" s="6" t="s">
        <v>139</v>
      </c>
      <c r="B684" s="6" t="s">
        <v>44</v>
      </c>
      <c r="C684" s="6" t="s">
        <v>288</v>
      </c>
      <c r="D684" s="6">
        <v>0.8939166666666667</v>
      </c>
      <c r="E684" s="6" t="s">
        <v>44</v>
      </c>
      <c r="F684" s="6" t="s">
        <v>58</v>
      </c>
      <c r="G684" s="7">
        <v>43931.19520815281</v>
      </c>
      <c r="H684" s="6">
        <v>39270.8275831546</v>
      </c>
      <c r="I684" s="6" t="s">
        <v>180</v>
      </c>
      <c r="J684" s="15">
        <v>17</v>
      </c>
    </row>
    <row r="685" spans="1:10">
      <c r="A685" s="6" t="s">
        <v>139</v>
      </c>
      <c r="B685" s="6" t="s">
        <v>44</v>
      </c>
      <c r="C685" s="6" t="s">
        <v>370</v>
      </c>
      <c r="D685" s="6">
        <v>1.164333333333333</v>
      </c>
      <c r="E685" s="6" t="s">
        <v>44</v>
      </c>
      <c r="F685" s="6" t="s">
        <v>55</v>
      </c>
      <c r="G685" s="7">
        <v>52208.58507995072</v>
      </c>
      <c r="H685" s="6">
        <v>60788.19589475595</v>
      </c>
      <c r="I685" s="6" t="s">
        <v>180</v>
      </c>
      <c r="J685" s="15">
        <v>12.58048649997455</v>
      </c>
    </row>
    <row r="686" spans="1:10">
      <c r="A686" s="6" t="s">
        <v>139</v>
      </c>
      <c r="B686" s="6" t="s">
        <v>44</v>
      </c>
      <c r="C686" s="6" t="s">
        <v>359</v>
      </c>
      <c r="D686" s="6">
        <v>12.64208333333333</v>
      </c>
      <c r="E686" s="6" t="s">
        <v>44</v>
      </c>
      <c r="F686" s="6" t="s">
        <v>60</v>
      </c>
      <c r="G686" s="7">
        <v>50100.63171043061</v>
      </c>
      <c r="H686" s="6">
        <v>633376.3611359064</v>
      </c>
      <c r="I686" s="6" t="s">
        <v>180</v>
      </c>
      <c r="J686" s="15">
        <v>11.79958589274542</v>
      </c>
    </row>
    <row r="687" spans="1:10">
      <c r="A687" s="6" t="s">
        <v>139</v>
      </c>
      <c r="B687" s="6" t="s">
        <v>44</v>
      </c>
      <c r="C687" s="6" t="s">
        <v>289</v>
      </c>
      <c r="D687" s="6">
        <v>739.3989166666665</v>
      </c>
      <c r="E687" s="6" t="s">
        <v>44</v>
      </c>
      <c r="F687" s="6" t="s">
        <v>52</v>
      </c>
      <c r="G687" s="7">
        <v>53667.82982646869</v>
      </c>
      <c r="H687" s="6">
        <v>39681935.23354197</v>
      </c>
      <c r="I687" s="6" t="s">
        <v>179</v>
      </c>
      <c r="J687" s="15">
        <v>70</v>
      </c>
    </row>
    <row r="688" spans="1:10">
      <c r="A688" s="6" t="s">
        <v>139</v>
      </c>
      <c r="B688" s="6" t="s">
        <v>44</v>
      </c>
      <c r="C688" s="6" t="s">
        <v>290</v>
      </c>
      <c r="D688" s="6">
        <v>0.1801666666666667</v>
      </c>
      <c r="E688" s="6" t="s">
        <v>44</v>
      </c>
      <c r="F688" s="6" t="s">
        <v>53</v>
      </c>
      <c r="G688" s="7">
        <v>42307.93424836712</v>
      </c>
      <c r="H688" s="6">
        <v>7622.47948708081</v>
      </c>
      <c r="I688" s="6" t="s">
        <v>180</v>
      </c>
      <c r="J688" s="15">
        <v>8.912746806042239</v>
      </c>
    </row>
    <row r="689" spans="1:10">
      <c r="A689" s="6" t="s">
        <v>139</v>
      </c>
      <c r="B689" s="6" t="s">
        <v>44</v>
      </c>
      <c r="C689" s="6" t="s">
        <v>291</v>
      </c>
      <c r="D689" s="6">
        <v>0.04799999999999999</v>
      </c>
      <c r="E689" s="6" t="s">
        <v>44</v>
      </c>
      <c r="F689" s="6" t="s">
        <v>51</v>
      </c>
      <c r="G689" s="7">
        <v>35329.77696152869</v>
      </c>
      <c r="H689" s="6">
        <v>1695.829294153377</v>
      </c>
      <c r="I689" s="6" t="s">
        <v>180</v>
      </c>
      <c r="J689" s="15">
        <v>6.327657713737932</v>
      </c>
    </row>
    <row r="690" spans="1:10">
      <c r="A690" s="6" t="s">
        <v>139</v>
      </c>
      <c r="B690" s="6" t="s">
        <v>44</v>
      </c>
      <c r="C690" s="6" t="s">
        <v>292</v>
      </c>
      <c r="D690" s="6">
        <v>121.1618333333333</v>
      </c>
      <c r="E690" s="6" t="s">
        <v>44</v>
      </c>
      <c r="F690" s="6" t="s">
        <v>54</v>
      </c>
      <c r="G690" s="7">
        <v>110583.058701143</v>
      </c>
      <c r="H690" s="6">
        <v>13398446.1278381</v>
      </c>
      <c r="I690" s="6" t="s">
        <v>179</v>
      </c>
      <c r="J690" s="15">
        <v>79</v>
      </c>
    </row>
    <row r="691" spans="1:10">
      <c r="A691" s="6" t="s">
        <v>139</v>
      </c>
      <c r="B691" s="6" t="s">
        <v>44</v>
      </c>
      <c r="C691" s="6" t="s">
        <v>293</v>
      </c>
      <c r="D691" s="6">
        <v>84.80833333333334</v>
      </c>
      <c r="E691" s="6" t="s">
        <v>44</v>
      </c>
      <c r="F691" s="6" t="s">
        <v>53</v>
      </c>
      <c r="G691" s="7">
        <v>36013.86577983866</v>
      </c>
      <c r="H691" s="6">
        <v>3054275.933678484</v>
      </c>
      <c r="I691" s="6" t="s">
        <v>179</v>
      </c>
      <c r="J691" s="15">
        <v>16</v>
      </c>
    </row>
    <row r="692" spans="1:10">
      <c r="A692" s="6" t="s">
        <v>139</v>
      </c>
      <c r="B692" s="6" t="s">
        <v>44</v>
      </c>
      <c r="C692" s="6" t="s">
        <v>371</v>
      </c>
      <c r="D692" s="6">
        <v>0.7984166666666667</v>
      </c>
      <c r="E692" s="6" t="s">
        <v>44</v>
      </c>
      <c r="F692" s="6" t="s">
        <v>55</v>
      </c>
      <c r="G692" s="7">
        <v>45569.36787795558</v>
      </c>
      <c r="H692" s="6">
        <v>36383.34280322437</v>
      </c>
      <c r="I692" s="6" t="s">
        <v>180</v>
      </c>
      <c r="J692" s="15">
        <v>10.12095925448125</v>
      </c>
    </row>
    <row r="693" spans="1:10">
      <c r="A693" s="6" t="s">
        <v>139</v>
      </c>
      <c r="B693" s="6" t="s">
        <v>44</v>
      </c>
      <c r="C693" s="6" t="s">
        <v>294</v>
      </c>
      <c r="D693" s="6">
        <v>0.8288333333333333</v>
      </c>
      <c r="E693" s="6" t="s">
        <v>44</v>
      </c>
      <c r="F693" s="6" t="s">
        <v>54</v>
      </c>
      <c r="G693" s="7">
        <v>75932.54966215488</v>
      </c>
      <c r="H693" s="6">
        <v>62935.4282449827</v>
      </c>
      <c r="I693" s="6" t="s">
        <v>180</v>
      </c>
      <c r="J693" s="15">
        <v>98.8</v>
      </c>
    </row>
    <row r="694" spans="1:10">
      <c r="A694" s="6" t="s">
        <v>139</v>
      </c>
      <c r="B694" s="6" t="s">
        <v>44</v>
      </c>
      <c r="C694" s="6" t="s">
        <v>295</v>
      </c>
      <c r="D694" s="6">
        <v>103.9878333333333</v>
      </c>
      <c r="E694" s="6" t="s">
        <v>44</v>
      </c>
      <c r="F694" s="6" t="s">
        <v>53</v>
      </c>
      <c r="G694" s="7">
        <v>59372.17808614393</v>
      </c>
      <c r="H694" s="6">
        <v>6173984.159458919</v>
      </c>
      <c r="I694" s="6" t="s">
        <v>179</v>
      </c>
      <c r="J694" s="15">
        <v>65.7</v>
      </c>
    </row>
    <row r="695" spans="1:10">
      <c r="A695" s="6" t="s">
        <v>139</v>
      </c>
      <c r="B695" s="6" t="s">
        <v>99</v>
      </c>
      <c r="C695" s="6" t="s">
        <v>296</v>
      </c>
      <c r="D695" s="6">
        <v>288.3434166666667</v>
      </c>
      <c r="E695" s="6" t="s">
        <v>44</v>
      </c>
      <c r="F695" s="6" t="s">
        <v>61</v>
      </c>
      <c r="G695" s="7">
        <v>54050.92289209261</v>
      </c>
      <c r="H695" s="6">
        <v>15585227.78069253</v>
      </c>
      <c r="I695" s="6" t="s">
        <v>179</v>
      </c>
      <c r="J695" s="15">
        <v>29.43333333333333</v>
      </c>
    </row>
    <row r="696" spans="1:10">
      <c r="A696" s="6" t="s">
        <v>139</v>
      </c>
      <c r="B696" s="6" t="s">
        <v>44</v>
      </c>
      <c r="C696" s="6" t="s">
        <v>297</v>
      </c>
      <c r="D696" s="6">
        <v>11.19316666666666</v>
      </c>
      <c r="E696" s="6" t="s">
        <v>44</v>
      </c>
      <c r="F696" s="6" t="s">
        <v>52</v>
      </c>
      <c r="G696" s="7">
        <v>89849.66915387864</v>
      </c>
      <c r="H696" s="6">
        <v>1005702.321784222</v>
      </c>
      <c r="I696" s="6" t="s">
        <v>179</v>
      </c>
      <c r="J696" s="15">
        <v>67</v>
      </c>
    </row>
    <row r="697" spans="1:10">
      <c r="A697" s="6" t="s">
        <v>139</v>
      </c>
      <c r="B697" s="6" t="s">
        <v>44</v>
      </c>
      <c r="C697" s="6" t="s">
        <v>298</v>
      </c>
      <c r="D697" s="6">
        <v>207.0824166666666</v>
      </c>
      <c r="E697" s="6" t="s">
        <v>44</v>
      </c>
      <c r="F697" s="6" t="s">
        <v>56</v>
      </c>
      <c r="G697" s="7">
        <v>36500.00929252619</v>
      </c>
      <c r="H697" s="6">
        <v>7558510.132652111</v>
      </c>
      <c r="I697" s="6" t="s">
        <v>179</v>
      </c>
      <c r="J697" s="15">
        <v>21</v>
      </c>
    </row>
    <row r="698" spans="1:10">
      <c r="A698" s="6" t="s">
        <v>139</v>
      </c>
      <c r="B698" s="6" t="s">
        <v>44</v>
      </c>
      <c r="C698" s="6" t="s">
        <v>299</v>
      </c>
      <c r="D698" s="6">
        <v>2.038833333333333</v>
      </c>
      <c r="E698" s="6" t="s">
        <v>44</v>
      </c>
      <c r="F698" s="6" t="s">
        <v>53</v>
      </c>
      <c r="G698" s="7">
        <v>45885.15175897437</v>
      </c>
      <c r="H698" s="6">
        <v>93552.17691125558</v>
      </c>
      <c r="I698" s="6" t="s">
        <v>180</v>
      </c>
      <c r="J698" s="15">
        <v>6.9</v>
      </c>
    </row>
    <row r="699" spans="1:10">
      <c r="A699" s="6" t="s">
        <v>139</v>
      </c>
      <c r="B699" s="6" t="s">
        <v>44</v>
      </c>
      <c r="C699" s="6" t="s">
        <v>300</v>
      </c>
      <c r="D699" s="6">
        <v>540.0613333333333</v>
      </c>
      <c r="E699" s="6" t="s">
        <v>44</v>
      </c>
      <c r="F699" s="6" t="s">
        <v>52</v>
      </c>
      <c r="G699" s="7">
        <v>79641.24563235717</v>
      </c>
      <c r="H699" s="6">
        <v>43011157.30453832</v>
      </c>
      <c r="I699" s="6" t="s">
        <v>179</v>
      </c>
      <c r="J699" s="15">
        <v>66.55</v>
      </c>
    </row>
    <row r="700" spans="1:10">
      <c r="A700" s="6" t="s">
        <v>139</v>
      </c>
      <c r="B700" s="6" t="s">
        <v>44</v>
      </c>
      <c r="C700" s="6" t="s">
        <v>301</v>
      </c>
      <c r="D700" s="6">
        <v>104.9703333333333</v>
      </c>
      <c r="E700" s="6" t="s">
        <v>44</v>
      </c>
      <c r="F700" s="6" t="s">
        <v>59</v>
      </c>
      <c r="G700" s="7">
        <v>69390.77724405598</v>
      </c>
      <c r="H700" s="6">
        <v>7283973.017567637</v>
      </c>
      <c r="I700" s="6" t="s">
        <v>179</v>
      </c>
      <c r="J700" s="15">
        <v>26.65</v>
      </c>
    </row>
    <row r="701" spans="1:10">
      <c r="A701" s="6" t="s">
        <v>139</v>
      </c>
      <c r="B701" s="6" t="s">
        <v>44</v>
      </c>
      <c r="C701" s="6" t="s">
        <v>302</v>
      </c>
      <c r="D701" s="6">
        <v>342.5074166666666</v>
      </c>
      <c r="E701" s="6" t="s">
        <v>44</v>
      </c>
      <c r="F701" s="6" t="s">
        <v>52</v>
      </c>
      <c r="G701" s="7">
        <v>92343.76797362817</v>
      </c>
      <c r="H701" s="6">
        <v>31628425.41391345</v>
      </c>
      <c r="I701" s="6" t="s">
        <v>179</v>
      </c>
      <c r="J701" s="15">
        <v>67.58333333333333</v>
      </c>
    </row>
    <row r="702" spans="1:10">
      <c r="A702" s="6" t="s">
        <v>139</v>
      </c>
      <c r="B702" s="6" t="s">
        <v>44</v>
      </c>
      <c r="C702" s="6" t="s">
        <v>303</v>
      </c>
      <c r="D702" s="6">
        <v>1.155666666666667</v>
      </c>
      <c r="E702" s="6" t="s">
        <v>44</v>
      </c>
      <c r="F702" s="6" t="s">
        <v>53</v>
      </c>
      <c r="G702" s="7">
        <v>44904.12248503024</v>
      </c>
      <c r="H702" s="6">
        <v>51894.19755186661</v>
      </c>
      <c r="I702" s="6" t="s">
        <v>180</v>
      </c>
      <c r="J702" s="15">
        <v>9.8745161695424</v>
      </c>
    </row>
    <row r="703" spans="1:10">
      <c r="A703" s="6" t="s">
        <v>139</v>
      </c>
      <c r="B703" s="6" t="s">
        <v>44</v>
      </c>
      <c r="C703" s="6" t="s">
        <v>304</v>
      </c>
      <c r="D703" s="6">
        <v>6.078166666666665</v>
      </c>
      <c r="E703" s="6" t="s">
        <v>44</v>
      </c>
      <c r="F703" s="6" t="s">
        <v>52</v>
      </c>
      <c r="G703" s="7">
        <v>50330.3901944117</v>
      </c>
      <c r="H703" s="6">
        <v>305916.5</v>
      </c>
      <c r="I703" s="6" t="s">
        <v>179</v>
      </c>
      <c r="J703" s="15">
        <v>49.75</v>
      </c>
    </row>
    <row r="704" spans="1:10">
      <c r="A704" s="6" t="s">
        <v>139</v>
      </c>
      <c r="B704" s="6" t="s">
        <v>44</v>
      </c>
      <c r="C704" s="6" t="s">
        <v>305</v>
      </c>
      <c r="D704" s="6">
        <v>436.3064166666667</v>
      </c>
      <c r="E704" s="6" t="s">
        <v>44</v>
      </c>
      <c r="F704" s="6" t="s">
        <v>54</v>
      </c>
      <c r="G704" s="7">
        <v>96370.04394739907</v>
      </c>
      <c r="H704" s="6">
        <v>42046868.54869888</v>
      </c>
      <c r="I704" s="6" t="s">
        <v>179</v>
      </c>
      <c r="J704" s="15">
        <v>61.86666666666667</v>
      </c>
    </row>
    <row r="705" spans="1:10">
      <c r="A705" s="6" t="s">
        <v>139</v>
      </c>
      <c r="B705" s="6" t="s">
        <v>44</v>
      </c>
      <c r="C705" s="6" t="s">
        <v>306</v>
      </c>
      <c r="D705" s="6">
        <v>10.77275</v>
      </c>
      <c r="E705" s="6" t="s">
        <v>44</v>
      </c>
      <c r="F705" s="6" t="s">
        <v>57</v>
      </c>
      <c r="G705" s="7">
        <v>40370.17715309708</v>
      </c>
      <c r="H705" s="6">
        <v>434897.8259260266</v>
      </c>
      <c r="I705" s="6" t="s">
        <v>180</v>
      </c>
      <c r="J705" s="15">
        <v>8.194896157997103</v>
      </c>
    </row>
    <row r="706" spans="1:10">
      <c r="A706" s="6" t="s">
        <v>139</v>
      </c>
      <c r="B706" s="6" t="s">
        <v>44</v>
      </c>
      <c r="C706" s="6" t="s">
        <v>307</v>
      </c>
      <c r="D706" s="6">
        <v>0.7673333333333333</v>
      </c>
      <c r="E706" s="6" t="s">
        <v>44</v>
      </c>
      <c r="F706" s="6" t="s">
        <v>53</v>
      </c>
      <c r="G706" s="7">
        <v>47182.63629472011</v>
      </c>
      <c r="H706" s="6">
        <v>36204.8095834819</v>
      </c>
      <c r="I706" s="6" t="s">
        <v>180</v>
      </c>
      <c r="J706" s="15">
        <v>10.71860164282394</v>
      </c>
    </row>
    <row r="707" spans="1:10">
      <c r="A707" s="6" t="s">
        <v>139</v>
      </c>
      <c r="B707" s="6" t="s">
        <v>44</v>
      </c>
      <c r="C707" s="6" t="s">
        <v>308</v>
      </c>
      <c r="D707" s="6">
        <v>1.113166666666667</v>
      </c>
      <c r="E707" s="6" t="s">
        <v>44</v>
      </c>
      <c r="F707" s="6" t="s">
        <v>54</v>
      </c>
      <c r="G707" s="7">
        <v>67991.01390409522</v>
      </c>
      <c r="H707" s="6">
        <v>75685.33031090866</v>
      </c>
      <c r="I707" s="6" t="s">
        <v>180</v>
      </c>
      <c r="J707" s="15">
        <v>117.3083333333333</v>
      </c>
    </row>
    <row r="708" spans="1:10">
      <c r="A708" s="6" t="s">
        <v>139</v>
      </c>
      <c r="B708" s="6" t="s">
        <v>44</v>
      </c>
      <c r="C708" s="6" t="s">
        <v>309</v>
      </c>
      <c r="D708" s="6">
        <v>1190.211666666667</v>
      </c>
      <c r="E708" s="6" t="s">
        <v>44</v>
      </c>
      <c r="F708" s="6" t="s">
        <v>52</v>
      </c>
      <c r="G708" s="7">
        <v>91168.45115770098</v>
      </c>
      <c r="H708" s="6">
        <v>108509754.1998259</v>
      </c>
      <c r="I708" s="6" t="s">
        <v>179</v>
      </c>
      <c r="J708" s="15">
        <v>69.59999999999999</v>
      </c>
    </row>
    <row r="709" spans="1:10">
      <c r="A709" s="6" t="s">
        <v>139</v>
      </c>
      <c r="B709" s="6" t="s">
        <v>44</v>
      </c>
      <c r="C709" s="6" t="s">
        <v>310</v>
      </c>
      <c r="D709" s="6">
        <v>253.6210833333333</v>
      </c>
      <c r="E709" s="6" t="s">
        <v>44</v>
      </c>
      <c r="F709" s="6" t="s">
        <v>52</v>
      </c>
      <c r="G709" s="7">
        <v>101966.8194646016</v>
      </c>
      <c r="H709" s="6">
        <v>25860935.21666667</v>
      </c>
      <c r="I709" s="6" t="s">
        <v>179</v>
      </c>
      <c r="J709" s="15">
        <v>76.95833333333333</v>
      </c>
    </row>
    <row r="710" spans="1:10">
      <c r="A710" s="6" t="s">
        <v>139</v>
      </c>
      <c r="B710" s="6" t="s">
        <v>44</v>
      </c>
      <c r="C710" s="6" t="s">
        <v>311</v>
      </c>
      <c r="D710" s="6">
        <v>59.3705</v>
      </c>
      <c r="E710" s="6" t="s">
        <v>44</v>
      </c>
      <c r="F710" s="6" t="s">
        <v>51</v>
      </c>
      <c r="G710" s="7">
        <v>22378.64345356504</v>
      </c>
      <c r="H710" s="6">
        <v>1328631.251159883</v>
      </c>
      <c r="I710" s="6" t="s">
        <v>179</v>
      </c>
      <c r="J710" s="15">
        <v>31</v>
      </c>
    </row>
    <row r="711" spans="1:10">
      <c r="A711" s="6" t="s">
        <v>139</v>
      </c>
      <c r="B711" s="6" t="s">
        <v>44</v>
      </c>
      <c r="C711" s="6" t="s">
        <v>312</v>
      </c>
      <c r="D711" s="6">
        <v>153.45525</v>
      </c>
      <c r="E711" s="6" t="s">
        <v>44</v>
      </c>
      <c r="F711" s="6" t="s">
        <v>54</v>
      </c>
      <c r="G711" s="7">
        <v>99103.91619886176</v>
      </c>
      <c r="H711" s="6">
        <v>15208016.23627538</v>
      </c>
      <c r="I711" s="6" t="s">
        <v>179</v>
      </c>
      <c r="J711" s="15">
        <v>79.65000000000001</v>
      </c>
    </row>
    <row r="712" spans="1:10">
      <c r="A712" s="6" t="s">
        <v>139</v>
      </c>
      <c r="B712" s="6" t="s">
        <v>44</v>
      </c>
      <c r="C712" s="6" t="s">
        <v>313</v>
      </c>
      <c r="D712" s="6">
        <v>36.16533333333334</v>
      </c>
      <c r="E712" s="6" t="s">
        <v>44</v>
      </c>
      <c r="F712" s="6" t="s">
        <v>51</v>
      </c>
      <c r="G712" s="7">
        <v>28821.66810714348</v>
      </c>
      <c r="H712" s="6">
        <v>1042345.234317547</v>
      </c>
      <c r="I712" s="6" t="s">
        <v>179</v>
      </c>
      <c r="J712" s="15">
        <v>17</v>
      </c>
    </row>
    <row r="713" spans="1:10">
      <c r="A713" s="6" t="s">
        <v>139</v>
      </c>
      <c r="B713" s="6" t="s">
        <v>44</v>
      </c>
      <c r="C713" s="6" t="s">
        <v>314</v>
      </c>
      <c r="D713" s="6">
        <v>25.72783333333333</v>
      </c>
      <c r="E713" s="6" t="s">
        <v>44</v>
      </c>
      <c r="F713" s="6" t="s">
        <v>51</v>
      </c>
      <c r="G713" s="7">
        <v>57290.59885869359</v>
      </c>
      <c r="H713" s="6">
        <v>1473962.979003325</v>
      </c>
      <c r="I713" s="6" t="s">
        <v>179</v>
      </c>
      <c r="J713" s="15">
        <v>17.49166666666667</v>
      </c>
    </row>
    <row r="714" spans="1:10">
      <c r="A714" s="6" t="s">
        <v>139</v>
      </c>
      <c r="B714" s="6" t="s">
        <v>44</v>
      </c>
      <c r="C714" s="6" t="s">
        <v>315</v>
      </c>
      <c r="D714" s="6">
        <v>34.24933333333333</v>
      </c>
      <c r="E714" s="6" t="s">
        <v>44</v>
      </c>
      <c r="F714" s="6" t="s">
        <v>51</v>
      </c>
      <c r="G714" s="7">
        <v>47743.91064626968</v>
      </c>
      <c r="H714" s="6">
        <v>1635197.110360972</v>
      </c>
      <c r="I714" s="6" t="s">
        <v>179</v>
      </c>
      <c r="J714" s="15">
        <v>21</v>
      </c>
    </row>
    <row r="715" spans="1:10">
      <c r="A715" s="6" t="s">
        <v>139</v>
      </c>
      <c r="B715" s="6" t="s">
        <v>44</v>
      </c>
      <c r="C715" s="6" t="s">
        <v>316</v>
      </c>
      <c r="D715" s="6">
        <v>6.819916666666666</v>
      </c>
      <c r="E715" s="6" t="s">
        <v>44</v>
      </c>
      <c r="F715" s="6" t="s">
        <v>54</v>
      </c>
      <c r="G715" s="7">
        <v>78233.00759152489</v>
      </c>
      <c r="H715" s="6">
        <v>533542.5923569005</v>
      </c>
      <c r="I715" s="6" t="s">
        <v>180</v>
      </c>
      <c r="J715" s="15">
        <v>22.22134840703962</v>
      </c>
    </row>
    <row r="716" spans="1:10">
      <c r="A716" s="6" t="s">
        <v>139</v>
      </c>
      <c r="B716" s="6" t="s">
        <v>44</v>
      </c>
      <c r="C716" s="6" t="s">
        <v>317</v>
      </c>
      <c r="D716" s="6">
        <v>2.052583333333333</v>
      </c>
      <c r="E716" s="6" t="s">
        <v>44</v>
      </c>
      <c r="F716" s="6" t="s">
        <v>51</v>
      </c>
      <c r="G716" s="7">
        <v>21140.95965465714</v>
      </c>
      <c r="H716" s="6">
        <v>43393.58143782167</v>
      </c>
      <c r="I716" s="6" t="s">
        <v>179</v>
      </c>
      <c r="J716" s="15">
        <v>17</v>
      </c>
    </row>
    <row r="717" spans="1:10">
      <c r="A717" s="6" t="s">
        <v>139</v>
      </c>
      <c r="B717" s="6" t="s">
        <v>90</v>
      </c>
      <c r="C717" s="6" t="s">
        <v>318</v>
      </c>
      <c r="D717" s="6">
        <v>5.7</v>
      </c>
      <c r="E717" s="6" t="s">
        <v>44</v>
      </c>
      <c r="F717" s="6" t="s">
        <v>52</v>
      </c>
      <c r="G717" s="7">
        <v>59918.03179942394</v>
      </c>
      <c r="H717" s="6">
        <v>341532.7812567165</v>
      </c>
      <c r="I717" s="6" t="s">
        <v>180</v>
      </c>
      <c r="J717" s="15">
        <v>12.43871031134531</v>
      </c>
    </row>
    <row r="718" spans="1:10">
      <c r="A718" s="6" t="s">
        <v>139</v>
      </c>
      <c r="B718" s="6" t="s">
        <v>44</v>
      </c>
      <c r="C718" s="6" t="s">
        <v>319</v>
      </c>
      <c r="D718" s="6">
        <v>20.0575</v>
      </c>
      <c r="E718" s="6" t="s">
        <v>44</v>
      </c>
      <c r="F718" s="6" t="s">
        <v>52</v>
      </c>
      <c r="G718" s="7">
        <v>97197.58395921369</v>
      </c>
      <c r="H718" s="6">
        <v>1949540.540261929</v>
      </c>
      <c r="I718" s="6" t="s">
        <v>179</v>
      </c>
      <c r="J718" s="15">
        <v>89.88333333333334</v>
      </c>
    </row>
    <row r="719" spans="1:10">
      <c r="A719" s="6" t="s">
        <v>139</v>
      </c>
      <c r="B719" s="6" t="s">
        <v>44</v>
      </c>
      <c r="C719" s="6" t="s">
        <v>320</v>
      </c>
      <c r="D719" s="6">
        <v>280.39875</v>
      </c>
      <c r="E719" s="6" t="s">
        <v>44</v>
      </c>
      <c r="F719" s="6" t="s">
        <v>51</v>
      </c>
      <c r="G719" s="7">
        <v>19671.04087638638</v>
      </c>
      <c r="H719" s="6">
        <v>5515735.272937646</v>
      </c>
      <c r="I719" s="6" t="s">
        <v>179</v>
      </c>
      <c r="J719" s="15">
        <v>13.5</v>
      </c>
    </row>
    <row r="720" spans="1:10">
      <c r="A720" s="6" t="s">
        <v>139</v>
      </c>
      <c r="B720" s="6" t="s">
        <v>44</v>
      </c>
      <c r="C720" s="6" t="s">
        <v>321</v>
      </c>
      <c r="D720" s="6">
        <v>4.447083333333333</v>
      </c>
      <c r="E720" s="6" t="s">
        <v>44</v>
      </c>
      <c r="F720" s="6" t="s">
        <v>54</v>
      </c>
      <c r="G720" s="7">
        <v>89506.67473280903</v>
      </c>
      <c r="H720" s="6">
        <v>398043.6414263629</v>
      </c>
      <c r="I720" s="6" t="s">
        <v>179</v>
      </c>
      <c r="J720" s="15">
        <v>65</v>
      </c>
    </row>
    <row r="721" spans="1:10">
      <c r="A721" s="6" t="s">
        <v>139</v>
      </c>
      <c r="B721" s="6" t="s">
        <v>44</v>
      </c>
      <c r="C721" s="6" t="s">
        <v>322</v>
      </c>
      <c r="D721" s="6">
        <v>48.06549999999999</v>
      </c>
      <c r="E721" s="6" t="s">
        <v>44</v>
      </c>
      <c r="F721" s="6" t="s">
        <v>51</v>
      </c>
      <c r="G721" s="7">
        <v>17287.61454620521</v>
      </c>
      <c r="H721" s="6">
        <v>830937.8369706263</v>
      </c>
      <c r="I721" s="6" t="s">
        <v>179</v>
      </c>
      <c r="J721" s="15">
        <v>34.25833333333333</v>
      </c>
    </row>
    <row r="722" spans="1:10">
      <c r="A722" s="6" t="s">
        <v>139</v>
      </c>
      <c r="B722" s="6" t="s">
        <v>44</v>
      </c>
      <c r="C722" s="6" t="s">
        <v>323</v>
      </c>
      <c r="D722" s="6">
        <v>320.6355</v>
      </c>
      <c r="E722" s="6" t="s">
        <v>44</v>
      </c>
      <c r="F722" s="6" t="s">
        <v>55</v>
      </c>
      <c r="G722" s="7">
        <v>44740.69956922525</v>
      </c>
      <c r="H722" s="6">
        <v>14345456.57672832</v>
      </c>
      <c r="I722" s="6" t="s">
        <v>179</v>
      </c>
      <c r="J722" s="15">
        <v>49</v>
      </c>
    </row>
    <row r="723" spans="1:10">
      <c r="A723" s="6" t="s">
        <v>139</v>
      </c>
      <c r="B723" s="6" t="s">
        <v>44</v>
      </c>
      <c r="C723" s="6" t="s">
        <v>324</v>
      </c>
      <c r="D723" s="6">
        <v>287.64625</v>
      </c>
      <c r="E723" s="6" t="s">
        <v>44</v>
      </c>
      <c r="F723" s="6" t="s">
        <v>51</v>
      </c>
      <c r="G723" s="7">
        <v>24363.28610429227</v>
      </c>
      <c r="H723" s="6">
        <v>7008007.885576782</v>
      </c>
      <c r="I723" s="6" t="s">
        <v>179</v>
      </c>
      <c r="J723" s="15">
        <v>23</v>
      </c>
    </row>
    <row r="724" spans="1:10">
      <c r="A724" s="6" t="s">
        <v>139</v>
      </c>
      <c r="B724" s="6" t="s">
        <v>44</v>
      </c>
      <c r="C724" s="6" t="s">
        <v>372</v>
      </c>
      <c r="D724" s="6">
        <v>1.8465</v>
      </c>
      <c r="E724" s="6" t="s">
        <v>44</v>
      </c>
      <c r="F724" s="6" t="s">
        <v>55</v>
      </c>
      <c r="G724" s="7">
        <v>72406.7109908938</v>
      </c>
      <c r="H724" s="6">
        <v>133698.9918446854</v>
      </c>
      <c r="I724" s="6" t="s">
        <v>180</v>
      </c>
      <c r="J724" s="15">
        <v>20.06297117767726</v>
      </c>
    </row>
    <row r="725" spans="1:10">
      <c r="A725" s="6" t="s">
        <v>139</v>
      </c>
      <c r="B725" s="6" t="s">
        <v>44</v>
      </c>
      <c r="C725" s="6" t="s">
        <v>325</v>
      </c>
      <c r="D725" s="6">
        <v>1.497166666666667</v>
      </c>
      <c r="E725" s="6" t="s">
        <v>44</v>
      </c>
      <c r="F725" s="6" t="s">
        <v>53</v>
      </c>
      <c r="G725" s="7">
        <v>62098.17040150194</v>
      </c>
      <c r="H725" s="6">
        <v>92971.31078611533</v>
      </c>
      <c r="I725" s="6" t="s">
        <v>180</v>
      </c>
      <c r="J725" s="15">
        <v>16.24412692699304</v>
      </c>
    </row>
    <row r="726" spans="1:10">
      <c r="A726" s="6" t="s">
        <v>139</v>
      </c>
      <c r="B726" s="6" t="s">
        <v>44</v>
      </c>
      <c r="C726" s="6" t="s">
        <v>364</v>
      </c>
      <c r="D726" s="6">
        <v>14.88658333333333</v>
      </c>
      <c r="E726" s="6" t="s">
        <v>44</v>
      </c>
      <c r="F726" s="6" t="s">
        <v>52</v>
      </c>
      <c r="G726" s="7">
        <v>64169.74384104699</v>
      </c>
      <c r="H726" s="6">
        <v>955268.2391683995</v>
      </c>
      <c r="I726" s="6" t="s">
        <v>180</v>
      </c>
      <c r="J726" s="15">
        <v>17.01155042897912</v>
      </c>
    </row>
    <row r="727" spans="1:10">
      <c r="A727" s="6" t="s">
        <v>139</v>
      </c>
      <c r="B727" s="6" t="s">
        <v>44</v>
      </c>
      <c r="C727" s="6" t="s">
        <v>326</v>
      </c>
      <c r="D727" s="6">
        <v>549.5784166666666</v>
      </c>
      <c r="E727" s="6" t="s">
        <v>44</v>
      </c>
      <c r="F727" s="6" t="s">
        <v>54</v>
      </c>
      <c r="G727" s="7">
        <v>88918.54864031605</v>
      </c>
      <c r="H727" s="6">
        <v>48867715.17404287</v>
      </c>
      <c r="I727" s="6" t="s">
        <v>179</v>
      </c>
      <c r="J727" s="15">
        <v>66.75833333333333</v>
      </c>
    </row>
    <row r="728" spans="1:10">
      <c r="A728" s="6" t="s">
        <v>139</v>
      </c>
      <c r="B728" s="6" t="s">
        <v>44</v>
      </c>
      <c r="C728" s="6" t="s">
        <v>373</v>
      </c>
      <c r="D728" s="6">
        <v>0.6891666666666666</v>
      </c>
      <c r="E728" s="6" t="s">
        <v>44</v>
      </c>
      <c r="F728" s="6" t="s">
        <v>55</v>
      </c>
      <c r="G728" s="7">
        <v>50189.50053381042</v>
      </c>
      <c r="H728" s="6">
        <v>34588.93078455101</v>
      </c>
      <c r="I728" s="6" t="s">
        <v>180</v>
      </c>
      <c r="J728" s="15">
        <v>11.83250773966314</v>
      </c>
    </row>
    <row r="729" spans="1:10">
      <c r="A729" s="6" t="s">
        <v>139</v>
      </c>
      <c r="B729" s="6" t="s">
        <v>44</v>
      </c>
      <c r="C729" s="6" t="s">
        <v>374</v>
      </c>
      <c r="D729" s="6">
        <v>0.1545833333333333</v>
      </c>
      <c r="E729" s="6" t="s">
        <v>44</v>
      </c>
      <c r="F729" s="6" t="s">
        <v>55</v>
      </c>
      <c r="G729" s="7">
        <v>52744.27292192488</v>
      </c>
      <c r="H729" s="6">
        <v>8153.385522514221</v>
      </c>
      <c r="I729" s="6" t="s">
        <v>180</v>
      </c>
      <c r="J729" s="15">
        <v>12.7789344197111</v>
      </c>
    </row>
    <row r="730" spans="1:10">
      <c r="A730" s="6" t="s">
        <v>139</v>
      </c>
      <c r="B730" s="6" t="s">
        <v>44</v>
      </c>
      <c r="C730" s="6" t="s">
        <v>327</v>
      </c>
      <c r="D730" s="6">
        <v>246.50125</v>
      </c>
      <c r="E730" s="6" t="s">
        <v>44</v>
      </c>
      <c r="F730" s="6" t="s">
        <v>57</v>
      </c>
      <c r="G730" s="7">
        <v>40979.35428179214</v>
      </c>
      <c r="H730" s="6">
        <v>10101462.05465461</v>
      </c>
      <c r="I730" s="6" t="s">
        <v>179</v>
      </c>
      <c r="J730" s="15">
        <v>43.75</v>
      </c>
    </row>
    <row r="731" spans="1:10">
      <c r="A731" s="6" t="s">
        <v>139</v>
      </c>
      <c r="B731" s="6" t="s">
        <v>44</v>
      </c>
      <c r="C731" s="6" t="s">
        <v>328</v>
      </c>
      <c r="D731" s="6">
        <v>1.863166666666667</v>
      </c>
      <c r="E731" s="6" t="s">
        <v>44</v>
      </c>
      <c r="F731" s="6" t="s">
        <v>58</v>
      </c>
      <c r="G731" s="7">
        <v>68315.07045437419</v>
      </c>
      <c r="H731" s="6">
        <v>127282.3621015748</v>
      </c>
      <c r="I731" s="6" t="s">
        <v>179</v>
      </c>
      <c r="J731" s="15">
        <v>32.08333333333333</v>
      </c>
    </row>
    <row r="732" spans="1:10">
      <c r="A732" s="6" t="s">
        <v>139</v>
      </c>
      <c r="B732" s="6" t="s">
        <v>44</v>
      </c>
      <c r="C732" s="6" t="s">
        <v>329</v>
      </c>
      <c r="D732" s="6">
        <v>1329.08575</v>
      </c>
      <c r="E732" s="6" t="s">
        <v>44</v>
      </c>
      <c r="F732" s="6" t="s">
        <v>58</v>
      </c>
      <c r="G732" s="7">
        <v>61073.72389180421</v>
      </c>
      <c r="H732" s="6">
        <v>81172216.12403151</v>
      </c>
      <c r="I732" s="6" t="s">
        <v>179</v>
      </c>
      <c r="J732" s="15">
        <v>26</v>
      </c>
    </row>
    <row r="733" spans="1:10">
      <c r="A733" s="6" t="s">
        <v>139</v>
      </c>
      <c r="B733" s="6" t="s">
        <v>44</v>
      </c>
      <c r="C733" s="6" t="s">
        <v>330</v>
      </c>
      <c r="D733" s="6">
        <v>40.81208333333333</v>
      </c>
      <c r="E733" s="6" t="s">
        <v>44</v>
      </c>
      <c r="F733" s="6" t="s">
        <v>52</v>
      </c>
      <c r="G733" s="7">
        <v>78332.43723892634</v>
      </c>
      <c r="H733" s="6">
        <v>3196909.956298165</v>
      </c>
      <c r="I733" s="6" t="s">
        <v>179</v>
      </c>
      <c r="J733" s="15">
        <v>90.33333333333333</v>
      </c>
    </row>
    <row r="734" spans="1:10">
      <c r="A734" s="6" t="s">
        <v>139</v>
      </c>
      <c r="B734" s="6" t="s">
        <v>44</v>
      </c>
      <c r="C734" s="6" t="s">
        <v>365</v>
      </c>
      <c r="D734" s="6">
        <v>9.184833333333334</v>
      </c>
      <c r="E734" s="6" t="s">
        <v>44</v>
      </c>
      <c r="F734" s="6" t="s">
        <v>53</v>
      </c>
      <c r="G734" s="7">
        <v>47398.73115342639</v>
      </c>
      <c r="H734" s="6">
        <v>435349.4458556958</v>
      </c>
      <c r="I734" s="6" t="s">
        <v>180</v>
      </c>
      <c r="J734" s="15">
        <v>10.79865493471494</v>
      </c>
    </row>
    <row r="735" spans="1:10">
      <c r="A735" s="6" t="s">
        <v>139</v>
      </c>
      <c r="B735" s="6" t="s">
        <v>44</v>
      </c>
      <c r="C735" s="6" t="s">
        <v>331</v>
      </c>
      <c r="D735" s="6">
        <v>393.5074999999999</v>
      </c>
      <c r="E735" s="6" t="s">
        <v>44</v>
      </c>
      <c r="F735" s="6" t="s">
        <v>58</v>
      </c>
      <c r="G735" s="7">
        <v>57688.3500255051</v>
      </c>
      <c r="H735" s="6">
        <v>22700798.39766144</v>
      </c>
      <c r="I735" s="6" t="s">
        <v>179</v>
      </c>
      <c r="J735" s="15">
        <v>27.625</v>
      </c>
    </row>
    <row r="736" spans="1:10">
      <c r="A736" s="6" t="s">
        <v>139</v>
      </c>
      <c r="B736" s="6" t="s">
        <v>44</v>
      </c>
      <c r="C736" s="6" t="s">
        <v>332</v>
      </c>
      <c r="D736" s="6">
        <v>885.8288333333333</v>
      </c>
      <c r="E736" s="6" t="s">
        <v>44</v>
      </c>
      <c r="F736" s="6" t="s">
        <v>55</v>
      </c>
      <c r="G736" s="7">
        <v>45151.10383039913</v>
      </c>
      <c r="H736" s="6">
        <v>39996149.62979466</v>
      </c>
      <c r="I736" s="6" t="s">
        <v>179</v>
      </c>
      <c r="J736" s="15">
        <v>40.03333333333333</v>
      </c>
    </row>
    <row r="737" spans="1:10">
      <c r="A737" s="6" t="s">
        <v>139</v>
      </c>
      <c r="B737" s="6" t="s">
        <v>44</v>
      </c>
      <c r="C737" s="6" t="s">
        <v>375</v>
      </c>
      <c r="D737" s="6">
        <v>0.6135</v>
      </c>
      <c r="E737" s="6" t="s">
        <v>44</v>
      </c>
      <c r="F737" s="6" t="s">
        <v>55</v>
      </c>
      <c r="G737" s="7">
        <v>44949.97309867274</v>
      </c>
      <c r="H737" s="6">
        <v>27576.80849603573</v>
      </c>
      <c r="I737" s="6" t="s">
        <v>180</v>
      </c>
      <c r="J737" s="15">
        <v>9.891501731250248</v>
      </c>
    </row>
    <row r="738" spans="1:10">
      <c r="A738" s="6" t="s">
        <v>139</v>
      </c>
      <c r="B738" s="6" t="s">
        <v>44</v>
      </c>
      <c r="C738" s="6" t="s">
        <v>333</v>
      </c>
      <c r="D738" s="6">
        <v>249.7048333333333</v>
      </c>
      <c r="E738" s="6" t="s">
        <v>44</v>
      </c>
      <c r="F738" s="6" t="s">
        <v>51</v>
      </c>
      <c r="G738" s="7">
        <v>14927.02860564678</v>
      </c>
      <c r="H738" s="6">
        <v>3727351.190134928</v>
      </c>
      <c r="I738" s="6" t="s">
        <v>179</v>
      </c>
      <c r="J738" s="15">
        <v>17</v>
      </c>
    </row>
    <row r="739" spans="1:10">
      <c r="A739" s="6" t="s">
        <v>139</v>
      </c>
      <c r="B739" s="6" t="s">
        <v>101</v>
      </c>
      <c r="C739" s="6" t="s">
        <v>194</v>
      </c>
      <c r="D739" s="6">
        <v>0.3590833333333334</v>
      </c>
      <c r="E739" s="6" t="s">
        <v>86</v>
      </c>
      <c r="F739" s="6" t="s">
        <v>58</v>
      </c>
      <c r="G739" s="7">
        <v>20829.42392802728</v>
      </c>
      <c r="H739" s="6">
        <v>7479.49897548913</v>
      </c>
      <c r="I739" s="6" t="s">
        <v>380</v>
      </c>
      <c r="J739" s="15">
        <v>6.192434400933875</v>
      </c>
    </row>
    <row r="740" spans="1:10">
      <c r="A740" s="6" t="s">
        <v>139</v>
      </c>
      <c r="B740" s="6" t="s">
        <v>90</v>
      </c>
      <c r="C740" s="6" t="s">
        <v>195</v>
      </c>
      <c r="D740" s="6">
        <v>39.32991666666666</v>
      </c>
      <c r="E740" s="6" t="s">
        <v>86</v>
      </c>
      <c r="F740" s="6" t="s">
        <v>54</v>
      </c>
      <c r="G740" s="7">
        <v>56976.27849226169</v>
      </c>
      <c r="H740" s="6">
        <v>2240872.285077444</v>
      </c>
      <c r="I740" s="6" t="s">
        <v>180</v>
      </c>
      <c r="J740" s="15">
        <v>11.49610447263148</v>
      </c>
    </row>
    <row r="741" spans="1:10">
      <c r="A741" s="6" t="s">
        <v>139</v>
      </c>
      <c r="B741" s="6" t="s">
        <v>86</v>
      </c>
      <c r="C741" s="6" t="s">
        <v>334</v>
      </c>
      <c r="D741" s="6">
        <v>0.0009166666666666666</v>
      </c>
      <c r="E741" s="6" t="s">
        <v>86</v>
      </c>
      <c r="F741" s="6" t="s">
        <v>54</v>
      </c>
      <c r="G741" s="7">
        <v>79484.86508293969</v>
      </c>
      <c r="H741" s="6">
        <v>72.86112632602806</v>
      </c>
      <c r="I741" s="6" t="s">
        <v>180</v>
      </c>
      <c r="J741" s="15">
        <v>72</v>
      </c>
    </row>
    <row r="742" spans="1:10">
      <c r="A742" s="6" t="s">
        <v>139</v>
      </c>
      <c r="B742" s="6" t="s">
        <v>86</v>
      </c>
      <c r="C742" s="6" t="s">
        <v>335</v>
      </c>
      <c r="D742" s="6">
        <v>150.0285833333333</v>
      </c>
      <c r="E742" s="6" t="s">
        <v>86</v>
      </c>
      <c r="F742" s="6" t="s">
        <v>52</v>
      </c>
      <c r="G742" s="7">
        <v>101612.9380442109</v>
      </c>
      <c r="H742" s="6">
        <v>15244845.14311073</v>
      </c>
      <c r="I742" s="6" t="s">
        <v>179</v>
      </c>
      <c r="J742" s="15">
        <v>76.41666666666666</v>
      </c>
    </row>
    <row r="743" spans="1:10">
      <c r="A743" s="6" t="s">
        <v>139</v>
      </c>
      <c r="B743" s="6" t="s">
        <v>90</v>
      </c>
      <c r="C743" s="6" t="s">
        <v>336</v>
      </c>
      <c r="D743" s="6">
        <v>1595.194083333333</v>
      </c>
      <c r="E743" s="6" t="s">
        <v>86</v>
      </c>
      <c r="F743" s="6" t="s">
        <v>52</v>
      </c>
      <c r="G743" s="7">
        <v>59918.03179942394</v>
      </c>
      <c r="H743" s="6">
        <v>95580889.81141958</v>
      </c>
      <c r="I743" s="6" t="s">
        <v>180</v>
      </c>
      <c r="J743" s="15">
        <v>12.43871031134531</v>
      </c>
    </row>
    <row r="744" spans="1:10">
      <c r="A744" s="6" t="s">
        <v>139</v>
      </c>
      <c r="B744" s="6" t="s">
        <v>90</v>
      </c>
      <c r="C744" s="6" t="s">
        <v>197</v>
      </c>
      <c r="D744" s="6">
        <v>75.42149999999999</v>
      </c>
      <c r="E744" s="6" t="s">
        <v>86</v>
      </c>
      <c r="F744" s="6" t="s">
        <v>53</v>
      </c>
      <c r="G744" s="7">
        <v>24873.23941462196</v>
      </c>
      <c r="H744" s="6">
        <v>1875977.02650991</v>
      </c>
      <c r="I744" s="6" t="s">
        <v>179</v>
      </c>
      <c r="J744" s="15">
        <v>27</v>
      </c>
    </row>
    <row r="745" spans="1:10">
      <c r="A745" s="6" t="s">
        <v>139</v>
      </c>
      <c r="B745" s="6" t="s">
        <v>86</v>
      </c>
      <c r="C745" s="6" t="s">
        <v>198</v>
      </c>
      <c r="D745" s="6">
        <v>39.57266666666667</v>
      </c>
      <c r="E745" s="6" t="s">
        <v>86</v>
      </c>
      <c r="F745" s="6" t="s">
        <v>58</v>
      </c>
      <c r="G745" s="7">
        <v>82331.46221962862</v>
      </c>
      <c r="H745" s="6">
        <v>3258075.510596624</v>
      </c>
      <c r="I745" s="6" t="s">
        <v>180</v>
      </c>
      <c r="J745" s="15">
        <v>17.98136201752669</v>
      </c>
    </row>
    <row r="746" spans="1:10">
      <c r="A746" s="6" t="s">
        <v>139</v>
      </c>
      <c r="B746" s="6" t="s">
        <v>86</v>
      </c>
      <c r="C746" s="6" t="s">
        <v>199</v>
      </c>
      <c r="D746" s="6">
        <v>71.46375</v>
      </c>
      <c r="E746" s="6" t="s">
        <v>86</v>
      </c>
      <c r="F746" s="6" t="s">
        <v>57</v>
      </c>
      <c r="G746" s="7">
        <v>52709.72675479725</v>
      </c>
      <c r="H746" s="6">
        <v>3766834.735373142</v>
      </c>
      <c r="I746" s="6" t="s">
        <v>179</v>
      </c>
      <c r="J746" s="15">
        <v>49.53333333333333</v>
      </c>
    </row>
    <row r="747" spans="1:10">
      <c r="A747" s="6" t="s">
        <v>139</v>
      </c>
      <c r="B747" s="6" t="s">
        <v>86</v>
      </c>
      <c r="C747" s="6" t="s">
        <v>337</v>
      </c>
      <c r="D747" s="6">
        <v>21.46116666666667</v>
      </c>
      <c r="E747" s="6" t="s">
        <v>86</v>
      </c>
      <c r="F747" s="6" t="s">
        <v>52</v>
      </c>
      <c r="G747" s="7">
        <v>76118.45485007425</v>
      </c>
      <c r="H747" s="6">
        <v>1633590.845946585</v>
      </c>
      <c r="I747" s="6" t="s">
        <v>179</v>
      </c>
      <c r="J747" s="15">
        <v>50.90833333333333</v>
      </c>
    </row>
    <row r="748" spans="1:10">
      <c r="A748" s="6" t="s">
        <v>139</v>
      </c>
      <c r="B748" s="6" t="s">
        <v>86</v>
      </c>
      <c r="C748" s="6" t="s">
        <v>200</v>
      </c>
      <c r="D748" s="6">
        <v>72.05691666666667</v>
      </c>
      <c r="E748" s="6" t="s">
        <v>86</v>
      </c>
      <c r="F748" s="6" t="s">
        <v>52</v>
      </c>
      <c r="G748" s="7">
        <v>74043.30178681524</v>
      </c>
      <c r="H748" s="6">
        <v>5335332.026577396</v>
      </c>
      <c r="I748" s="6" t="s">
        <v>179</v>
      </c>
      <c r="J748" s="15">
        <v>64.11666666666666</v>
      </c>
    </row>
    <row r="749" spans="1:10">
      <c r="A749" s="6" t="s">
        <v>139</v>
      </c>
      <c r="B749" s="6" t="s">
        <v>86</v>
      </c>
      <c r="C749" s="6" t="s">
        <v>201</v>
      </c>
      <c r="D749" s="6">
        <v>47.95841666666667</v>
      </c>
      <c r="E749" s="6" t="s">
        <v>86</v>
      </c>
      <c r="F749" s="6" t="s">
        <v>56</v>
      </c>
      <c r="G749" s="7">
        <v>57893.42884687793</v>
      </c>
      <c r="H749" s="6">
        <v>2776477.182900591</v>
      </c>
      <c r="I749" s="6" t="s">
        <v>179</v>
      </c>
      <c r="J749" s="15">
        <v>34.10833333333333</v>
      </c>
    </row>
    <row r="750" spans="1:10">
      <c r="A750" s="6" t="s">
        <v>139</v>
      </c>
      <c r="B750" s="6" t="s">
        <v>86</v>
      </c>
      <c r="C750" s="6" t="s">
        <v>202</v>
      </c>
      <c r="D750" s="6">
        <v>548.6020833333333</v>
      </c>
      <c r="E750" s="6" t="s">
        <v>86</v>
      </c>
      <c r="F750" s="6" t="s">
        <v>54</v>
      </c>
      <c r="G750" s="7">
        <v>90789.34185131452</v>
      </c>
      <c r="H750" s="6">
        <v>49807222.08409333</v>
      </c>
      <c r="I750" s="6" t="s">
        <v>179</v>
      </c>
      <c r="J750" s="15">
        <v>65.125</v>
      </c>
    </row>
    <row r="751" spans="1:10">
      <c r="A751" s="6" t="s">
        <v>139</v>
      </c>
      <c r="B751" s="6" t="s">
        <v>86</v>
      </c>
      <c r="C751" s="6" t="s">
        <v>203</v>
      </c>
      <c r="D751" s="6">
        <v>667.7256666666667</v>
      </c>
      <c r="E751" s="6" t="s">
        <v>86</v>
      </c>
      <c r="F751" s="6" t="s">
        <v>53</v>
      </c>
      <c r="G751" s="7">
        <v>22045.15542894867</v>
      </c>
      <c r="H751" s="6">
        <v>14720116.10556504</v>
      </c>
      <c r="I751" s="6" t="s">
        <v>179</v>
      </c>
      <c r="J751" s="15">
        <v>8</v>
      </c>
    </row>
    <row r="752" spans="1:10">
      <c r="A752" s="6" t="s">
        <v>139</v>
      </c>
      <c r="B752" s="6" t="s">
        <v>86</v>
      </c>
      <c r="C752" s="6" t="s">
        <v>204</v>
      </c>
      <c r="D752" s="6">
        <v>1542.214666666667</v>
      </c>
      <c r="E752" s="6" t="s">
        <v>86</v>
      </c>
      <c r="F752" s="6" t="s">
        <v>51</v>
      </c>
      <c r="G752" s="7">
        <v>46344.34011305719</v>
      </c>
      <c r="H752" s="6">
        <v>71472921.03934513</v>
      </c>
      <c r="I752" s="6" t="s">
        <v>179</v>
      </c>
      <c r="J752" s="15">
        <v>45</v>
      </c>
    </row>
    <row r="753" spans="1:10">
      <c r="A753" s="6" t="s">
        <v>139</v>
      </c>
      <c r="B753" s="6" t="s">
        <v>86</v>
      </c>
      <c r="C753" s="6" t="s">
        <v>338</v>
      </c>
      <c r="D753" s="6">
        <v>6.001916666666666</v>
      </c>
      <c r="E753" s="6" t="s">
        <v>86</v>
      </c>
      <c r="F753" s="6" t="s">
        <v>52</v>
      </c>
      <c r="G753" s="7">
        <v>71922.38560201312</v>
      </c>
      <c r="H753" s="6">
        <v>431672.1648511493</v>
      </c>
      <c r="I753" s="6" t="s">
        <v>179</v>
      </c>
      <c r="J753" s="15">
        <v>54.91666666666667</v>
      </c>
    </row>
    <row r="754" spans="1:10">
      <c r="A754" s="6" t="s">
        <v>139</v>
      </c>
      <c r="B754" s="6" t="s">
        <v>90</v>
      </c>
      <c r="C754" s="6" t="s">
        <v>339</v>
      </c>
      <c r="D754" s="6">
        <v>7.242249999999999</v>
      </c>
      <c r="E754" s="6" t="s">
        <v>86</v>
      </c>
      <c r="F754" s="6" t="s">
        <v>52</v>
      </c>
      <c r="G754" s="7">
        <v>59918.03179942394</v>
      </c>
      <c r="H754" s="6">
        <v>433941.365799378</v>
      </c>
      <c r="I754" s="6" t="s">
        <v>180</v>
      </c>
      <c r="J754" s="15">
        <v>12.43871031134531</v>
      </c>
    </row>
    <row r="755" spans="1:10">
      <c r="A755" s="6" t="s">
        <v>139</v>
      </c>
      <c r="B755" s="6" t="s">
        <v>86</v>
      </c>
      <c r="C755" s="6" t="s">
        <v>205</v>
      </c>
      <c r="D755" s="6">
        <v>224.71175</v>
      </c>
      <c r="E755" s="6" t="s">
        <v>86</v>
      </c>
      <c r="F755" s="6" t="s">
        <v>56</v>
      </c>
      <c r="G755" s="7">
        <v>60176.4051044983</v>
      </c>
      <c r="H755" s="6">
        <v>13522345.29974074</v>
      </c>
      <c r="I755" s="6" t="s">
        <v>179</v>
      </c>
      <c r="J755" s="15">
        <v>41</v>
      </c>
    </row>
    <row r="756" spans="1:10">
      <c r="A756" s="6" t="s">
        <v>139</v>
      </c>
      <c r="B756" s="6" t="s">
        <v>86</v>
      </c>
      <c r="C756" s="6" t="s">
        <v>206</v>
      </c>
      <c r="D756" s="6">
        <v>18.87891666666667</v>
      </c>
      <c r="E756" s="6" t="s">
        <v>86</v>
      </c>
      <c r="F756" s="6" t="s">
        <v>55</v>
      </c>
      <c r="G756" s="7">
        <v>62775.43713070149</v>
      </c>
      <c r="H756" s="6">
        <v>1185132.246304086</v>
      </c>
      <c r="I756" s="6" t="s">
        <v>180</v>
      </c>
      <c r="J756" s="15">
        <v>12.10449825179888</v>
      </c>
    </row>
    <row r="757" spans="1:10">
      <c r="A757" s="6" t="s">
        <v>139</v>
      </c>
      <c r="B757" s="6" t="s">
        <v>86</v>
      </c>
      <c r="C757" s="6" t="s">
        <v>340</v>
      </c>
      <c r="D757" s="6">
        <v>466.1529166666667</v>
      </c>
      <c r="E757" s="6" t="s">
        <v>86</v>
      </c>
      <c r="F757" s="6" t="s">
        <v>52</v>
      </c>
      <c r="G757" s="7">
        <v>76248.97905109002</v>
      </c>
      <c r="H757" s="6">
        <v>35543683.97752118</v>
      </c>
      <c r="I757" s="6" t="s">
        <v>179</v>
      </c>
      <c r="J757" s="15">
        <v>53.35833333333333</v>
      </c>
    </row>
    <row r="758" spans="1:10">
      <c r="A758" s="6" t="s">
        <v>139</v>
      </c>
      <c r="B758" s="6" t="s">
        <v>86</v>
      </c>
      <c r="C758" s="6" t="s">
        <v>207</v>
      </c>
      <c r="D758" s="6">
        <v>0.4350000000000001</v>
      </c>
      <c r="E758" s="6" t="s">
        <v>86</v>
      </c>
      <c r="F758" s="6" t="s">
        <v>55</v>
      </c>
      <c r="G758" s="7">
        <v>52810.92507980197</v>
      </c>
      <c r="H758" s="6">
        <v>22972.75240971386</v>
      </c>
      <c r="I758" s="6" t="s">
        <v>180</v>
      </c>
      <c r="J758" s="15">
        <v>9.110020613894488</v>
      </c>
    </row>
    <row r="759" spans="1:10">
      <c r="A759" s="6" t="s">
        <v>139</v>
      </c>
      <c r="B759" s="6" t="s">
        <v>86</v>
      </c>
      <c r="C759" s="6" t="s">
        <v>208</v>
      </c>
      <c r="D759" s="6">
        <v>2.471666666666667</v>
      </c>
      <c r="E759" s="6" t="s">
        <v>86</v>
      </c>
      <c r="F759" s="6" t="s">
        <v>51</v>
      </c>
      <c r="G759" s="7">
        <v>52043.19496136486</v>
      </c>
      <c r="H759" s="6">
        <v>128633.4302128401</v>
      </c>
      <c r="I759" s="6" t="s">
        <v>180</v>
      </c>
      <c r="J759" s="15">
        <v>8.879306790692469</v>
      </c>
    </row>
    <row r="760" spans="1:10">
      <c r="A760" s="6" t="s">
        <v>139</v>
      </c>
      <c r="B760" s="6" t="s">
        <v>86</v>
      </c>
      <c r="C760" s="6" t="s">
        <v>209</v>
      </c>
      <c r="D760" s="6">
        <v>0.3904166666666667</v>
      </c>
      <c r="E760" s="6" t="s">
        <v>86</v>
      </c>
      <c r="F760" s="6" t="s">
        <v>57</v>
      </c>
      <c r="G760" s="7">
        <v>50343.81581786243</v>
      </c>
      <c r="H760" s="6">
        <v>19655.06475889046</v>
      </c>
      <c r="I760" s="6" t="s">
        <v>180</v>
      </c>
      <c r="J760" s="15">
        <v>8.368619180747757</v>
      </c>
    </row>
    <row r="761" spans="1:10">
      <c r="A761" s="6" t="s">
        <v>139</v>
      </c>
      <c r="B761" s="6" t="s">
        <v>90</v>
      </c>
      <c r="C761" s="6" t="s">
        <v>210</v>
      </c>
      <c r="D761" s="6">
        <v>0.5231666666666667</v>
      </c>
      <c r="E761" s="6" t="s">
        <v>86</v>
      </c>
      <c r="F761" s="6" t="s">
        <v>53</v>
      </c>
      <c r="G761" s="7">
        <v>33962.09735450833</v>
      </c>
      <c r="H761" s="6">
        <v>17767.83726596694</v>
      </c>
      <c r="I761" s="6" t="s">
        <v>180</v>
      </c>
      <c r="J761" s="15">
        <v>12</v>
      </c>
    </row>
    <row r="762" spans="1:10">
      <c r="A762" s="6" t="s">
        <v>139</v>
      </c>
      <c r="B762" s="6" t="s">
        <v>86</v>
      </c>
      <c r="C762" s="6" t="s">
        <v>211</v>
      </c>
      <c r="D762" s="6">
        <v>318.5258333333333</v>
      </c>
      <c r="E762" s="6" t="s">
        <v>86</v>
      </c>
      <c r="F762" s="6" t="s">
        <v>55</v>
      </c>
      <c r="G762" s="7">
        <v>53062.99242745514</v>
      </c>
      <c r="H762" s="6">
        <v>16901933.88211551</v>
      </c>
      <c r="I762" s="6" t="s">
        <v>179</v>
      </c>
      <c r="J762" s="15">
        <v>38</v>
      </c>
    </row>
    <row r="763" spans="1:10">
      <c r="A763" s="6" t="s">
        <v>139</v>
      </c>
      <c r="B763" s="6" t="s">
        <v>86</v>
      </c>
      <c r="C763" s="6" t="s">
        <v>377</v>
      </c>
      <c r="D763" s="6">
        <v>0.6653333333333333</v>
      </c>
      <c r="E763" s="6" t="s">
        <v>86</v>
      </c>
      <c r="F763" s="6" t="s">
        <v>51</v>
      </c>
      <c r="G763" s="7">
        <v>69820.10309347716</v>
      </c>
      <c r="H763" s="6">
        <v>46453.64192486013</v>
      </c>
      <c r="I763" s="6" t="s">
        <v>180</v>
      </c>
      <c r="J763" s="15">
        <v>14.22152059913335</v>
      </c>
    </row>
    <row r="764" spans="1:10">
      <c r="A764" s="6" t="s">
        <v>139</v>
      </c>
      <c r="B764" s="6" t="s">
        <v>86</v>
      </c>
      <c r="C764" s="6" t="s">
        <v>212</v>
      </c>
      <c r="D764" s="6">
        <v>58.02449999999999</v>
      </c>
      <c r="E764" s="6" t="s">
        <v>86</v>
      </c>
      <c r="F764" s="6" t="s">
        <v>55</v>
      </c>
      <c r="G764" s="7">
        <v>52156.54206456027</v>
      </c>
      <c r="H764" s="6">
        <v>3026357.275025077</v>
      </c>
      <c r="I764" s="6" t="s">
        <v>179</v>
      </c>
      <c r="J764" s="15">
        <v>36</v>
      </c>
    </row>
    <row r="765" spans="1:10">
      <c r="A765" s="6" t="s">
        <v>139</v>
      </c>
      <c r="B765" s="6" t="s">
        <v>86</v>
      </c>
      <c r="C765" s="6" t="s">
        <v>213</v>
      </c>
      <c r="D765" s="6">
        <v>85.92983333333333</v>
      </c>
      <c r="E765" s="6" t="s">
        <v>86</v>
      </c>
      <c r="F765" s="6" t="s">
        <v>52</v>
      </c>
      <c r="G765" s="7">
        <v>91659.65133947671</v>
      </c>
      <c r="H765" s="6">
        <v>7876298.562992677</v>
      </c>
      <c r="I765" s="6" t="s">
        <v>179</v>
      </c>
      <c r="J765" s="15">
        <v>69</v>
      </c>
    </row>
    <row r="766" spans="1:10">
      <c r="A766" s="6" t="s">
        <v>139</v>
      </c>
      <c r="B766" s="6" t="s">
        <v>90</v>
      </c>
      <c r="C766" s="6" t="s">
        <v>214</v>
      </c>
      <c r="D766" s="6">
        <v>1.26875</v>
      </c>
      <c r="E766" s="6" t="s">
        <v>86</v>
      </c>
      <c r="F766" s="6" t="s">
        <v>53</v>
      </c>
      <c r="G766" s="7">
        <v>29230.07315219457</v>
      </c>
      <c r="H766" s="6">
        <v>37085.65531184686</v>
      </c>
      <c r="I766" s="6" t="s">
        <v>179</v>
      </c>
      <c r="J766" s="15">
        <v>27</v>
      </c>
    </row>
    <row r="767" spans="1:10">
      <c r="A767" s="6" t="s">
        <v>139</v>
      </c>
      <c r="B767" s="6" t="s">
        <v>86</v>
      </c>
      <c r="C767" s="6" t="s">
        <v>215</v>
      </c>
      <c r="D767" s="6">
        <v>219.21175</v>
      </c>
      <c r="E767" s="6" t="s">
        <v>86</v>
      </c>
      <c r="F767" s="6" t="s">
        <v>54</v>
      </c>
      <c r="G767" s="7">
        <v>92290.56849765679</v>
      </c>
      <c r="H767" s="6">
        <v>20231177.02886621</v>
      </c>
      <c r="I767" s="6" t="s">
        <v>179</v>
      </c>
      <c r="J767" s="15">
        <v>62</v>
      </c>
    </row>
    <row r="768" spans="1:10">
      <c r="A768" s="6" t="s">
        <v>139</v>
      </c>
      <c r="B768" s="6" t="s">
        <v>86</v>
      </c>
      <c r="C768" s="6" t="s">
        <v>216</v>
      </c>
      <c r="D768" s="6">
        <v>3.004166666666666</v>
      </c>
      <c r="E768" s="6" t="s">
        <v>86</v>
      </c>
      <c r="F768" s="6" t="s">
        <v>55</v>
      </c>
      <c r="G768" s="7">
        <v>48830.3229287997</v>
      </c>
      <c r="H768" s="6">
        <v>146694.4284652691</v>
      </c>
      <c r="I768" s="6" t="s">
        <v>180</v>
      </c>
      <c r="J768" s="15">
        <v>7.913793034893832</v>
      </c>
    </row>
    <row r="769" spans="1:10">
      <c r="A769" s="6" t="s">
        <v>139</v>
      </c>
      <c r="B769" s="6" t="s">
        <v>86</v>
      </c>
      <c r="C769" s="6" t="s">
        <v>341</v>
      </c>
      <c r="D769" s="6">
        <v>3.429166666666667</v>
      </c>
      <c r="E769" s="6" t="s">
        <v>86</v>
      </c>
      <c r="F769" s="6" t="s">
        <v>52</v>
      </c>
      <c r="G769" s="7">
        <v>67420.24760609666</v>
      </c>
      <c r="H769" s="6">
        <v>231195.2657492398</v>
      </c>
      <c r="I769" s="6" t="s">
        <v>179</v>
      </c>
      <c r="J769" s="15">
        <v>49.875</v>
      </c>
    </row>
    <row r="770" spans="1:10">
      <c r="A770" s="6" t="s">
        <v>139</v>
      </c>
      <c r="B770" s="6" t="s">
        <v>90</v>
      </c>
      <c r="C770" s="6" t="s">
        <v>217</v>
      </c>
      <c r="D770" s="6">
        <v>75.05566666666667</v>
      </c>
      <c r="E770" s="6" t="s">
        <v>86</v>
      </c>
      <c r="F770" s="6" t="s">
        <v>53</v>
      </c>
      <c r="G770" s="7">
        <v>29595.99008532836</v>
      </c>
      <c r="H770" s="6">
        <v>2221346.766514377</v>
      </c>
      <c r="I770" s="6" t="s">
        <v>179</v>
      </c>
      <c r="J770" s="15">
        <v>15</v>
      </c>
    </row>
    <row r="771" spans="1:10">
      <c r="A771" s="6" t="s">
        <v>139</v>
      </c>
      <c r="B771" s="6" t="s">
        <v>90</v>
      </c>
      <c r="C771" s="6" t="s">
        <v>218</v>
      </c>
      <c r="D771" s="6">
        <v>10.15491666666667</v>
      </c>
      <c r="E771" s="6" t="s">
        <v>86</v>
      </c>
      <c r="F771" s="6" t="s">
        <v>54</v>
      </c>
      <c r="G771" s="7">
        <v>55803.8509311504</v>
      </c>
      <c r="H771" s="6">
        <v>566683.4558849214</v>
      </c>
      <c r="I771" s="6" t="s">
        <v>180</v>
      </c>
      <c r="J771" s="15">
        <v>11.12043154931672</v>
      </c>
    </row>
    <row r="772" spans="1:10">
      <c r="A772" s="6" t="s">
        <v>139</v>
      </c>
      <c r="B772" s="6" t="s">
        <v>86</v>
      </c>
      <c r="C772" s="6" t="s">
        <v>219</v>
      </c>
      <c r="D772" s="6">
        <v>11.29275</v>
      </c>
      <c r="E772" s="6" t="s">
        <v>86</v>
      </c>
      <c r="F772" s="6" t="s">
        <v>51</v>
      </c>
      <c r="G772" s="7">
        <v>52259.13647561446</v>
      </c>
      <c r="H772" s="6">
        <v>590149.3634349951</v>
      </c>
      <c r="I772" s="6" t="s">
        <v>180</v>
      </c>
      <c r="J772" s="15">
        <v>8.944200287956821</v>
      </c>
    </row>
    <row r="773" spans="1:10">
      <c r="A773" s="6" t="s">
        <v>139</v>
      </c>
      <c r="B773" s="6" t="s">
        <v>86</v>
      </c>
      <c r="C773" s="6" t="s">
        <v>220</v>
      </c>
      <c r="D773" s="6">
        <v>4.126166666666667</v>
      </c>
      <c r="E773" s="6" t="s">
        <v>86</v>
      </c>
      <c r="F773" s="6" t="s">
        <v>57</v>
      </c>
      <c r="G773" s="7">
        <v>55010.17947726394</v>
      </c>
      <c r="H773" s="6">
        <v>226981.1688864373</v>
      </c>
      <c r="I773" s="6" t="s">
        <v>179</v>
      </c>
      <c r="J773" s="15">
        <v>6.921154133661506</v>
      </c>
    </row>
    <row r="774" spans="1:10">
      <c r="A774" s="6" t="s">
        <v>139</v>
      </c>
      <c r="B774" s="6" t="s">
        <v>86</v>
      </c>
      <c r="C774" s="6" t="s">
        <v>221</v>
      </c>
      <c r="D774" s="6">
        <v>43.27958333333333</v>
      </c>
      <c r="E774" s="6" t="s">
        <v>86</v>
      </c>
      <c r="F774" s="6" t="s">
        <v>51</v>
      </c>
      <c r="G774" s="7">
        <v>49959.47837571311</v>
      </c>
      <c r="H774" s="6">
        <v>2162225.40765154</v>
      </c>
      <c r="I774" s="6" t="s">
        <v>180</v>
      </c>
      <c r="J774" s="15">
        <v>8.25312031135539</v>
      </c>
    </row>
    <row r="775" spans="1:10">
      <c r="A775" s="6" t="s">
        <v>139</v>
      </c>
      <c r="B775" s="6" t="s">
        <v>86</v>
      </c>
      <c r="C775" s="6" t="s">
        <v>222</v>
      </c>
      <c r="D775" s="6">
        <v>0.4816666666666667</v>
      </c>
      <c r="E775" s="6" t="s">
        <v>86</v>
      </c>
      <c r="F775" s="6" t="s">
        <v>57</v>
      </c>
      <c r="G775" s="7">
        <v>49392.57285899352</v>
      </c>
      <c r="H775" s="6">
        <v>23790.75592708188</v>
      </c>
      <c r="I775" s="6" t="s">
        <v>180</v>
      </c>
      <c r="J775" s="15">
        <v>8.082757138131251</v>
      </c>
    </row>
    <row r="776" spans="1:10">
      <c r="A776" s="6" t="s">
        <v>139</v>
      </c>
      <c r="B776" s="6" t="s">
        <v>86</v>
      </c>
      <c r="C776" s="6" t="s">
        <v>342</v>
      </c>
      <c r="D776" s="6">
        <v>48.27508333333333</v>
      </c>
      <c r="E776" s="6" t="s">
        <v>86</v>
      </c>
      <c r="F776" s="6" t="s">
        <v>53</v>
      </c>
      <c r="G776" s="7">
        <v>33275.25972937583</v>
      </c>
      <c r="H776" s="6">
        <v>1606365.936373929</v>
      </c>
      <c r="I776" s="6" t="s">
        <v>179</v>
      </c>
      <c r="J776" s="15">
        <v>8</v>
      </c>
    </row>
    <row r="777" spans="1:10">
      <c r="A777" s="6" t="s">
        <v>139</v>
      </c>
      <c r="B777" s="6" t="s">
        <v>86</v>
      </c>
      <c r="C777" s="6" t="s">
        <v>343</v>
      </c>
      <c r="D777" s="6">
        <v>11.10891666666667</v>
      </c>
      <c r="E777" s="6" t="s">
        <v>86</v>
      </c>
      <c r="F777" s="6" t="s">
        <v>52</v>
      </c>
      <c r="G777" s="7">
        <v>69744.27374406446</v>
      </c>
      <c r="H777" s="6">
        <v>774783.325</v>
      </c>
      <c r="I777" s="6" t="s">
        <v>179</v>
      </c>
      <c r="J777" s="15">
        <v>50.60833333333333</v>
      </c>
    </row>
    <row r="778" spans="1:10">
      <c r="A778" s="6" t="s">
        <v>139</v>
      </c>
      <c r="B778" s="6" t="s">
        <v>86</v>
      </c>
      <c r="C778" s="6" t="s">
        <v>223</v>
      </c>
      <c r="D778" s="6">
        <v>88.95541666666666</v>
      </c>
      <c r="E778" s="6" t="s">
        <v>86</v>
      </c>
      <c r="F778" s="6" t="s">
        <v>53</v>
      </c>
      <c r="G778" s="7">
        <v>24418.66320757394</v>
      </c>
      <c r="H778" s="6">
        <v>2172172.360072743</v>
      </c>
      <c r="I778" s="6" t="s">
        <v>179</v>
      </c>
      <c r="J778" s="15">
        <v>7.983333333333333</v>
      </c>
    </row>
    <row r="779" spans="1:10">
      <c r="A779" s="6" t="s">
        <v>139</v>
      </c>
      <c r="B779" s="6" t="s">
        <v>86</v>
      </c>
      <c r="C779" s="6" t="s">
        <v>224</v>
      </c>
      <c r="D779" s="6">
        <v>637.0933333333334</v>
      </c>
      <c r="E779" s="6" t="s">
        <v>86</v>
      </c>
      <c r="F779" s="6" t="s">
        <v>51</v>
      </c>
      <c r="G779" s="7">
        <v>44832.66432506633</v>
      </c>
      <c r="H779" s="6">
        <v>28562591.55707093</v>
      </c>
      <c r="I779" s="6" t="s">
        <v>179</v>
      </c>
      <c r="J779" s="15">
        <v>47</v>
      </c>
    </row>
    <row r="780" spans="1:10">
      <c r="A780" s="6" t="s">
        <v>139</v>
      </c>
      <c r="B780" s="6" t="s">
        <v>86</v>
      </c>
      <c r="C780" s="6" t="s">
        <v>225</v>
      </c>
      <c r="D780" s="6">
        <v>0.005833333333333333</v>
      </c>
      <c r="E780" s="6" t="s">
        <v>86</v>
      </c>
      <c r="F780" s="6" t="s">
        <v>54</v>
      </c>
      <c r="G780" s="7">
        <v>67108.78662238816</v>
      </c>
      <c r="H780" s="6">
        <v>391.4679219639309</v>
      </c>
      <c r="I780" s="6" t="s">
        <v>180</v>
      </c>
      <c r="J780" s="15">
        <v>13.40673142526458</v>
      </c>
    </row>
    <row r="781" spans="1:10">
      <c r="A781" s="6" t="s">
        <v>139</v>
      </c>
      <c r="B781" s="6" t="s">
        <v>86</v>
      </c>
      <c r="C781" s="6" t="s">
        <v>226</v>
      </c>
      <c r="D781" s="6">
        <v>275.9500833333333</v>
      </c>
      <c r="E781" s="6" t="s">
        <v>86</v>
      </c>
      <c r="F781" s="6" t="s">
        <v>56</v>
      </c>
      <c r="G781" s="7">
        <v>74819.13266235047</v>
      </c>
      <c r="H781" s="6">
        <v>20646345.89310334</v>
      </c>
      <c r="I781" s="6" t="s">
        <v>179</v>
      </c>
      <c r="J781" s="15">
        <v>51.55</v>
      </c>
    </row>
    <row r="782" spans="1:10">
      <c r="A782" s="6" t="s">
        <v>139</v>
      </c>
      <c r="B782" s="6" t="s">
        <v>90</v>
      </c>
      <c r="C782" s="6" t="s">
        <v>344</v>
      </c>
      <c r="D782" s="6">
        <v>45.14816666666667</v>
      </c>
      <c r="E782" s="6" t="s">
        <v>86</v>
      </c>
      <c r="F782" s="6" t="s">
        <v>52</v>
      </c>
      <c r="G782" s="7">
        <v>59918.03179942394</v>
      </c>
      <c r="H782" s="6">
        <v>2705189.286019025</v>
      </c>
      <c r="I782" s="6" t="s">
        <v>180</v>
      </c>
      <c r="J782" s="15">
        <v>12.43871031134531</v>
      </c>
    </row>
    <row r="783" spans="1:10">
      <c r="A783" s="6" t="s">
        <v>139</v>
      </c>
      <c r="B783" s="6" t="s">
        <v>86</v>
      </c>
      <c r="C783" s="6" t="s">
        <v>345</v>
      </c>
      <c r="D783" s="6">
        <v>38.53641666666666</v>
      </c>
      <c r="E783" s="6" t="s">
        <v>86</v>
      </c>
      <c r="F783" s="6" t="s">
        <v>53</v>
      </c>
      <c r="G783" s="7">
        <v>31603.56115403747</v>
      </c>
      <c r="H783" s="6">
        <v>1217888.000782469</v>
      </c>
      <c r="I783" s="6" t="s">
        <v>179</v>
      </c>
      <c r="J783" s="15">
        <v>8</v>
      </c>
    </row>
    <row r="784" spans="1:10">
      <c r="A784" s="6" t="s">
        <v>139</v>
      </c>
      <c r="B784" s="6" t="s">
        <v>86</v>
      </c>
      <c r="C784" s="6" t="s">
        <v>227</v>
      </c>
      <c r="D784" s="6">
        <v>55.44533333333333</v>
      </c>
      <c r="E784" s="6" t="s">
        <v>86</v>
      </c>
      <c r="F784" s="6" t="s">
        <v>57</v>
      </c>
      <c r="G784" s="7">
        <v>50057.03584104127</v>
      </c>
      <c r="H784" s="6">
        <v>2775429.037885147</v>
      </c>
      <c r="I784" s="6" t="s">
        <v>179</v>
      </c>
      <c r="J784" s="15">
        <v>39</v>
      </c>
    </row>
    <row r="785" spans="1:10">
      <c r="A785" s="6" t="s">
        <v>139</v>
      </c>
      <c r="B785" s="6" t="s">
        <v>90</v>
      </c>
      <c r="C785" s="6" t="s">
        <v>228</v>
      </c>
      <c r="D785" s="6">
        <v>82.99758333333334</v>
      </c>
      <c r="E785" s="6" t="s">
        <v>86</v>
      </c>
      <c r="F785" s="6" t="s">
        <v>51</v>
      </c>
      <c r="G785" s="7">
        <v>55221.41986499156</v>
      </c>
      <c r="H785" s="6">
        <v>4583244.397029626</v>
      </c>
      <c r="I785" s="6" t="s">
        <v>180</v>
      </c>
      <c r="J785" s="15">
        <v>10.933807156893</v>
      </c>
    </row>
    <row r="786" spans="1:10">
      <c r="A786" s="6" t="s">
        <v>139</v>
      </c>
      <c r="B786" s="6" t="s">
        <v>86</v>
      </c>
      <c r="C786" s="6" t="s">
        <v>229</v>
      </c>
      <c r="D786" s="6">
        <v>45.553</v>
      </c>
      <c r="E786" s="6" t="s">
        <v>86</v>
      </c>
      <c r="F786" s="6" t="s">
        <v>53</v>
      </c>
      <c r="G786" s="7">
        <v>21180.73880713652</v>
      </c>
      <c r="H786" s="6">
        <v>964846.1948814897</v>
      </c>
      <c r="I786" s="6" t="s">
        <v>179</v>
      </c>
      <c r="J786" s="15">
        <v>5</v>
      </c>
    </row>
    <row r="787" spans="1:10">
      <c r="A787" s="6" t="s">
        <v>139</v>
      </c>
      <c r="B787" s="6" t="s">
        <v>86</v>
      </c>
      <c r="C787" s="6" t="s">
        <v>367</v>
      </c>
      <c r="D787" s="6">
        <v>2.536166666666666</v>
      </c>
      <c r="E787" s="6" t="s">
        <v>86</v>
      </c>
      <c r="F787" s="6" t="s">
        <v>55</v>
      </c>
      <c r="G787" s="7">
        <v>60915.58547543351</v>
      </c>
      <c r="H787" s="6">
        <v>154492.0773632786</v>
      </c>
      <c r="I787" s="6" t="s">
        <v>180</v>
      </c>
      <c r="J787" s="15">
        <v>11.5455863690021</v>
      </c>
    </row>
    <row r="788" spans="1:10">
      <c r="A788" s="6" t="s">
        <v>139</v>
      </c>
      <c r="B788" s="6" t="s">
        <v>86</v>
      </c>
      <c r="C788" s="6" t="s">
        <v>230</v>
      </c>
      <c r="D788" s="6">
        <v>63.41425</v>
      </c>
      <c r="E788" s="6" t="s">
        <v>86</v>
      </c>
      <c r="F788" s="6" t="s">
        <v>53</v>
      </c>
      <c r="G788" s="7">
        <v>31425.98001427314</v>
      </c>
      <c r="H788" s="6">
        <v>1992854.953120121</v>
      </c>
      <c r="I788" s="6" t="s">
        <v>179</v>
      </c>
      <c r="J788" s="15">
        <v>8</v>
      </c>
    </row>
    <row r="789" spans="1:10">
      <c r="A789" s="6" t="s">
        <v>139</v>
      </c>
      <c r="B789" s="6" t="s">
        <v>86</v>
      </c>
      <c r="C789" s="6" t="s">
        <v>378</v>
      </c>
      <c r="D789" s="6">
        <v>4.550666666666666</v>
      </c>
      <c r="E789" s="6" t="s">
        <v>86</v>
      </c>
      <c r="F789" s="6" t="s">
        <v>51</v>
      </c>
      <c r="G789" s="7">
        <v>54762.15567895858</v>
      </c>
      <c r="H789" s="6">
        <v>249204.3164430475</v>
      </c>
      <c r="I789" s="6" t="s">
        <v>180</v>
      </c>
      <c r="J789" s="15">
        <v>9.696393169391754</v>
      </c>
    </row>
    <row r="790" spans="1:10">
      <c r="A790" s="6" t="s">
        <v>139</v>
      </c>
      <c r="B790" s="6" t="s">
        <v>86</v>
      </c>
      <c r="C790" s="6" t="s">
        <v>231</v>
      </c>
      <c r="D790" s="6">
        <v>25.63458333333333</v>
      </c>
      <c r="E790" s="6" t="s">
        <v>86</v>
      </c>
      <c r="F790" s="6" t="s">
        <v>52</v>
      </c>
      <c r="G790" s="7">
        <v>92791.93151714627</v>
      </c>
      <c r="H790" s="6">
        <v>2378682.501137245</v>
      </c>
      <c r="I790" s="6" t="s">
        <v>179</v>
      </c>
      <c r="J790" s="15">
        <v>46</v>
      </c>
    </row>
    <row r="791" spans="1:10">
      <c r="A791" s="6" t="s">
        <v>139</v>
      </c>
      <c r="B791" s="6" t="s">
        <v>86</v>
      </c>
      <c r="C791" s="6" t="s">
        <v>346</v>
      </c>
      <c r="D791" s="6">
        <v>15.80241666666667</v>
      </c>
      <c r="E791" s="6" t="s">
        <v>86</v>
      </c>
      <c r="F791" s="6" t="s">
        <v>52</v>
      </c>
      <c r="G791" s="7">
        <v>91431.43065714603</v>
      </c>
      <c r="H791" s="6">
        <v>1444837.563673662</v>
      </c>
      <c r="I791" s="6" t="s">
        <v>179</v>
      </c>
      <c r="J791" s="15">
        <v>46</v>
      </c>
    </row>
    <row r="792" spans="1:10">
      <c r="A792" s="6" t="s">
        <v>139</v>
      </c>
      <c r="B792" s="6" t="s">
        <v>86</v>
      </c>
      <c r="C792" s="6" t="s">
        <v>232</v>
      </c>
      <c r="D792" s="6">
        <v>12.92075</v>
      </c>
      <c r="E792" s="6" t="s">
        <v>86</v>
      </c>
      <c r="F792" s="6" t="s">
        <v>51</v>
      </c>
      <c r="G792" s="7">
        <v>50639.92494996203</v>
      </c>
      <c r="H792" s="6">
        <v>654305.8102972219</v>
      </c>
      <c r="I792" s="6" t="s">
        <v>180</v>
      </c>
      <c r="J792" s="15">
        <v>8.457604187732773</v>
      </c>
    </row>
    <row r="793" spans="1:10">
      <c r="A793" s="6" t="s">
        <v>139</v>
      </c>
      <c r="B793" s="6" t="s">
        <v>86</v>
      </c>
      <c r="C793" s="6" t="s">
        <v>233</v>
      </c>
      <c r="D793" s="6">
        <v>101.00475</v>
      </c>
      <c r="E793" s="6" t="s">
        <v>86</v>
      </c>
      <c r="F793" s="6" t="s">
        <v>59</v>
      </c>
      <c r="G793" s="7">
        <v>42805.8355381377</v>
      </c>
      <c r="H793" s="6">
        <v>4323592.717070714</v>
      </c>
      <c r="I793" s="6" t="s">
        <v>179</v>
      </c>
      <c r="J793" s="15">
        <v>27.26666666666667</v>
      </c>
    </row>
    <row r="794" spans="1:10">
      <c r="A794" s="6" t="s">
        <v>139</v>
      </c>
      <c r="B794" s="6" t="s">
        <v>86</v>
      </c>
      <c r="C794" s="6" t="s">
        <v>234</v>
      </c>
      <c r="D794" s="6">
        <v>83.68558333333334</v>
      </c>
      <c r="E794" s="6" t="s">
        <v>86</v>
      </c>
      <c r="F794" s="6" t="s">
        <v>56</v>
      </c>
      <c r="G794" s="7">
        <v>61798.18645536575</v>
      </c>
      <c r="H794" s="6">
        <v>5171617.282459382</v>
      </c>
      <c r="I794" s="6" t="s">
        <v>179</v>
      </c>
      <c r="J794" s="15">
        <v>49</v>
      </c>
    </row>
    <row r="795" spans="1:10">
      <c r="A795" s="6" t="s">
        <v>139</v>
      </c>
      <c r="B795" s="6" t="s">
        <v>86</v>
      </c>
      <c r="C795" s="6" t="s">
        <v>235</v>
      </c>
      <c r="D795" s="6">
        <v>0.1114166666666667</v>
      </c>
      <c r="E795" s="6" t="s">
        <v>86</v>
      </c>
      <c r="F795" s="6" t="s">
        <v>53</v>
      </c>
      <c r="G795" s="7">
        <v>36703.49839619301</v>
      </c>
      <c r="H795" s="6">
        <v>4089.381446309171</v>
      </c>
      <c r="I795" s="6" t="s">
        <v>180</v>
      </c>
      <c r="J795" s="15">
        <v>4.269509732692095</v>
      </c>
    </row>
    <row r="796" spans="1:10">
      <c r="A796" s="6" t="s">
        <v>139</v>
      </c>
      <c r="B796" s="6" t="s">
        <v>86</v>
      </c>
      <c r="C796" s="6" t="s">
        <v>236</v>
      </c>
      <c r="D796" s="6">
        <v>704.3765833333333</v>
      </c>
      <c r="E796" s="6" t="s">
        <v>86</v>
      </c>
      <c r="F796" s="6" t="s">
        <v>51</v>
      </c>
      <c r="G796" s="7">
        <v>45192.70977200848</v>
      </c>
      <c r="H796" s="6">
        <v>31832686.50078228</v>
      </c>
      <c r="I796" s="6" t="s">
        <v>179</v>
      </c>
      <c r="J796" s="15">
        <v>44.98333333333333</v>
      </c>
    </row>
    <row r="797" spans="1:10">
      <c r="A797" s="6" t="s">
        <v>139</v>
      </c>
      <c r="B797" s="6" t="s">
        <v>86</v>
      </c>
      <c r="C797" s="6" t="s">
        <v>237</v>
      </c>
      <c r="D797" s="6">
        <v>29.57316666666667</v>
      </c>
      <c r="E797" s="6" t="s">
        <v>86</v>
      </c>
      <c r="F797" s="6" t="s">
        <v>51</v>
      </c>
      <c r="G797" s="7">
        <v>63094.71676521076</v>
      </c>
      <c r="H797" s="6">
        <v>1865910.574683706</v>
      </c>
      <c r="I797" s="6" t="s">
        <v>179</v>
      </c>
      <c r="J797" s="15">
        <v>44</v>
      </c>
    </row>
    <row r="798" spans="1:10">
      <c r="A798" s="6" t="s">
        <v>139</v>
      </c>
      <c r="B798" s="6" t="s">
        <v>86</v>
      </c>
      <c r="C798" s="6" t="s">
        <v>238</v>
      </c>
      <c r="D798" s="6">
        <v>119.89225</v>
      </c>
      <c r="E798" s="6" t="s">
        <v>86</v>
      </c>
      <c r="F798" s="6" t="s">
        <v>51</v>
      </c>
      <c r="G798" s="7">
        <v>52817.93378501572</v>
      </c>
      <c r="H798" s="6">
        <v>6332460.921836551</v>
      </c>
      <c r="I798" s="6" t="s">
        <v>180</v>
      </c>
      <c r="J798" s="15">
        <v>9.112126829525121</v>
      </c>
    </row>
    <row r="799" spans="1:10">
      <c r="A799" s="6" t="s">
        <v>139</v>
      </c>
      <c r="B799" s="6" t="s">
        <v>86</v>
      </c>
      <c r="C799" s="6" t="s">
        <v>239</v>
      </c>
      <c r="D799" s="6">
        <v>146.23475</v>
      </c>
      <c r="E799" s="6" t="s">
        <v>86</v>
      </c>
      <c r="F799" s="6" t="s">
        <v>54</v>
      </c>
      <c r="G799" s="7">
        <v>81786.38878957105</v>
      </c>
      <c r="H799" s="6">
        <v>11960012.11804572</v>
      </c>
      <c r="I799" s="6" t="s">
        <v>179</v>
      </c>
      <c r="J799" s="15">
        <v>44.55</v>
      </c>
    </row>
    <row r="800" spans="1:10">
      <c r="A800" s="6" t="s">
        <v>139</v>
      </c>
      <c r="B800" s="6" t="s">
        <v>86</v>
      </c>
      <c r="C800" s="6" t="s">
        <v>379</v>
      </c>
      <c r="D800" s="6">
        <v>2.766083333333333</v>
      </c>
      <c r="E800" s="6" t="s">
        <v>86</v>
      </c>
      <c r="F800" s="6" t="s">
        <v>51</v>
      </c>
      <c r="G800" s="7">
        <v>75094.96404458805</v>
      </c>
      <c r="H800" s="6">
        <v>207718.9284610009</v>
      </c>
      <c r="I800" s="6" t="s">
        <v>180</v>
      </c>
      <c r="J800" s="15">
        <v>15.80669136118093</v>
      </c>
    </row>
    <row r="801" spans="1:10">
      <c r="A801" s="6" t="s">
        <v>139</v>
      </c>
      <c r="B801" s="6" t="s">
        <v>90</v>
      </c>
      <c r="C801" s="6" t="s">
        <v>347</v>
      </c>
      <c r="D801" s="6">
        <v>1.9025</v>
      </c>
      <c r="E801" s="6" t="s">
        <v>86</v>
      </c>
      <c r="F801" s="6" t="s">
        <v>52</v>
      </c>
      <c r="G801" s="7">
        <v>59918.03179942394</v>
      </c>
      <c r="H801" s="6">
        <v>113994.0554984041</v>
      </c>
      <c r="I801" s="6" t="s">
        <v>180</v>
      </c>
      <c r="J801" s="15">
        <v>12.43871031134531</v>
      </c>
    </row>
    <row r="802" spans="1:10">
      <c r="A802" s="6" t="s">
        <v>139</v>
      </c>
      <c r="B802" s="6" t="s">
        <v>86</v>
      </c>
      <c r="C802" s="6" t="s">
        <v>368</v>
      </c>
      <c r="D802" s="6">
        <v>0.6305000000000001</v>
      </c>
      <c r="E802" s="6" t="s">
        <v>86</v>
      </c>
      <c r="F802" s="6" t="s">
        <v>55</v>
      </c>
      <c r="G802" s="7">
        <v>60407.98176689334</v>
      </c>
      <c r="H802" s="6">
        <v>38087.23250402625</v>
      </c>
      <c r="I802" s="6" t="s">
        <v>180</v>
      </c>
      <c r="J802" s="15">
        <v>11.3930442328316</v>
      </c>
    </row>
    <row r="803" spans="1:10">
      <c r="A803" s="6" t="s">
        <v>139</v>
      </c>
      <c r="B803" s="6" t="s">
        <v>86</v>
      </c>
      <c r="C803" s="6" t="s">
        <v>240</v>
      </c>
      <c r="D803" s="6">
        <v>4.480666666666667</v>
      </c>
      <c r="E803" s="6" t="s">
        <v>86</v>
      </c>
      <c r="F803" s="6" t="s">
        <v>51</v>
      </c>
      <c r="G803" s="7">
        <v>53422.25984326284</v>
      </c>
      <c r="H803" s="6">
        <v>239367.338937713</v>
      </c>
      <c r="I803" s="6" t="s">
        <v>180</v>
      </c>
      <c r="J803" s="15">
        <v>9.293735407865949</v>
      </c>
    </row>
    <row r="804" spans="1:10">
      <c r="A804" s="6" t="s">
        <v>139</v>
      </c>
      <c r="B804" s="6" t="s">
        <v>86</v>
      </c>
      <c r="C804" s="6" t="s">
        <v>241</v>
      </c>
      <c r="D804" s="6">
        <v>40.01233333333333</v>
      </c>
      <c r="E804" s="6" t="s">
        <v>86</v>
      </c>
      <c r="F804" s="6" t="s">
        <v>53</v>
      </c>
      <c r="G804" s="7">
        <v>43071.21343853512</v>
      </c>
      <c r="H804" s="6">
        <v>1723379.749173813</v>
      </c>
      <c r="I804" s="6" t="s">
        <v>179</v>
      </c>
      <c r="J804" s="15">
        <v>8.983333333333333</v>
      </c>
    </row>
    <row r="805" spans="1:10">
      <c r="A805" s="6" t="s">
        <v>139</v>
      </c>
      <c r="B805" s="6" t="s">
        <v>86</v>
      </c>
      <c r="C805" s="6" t="s">
        <v>242</v>
      </c>
      <c r="D805" s="6">
        <v>203.81525</v>
      </c>
      <c r="E805" s="6" t="s">
        <v>86</v>
      </c>
      <c r="F805" s="6" t="s">
        <v>56</v>
      </c>
      <c r="G805" s="7">
        <v>57221.26624687723</v>
      </c>
      <c r="H805" s="6">
        <v>11662566.68542384</v>
      </c>
      <c r="I805" s="6" t="s">
        <v>179</v>
      </c>
      <c r="J805" s="15">
        <v>35.83333333333333</v>
      </c>
    </row>
    <row r="806" spans="1:10">
      <c r="A806" s="6" t="s">
        <v>139</v>
      </c>
      <c r="B806" s="6" t="s">
        <v>86</v>
      </c>
      <c r="C806" s="6" t="s">
        <v>243</v>
      </c>
      <c r="D806" s="6">
        <v>0.16675</v>
      </c>
      <c r="E806" s="6" t="s">
        <v>86</v>
      </c>
      <c r="F806" s="6" t="s">
        <v>58</v>
      </c>
      <c r="G806" s="7">
        <v>65690.85748623914</v>
      </c>
      <c r="H806" s="6">
        <v>10953.95048583038</v>
      </c>
      <c r="I806" s="6" t="s">
        <v>180</v>
      </c>
      <c r="J806" s="15">
        <v>12.98062354676108</v>
      </c>
    </row>
    <row r="807" spans="1:10">
      <c r="A807" s="6" t="s">
        <v>139</v>
      </c>
      <c r="B807" s="6" t="s">
        <v>86</v>
      </c>
      <c r="C807" s="6" t="s">
        <v>369</v>
      </c>
      <c r="D807" s="6">
        <v>1.128416666666667</v>
      </c>
      <c r="E807" s="6" t="s">
        <v>86</v>
      </c>
      <c r="F807" s="6" t="s">
        <v>55</v>
      </c>
      <c r="G807" s="7">
        <v>60294.88113470585</v>
      </c>
      <c r="H807" s="6">
        <v>68037.74878708766</v>
      </c>
      <c r="I807" s="6" t="s">
        <v>180</v>
      </c>
      <c r="J807" s="15">
        <v>11.35905588375959</v>
      </c>
    </row>
    <row r="808" spans="1:10">
      <c r="A808" s="6" t="s">
        <v>139</v>
      </c>
      <c r="B808" s="6" t="s">
        <v>86</v>
      </c>
      <c r="C808" s="6" t="s">
        <v>244</v>
      </c>
      <c r="D808" s="6">
        <v>9.452416666666666</v>
      </c>
      <c r="E808" s="6" t="s">
        <v>86</v>
      </c>
      <c r="F808" s="6" t="s">
        <v>55</v>
      </c>
      <c r="G808" s="7">
        <v>58783.58446736775</v>
      </c>
      <c r="H808" s="6">
        <v>555646.9335457546</v>
      </c>
      <c r="I808" s="6" t="s">
        <v>180</v>
      </c>
      <c r="J808" s="15">
        <v>10.90488973377989</v>
      </c>
    </row>
    <row r="809" spans="1:10">
      <c r="A809" s="6" t="s">
        <v>139</v>
      </c>
      <c r="B809" s="6" t="s">
        <v>86</v>
      </c>
      <c r="C809" s="6" t="s">
        <v>245</v>
      </c>
      <c r="D809" s="6">
        <v>86.64958333333334</v>
      </c>
      <c r="E809" s="6" t="s">
        <v>86</v>
      </c>
      <c r="F809" s="6" t="s">
        <v>53</v>
      </c>
      <c r="G809" s="7">
        <v>25664.32175307323</v>
      </c>
      <c r="H809" s="6">
        <v>2223802.786436398</v>
      </c>
      <c r="I809" s="6" t="s">
        <v>179</v>
      </c>
      <c r="J809" s="15">
        <v>6.05</v>
      </c>
    </row>
    <row r="810" spans="1:10">
      <c r="A810" s="6" t="s">
        <v>139</v>
      </c>
      <c r="B810" s="6" t="s">
        <v>86</v>
      </c>
      <c r="C810" s="6" t="s">
        <v>246</v>
      </c>
      <c r="D810" s="6">
        <v>0.05125</v>
      </c>
      <c r="E810" s="6" t="s">
        <v>86</v>
      </c>
      <c r="F810" s="6" t="s">
        <v>53</v>
      </c>
      <c r="G810" s="7">
        <v>34748.35236673716</v>
      </c>
      <c r="H810" s="6">
        <v>1780.853058795279</v>
      </c>
      <c r="I810" s="6" t="s">
        <v>180</v>
      </c>
      <c r="J810" s="15">
        <v>3.681960534684491</v>
      </c>
    </row>
    <row r="811" spans="1:10">
      <c r="A811" s="6" t="s">
        <v>139</v>
      </c>
      <c r="B811" s="6" t="s">
        <v>86</v>
      </c>
      <c r="C811" s="6" t="s">
        <v>348</v>
      </c>
      <c r="D811" s="6">
        <v>147.8385</v>
      </c>
      <c r="E811" s="6" t="s">
        <v>86</v>
      </c>
      <c r="F811" s="6" t="s">
        <v>52</v>
      </c>
      <c r="G811" s="7">
        <v>86810.6381175656</v>
      </c>
      <c r="H811" s="6">
        <v>12833954.52334372</v>
      </c>
      <c r="I811" s="6" t="s">
        <v>179</v>
      </c>
      <c r="J811" s="15">
        <v>67</v>
      </c>
    </row>
    <row r="812" spans="1:10">
      <c r="A812" s="6" t="s">
        <v>139</v>
      </c>
      <c r="B812" s="6" t="s">
        <v>90</v>
      </c>
      <c r="C812" s="6" t="s">
        <v>349</v>
      </c>
      <c r="D812" s="6">
        <v>4.857916666666667</v>
      </c>
      <c r="E812" s="6" t="s">
        <v>86</v>
      </c>
      <c r="F812" s="6" t="s">
        <v>52</v>
      </c>
      <c r="G812" s="7">
        <v>59918.03179942394</v>
      </c>
      <c r="H812" s="6">
        <v>291076.8053122849</v>
      </c>
      <c r="I812" s="6" t="s">
        <v>180</v>
      </c>
      <c r="J812" s="15">
        <v>12.43871031134531</v>
      </c>
    </row>
    <row r="813" spans="1:10">
      <c r="A813" s="6" t="s">
        <v>139</v>
      </c>
      <c r="B813" s="6" t="s">
        <v>90</v>
      </c>
      <c r="C813" s="6" t="s">
        <v>350</v>
      </c>
      <c r="D813" s="6">
        <v>34.47208333333333</v>
      </c>
      <c r="E813" s="6" t="s">
        <v>86</v>
      </c>
      <c r="F813" s="6" t="s">
        <v>52</v>
      </c>
      <c r="G813" s="7">
        <v>59918.03179942394</v>
      </c>
      <c r="H813" s="6">
        <v>2065499.385359058</v>
      </c>
      <c r="I813" s="6" t="s">
        <v>180</v>
      </c>
      <c r="J813" s="15">
        <v>12.43871031134531</v>
      </c>
    </row>
    <row r="814" spans="1:10">
      <c r="A814" s="6" t="s">
        <v>139</v>
      </c>
      <c r="B814" s="6" t="s">
        <v>86</v>
      </c>
      <c r="C814" s="6" t="s">
        <v>247</v>
      </c>
      <c r="D814" s="6">
        <v>261.5535833333333</v>
      </c>
      <c r="E814" s="6" t="s">
        <v>86</v>
      </c>
      <c r="F814" s="6" t="s">
        <v>51</v>
      </c>
      <c r="G814" s="7">
        <v>47796.79242260937</v>
      </c>
      <c r="H814" s="6">
        <v>12501422.329973</v>
      </c>
      <c r="I814" s="6" t="s">
        <v>179</v>
      </c>
      <c r="J814" s="15">
        <v>27.70833333333334</v>
      </c>
    </row>
    <row r="815" spans="1:10">
      <c r="A815" s="6" t="s">
        <v>139</v>
      </c>
      <c r="B815" s="6" t="s">
        <v>86</v>
      </c>
      <c r="C815" s="6" t="s">
        <v>248</v>
      </c>
      <c r="D815" s="6">
        <v>22.17766666666667</v>
      </c>
      <c r="E815" s="6" t="s">
        <v>86</v>
      </c>
      <c r="F815" s="6" t="s">
        <v>55</v>
      </c>
      <c r="G815" s="7">
        <v>106714.629788976</v>
      </c>
      <c r="H815" s="6">
        <v>2366681.487916648</v>
      </c>
      <c r="I815" s="6" t="s">
        <v>179</v>
      </c>
      <c r="J815" s="15">
        <v>59</v>
      </c>
    </row>
    <row r="816" spans="1:10">
      <c r="A816" s="6" t="s">
        <v>139</v>
      </c>
      <c r="B816" s="6" t="s">
        <v>86</v>
      </c>
      <c r="C816" s="6" t="s">
        <v>249</v>
      </c>
      <c r="D816" s="6">
        <v>298.4020833333333</v>
      </c>
      <c r="E816" s="6" t="s">
        <v>86</v>
      </c>
      <c r="F816" s="6" t="s">
        <v>53</v>
      </c>
      <c r="G816" s="7">
        <v>26147.16905457934</v>
      </c>
      <c r="H816" s="6">
        <v>7802369.719155338</v>
      </c>
      <c r="I816" s="6" t="s">
        <v>179</v>
      </c>
      <c r="J816" s="15">
        <v>8</v>
      </c>
    </row>
    <row r="817" spans="1:10">
      <c r="A817" s="6" t="s">
        <v>139</v>
      </c>
      <c r="B817" s="6" t="s">
        <v>86</v>
      </c>
      <c r="C817" s="6" t="s">
        <v>351</v>
      </c>
      <c r="D817" s="6">
        <v>3.453666666666666</v>
      </c>
      <c r="E817" s="6" t="s">
        <v>86</v>
      </c>
      <c r="F817" s="6" t="s">
        <v>53</v>
      </c>
      <c r="G817" s="7">
        <v>56922.31407124049</v>
      </c>
      <c r="H817" s="6">
        <v>196590.6986973742</v>
      </c>
      <c r="I817" s="6" t="s">
        <v>179</v>
      </c>
      <c r="J817" s="15">
        <v>9</v>
      </c>
    </row>
    <row r="818" spans="1:10">
      <c r="A818" s="6" t="s">
        <v>139</v>
      </c>
      <c r="B818" s="6" t="s">
        <v>90</v>
      </c>
      <c r="C818" s="6" t="s">
        <v>352</v>
      </c>
      <c r="D818" s="6">
        <v>45.72716666666666</v>
      </c>
      <c r="E818" s="6" t="s">
        <v>86</v>
      </c>
      <c r="F818" s="6" t="s">
        <v>52</v>
      </c>
      <c r="G818" s="7">
        <v>59918.03179942394</v>
      </c>
      <c r="H818" s="6">
        <v>2739881.826430891</v>
      </c>
      <c r="I818" s="6" t="s">
        <v>180</v>
      </c>
      <c r="J818" s="15">
        <v>12.43871031134531</v>
      </c>
    </row>
    <row r="819" spans="1:10">
      <c r="A819" s="6" t="s">
        <v>139</v>
      </c>
      <c r="B819" s="6" t="s">
        <v>86</v>
      </c>
      <c r="C819" s="6" t="s">
        <v>250</v>
      </c>
      <c r="D819" s="6">
        <v>8.109916666666667</v>
      </c>
      <c r="E819" s="6" t="s">
        <v>86</v>
      </c>
      <c r="F819" s="6" t="s">
        <v>55</v>
      </c>
      <c r="G819" s="7">
        <v>66086.58612630059</v>
      </c>
      <c r="H819" s="6">
        <v>535956.7062687873</v>
      </c>
      <c r="I819" s="6" t="s">
        <v>180</v>
      </c>
      <c r="J819" s="15">
        <v>13.09954563319033</v>
      </c>
    </row>
    <row r="820" spans="1:10">
      <c r="A820" s="6" t="s">
        <v>139</v>
      </c>
      <c r="B820" s="6" t="s">
        <v>86</v>
      </c>
      <c r="C820" s="6" t="s">
        <v>251</v>
      </c>
      <c r="D820" s="6">
        <v>1.75825</v>
      </c>
      <c r="E820" s="6" t="s">
        <v>86</v>
      </c>
      <c r="F820" s="6" t="s">
        <v>53</v>
      </c>
      <c r="G820" s="7">
        <v>37508.53710293493</v>
      </c>
      <c r="H820" s="6">
        <v>65949.38536123536</v>
      </c>
      <c r="I820" s="6" t="s">
        <v>179</v>
      </c>
      <c r="J820" s="15">
        <v>5.316666666666666</v>
      </c>
    </row>
    <row r="821" spans="1:10">
      <c r="A821" s="6" t="s">
        <v>139</v>
      </c>
      <c r="B821" s="6" t="s">
        <v>86</v>
      </c>
      <c r="C821" s="6" t="s">
        <v>252</v>
      </c>
      <c r="D821" s="6">
        <v>35.0575</v>
      </c>
      <c r="E821" s="6" t="s">
        <v>86</v>
      </c>
      <c r="F821" s="6" t="s">
        <v>57</v>
      </c>
      <c r="G821" s="7">
        <v>46102.94284291674</v>
      </c>
      <c r="H821" s="6">
        <v>1616253.918715554</v>
      </c>
      <c r="I821" s="6" t="s">
        <v>179</v>
      </c>
      <c r="J821" s="15">
        <v>35.93333333333333</v>
      </c>
    </row>
    <row r="822" spans="1:10">
      <c r="A822" s="6" t="s">
        <v>139</v>
      </c>
      <c r="B822" s="6" t="s">
        <v>86</v>
      </c>
      <c r="C822" s="6" t="s">
        <v>253</v>
      </c>
      <c r="D822" s="6">
        <v>37.72775</v>
      </c>
      <c r="E822" s="6" t="s">
        <v>86</v>
      </c>
      <c r="F822" s="6" t="s">
        <v>53</v>
      </c>
      <c r="G822" s="7">
        <v>38500.53307646881</v>
      </c>
      <c r="H822" s="6">
        <v>1452538.486775746</v>
      </c>
      <c r="I822" s="6" t="s">
        <v>179</v>
      </c>
      <c r="J822" s="15">
        <v>7.241666666666667</v>
      </c>
    </row>
    <row r="823" spans="1:10">
      <c r="A823" s="6" t="s">
        <v>139</v>
      </c>
      <c r="B823" s="6" t="s">
        <v>86</v>
      </c>
      <c r="C823" s="6" t="s">
        <v>353</v>
      </c>
      <c r="D823" s="6">
        <v>2.026833333333333</v>
      </c>
      <c r="E823" s="6" t="s">
        <v>86</v>
      </c>
      <c r="F823" s="6" t="s">
        <v>62</v>
      </c>
      <c r="G823" s="7">
        <v>81005.34654028571</v>
      </c>
      <c r="H823" s="6">
        <v>164184.3365460691</v>
      </c>
      <c r="I823" s="6" t="s">
        <v>179</v>
      </c>
      <c r="J823" s="15">
        <v>102.3</v>
      </c>
    </row>
    <row r="824" spans="1:10">
      <c r="A824" s="6" t="s">
        <v>139</v>
      </c>
      <c r="B824" s="6" t="s">
        <v>86</v>
      </c>
      <c r="C824" s="6" t="s">
        <v>254</v>
      </c>
      <c r="D824" s="6">
        <v>0.992</v>
      </c>
      <c r="E824" s="6" t="s">
        <v>86</v>
      </c>
      <c r="F824" s="6" t="s">
        <v>51</v>
      </c>
      <c r="G824" s="7">
        <v>51614.23657191667</v>
      </c>
      <c r="H824" s="6">
        <v>51201.32267934133</v>
      </c>
      <c r="I824" s="6" t="s">
        <v>180</v>
      </c>
      <c r="J824" s="15">
        <v>8.750398691807874</v>
      </c>
    </row>
    <row r="825" spans="1:10">
      <c r="A825" s="6" t="s">
        <v>139</v>
      </c>
      <c r="B825" s="6" t="s">
        <v>101</v>
      </c>
      <c r="C825" s="6" t="s">
        <v>255</v>
      </c>
      <c r="D825" s="6">
        <v>8.613166666666666</v>
      </c>
      <c r="E825" s="6" t="s">
        <v>86</v>
      </c>
      <c r="F825" s="6" t="s">
        <v>51</v>
      </c>
      <c r="G825" s="7">
        <v>32463.72189421727</v>
      </c>
      <c r="H825" s="6">
        <v>279615.447295209</v>
      </c>
      <c r="I825" s="6" t="s">
        <v>380</v>
      </c>
      <c r="J825" s="15">
        <v>13.43426719911246</v>
      </c>
    </row>
    <row r="826" spans="1:10">
      <c r="A826" s="6" t="s">
        <v>139</v>
      </c>
      <c r="B826" s="6" t="s">
        <v>86</v>
      </c>
      <c r="C826" s="6" t="s">
        <v>256</v>
      </c>
      <c r="D826" s="6">
        <v>0.249</v>
      </c>
      <c r="E826" s="6" t="s">
        <v>86</v>
      </c>
      <c r="F826" s="6" t="s">
        <v>57</v>
      </c>
      <c r="G826" s="7">
        <v>51479.56712363959</v>
      </c>
      <c r="H826" s="6">
        <v>12818.41221378626</v>
      </c>
      <c r="I826" s="6" t="s">
        <v>180</v>
      </c>
      <c r="J826" s="15">
        <v>8.709928606638151</v>
      </c>
    </row>
    <row r="827" spans="1:10">
      <c r="A827" s="6" t="s">
        <v>139</v>
      </c>
      <c r="B827" s="6" t="s">
        <v>86</v>
      </c>
      <c r="C827" s="6" t="s">
        <v>257</v>
      </c>
      <c r="D827" s="6">
        <v>32.56391666666667</v>
      </c>
      <c r="E827" s="6" t="s">
        <v>86</v>
      </c>
      <c r="F827" s="6" t="s">
        <v>52</v>
      </c>
      <c r="G827" s="7">
        <v>92031.68978853835</v>
      </c>
      <c r="H827" s="6">
        <v>2996912.276966481</v>
      </c>
      <c r="I827" s="6" t="s">
        <v>179</v>
      </c>
      <c r="J827" s="15">
        <v>47</v>
      </c>
    </row>
    <row r="828" spans="1:10">
      <c r="A828" s="6" t="s">
        <v>139</v>
      </c>
      <c r="B828" s="6" t="s">
        <v>86</v>
      </c>
      <c r="C828" s="6" t="s">
        <v>258</v>
      </c>
      <c r="D828" s="6">
        <v>14.79025</v>
      </c>
      <c r="E828" s="6" t="s">
        <v>86</v>
      </c>
      <c r="F828" s="6" t="s">
        <v>52</v>
      </c>
      <c r="G828" s="7">
        <v>85328.84139394178</v>
      </c>
      <c r="H828" s="6">
        <v>1262034.896426748</v>
      </c>
      <c r="I828" s="6" t="s">
        <v>179</v>
      </c>
      <c r="J828" s="15">
        <v>40.5</v>
      </c>
    </row>
    <row r="829" spans="1:10">
      <c r="A829" s="6" t="s">
        <v>139</v>
      </c>
      <c r="B829" s="6" t="s">
        <v>86</v>
      </c>
      <c r="C829" s="6" t="s">
        <v>259</v>
      </c>
      <c r="D829" s="6">
        <v>89.57241666666667</v>
      </c>
      <c r="E829" s="6" t="s">
        <v>86</v>
      </c>
      <c r="F829" s="6" t="s">
        <v>56</v>
      </c>
      <c r="G829" s="7">
        <v>59850.06651982686</v>
      </c>
      <c r="H829" s="6">
        <v>5360915.095841648</v>
      </c>
      <c r="I829" s="6" t="s">
        <v>179</v>
      </c>
      <c r="J829" s="15">
        <v>61.94166666666666</v>
      </c>
    </row>
    <row r="830" spans="1:10">
      <c r="A830" s="6" t="s">
        <v>139</v>
      </c>
      <c r="B830" s="6" t="s">
        <v>86</v>
      </c>
      <c r="C830" s="6" t="s">
        <v>260</v>
      </c>
      <c r="D830" s="6">
        <v>4946.451333333334</v>
      </c>
      <c r="E830" s="6" t="s">
        <v>86</v>
      </c>
      <c r="F830" s="6" t="s">
        <v>52</v>
      </c>
      <c r="G830" s="7">
        <v>56913.67510083943</v>
      </c>
      <c r="H830" s="6">
        <v>281520724.0874474</v>
      </c>
      <c r="I830" s="6" t="s">
        <v>179</v>
      </c>
      <c r="J830" s="15">
        <v>53.18333333333334</v>
      </c>
    </row>
    <row r="831" spans="1:10">
      <c r="A831" s="6" t="s">
        <v>139</v>
      </c>
      <c r="B831" s="6" t="s">
        <v>86</v>
      </c>
      <c r="C831" s="6" t="s">
        <v>261</v>
      </c>
      <c r="D831" s="6">
        <v>0.3691666666666666</v>
      </c>
      <c r="E831" s="6" t="s">
        <v>86</v>
      </c>
      <c r="F831" s="6" t="s">
        <v>54</v>
      </c>
      <c r="G831" s="7">
        <v>65516.52158123471</v>
      </c>
      <c r="H831" s="6">
        <v>24186.51588373915</v>
      </c>
      <c r="I831" s="6" t="s">
        <v>180</v>
      </c>
      <c r="J831" s="15">
        <v>12.92823312700416</v>
      </c>
    </row>
    <row r="832" spans="1:10">
      <c r="A832" s="6" t="s">
        <v>139</v>
      </c>
      <c r="B832" s="6" t="s">
        <v>86</v>
      </c>
      <c r="C832" s="6" t="s">
        <v>262</v>
      </c>
      <c r="D832" s="6">
        <v>69.82866666666666</v>
      </c>
      <c r="E832" s="6" t="s">
        <v>86</v>
      </c>
      <c r="F832" s="6" t="s">
        <v>51</v>
      </c>
      <c r="G832" s="7">
        <v>49180.16248136549</v>
      </c>
      <c r="H832" s="6">
        <v>3434185.172523777</v>
      </c>
      <c r="I832" s="6" t="s">
        <v>179</v>
      </c>
      <c r="J832" s="15">
        <v>85</v>
      </c>
    </row>
    <row r="833" spans="1:10">
      <c r="A833" s="6" t="s">
        <v>139</v>
      </c>
      <c r="B833" s="6" t="s">
        <v>90</v>
      </c>
      <c r="C833" s="6" t="s">
        <v>263</v>
      </c>
      <c r="D833" s="6">
        <v>62.4475</v>
      </c>
      <c r="E833" s="6" t="s">
        <v>86</v>
      </c>
      <c r="F833" s="6" t="s">
        <v>54</v>
      </c>
      <c r="G833" s="7">
        <v>65896.61824279206</v>
      </c>
      <c r="H833" s="6">
        <v>4115079.067716757</v>
      </c>
      <c r="I833" s="6" t="s">
        <v>179</v>
      </c>
      <c r="J833" s="15">
        <v>46.91666666666666</v>
      </c>
    </row>
    <row r="834" spans="1:10">
      <c r="A834" s="6" t="s">
        <v>139</v>
      </c>
      <c r="B834" s="6" t="s">
        <v>86</v>
      </c>
      <c r="C834" s="6" t="s">
        <v>264</v>
      </c>
      <c r="D834" s="6">
        <v>26.38291666666667</v>
      </c>
      <c r="E834" s="6" t="s">
        <v>86</v>
      </c>
      <c r="F834" s="6" t="s">
        <v>54</v>
      </c>
      <c r="G834" s="7">
        <v>105927.7948608726</v>
      </c>
      <c r="H834" s="6">
        <v>2794684.184498164</v>
      </c>
      <c r="I834" s="6" t="s">
        <v>179</v>
      </c>
      <c r="J834" s="15">
        <v>64.26666666666667</v>
      </c>
    </row>
    <row r="835" spans="1:10">
      <c r="A835" s="6" t="s">
        <v>139</v>
      </c>
      <c r="B835" s="6" t="s">
        <v>86</v>
      </c>
      <c r="C835" s="6" t="s">
        <v>265</v>
      </c>
      <c r="D835" s="6">
        <v>95.40558333333334</v>
      </c>
      <c r="E835" s="6" t="s">
        <v>86</v>
      </c>
      <c r="F835" s="6" t="s">
        <v>54</v>
      </c>
      <c r="G835" s="7">
        <v>88690.92662794892</v>
      </c>
      <c r="H835" s="6">
        <v>8461609.591313334</v>
      </c>
      <c r="I835" s="6" t="s">
        <v>179</v>
      </c>
      <c r="J835" s="15">
        <v>70.31666666666666</v>
      </c>
    </row>
    <row r="836" spans="1:10">
      <c r="A836" s="6" t="s">
        <v>139</v>
      </c>
      <c r="B836" s="6" t="s">
        <v>86</v>
      </c>
      <c r="C836" s="6" t="s">
        <v>266</v>
      </c>
      <c r="D836" s="6">
        <v>27.97133333333333</v>
      </c>
      <c r="E836" s="6" t="s">
        <v>86</v>
      </c>
      <c r="F836" s="6" t="s">
        <v>57</v>
      </c>
      <c r="G836" s="7">
        <v>56598.40474601523</v>
      </c>
      <c r="H836" s="6">
        <v>1583132.845285707</v>
      </c>
      <c r="I836" s="6" t="s">
        <v>179</v>
      </c>
      <c r="J836" s="15">
        <v>41.60833333333333</v>
      </c>
    </row>
    <row r="837" spans="1:10">
      <c r="A837" s="6" t="s">
        <v>139</v>
      </c>
      <c r="B837" s="6" t="s">
        <v>86</v>
      </c>
      <c r="C837" s="6" t="s">
        <v>354</v>
      </c>
      <c r="D837" s="6">
        <v>0.07275</v>
      </c>
      <c r="E837" s="6" t="s">
        <v>86</v>
      </c>
      <c r="F837" s="6" t="s">
        <v>51</v>
      </c>
      <c r="G837" s="7">
        <v>44088.02354954973</v>
      </c>
      <c r="H837" s="6">
        <v>3207.403713229742</v>
      </c>
      <c r="I837" s="6" t="s">
        <v>180</v>
      </c>
      <c r="J837" s="15">
        <v>6.488664602023904</v>
      </c>
    </row>
    <row r="838" spans="1:10">
      <c r="A838" s="6" t="s">
        <v>139</v>
      </c>
      <c r="B838" s="6" t="s">
        <v>90</v>
      </c>
      <c r="C838" s="6" t="s">
        <v>355</v>
      </c>
      <c r="D838" s="6">
        <v>36.95558333333333</v>
      </c>
      <c r="E838" s="6" t="s">
        <v>86</v>
      </c>
      <c r="F838" s="6" t="s">
        <v>52</v>
      </c>
      <c r="G838" s="7">
        <v>59918.03179942394</v>
      </c>
      <c r="H838" s="6">
        <v>2214305.817332928</v>
      </c>
      <c r="I838" s="6" t="s">
        <v>180</v>
      </c>
      <c r="J838" s="15">
        <v>12.43871031134531</v>
      </c>
    </row>
    <row r="839" spans="1:10">
      <c r="A839" s="6" t="s">
        <v>139</v>
      </c>
      <c r="B839" s="6" t="s">
        <v>86</v>
      </c>
      <c r="C839" s="6" t="s">
        <v>267</v>
      </c>
      <c r="D839" s="6">
        <v>361.2381666666667</v>
      </c>
      <c r="E839" s="6" t="s">
        <v>86</v>
      </c>
      <c r="F839" s="6" t="s">
        <v>53</v>
      </c>
      <c r="G839" s="7">
        <v>29372.68127915858</v>
      </c>
      <c r="H839" s="6">
        <v>10610533.53536757</v>
      </c>
      <c r="I839" s="6" t="s">
        <v>179</v>
      </c>
      <c r="J839" s="15">
        <v>8</v>
      </c>
    </row>
    <row r="840" spans="1:10">
      <c r="A840" s="6" t="s">
        <v>139</v>
      </c>
      <c r="B840" s="6" t="s">
        <v>86</v>
      </c>
      <c r="C840" s="6" t="s">
        <v>268</v>
      </c>
      <c r="D840" s="6">
        <v>0.7238333333333334</v>
      </c>
      <c r="E840" s="6" t="s">
        <v>86</v>
      </c>
      <c r="F840" s="6" t="s">
        <v>51</v>
      </c>
      <c r="G840" s="7">
        <v>54934.22900617691</v>
      </c>
      <c r="H840" s="6">
        <v>39763.22609563773</v>
      </c>
      <c r="I840" s="6" t="s">
        <v>180</v>
      </c>
      <c r="J840" s="15">
        <v>9.748103652333924</v>
      </c>
    </row>
    <row r="841" spans="1:10">
      <c r="A841" s="6" t="s">
        <v>139</v>
      </c>
      <c r="B841" s="6" t="s">
        <v>86</v>
      </c>
      <c r="C841" s="6" t="s">
        <v>269</v>
      </c>
      <c r="D841" s="6">
        <v>27.3975</v>
      </c>
      <c r="E841" s="6" t="s">
        <v>86</v>
      </c>
      <c r="F841" s="6" t="s">
        <v>52</v>
      </c>
      <c r="G841" s="7">
        <v>83790.30016891156</v>
      </c>
      <c r="H841" s="6">
        <v>2295644.748877754</v>
      </c>
      <c r="I841" s="6" t="s">
        <v>179</v>
      </c>
      <c r="J841" s="15">
        <v>44.5</v>
      </c>
    </row>
    <row r="842" spans="1:10">
      <c r="A842" s="6" t="s">
        <v>139</v>
      </c>
      <c r="B842" s="6" t="s">
        <v>86</v>
      </c>
      <c r="C842" s="6" t="s">
        <v>356</v>
      </c>
      <c r="D842" s="6">
        <v>28.51858333333334</v>
      </c>
      <c r="E842" s="6" t="s">
        <v>86</v>
      </c>
      <c r="F842" s="6" t="s">
        <v>52</v>
      </c>
      <c r="G842" s="7">
        <v>55062.04930703079</v>
      </c>
      <c r="H842" s="6">
        <v>1570291.641666667</v>
      </c>
      <c r="I842" s="6" t="s">
        <v>179</v>
      </c>
      <c r="J842" s="15">
        <v>48.93333333333333</v>
      </c>
    </row>
    <row r="843" spans="1:10">
      <c r="A843" s="6" t="s">
        <v>139</v>
      </c>
      <c r="B843" s="6" t="s">
        <v>86</v>
      </c>
      <c r="C843" s="6" t="s">
        <v>270</v>
      </c>
      <c r="D843" s="6">
        <v>32.43975</v>
      </c>
      <c r="E843" s="6" t="s">
        <v>86</v>
      </c>
      <c r="F843" s="6" t="s">
        <v>59</v>
      </c>
      <c r="G843" s="7">
        <v>48832.25327446419</v>
      </c>
      <c r="H843" s="6">
        <v>1584106.0881603</v>
      </c>
      <c r="I843" s="6" t="s">
        <v>179</v>
      </c>
      <c r="J843" s="15">
        <v>27.28333333333333</v>
      </c>
    </row>
    <row r="844" spans="1:10">
      <c r="A844" s="6" t="s">
        <v>139</v>
      </c>
      <c r="B844" s="6" t="s">
        <v>86</v>
      </c>
      <c r="C844" s="6" t="s">
        <v>271</v>
      </c>
      <c r="D844" s="6">
        <v>297.283</v>
      </c>
      <c r="E844" s="6" t="s">
        <v>86</v>
      </c>
      <c r="F844" s="6" t="s">
        <v>54</v>
      </c>
      <c r="G844" s="7">
        <v>81091.15446449892</v>
      </c>
      <c r="H844" s="6">
        <v>24107021.67266963</v>
      </c>
      <c r="I844" s="6" t="s">
        <v>179</v>
      </c>
      <c r="J844" s="15">
        <v>47.58333333333334</v>
      </c>
    </row>
    <row r="845" spans="1:10">
      <c r="A845" s="6" t="s">
        <v>139</v>
      </c>
      <c r="B845" s="6" t="s">
        <v>86</v>
      </c>
      <c r="C845" s="6" t="s">
        <v>272</v>
      </c>
      <c r="D845" s="6">
        <v>7.858</v>
      </c>
      <c r="E845" s="6" t="s">
        <v>86</v>
      </c>
      <c r="F845" s="6" t="s">
        <v>51</v>
      </c>
      <c r="G845" s="7">
        <v>35610.26336083005</v>
      </c>
      <c r="H845" s="6">
        <v>279825.4494894025</v>
      </c>
      <c r="I845" s="6" t="s">
        <v>179</v>
      </c>
      <c r="J845" s="15">
        <v>8.94980137224452</v>
      </c>
    </row>
    <row r="846" spans="1:10">
      <c r="A846" s="6" t="s">
        <v>139</v>
      </c>
      <c r="B846" s="6" t="s">
        <v>86</v>
      </c>
      <c r="C846" s="6" t="s">
        <v>273</v>
      </c>
      <c r="D846" s="6">
        <v>196.0858333333333</v>
      </c>
      <c r="E846" s="6" t="s">
        <v>86</v>
      </c>
      <c r="F846" s="6" t="s">
        <v>51</v>
      </c>
      <c r="G846" s="7">
        <v>67973.7631418879</v>
      </c>
      <c r="H846" s="6">
        <v>13328691.99047971</v>
      </c>
      <c r="I846" s="6" t="s">
        <v>179</v>
      </c>
      <c r="J846" s="15">
        <v>38.09999999999999</v>
      </c>
    </row>
    <row r="847" spans="1:10">
      <c r="A847" s="6" t="s">
        <v>139</v>
      </c>
      <c r="B847" s="6" t="s">
        <v>90</v>
      </c>
      <c r="C847" s="6" t="s">
        <v>274</v>
      </c>
      <c r="D847" s="6">
        <v>19.0335</v>
      </c>
      <c r="E847" s="6" t="s">
        <v>86</v>
      </c>
      <c r="F847" s="6" t="s">
        <v>56</v>
      </c>
      <c r="G847" s="7">
        <v>58346.71964656267</v>
      </c>
      <c r="H847" s="6">
        <v>1110542.288392851</v>
      </c>
      <c r="I847" s="6" t="s">
        <v>180</v>
      </c>
      <c r="J847" s="15">
        <v>11.93522553370507</v>
      </c>
    </row>
    <row r="848" spans="1:10">
      <c r="A848" s="6" t="s">
        <v>139</v>
      </c>
      <c r="B848" s="6" t="s">
        <v>86</v>
      </c>
      <c r="C848" s="6" t="s">
        <v>275</v>
      </c>
      <c r="D848" s="6">
        <v>2.675416666666667</v>
      </c>
      <c r="E848" s="6" t="s">
        <v>86</v>
      </c>
      <c r="F848" s="6" t="s">
        <v>51</v>
      </c>
      <c r="G848" s="7">
        <v>56718.02460313684</v>
      </c>
      <c r="H848" s="6">
        <v>151744.3483236424</v>
      </c>
      <c r="I848" s="6" t="s">
        <v>180</v>
      </c>
      <c r="J848" s="15">
        <v>10.28415960754818</v>
      </c>
    </row>
    <row r="849" spans="1:10">
      <c r="A849" s="6" t="s">
        <v>139</v>
      </c>
      <c r="B849" s="6" t="s">
        <v>86</v>
      </c>
      <c r="C849" s="6" t="s">
        <v>276</v>
      </c>
      <c r="D849" s="6">
        <v>42.06758333333333</v>
      </c>
      <c r="E849" s="6" t="s">
        <v>86</v>
      </c>
      <c r="F849" s="6" t="s">
        <v>51</v>
      </c>
      <c r="G849" s="7">
        <v>60321.29966037828</v>
      </c>
      <c r="H849" s="6">
        <v>2537571.300237935</v>
      </c>
      <c r="I849" s="6" t="s">
        <v>179</v>
      </c>
      <c r="J849" s="15">
        <v>37.45</v>
      </c>
    </row>
    <row r="850" spans="1:10">
      <c r="A850" s="6" t="s">
        <v>139</v>
      </c>
      <c r="B850" s="6" t="s">
        <v>86</v>
      </c>
      <c r="C850" s="6" t="s">
        <v>277</v>
      </c>
      <c r="D850" s="6">
        <v>0.3448333333333333</v>
      </c>
      <c r="E850" s="6" t="s">
        <v>86</v>
      </c>
      <c r="F850" s="6" t="s">
        <v>57</v>
      </c>
      <c r="G850" s="7">
        <v>45163.47927531065</v>
      </c>
      <c r="H850" s="6">
        <v>15573.87310343629</v>
      </c>
      <c r="I850" s="6" t="s">
        <v>180</v>
      </c>
      <c r="J850" s="15">
        <v>6.811854348285148</v>
      </c>
    </row>
    <row r="851" spans="1:10">
      <c r="A851" s="6" t="s">
        <v>139</v>
      </c>
      <c r="B851" s="6" t="s">
        <v>86</v>
      </c>
      <c r="C851" s="6" t="s">
        <v>278</v>
      </c>
      <c r="D851" s="6">
        <v>503.1085833333333</v>
      </c>
      <c r="E851" s="6" t="s">
        <v>86</v>
      </c>
      <c r="F851" s="6" t="s">
        <v>55</v>
      </c>
      <c r="G851" s="7">
        <v>53128.99840502581</v>
      </c>
      <c r="H851" s="6">
        <v>26729655.12147146</v>
      </c>
      <c r="I851" s="6" t="s">
        <v>179</v>
      </c>
      <c r="J851" s="15">
        <v>40.01666666666667</v>
      </c>
    </row>
    <row r="852" spans="1:10">
      <c r="A852" s="6" t="s">
        <v>139</v>
      </c>
      <c r="B852" s="6" t="s">
        <v>86</v>
      </c>
      <c r="C852" s="6" t="s">
        <v>280</v>
      </c>
      <c r="D852" s="6">
        <v>211.45475</v>
      </c>
      <c r="E852" s="6" t="s">
        <v>86</v>
      </c>
      <c r="F852" s="6" t="s">
        <v>55</v>
      </c>
      <c r="G852" s="7">
        <v>96599.03834307451</v>
      </c>
      <c r="H852" s="6">
        <v>20426325.50307523</v>
      </c>
      <c r="I852" s="6" t="s">
        <v>179</v>
      </c>
      <c r="J852" s="15">
        <v>52.99166666666667</v>
      </c>
    </row>
    <row r="853" spans="1:10">
      <c r="A853" s="6" t="s">
        <v>139</v>
      </c>
      <c r="B853" s="6" t="s">
        <v>86</v>
      </c>
      <c r="C853" s="6" t="s">
        <v>281</v>
      </c>
      <c r="D853" s="6">
        <v>416.7269166666667</v>
      </c>
      <c r="E853" s="6" t="s">
        <v>86</v>
      </c>
      <c r="F853" s="6" t="s">
        <v>57</v>
      </c>
      <c r="G853" s="7">
        <v>64904.72664042063</v>
      </c>
      <c r="H853" s="6">
        <v>27047546.60995535</v>
      </c>
      <c r="I853" s="6" t="s">
        <v>179</v>
      </c>
      <c r="J853" s="15">
        <v>37.11666666666667</v>
      </c>
    </row>
    <row r="854" spans="1:10">
      <c r="A854" s="6" t="s">
        <v>139</v>
      </c>
      <c r="B854" s="6" t="s">
        <v>86</v>
      </c>
      <c r="C854" s="6" t="s">
        <v>282</v>
      </c>
      <c r="D854" s="6">
        <v>0.4761666666666667</v>
      </c>
      <c r="E854" s="6" t="s">
        <v>86</v>
      </c>
      <c r="F854" s="6" t="s">
        <v>56</v>
      </c>
      <c r="G854" s="7">
        <v>58542.49321323277</v>
      </c>
      <c r="H854" s="6">
        <v>27875.98385170101</v>
      </c>
      <c r="I854" s="6" t="s">
        <v>180</v>
      </c>
      <c r="J854" s="15">
        <v>10.83243838187085</v>
      </c>
    </row>
    <row r="855" spans="1:10">
      <c r="A855" s="6" t="s">
        <v>139</v>
      </c>
      <c r="B855" s="6" t="s">
        <v>86</v>
      </c>
      <c r="C855" s="6" t="s">
        <v>283</v>
      </c>
      <c r="D855" s="6">
        <v>135.6689166666667</v>
      </c>
      <c r="E855" s="6" t="s">
        <v>86</v>
      </c>
      <c r="F855" s="6" t="s">
        <v>51</v>
      </c>
      <c r="G855" s="7">
        <v>43749.65798536066</v>
      </c>
      <c r="H855" s="6">
        <v>5935468.703411063</v>
      </c>
      <c r="I855" s="6" t="s">
        <v>179</v>
      </c>
      <c r="J855" s="15">
        <v>26.78333333333333</v>
      </c>
    </row>
    <row r="856" spans="1:10">
      <c r="A856" s="6" t="s">
        <v>139</v>
      </c>
      <c r="B856" s="6" t="s">
        <v>86</v>
      </c>
      <c r="C856" s="6" t="s">
        <v>284</v>
      </c>
      <c r="D856" s="6">
        <v>72.99166666666666</v>
      </c>
      <c r="E856" s="6" t="s">
        <v>86</v>
      </c>
      <c r="F856" s="6" t="s">
        <v>55</v>
      </c>
      <c r="G856" s="7">
        <v>63545.27884100618</v>
      </c>
      <c r="H856" s="6">
        <v>4638275.811403109</v>
      </c>
      <c r="I856" s="6" t="s">
        <v>179</v>
      </c>
      <c r="J856" s="15">
        <v>52.41666666666666</v>
      </c>
    </row>
    <row r="857" spans="1:10">
      <c r="A857" s="6" t="s">
        <v>139</v>
      </c>
      <c r="B857" s="6" t="s">
        <v>86</v>
      </c>
      <c r="C857" s="6" t="s">
        <v>285</v>
      </c>
      <c r="D857" s="6">
        <v>4.70025</v>
      </c>
      <c r="E857" s="6" t="s">
        <v>86</v>
      </c>
      <c r="F857" s="6" t="s">
        <v>52</v>
      </c>
      <c r="G857" s="7">
        <v>124592.4363366081</v>
      </c>
      <c r="H857" s="6">
        <v>585615.5988911421</v>
      </c>
      <c r="I857" s="6" t="s">
        <v>179</v>
      </c>
      <c r="J857" s="15">
        <v>102.5583333333333</v>
      </c>
    </row>
    <row r="858" spans="1:10">
      <c r="A858" s="6" t="s">
        <v>139</v>
      </c>
      <c r="B858" s="6" t="s">
        <v>86</v>
      </c>
      <c r="C858" s="6" t="s">
        <v>286</v>
      </c>
      <c r="D858" s="6">
        <v>17.02575</v>
      </c>
      <c r="E858" s="6" t="s">
        <v>86</v>
      </c>
      <c r="F858" s="6" t="s">
        <v>59</v>
      </c>
      <c r="G858" s="7">
        <v>94264.55631912273</v>
      </c>
      <c r="H858" s="6">
        <v>1604924.769750304</v>
      </c>
      <c r="I858" s="6" t="s">
        <v>180</v>
      </c>
      <c r="J858" s="15">
        <v>21.56742656834614</v>
      </c>
    </row>
    <row r="859" spans="1:10">
      <c r="A859" s="6" t="s">
        <v>139</v>
      </c>
      <c r="B859" s="6" t="s">
        <v>86</v>
      </c>
      <c r="C859" s="6" t="s">
        <v>287</v>
      </c>
      <c r="D859" s="6">
        <v>0.5122500000000001</v>
      </c>
      <c r="E859" s="6" t="s">
        <v>86</v>
      </c>
      <c r="F859" s="6" t="s">
        <v>53</v>
      </c>
      <c r="G859" s="7">
        <v>43228.14111673474</v>
      </c>
      <c r="H859" s="6">
        <v>22143.61528704737</v>
      </c>
      <c r="I859" s="6" t="s">
        <v>180</v>
      </c>
      <c r="J859" s="15">
        <v>6.230257697286521</v>
      </c>
    </row>
    <row r="860" spans="1:10">
      <c r="A860" s="6" t="s">
        <v>139</v>
      </c>
      <c r="B860" s="6" t="s">
        <v>86</v>
      </c>
      <c r="C860" s="6" t="s">
        <v>376</v>
      </c>
      <c r="D860" s="6">
        <v>0.2715833333333333</v>
      </c>
      <c r="E860" s="6" t="s">
        <v>86</v>
      </c>
      <c r="F860" s="6" t="s">
        <v>54</v>
      </c>
      <c r="G860" s="7">
        <v>84102.59287945434</v>
      </c>
      <c r="H860" s="6">
        <v>22840.86251617848</v>
      </c>
      <c r="I860" s="6" t="s">
        <v>180</v>
      </c>
      <c r="J860" s="15">
        <v>18.51361197894614</v>
      </c>
    </row>
    <row r="861" spans="1:10">
      <c r="A861" s="6" t="s">
        <v>139</v>
      </c>
      <c r="B861" s="6" t="s">
        <v>90</v>
      </c>
      <c r="C861" s="6" t="s">
        <v>357</v>
      </c>
      <c r="D861" s="6">
        <v>34.72191666666667</v>
      </c>
      <c r="E861" s="6" t="s">
        <v>86</v>
      </c>
      <c r="F861" s="6" t="s">
        <v>52</v>
      </c>
      <c r="G861" s="7">
        <v>59918.03179942394</v>
      </c>
      <c r="H861" s="6">
        <v>2080468.906970281</v>
      </c>
      <c r="I861" s="6" t="s">
        <v>180</v>
      </c>
      <c r="J861" s="15">
        <v>27</v>
      </c>
    </row>
    <row r="862" spans="1:10">
      <c r="A862" s="6" t="s">
        <v>139</v>
      </c>
      <c r="B862" s="6" t="s">
        <v>86</v>
      </c>
      <c r="C862" s="6" t="s">
        <v>288</v>
      </c>
      <c r="D862" s="6">
        <v>0.2875</v>
      </c>
      <c r="E862" s="6" t="s">
        <v>86</v>
      </c>
      <c r="F862" s="6" t="s">
        <v>58</v>
      </c>
      <c r="G862" s="7">
        <v>72708.53956010977</v>
      </c>
      <c r="H862" s="6">
        <v>20903.70512353156</v>
      </c>
      <c r="I862" s="6" t="s">
        <v>180</v>
      </c>
      <c r="J862" s="15">
        <v>15.08953685157575</v>
      </c>
    </row>
    <row r="863" spans="1:10">
      <c r="A863" s="6" t="s">
        <v>139</v>
      </c>
      <c r="B863" s="6" t="s">
        <v>86</v>
      </c>
      <c r="C863" s="6" t="s">
        <v>370</v>
      </c>
      <c r="D863" s="6">
        <v>1.145583333333333</v>
      </c>
      <c r="E863" s="6" t="s">
        <v>86</v>
      </c>
      <c r="F863" s="6" t="s">
        <v>55</v>
      </c>
      <c r="G863" s="7">
        <v>65936.30235774722</v>
      </c>
      <c r="H863" s="6">
        <v>75535.52904266259</v>
      </c>
      <c r="I863" s="6" t="s">
        <v>180</v>
      </c>
      <c r="J863" s="15">
        <v>13.0543832226303</v>
      </c>
    </row>
    <row r="864" spans="1:10">
      <c r="A864" s="6" t="s">
        <v>139</v>
      </c>
      <c r="B864" s="6" t="s">
        <v>86</v>
      </c>
      <c r="C864" s="6" t="s">
        <v>358</v>
      </c>
      <c r="D864" s="6">
        <v>17.17558333333333</v>
      </c>
      <c r="E864" s="6" t="s">
        <v>86</v>
      </c>
      <c r="F864" s="6" t="s">
        <v>52</v>
      </c>
      <c r="G864" s="7">
        <v>54855.48768358183</v>
      </c>
      <c r="H864" s="6">
        <v>942174.9999999999</v>
      </c>
      <c r="I864" s="6" t="s">
        <v>179</v>
      </c>
      <c r="J864" s="15">
        <v>46.81666666666667</v>
      </c>
    </row>
    <row r="865" spans="1:10">
      <c r="A865" s="6" t="s">
        <v>139</v>
      </c>
      <c r="B865" s="6" t="s">
        <v>90</v>
      </c>
      <c r="C865" s="6" t="s">
        <v>359</v>
      </c>
      <c r="D865" s="6">
        <v>15.09033333333333</v>
      </c>
      <c r="E865" s="6" t="s">
        <v>86</v>
      </c>
      <c r="F865" s="6" t="s">
        <v>60</v>
      </c>
      <c r="G865" s="7">
        <v>44402.32112778664</v>
      </c>
      <c r="H865" s="6">
        <v>670045.8265920097</v>
      </c>
      <c r="I865" s="6" t="s">
        <v>180</v>
      </c>
      <c r="J865" s="15">
        <v>7.467117542069946</v>
      </c>
    </row>
    <row r="866" spans="1:10">
      <c r="A866" s="6" t="s">
        <v>139</v>
      </c>
      <c r="B866" s="6" t="s">
        <v>86</v>
      </c>
      <c r="C866" s="6" t="s">
        <v>289</v>
      </c>
      <c r="D866" s="6">
        <v>2058.106166666666</v>
      </c>
      <c r="E866" s="6" t="s">
        <v>86</v>
      </c>
      <c r="F866" s="6" t="s">
        <v>52</v>
      </c>
      <c r="G866" s="7">
        <v>59342.46197897197</v>
      </c>
      <c r="H866" s="6">
        <v>122133086.9441044</v>
      </c>
      <c r="I866" s="6" t="s">
        <v>179</v>
      </c>
      <c r="J866" s="15">
        <v>65</v>
      </c>
    </row>
    <row r="867" spans="1:10">
      <c r="A867" s="6" t="s">
        <v>139</v>
      </c>
      <c r="B867" s="6" t="s">
        <v>86</v>
      </c>
      <c r="C867" s="6" t="s">
        <v>290</v>
      </c>
      <c r="D867" s="6">
        <v>0.03133333333333333</v>
      </c>
      <c r="E867" s="6" t="s">
        <v>86</v>
      </c>
      <c r="F867" s="6" t="s">
        <v>53</v>
      </c>
      <c r="G867" s="7">
        <v>34427.13805641644</v>
      </c>
      <c r="H867" s="6">
        <v>1078.716992434382</v>
      </c>
      <c r="I867" s="6" t="s">
        <v>180</v>
      </c>
      <c r="J867" s="15">
        <v>3.585431064468892</v>
      </c>
    </row>
    <row r="868" spans="1:10">
      <c r="A868" s="6" t="s">
        <v>139</v>
      </c>
      <c r="B868" s="6" t="s">
        <v>90</v>
      </c>
      <c r="C868" s="6" t="s">
        <v>360</v>
      </c>
      <c r="D868" s="6">
        <v>90.59691666666667</v>
      </c>
      <c r="E868" s="6" t="s">
        <v>86</v>
      </c>
      <c r="F868" s="6" t="s">
        <v>52</v>
      </c>
      <c r="G868" s="7">
        <v>59918.03179942394</v>
      </c>
      <c r="H868" s="6">
        <v>5428388.933763094</v>
      </c>
      <c r="I868" s="6" t="s">
        <v>180</v>
      </c>
      <c r="J868" s="15">
        <v>12.43871031134531</v>
      </c>
    </row>
    <row r="869" spans="1:10">
      <c r="A869" s="6" t="s">
        <v>139</v>
      </c>
      <c r="B869" s="6" t="s">
        <v>86</v>
      </c>
      <c r="C869" s="6" t="s">
        <v>291</v>
      </c>
      <c r="D869" s="6">
        <v>0.009583333333333334</v>
      </c>
      <c r="E869" s="6" t="s">
        <v>86</v>
      </c>
      <c r="F869" s="6" t="s">
        <v>51</v>
      </c>
      <c r="G869" s="7">
        <v>53740.19196942599</v>
      </c>
      <c r="H869" s="6">
        <v>515.0101730403325</v>
      </c>
      <c r="I869" s="6" t="s">
        <v>180</v>
      </c>
      <c r="J869" s="15">
        <v>9.389278535046072</v>
      </c>
    </row>
    <row r="870" spans="1:10">
      <c r="A870" s="6" t="s">
        <v>139</v>
      </c>
      <c r="B870" s="6" t="s">
        <v>86</v>
      </c>
      <c r="C870" s="6" t="s">
        <v>292</v>
      </c>
      <c r="D870" s="6">
        <v>35.43675</v>
      </c>
      <c r="E870" s="6" t="s">
        <v>86</v>
      </c>
      <c r="F870" s="6" t="s">
        <v>54</v>
      </c>
      <c r="G870" s="7">
        <v>107403.6498671448</v>
      </c>
      <c r="H870" s="6">
        <v>3806036.289429543</v>
      </c>
      <c r="I870" s="6" t="s">
        <v>179</v>
      </c>
      <c r="J870" s="15">
        <v>64.08333333333333</v>
      </c>
    </row>
    <row r="871" spans="1:10">
      <c r="A871" s="6" t="s">
        <v>139</v>
      </c>
      <c r="B871" s="6" t="s">
        <v>86</v>
      </c>
      <c r="C871" s="6" t="s">
        <v>293</v>
      </c>
      <c r="D871" s="6">
        <v>236.3279166666667</v>
      </c>
      <c r="E871" s="6" t="s">
        <v>86</v>
      </c>
      <c r="F871" s="6" t="s">
        <v>53</v>
      </c>
      <c r="G871" s="7">
        <v>41597.32934492987</v>
      </c>
      <c r="H871" s="6">
        <v>9830610.182984473</v>
      </c>
      <c r="I871" s="6" t="s">
        <v>179</v>
      </c>
      <c r="J871" s="15">
        <v>8</v>
      </c>
    </row>
    <row r="872" spans="1:10">
      <c r="A872" s="6" t="s">
        <v>139</v>
      </c>
      <c r="B872" s="6" t="s">
        <v>86</v>
      </c>
      <c r="C872" s="6" t="s">
        <v>371</v>
      </c>
      <c r="D872" s="6">
        <v>1.39125</v>
      </c>
      <c r="E872" s="6" t="s">
        <v>86</v>
      </c>
      <c r="F872" s="6" t="s">
        <v>55</v>
      </c>
      <c r="G872" s="7">
        <v>53143.73619775795</v>
      </c>
      <c r="H872" s="6">
        <v>73936.22298513073</v>
      </c>
      <c r="I872" s="6" t="s">
        <v>180</v>
      </c>
      <c r="J872" s="15">
        <v>9.210035089794005</v>
      </c>
    </row>
    <row r="873" spans="1:10">
      <c r="A873" s="6" t="s">
        <v>139</v>
      </c>
      <c r="B873" s="6" t="s">
        <v>86</v>
      </c>
      <c r="C873" s="6" t="s">
        <v>294</v>
      </c>
      <c r="D873" s="6">
        <v>0.2598333333333334</v>
      </c>
      <c r="E873" s="6" t="s">
        <v>86</v>
      </c>
      <c r="F873" s="6" t="s">
        <v>54</v>
      </c>
      <c r="G873" s="7">
        <v>80294.88770816996</v>
      </c>
      <c r="H873" s="6">
        <v>20863.2883228395</v>
      </c>
      <c r="I873" s="6" t="s">
        <v>180</v>
      </c>
      <c r="J873" s="15">
        <v>17.36934240218201</v>
      </c>
    </row>
    <row r="874" spans="1:10">
      <c r="A874" s="6" t="s">
        <v>139</v>
      </c>
      <c r="B874" s="6" t="s">
        <v>86</v>
      </c>
      <c r="C874" s="6" t="s">
        <v>295</v>
      </c>
      <c r="D874" s="6">
        <v>21.63291666666667</v>
      </c>
      <c r="E874" s="6" t="s">
        <v>86</v>
      </c>
      <c r="F874" s="6" t="s">
        <v>53</v>
      </c>
      <c r="G874" s="7">
        <v>42004.62287217464</v>
      </c>
      <c r="H874" s="6">
        <v>908682.5062085148</v>
      </c>
      <c r="I874" s="6" t="s">
        <v>179</v>
      </c>
      <c r="J874" s="15">
        <v>8</v>
      </c>
    </row>
    <row r="875" spans="1:10">
      <c r="A875" s="6" t="s">
        <v>139</v>
      </c>
      <c r="B875" s="6" t="s">
        <v>90</v>
      </c>
      <c r="C875" s="6" t="s">
        <v>296</v>
      </c>
      <c r="D875" s="6">
        <v>34.14691666666667</v>
      </c>
      <c r="E875" s="6" t="s">
        <v>86</v>
      </c>
      <c r="F875" s="6" t="s">
        <v>61</v>
      </c>
      <c r="G875" s="7">
        <v>58003.92647416519</v>
      </c>
      <c r="H875" s="6">
        <v>1980655.24365278</v>
      </c>
      <c r="I875" s="6" t="s">
        <v>179</v>
      </c>
      <c r="J875" s="15">
        <v>13</v>
      </c>
    </row>
    <row r="876" spans="1:10">
      <c r="A876" s="6" t="s">
        <v>139</v>
      </c>
      <c r="B876" s="6" t="s">
        <v>86</v>
      </c>
      <c r="C876" s="6" t="s">
        <v>297</v>
      </c>
      <c r="D876" s="6">
        <v>13.76133333333333</v>
      </c>
      <c r="E876" s="6" t="s">
        <v>86</v>
      </c>
      <c r="F876" s="6" t="s">
        <v>52</v>
      </c>
      <c r="G876" s="7">
        <v>101698.6474446838</v>
      </c>
      <c r="H876" s="6">
        <v>1399508.987035441</v>
      </c>
      <c r="I876" s="6" t="s">
        <v>179</v>
      </c>
      <c r="J876" s="15">
        <v>48</v>
      </c>
    </row>
    <row r="877" spans="1:10">
      <c r="A877" s="6" t="s">
        <v>139</v>
      </c>
      <c r="B877" s="6" t="s">
        <v>86</v>
      </c>
      <c r="C877" s="6" t="s">
        <v>298</v>
      </c>
      <c r="D877" s="6">
        <v>40.00916666666667</v>
      </c>
      <c r="E877" s="6" t="s">
        <v>86</v>
      </c>
      <c r="F877" s="6" t="s">
        <v>56</v>
      </c>
      <c r="G877" s="7">
        <v>56461.9741659997</v>
      </c>
      <c r="H877" s="6">
        <v>2258996.534736509</v>
      </c>
      <c r="I877" s="6" t="s">
        <v>180</v>
      </c>
      <c r="J877" s="15">
        <v>10.20721280832045</v>
      </c>
    </row>
    <row r="878" spans="1:10">
      <c r="A878" s="6" t="s">
        <v>139</v>
      </c>
      <c r="B878" s="6" t="s">
        <v>86</v>
      </c>
      <c r="C878" s="6" t="s">
        <v>299</v>
      </c>
      <c r="D878" s="6">
        <v>0.4195</v>
      </c>
      <c r="E878" s="6" t="s">
        <v>86</v>
      </c>
      <c r="F878" s="6" t="s">
        <v>53</v>
      </c>
      <c r="G878" s="7">
        <v>37262.91410991319</v>
      </c>
      <c r="H878" s="6">
        <v>15631.79246910858</v>
      </c>
      <c r="I878" s="6" t="s">
        <v>180</v>
      </c>
      <c r="J878" s="15">
        <v>4.437622113556362</v>
      </c>
    </row>
    <row r="879" spans="1:10">
      <c r="A879" s="6" t="s">
        <v>139</v>
      </c>
      <c r="B879" s="6" t="s">
        <v>86</v>
      </c>
      <c r="C879" s="6" t="s">
        <v>300</v>
      </c>
      <c r="D879" s="6">
        <v>56.0885</v>
      </c>
      <c r="E879" s="6" t="s">
        <v>86</v>
      </c>
      <c r="F879" s="6" t="s">
        <v>52</v>
      </c>
      <c r="G879" s="7">
        <v>60613.11558221976</v>
      </c>
      <c r="H879" s="6">
        <v>3399698.733333333</v>
      </c>
      <c r="I879" s="6" t="s">
        <v>179</v>
      </c>
      <c r="J879" s="15">
        <v>39.13333333333333</v>
      </c>
    </row>
    <row r="880" spans="1:10">
      <c r="A880" s="6" t="s">
        <v>139</v>
      </c>
      <c r="B880" s="6" t="s">
        <v>86</v>
      </c>
      <c r="C880" s="6" t="s">
        <v>301</v>
      </c>
      <c r="D880" s="6">
        <v>6.8095</v>
      </c>
      <c r="E880" s="6" t="s">
        <v>86</v>
      </c>
      <c r="F880" s="6" t="s">
        <v>59</v>
      </c>
      <c r="G880" s="7">
        <v>80753.32287666532</v>
      </c>
      <c r="H880" s="6">
        <v>549889.7521286525</v>
      </c>
      <c r="I880" s="6" t="s">
        <v>180</v>
      </c>
      <c r="J880" s="15">
        <v>17.50710869254084</v>
      </c>
    </row>
    <row r="881" spans="1:10">
      <c r="A881" s="6" t="s">
        <v>139</v>
      </c>
      <c r="B881" s="6" t="s">
        <v>86</v>
      </c>
      <c r="C881" s="6" t="s">
        <v>302</v>
      </c>
      <c r="D881" s="6">
        <v>679.0179166666667</v>
      </c>
      <c r="E881" s="6" t="s">
        <v>86</v>
      </c>
      <c r="F881" s="6" t="s">
        <v>52</v>
      </c>
      <c r="G881" s="7">
        <v>80746.62125224819</v>
      </c>
      <c r="H881" s="6">
        <v>54828402.54057396</v>
      </c>
      <c r="I881" s="6" t="s">
        <v>179</v>
      </c>
      <c r="J881" s="15">
        <v>74.09166666666667</v>
      </c>
    </row>
    <row r="882" spans="1:10">
      <c r="A882" s="6" t="s">
        <v>139</v>
      </c>
      <c r="B882" s="6" t="s">
        <v>86</v>
      </c>
      <c r="C882" s="6" t="s">
        <v>303</v>
      </c>
      <c r="D882" s="6">
        <v>0.25225</v>
      </c>
      <c r="E882" s="6" t="s">
        <v>86</v>
      </c>
      <c r="F882" s="6" t="s">
        <v>53</v>
      </c>
      <c r="G882" s="7">
        <v>36138.49003274566</v>
      </c>
      <c r="H882" s="6">
        <v>9115.93411076009</v>
      </c>
      <c r="I882" s="6" t="s">
        <v>180</v>
      </c>
      <c r="J882" s="15">
        <v>4.099716681017344</v>
      </c>
    </row>
    <row r="883" spans="1:10">
      <c r="A883" s="6" t="s">
        <v>139</v>
      </c>
      <c r="B883" s="6" t="s">
        <v>86</v>
      </c>
      <c r="C883" s="6" t="s">
        <v>304</v>
      </c>
      <c r="D883" s="6">
        <v>149.4990833333333</v>
      </c>
      <c r="E883" s="6" t="s">
        <v>86</v>
      </c>
      <c r="F883" s="6" t="s">
        <v>52</v>
      </c>
      <c r="G883" s="7">
        <v>61933.94976223377</v>
      </c>
      <c r="H883" s="6">
        <v>9259068.716666665</v>
      </c>
      <c r="I883" s="6" t="s">
        <v>179</v>
      </c>
      <c r="J883" s="15">
        <v>61.50833333333333</v>
      </c>
    </row>
    <row r="884" spans="1:10">
      <c r="A884" s="6" t="s">
        <v>139</v>
      </c>
      <c r="B884" s="6" t="s">
        <v>86</v>
      </c>
      <c r="C884" s="6" t="s">
        <v>361</v>
      </c>
      <c r="D884" s="6">
        <v>628.0253333333334</v>
      </c>
      <c r="E884" s="6" t="s">
        <v>86</v>
      </c>
      <c r="F884" s="6" t="s">
        <v>52</v>
      </c>
      <c r="G884" s="7">
        <v>58941.63635603187</v>
      </c>
      <c r="H884" s="6">
        <v>37016840.81970904</v>
      </c>
      <c r="I884" s="6" t="s">
        <v>179</v>
      </c>
      <c r="J884" s="15">
        <v>64.18333333333334</v>
      </c>
    </row>
    <row r="885" spans="1:10">
      <c r="A885" s="6" t="s">
        <v>139</v>
      </c>
      <c r="B885" s="6" t="s">
        <v>86</v>
      </c>
      <c r="C885" s="6" t="s">
        <v>305</v>
      </c>
      <c r="D885" s="6">
        <v>95.08866666666665</v>
      </c>
      <c r="E885" s="6" t="s">
        <v>86</v>
      </c>
      <c r="F885" s="6" t="s">
        <v>54</v>
      </c>
      <c r="G885" s="7">
        <v>98575.27110239657</v>
      </c>
      <c r="H885" s="6">
        <v>9373391.095432086</v>
      </c>
      <c r="I885" s="6" t="s">
        <v>179</v>
      </c>
      <c r="J885" s="15">
        <v>67.27500000000001</v>
      </c>
    </row>
    <row r="886" spans="1:10">
      <c r="A886" s="6" t="s">
        <v>139</v>
      </c>
      <c r="B886" s="6" t="s">
        <v>86</v>
      </c>
      <c r="C886" s="6" t="s">
        <v>306</v>
      </c>
      <c r="D886" s="6">
        <v>6.412583333333334</v>
      </c>
      <c r="E886" s="6" t="s">
        <v>86</v>
      </c>
      <c r="F886" s="6" t="s">
        <v>57</v>
      </c>
      <c r="G886" s="7">
        <v>54237.63482677883</v>
      </c>
      <c r="H886" s="6">
        <v>347803.3531296215</v>
      </c>
      <c r="I886" s="6" t="s">
        <v>179</v>
      </c>
      <c r="J886" s="15">
        <v>7.283649717513925</v>
      </c>
    </row>
    <row r="887" spans="1:10">
      <c r="A887" s="6" t="s">
        <v>139</v>
      </c>
      <c r="B887" s="6" t="s">
        <v>86</v>
      </c>
      <c r="C887" s="6" t="s">
        <v>307</v>
      </c>
      <c r="D887" s="6">
        <v>0.1543333333333333</v>
      </c>
      <c r="E887" s="6" t="s">
        <v>86</v>
      </c>
      <c r="F887" s="6" t="s">
        <v>53</v>
      </c>
      <c r="G887" s="7">
        <v>38849.90588497226</v>
      </c>
      <c r="H887" s="6">
        <v>5995.835474914053</v>
      </c>
      <c r="I887" s="6" t="s">
        <v>180</v>
      </c>
      <c r="J887" s="15">
        <v>4.914535720331878</v>
      </c>
    </row>
    <row r="888" spans="1:10">
      <c r="A888" s="6" t="s">
        <v>139</v>
      </c>
      <c r="B888" s="6" t="s">
        <v>86</v>
      </c>
      <c r="C888" s="6" t="s">
        <v>362</v>
      </c>
      <c r="D888" s="6">
        <v>2873.6725</v>
      </c>
      <c r="E888" s="6" t="s">
        <v>86</v>
      </c>
      <c r="F888" s="6" t="s">
        <v>52</v>
      </c>
      <c r="G888" s="7">
        <v>57401.5078649952</v>
      </c>
      <c r="H888" s="6">
        <v>164953134.6101705</v>
      </c>
      <c r="I888" s="6" t="s">
        <v>179</v>
      </c>
      <c r="J888" s="15">
        <v>50.76666666666667</v>
      </c>
    </row>
    <row r="889" spans="1:10">
      <c r="A889" s="6" t="s">
        <v>139</v>
      </c>
      <c r="B889" s="6" t="s">
        <v>86</v>
      </c>
      <c r="C889" s="6" t="s">
        <v>308</v>
      </c>
      <c r="D889" s="6">
        <v>0.252</v>
      </c>
      <c r="E889" s="6" t="s">
        <v>86</v>
      </c>
      <c r="F889" s="6" t="s">
        <v>54</v>
      </c>
      <c r="G889" s="7">
        <v>68318.31691385624</v>
      </c>
      <c r="H889" s="6">
        <v>17216.21586229177</v>
      </c>
      <c r="I889" s="6" t="s">
        <v>180</v>
      </c>
      <c r="J889" s="15">
        <v>13.7702124860198</v>
      </c>
    </row>
    <row r="890" spans="1:10">
      <c r="A890" s="6" t="s">
        <v>139</v>
      </c>
      <c r="B890" s="6" t="s">
        <v>86</v>
      </c>
      <c r="C890" s="6" t="s">
        <v>309</v>
      </c>
      <c r="D890" s="6">
        <v>853.486</v>
      </c>
      <c r="E890" s="6" t="s">
        <v>86</v>
      </c>
      <c r="F890" s="6" t="s">
        <v>52</v>
      </c>
      <c r="G890" s="7">
        <v>76640.37565605484</v>
      </c>
      <c r="H890" s="6">
        <v>65411487.65718362</v>
      </c>
      <c r="I890" s="6" t="s">
        <v>179</v>
      </c>
      <c r="J890" s="15">
        <v>56.75</v>
      </c>
    </row>
    <row r="891" spans="1:10">
      <c r="A891" s="6" t="s">
        <v>139</v>
      </c>
      <c r="B891" s="6" t="s">
        <v>86</v>
      </c>
      <c r="C891" s="6" t="s">
        <v>310</v>
      </c>
      <c r="D891" s="6">
        <v>69.85491666666667</v>
      </c>
      <c r="E891" s="6" t="s">
        <v>86</v>
      </c>
      <c r="F891" s="6" t="s">
        <v>52</v>
      </c>
      <c r="G891" s="7">
        <v>90408.28872156367</v>
      </c>
      <c r="H891" s="6">
        <v>6315463.474620771</v>
      </c>
      <c r="I891" s="6" t="s">
        <v>179</v>
      </c>
      <c r="J891" s="15">
        <v>71.22499999999999</v>
      </c>
    </row>
    <row r="892" spans="1:10">
      <c r="A892" s="6" t="s">
        <v>139</v>
      </c>
      <c r="B892" s="6" t="s">
        <v>86</v>
      </c>
      <c r="C892" s="6" t="s">
        <v>311</v>
      </c>
      <c r="D892" s="6">
        <v>157.792</v>
      </c>
      <c r="E892" s="6" t="s">
        <v>86</v>
      </c>
      <c r="F892" s="6" t="s">
        <v>51</v>
      </c>
      <c r="G892" s="7">
        <v>45054.61286131107</v>
      </c>
      <c r="H892" s="6">
        <v>7109257.472611996</v>
      </c>
      <c r="I892" s="6" t="s">
        <v>179</v>
      </c>
      <c r="J892" s="15">
        <v>50.35</v>
      </c>
    </row>
    <row r="893" spans="1:10">
      <c r="A893" s="6" t="s">
        <v>139</v>
      </c>
      <c r="B893" s="6" t="s">
        <v>86</v>
      </c>
      <c r="C893" s="6" t="s">
        <v>312</v>
      </c>
      <c r="D893" s="6">
        <v>97.99950000000001</v>
      </c>
      <c r="E893" s="6" t="s">
        <v>86</v>
      </c>
      <c r="F893" s="6" t="s">
        <v>54</v>
      </c>
      <c r="G893" s="7">
        <v>81169.23103268788</v>
      </c>
      <c r="H893" s="6">
        <v>7954544.056587897</v>
      </c>
      <c r="I893" s="6" t="s">
        <v>179</v>
      </c>
      <c r="J893" s="15">
        <v>47.825</v>
      </c>
    </row>
    <row r="894" spans="1:10">
      <c r="A894" s="6" t="s">
        <v>139</v>
      </c>
      <c r="B894" s="6" t="s">
        <v>86</v>
      </c>
      <c r="C894" s="6" t="s">
        <v>313</v>
      </c>
      <c r="D894" s="6">
        <v>8.344916666666666</v>
      </c>
      <c r="E894" s="6" t="s">
        <v>86</v>
      </c>
      <c r="F894" s="6" t="s">
        <v>51</v>
      </c>
      <c r="G894" s="7">
        <v>53462.78643120329</v>
      </c>
      <c r="H894" s="6">
        <v>446142.4975361889</v>
      </c>
      <c r="I894" s="6" t="s">
        <v>180</v>
      </c>
      <c r="J894" s="15">
        <v>9.305914224119906</v>
      </c>
    </row>
    <row r="895" spans="1:10">
      <c r="A895" s="6" t="s">
        <v>139</v>
      </c>
      <c r="B895" s="6" t="s">
        <v>86</v>
      </c>
      <c r="C895" s="6" t="s">
        <v>314</v>
      </c>
      <c r="D895" s="6">
        <v>5.401083333333333</v>
      </c>
      <c r="E895" s="6" t="s">
        <v>86</v>
      </c>
      <c r="F895" s="6" t="s">
        <v>51</v>
      </c>
      <c r="G895" s="7">
        <v>61051.11439376624</v>
      </c>
      <c r="H895" s="6">
        <v>329742.1564335976</v>
      </c>
      <c r="I895" s="6" t="s">
        <v>180</v>
      </c>
      <c r="J895" s="15">
        <v>11.58631473715136</v>
      </c>
    </row>
    <row r="896" spans="1:10">
      <c r="A896" s="6" t="s">
        <v>139</v>
      </c>
      <c r="B896" s="6" t="s">
        <v>86</v>
      </c>
      <c r="C896" s="6" t="s">
        <v>315</v>
      </c>
      <c r="D896" s="6">
        <v>16.80125</v>
      </c>
      <c r="E896" s="6" t="s">
        <v>86</v>
      </c>
      <c r="F896" s="6" t="s">
        <v>51</v>
      </c>
      <c r="G896" s="7">
        <v>37464.72792440534</v>
      </c>
      <c r="H896" s="6">
        <v>629454.2600399152</v>
      </c>
      <c r="I896" s="6" t="s">
        <v>179</v>
      </c>
      <c r="J896" s="15">
        <v>14</v>
      </c>
    </row>
    <row r="897" spans="1:10">
      <c r="A897" s="6" t="s">
        <v>139</v>
      </c>
      <c r="B897" s="6" t="s">
        <v>86</v>
      </c>
      <c r="C897" s="6" t="s">
        <v>316</v>
      </c>
      <c r="D897" s="6">
        <v>2.1935</v>
      </c>
      <c r="E897" s="6" t="s">
        <v>86</v>
      </c>
      <c r="F897" s="6" t="s">
        <v>54</v>
      </c>
      <c r="G897" s="7">
        <v>83552.76780903985</v>
      </c>
      <c r="H897" s="6">
        <v>183272.9961891289</v>
      </c>
      <c r="I897" s="6" t="s">
        <v>180</v>
      </c>
      <c r="J897" s="15">
        <v>18.34838172284276</v>
      </c>
    </row>
    <row r="898" spans="1:10">
      <c r="A898" s="6" t="s">
        <v>139</v>
      </c>
      <c r="B898" s="6" t="s">
        <v>86</v>
      </c>
      <c r="C898" s="6" t="s">
        <v>317</v>
      </c>
      <c r="D898" s="6">
        <v>0.43675</v>
      </c>
      <c r="E898" s="6" t="s">
        <v>86</v>
      </c>
      <c r="F898" s="6" t="s">
        <v>51</v>
      </c>
      <c r="G898" s="7">
        <v>52842.46544157674</v>
      </c>
      <c r="H898" s="6">
        <v>23078.94678160864</v>
      </c>
      <c r="I898" s="6" t="s">
        <v>180</v>
      </c>
      <c r="J898" s="15">
        <v>9.119498941337266</v>
      </c>
    </row>
    <row r="899" spans="1:10">
      <c r="A899" s="6" t="s">
        <v>139</v>
      </c>
      <c r="B899" s="6" t="s">
        <v>86</v>
      </c>
      <c r="C899" s="6" t="s">
        <v>319</v>
      </c>
      <c r="D899" s="6">
        <v>88.81616666666667</v>
      </c>
      <c r="E899" s="6" t="s">
        <v>86</v>
      </c>
      <c r="F899" s="6" t="s">
        <v>52</v>
      </c>
      <c r="G899" s="7">
        <v>75015.8326520299</v>
      </c>
      <c r="H899" s="6">
        <v>6662618.695461464</v>
      </c>
      <c r="I899" s="6" t="s">
        <v>179</v>
      </c>
      <c r="J899" s="15">
        <v>68.13333333333333</v>
      </c>
    </row>
    <row r="900" spans="1:10">
      <c r="A900" s="6" t="s">
        <v>139</v>
      </c>
      <c r="B900" s="6" t="s">
        <v>90</v>
      </c>
      <c r="C900" s="6" t="s">
        <v>363</v>
      </c>
      <c r="D900" s="6">
        <v>28.19275</v>
      </c>
      <c r="E900" s="6" t="s">
        <v>86</v>
      </c>
      <c r="F900" s="6" t="s">
        <v>52</v>
      </c>
      <c r="G900" s="7">
        <v>59918.03179942394</v>
      </c>
      <c r="H900" s="6">
        <v>1689254.091013209</v>
      </c>
      <c r="I900" s="6" t="s">
        <v>180</v>
      </c>
      <c r="J900" s="15">
        <v>12.43871031134531</v>
      </c>
    </row>
    <row r="901" spans="1:10">
      <c r="A901" s="6" t="s">
        <v>139</v>
      </c>
      <c r="B901" s="6" t="s">
        <v>86</v>
      </c>
      <c r="C901" s="6" t="s">
        <v>320</v>
      </c>
      <c r="D901" s="6">
        <v>68.67900000000002</v>
      </c>
      <c r="E901" s="6" t="s">
        <v>86</v>
      </c>
      <c r="F901" s="6" t="s">
        <v>51</v>
      </c>
      <c r="G901" s="7">
        <v>52021.16753243782</v>
      </c>
      <c r="H901" s="6">
        <v>3572761.764960297</v>
      </c>
      <c r="I901" s="6" t="s">
        <v>179</v>
      </c>
      <c r="J901" s="15">
        <v>101.05</v>
      </c>
    </row>
    <row r="902" spans="1:10">
      <c r="A902" s="6" t="s">
        <v>139</v>
      </c>
      <c r="B902" s="6" t="s">
        <v>90</v>
      </c>
      <c r="C902" s="6" t="s">
        <v>321</v>
      </c>
      <c r="D902" s="6">
        <v>6.273416666666667</v>
      </c>
      <c r="E902" s="6" t="s">
        <v>86</v>
      </c>
      <c r="F902" s="6" t="s">
        <v>54</v>
      </c>
      <c r="G902" s="7">
        <v>49362.0809529337</v>
      </c>
      <c r="H902" s="6">
        <v>309668.9013514835</v>
      </c>
      <c r="I902" s="6" t="s">
        <v>180</v>
      </c>
      <c r="J902" s="15">
        <v>9.05633937056912</v>
      </c>
    </row>
    <row r="903" spans="1:10">
      <c r="A903" s="6" t="s">
        <v>139</v>
      </c>
      <c r="B903" s="6" t="s">
        <v>86</v>
      </c>
      <c r="C903" s="6" t="s">
        <v>322</v>
      </c>
      <c r="D903" s="6">
        <v>68.41191666666667</v>
      </c>
      <c r="E903" s="6" t="s">
        <v>86</v>
      </c>
      <c r="F903" s="6" t="s">
        <v>51</v>
      </c>
      <c r="G903" s="7">
        <v>45195.78581875691</v>
      </c>
      <c r="H903" s="6">
        <v>3091930.333117313</v>
      </c>
      <c r="I903" s="6" t="s">
        <v>179</v>
      </c>
      <c r="J903" s="15">
        <v>55</v>
      </c>
    </row>
    <row r="904" spans="1:10">
      <c r="A904" s="6" t="s">
        <v>139</v>
      </c>
      <c r="B904" s="6" t="s">
        <v>86</v>
      </c>
      <c r="C904" s="6" t="s">
        <v>323</v>
      </c>
      <c r="D904" s="6">
        <v>49.98066666666667</v>
      </c>
      <c r="E904" s="6" t="s">
        <v>86</v>
      </c>
      <c r="F904" s="6" t="s">
        <v>55</v>
      </c>
      <c r="G904" s="7">
        <v>51933.23768987774</v>
      </c>
      <c r="H904" s="6">
        <v>2595657.84189855</v>
      </c>
      <c r="I904" s="6" t="s">
        <v>179</v>
      </c>
      <c r="J904" s="15">
        <v>44.21666666666667</v>
      </c>
    </row>
    <row r="905" spans="1:10">
      <c r="A905" s="6" t="s">
        <v>139</v>
      </c>
      <c r="B905" s="6" t="s">
        <v>101</v>
      </c>
      <c r="C905" s="6" t="s">
        <v>324</v>
      </c>
      <c r="D905" s="6">
        <v>132.7455</v>
      </c>
      <c r="E905" s="6" t="s">
        <v>86</v>
      </c>
      <c r="F905" s="6" t="s">
        <v>51</v>
      </c>
      <c r="G905" s="7">
        <v>24363.28610429227</v>
      </c>
      <c r="H905" s="6">
        <v>3234116.59555733</v>
      </c>
      <c r="I905" s="6" t="s">
        <v>380</v>
      </c>
      <c r="J905" s="15">
        <v>5.541767344151172</v>
      </c>
    </row>
    <row r="906" spans="1:10">
      <c r="A906" s="6" t="s">
        <v>139</v>
      </c>
      <c r="B906" s="6" t="s">
        <v>86</v>
      </c>
      <c r="C906" s="6" t="s">
        <v>372</v>
      </c>
      <c r="D906" s="6">
        <v>0.6693333333333333</v>
      </c>
      <c r="E906" s="6" t="s">
        <v>86</v>
      </c>
      <c r="F906" s="6" t="s">
        <v>55</v>
      </c>
      <c r="G906" s="7">
        <v>91947.22414896538</v>
      </c>
      <c r="H906" s="6">
        <v>61543.34203037417</v>
      </c>
      <c r="I906" s="6" t="s">
        <v>180</v>
      </c>
      <c r="J906" s="15">
        <v>20.87103528218113</v>
      </c>
    </row>
    <row r="907" spans="1:10">
      <c r="A907" s="6" t="s">
        <v>139</v>
      </c>
      <c r="B907" s="6" t="s">
        <v>90</v>
      </c>
      <c r="C907" s="6" t="s">
        <v>325</v>
      </c>
      <c r="D907" s="6">
        <v>0.4678333333333333</v>
      </c>
      <c r="E907" s="6" t="s">
        <v>86</v>
      </c>
      <c r="F907" s="6" t="s">
        <v>53</v>
      </c>
      <c r="G907" s="7">
        <v>27183.84720656899</v>
      </c>
      <c r="H907" s="6">
        <v>12717.50985147319</v>
      </c>
      <c r="I907" s="6" t="s">
        <v>179</v>
      </c>
      <c r="J907" s="15">
        <v>16</v>
      </c>
    </row>
    <row r="908" spans="1:10">
      <c r="A908" s="6" t="s">
        <v>139</v>
      </c>
      <c r="B908" s="6" t="s">
        <v>86</v>
      </c>
      <c r="C908" s="6" t="s">
        <v>364</v>
      </c>
      <c r="D908" s="6">
        <v>15.16258333333333</v>
      </c>
      <c r="E908" s="6" t="s">
        <v>86</v>
      </c>
      <c r="F908" s="6" t="s">
        <v>52</v>
      </c>
      <c r="G908" s="7">
        <v>56618.13707440715</v>
      </c>
      <c r="H908" s="6">
        <v>858477.2215687879</v>
      </c>
      <c r="I908" s="6" t="s">
        <v>179</v>
      </c>
      <c r="J908" s="15">
        <v>40.41666666666667</v>
      </c>
    </row>
    <row r="909" spans="1:10">
      <c r="A909" s="6" t="s">
        <v>139</v>
      </c>
      <c r="B909" s="6" t="s">
        <v>90</v>
      </c>
      <c r="C909" s="6" t="s">
        <v>326</v>
      </c>
      <c r="D909" s="6">
        <v>243.9113333333333</v>
      </c>
      <c r="E909" s="6" t="s">
        <v>86</v>
      </c>
      <c r="F909" s="6" t="s">
        <v>54</v>
      </c>
      <c r="G909" s="7">
        <v>73204.69251441542</v>
      </c>
      <c r="H909" s="6">
        <v>17855454.15744775</v>
      </c>
      <c r="I909" s="6" t="s">
        <v>179</v>
      </c>
      <c r="J909" s="15">
        <v>50.55</v>
      </c>
    </row>
    <row r="910" spans="1:10">
      <c r="A910" s="6" t="s">
        <v>139</v>
      </c>
      <c r="B910" s="6" t="s">
        <v>86</v>
      </c>
      <c r="C910" s="6" t="s">
        <v>373</v>
      </c>
      <c r="D910" s="6">
        <v>0.3738333333333334</v>
      </c>
      <c r="E910" s="6" t="s">
        <v>86</v>
      </c>
      <c r="F910" s="6" t="s">
        <v>55</v>
      </c>
      <c r="G910" s="7">
        <v>61336.46875046419</v>
      </c>
      <c r="H910" s="6">
        <v>22929.61656788187</v>
      </c>
      <c r="I910" s="6" t="s">
        <v>180</v>
      </c>
      <c r="J910" s="15">
        <v>11.67206778111837</v>
      </c>
    </row>
    <row r="911" spans="1:10">
      <c r="A911" s="6" t="s">
        <v>139</v>
      </c>
      <c r="B911" s="6" t="s">
        <v>86</v>
      </c>
      <c r="C911" s="6" t="s">
        <v>374</v>
      </c>
      <c r="D911" s="6">
        <v>0.17275</v>
      </c>
      <c r="E911" s="6" t="s">
        <v>86</v>
      </c>
      <c r="F911" s="6" t="s">
        <v>55</v>
      </c>
      <c r="G911" s="7">
        <v>66583.71341381679</v>
      </c>
      <c r="H911" s="6">
        <v>11502.33649223685</v>
      </c>
      <c r="I911" s="6" t="s">
        <v>180</v>
      </c>
      <c r="J911" s="15">
        <v>13.24893945579351</v>
      </c>
    </row>
    <row r="912" spans="1:10">
      <c r="A912" s="6" t="s">
        <v>139</v>
      </c>
      <c r="B912" s="6" t="s">
        <v>86</v>
      </c>
      <c r="C912" s="6" t="s">
        <v>327</v>
      </c>
      <c r="D912" s="6">
        <v>80.11724999999998</v>
      </c>
      <c r="E912" s="6" t="s">
        <v>86</v>
      </c>
      <c r="F912" s="6" t="s">
        <v>57</v>
      </c>
      <c r="G912" s="7">
        <v>42782.89879327323</v>
      </c>
      <c r="H912" s="6">
        <v>3427648.198345369</v>
      </c>
      <c r="I912" s="6" t="s">
        <v>179</v>
      </c>
      <c r="J912" s="15">
        <v>30.675</v>
      </c>
    </row>
    <row r="913" spans="1:10">
      <c r="A913" s="6" t="s">
        <v>139</v>
      </c>
      <c r="B913" s="6" t="s">
        <v>86</v>
      </c>
      <c r="C913" s="6" t="s">
        <v>328</v>
      </c>
      <c r="D913" s="6">
        <v>0.42975</v>
      </c>
      <c r="E913" s="6" t="s">
        <v>86</v>
      </c>
      <c r="F913" s="6" t="s">
        <v>58</v>
      </c>
      <c r="G913" s="7">
        <v>63344.38696068728</v>
      </c>
      <c r="H913" s="6">
        <v>27222.25029635536</v>
      </c>
      <c r="I913" s="6" t="s">
        <v>180</v>
      </c>
      <c r="J913" s="15">
        <v>12.27547577024427</v>
      </c>
    </row>
    <row r="914" spans="1:10">
      <c r="A914" s="6" t="s">
        <v>139</v>
      </c>
      <c r="B914" s="6" t="s">
        <v>90</v>
      </c>
      <c r="C914" s="6" t="s">
        <v>329</v>
      </c>
      <c r="D914" s="6">
        <v>227.2025833333333</v>
      </c>
      <c r="E914" s="6" t="s">
        <v>86</v>
      </c>
      <c r="F914" s="6" t="s">
        <v>58</v>
      </c>
      <c r="G914" s="7">
        <v>59375.40509749136</v>
      </c>
      <c r="H914" s="6">
        <v>13490245.4246132</v>
      </c>
      <c r="I914" s="6" t="s">
        <v>180</v>
      </c>
      <c r="J914" s="15">
        <v>12.2648401583864</v>
      </c>
    </row>
    <row r="915" spans="1:10">
      <c r="A915" s="6" t="s">
        <v>139</v>
      </c>
      <c r="B915" s="6" t="s">
        <v>86</v>
      </c>
      <c r="C915" s="6" t="s">
        <v>330</v>
      </c>
      <c r="D915" s="6">
        <v>20.88116666666667</v>
      </c>
      <c r="E915" s="6" t="s">
        <v>86</v>
      </c>
      <c r="F915" s="6" t="s">
        <v>52</v>
      </c>
      <c r="G915" s="7">
        <v>68396.7450959322</v>
      </c>
      <c r="H915" s="6">
        <v>1428203.833805677</v>
      </c>
      <c r="I915" s="6" t="s">
        <v>179</v>
      </c>
      <c r="J915" s="15">
        <v>71.97499999999999</v>
      </c>
    </row>
    <row r="916" spans="1:10">
      <c r="A916" s="6" t="s">
        <v>139</v>
      </c>
      <c r="B916" s="6" t="s">
        <v>86</v>
      </c>
      <c r="C916" s="6" t="s">
        <v>365</v>
      </c>
      <c r="D916" s="6">
        <v>1.869</v>
      </c>
      <c r="E916" s="6" t="s">
        <v>86</v>
      </c>
      <c r="F916" s="6" t="s">
        <v>53</v>
      </c>
      <c r="G916" s="7">
        <v>49907.27415437595</v>
      </c>
      <c r="H916" s="6">
        <v>93276.69539452867</v>
      </c>
      <c r="I916" s="6" t="s">
        <v>179</v>
      </c>
      <c r="J916" s="15">
        <v>8</v>
      </c>
    </row>
    <row r="917" spans="1:10">
      <c r="A917" s="6" t="s">
        <v>139</v>
      </c>
      <c r="B917" s="6" t="s">
        <v>90</v>
      </c>
      <c r="C917" s="6" t="s">
        <v>331</v>
      </c>
      <c r="D917" s="6">
        <v>72.56366666666666</v>
      </c>
      <c r="E917" s="6" t="s">
        <v>86</v>
      </c>
      <c r="F917" s="6" t="s">
        <v>58</v>
      </c>
      <c r="G917" s="7">
        <v>62490.71047845359</v>
      </c>
      <c r="H917" s="6">
        <v>4534555.08492168</v>
      </c>
      <c r="I917" s="6" t="s">
        <v>180</v>
      </c>
      <c r="J917" s="15">
        <v>13.26305609794943</v>
      </c>
    </row>
    <row r="918" spans="1:10">
      <c r="A918" s="6" t="s">
        <v>139</v>
      </c>
      <c r="B918" s="6" t="s">
        <v>86</v>
      </c>
      <c r="C918" s="6" t="s">
        <v>332</v>
      </c>
      <c r="D918" s="6">
        <v>464.1724166666667</v>
      </c>
      <c r="E918" s="6" t="s">
        <v>86</v>
      </c>
      <c r="F918" s="6" t="s">
        <v>55</v>
      </c>
      <c r="G918" s="7">
        <v>52935.75827117996</v>
      </c>
      <c r="H918" s="6">
        <v>24571318.84481609</v>
      </c>
      <c r="I918" s="6" t="s">
        <v>179</v>
      </c>
      <c r="J918" s="15">
        <v>39.75833333333333</v>
      </c>
    </row>
    <row r="919" spans="1:10">
      <c r="A919" s="6" t="s">
        <v>139</v>
      </c>
      <c r="B919" s="6" t="s">
        <v>86</v>
      </c>
      <c r="C919" s="6" t="s">
        <v>375</v>
      </c>
      <c r="D919" s="6">
        <v>1.41025</v>
      </c>
      <c r="E919" s="6" t="s">
        <v>86</v>
      </c>
      <c r="F919" s="6" t="s">
        <v>55</v>
      </c>
      <c r="G919" s="7">
        <v>53013.0959774591</v>
      </c>
      <c r="H919" s="6">
        <v>74761.71860221169</v>
      </c>
      <c r="I919" s="6" t="s">
        <v>180</v>
      </c>
      <c r="J919" s="15">
        <v>9.170775844956172</v>
      </c>
    </row>
    <row r="920" spans="1:10">
      <c r="A920" s="6" t="s">
        <v>139</v>
      </c>
      <c r="B920" s="6" t="s">
        <v>86</v>
      </c>
      <c r="C920" s="6" t="s">
        <v>333</v>
      </c>
      <c r="D920" s="6">
        <v>53.97591666666667</v>
      </c>
      <c r="E920" s="6" t="s">
        <v>86</v>
      </c>
      <c r="F920" s="6" t="s">
        <v>51</v>
      </c>
      <c r="G920" s="7">
        <v>51556.63499677741</v>
      </c>
      <c r="H920" s="6">
        <v>2782816.634199808</v>
      </c>
      <c r="I920" s="6" t="s">
        <v>180</v>
      </c>
      <c r="J920" s="15">
        <v>8.73308859897227</v>
      </c>
    </row>
    <row r="921" spans="1:10">
      <c r="A921" s="6" t="s">
        <v>139</v>
      </c>
      <c r="B921" s="6" t="s">
        <v>92</v>
      </c>
      <c r="C921" s="6" t="s">
        <v>194</v>
      </c>
      <c r="D921" s="6">
        <v>0.2043333333333333</v>
      </c>
      <c r="E921" s="6" t="s">
        <v>88</v>
      </c>
      <c r="F921" s="6" t="s">
        <v>58</v>
      </c>
      <c r="G921" s="7">
        <v>50041.91995236529</v>
      </c>
      <c r="H921" s="6">
        <v>10225.23231026664</v>
      </c>
      <c r="I921" s="6" t="s">
        <v>180</v>
      </c>
      <c r="J921" s="15">
        <v>11.97643504980967</v>
      </c>
    </row>
    <row r="922" spans="1:10">
      <c r="A922" s="6" t="s">
        <v>139</v>
      </c>
      <c r="B922" s="6" t="s">
        <v>88</v>
      </c>
      <c r="C922" s="6" t="s">
        <v>195</v>
      </c>
      <c r="D922" s="6">
        <v>4.178569341485005</v>
      </c>
      <c r="E922" s="6" t="s">
        <v>88</v>
      </c>
      <c r="F922" s="6" t="s">
        <v>54</v>
      </c>
      <c r="G922" s="7">
        <v>42234.92390540216</v>
      </c>
      <c r="H922" s="6">
        <v>176481.5581710656</v>
      </c>
      <c r="I922" s="6" t="s">
        <v>180</v>
      </c>
      <c r="J922" s="15">
        <v>21.67396938950999</v>
      </c>
    </row>
    <row r="923" spans="1:10">
      <c r="A923" s="6" t="s">
        <v>139</v>
      </c>
      <c r="B923" s="6" t="s">
        <v>92</v>
      </c>
      <c r="C923" s="6" t="s">
        <v>195</v>
      </c>
      <c r="D923" s="6">
        <v>8.926180658514994</v>
      </c>
      <c r="E923" s="6" t="s">
        <v>88</v>
      </c>
      <c r="F923" s="6" t="s">
        <v>54</v>
      </c>
      <c r="G923" s="7">
        <v>74005.80825338791</v>
      </c>
      <c r="H923" s="6">
        <v>660589.2142491605</v>
      </c>
      <c r="I923" s="6" t="s">
        <v>180</v>
      </c>
      <c r="J923" s="15">
        <v>20.94906742477332</v>
      </c>
    </row>
    <row r="924" spans="1:10">
      <c r="A924" s="6" t="s">
        <v>139</v>
      </c>
      <c r="B924" s="6" t="s">
        <v>88</v>
      </c>
      <c r="C924" s="6" t="s">
        <v>335</v>
      </c>
      <c r="D924" s="6">
        <v>802.7560833333334</v>
      </c>
      <c r="E924" s="6" t="s">
        <v>88</v>
      </c>
      <c r="F924" s="6" t="s">
        <v>52</v>
      </c>
      <c r="G924" s="7">
        <v>44280.88015614714</v>
      </c>
      <c r="H924" s="6">
        <v>35546745.92070141</v>
      </c>
      <c r="I924" s="6" t="s">
        <v>179</v>
      </c>
      <c r="J924" s="15">
        <v>39</v>
      </c>
    </row>
    <row r="925" spans="1:10">
      <c r="A925" s="6" t="s">
        <v>139</v>
      </c>
      <c r="B925" s="6" t="s">
        <v>92</v>
      </c>
      <c r="C925" s="6" t="s">
        <v>197</v>
      </c>
      <c r="D925" s="6">
        <v>53.09375</v>
      </c>
      <c r="E925" s="6" t="s">
        <v>88</v>
      </c>
      <c r="F925" s="6" t="s">
        <v>53</v>
      </c>
      <c r="G925" s="7">
        <v>63461.32463788219</v>
      </c>
      <c r="H925" s="6">
        <v>3369399.704992557</v>
      </c>
      <c r="I925" s="6" t="s">
        <v>180</v>
      </c>
      <c r="J925" s="15">
        <v>17.00096960870551</v>
      </c>
    </row>
    <row r="926" spans="1:10">
      <c r="A926" s="6" t="s">
        <v>139</v>
      </c>
      <c r="B926" s="6" t="s">
        <v>88</v>
      </c>
      <c r="C926" s="6" t="s">
        <v>198</v>
      </c>
      <c r="D926" s="6">
        <v>15.88875</v>
      </c>
      <c r="E926" s="6" t="s">
        <v>88</v>
      </c>
      <c r="F926" s="6" t="s">
        <v>58</v>
      </c>
      <c r="G926" s="7">
        <v>47148.15846411035</v>
      </c>
      <c r="H926" s="6">
        <v>749125.3027966333</v>
      </c>
      <c r="I926" s="6" t="s">
        <v>180</v>
      </c>
      <c r="J926" s="15">
        <v>24.98177205229451</v>
      </c>
    </row>
    <row r="927" spans="1:10">
      <c r="A927" s="6" t="s">
        <v>139</v>
      </c>
      <c r="B927" s="6" t="s">
        <v>92</v>
      </c>
      <c r="C927" s="6" t="s">
        <v>199</v>
      </c>
      <c r="D927" s="6">
        <v>47.27558333333333</v>
      </c>
      <c r="E927" s="6" t="s">
        <v>88</v>
      </c>
      <c r="F927" s="6" t="s">
        <v>57</v>
      </c>
      <c r="G927" s="7">
        <v>45943.9020712533</v>
      </c>
      <c r="H927" s="6">
        <v>2172024.771028041</v>
      </c>
      <c r="I927" s="6" t="s">
        <v>179</v>
      </c>
      <c r="J927" s="15">
        <v>30.95</v>
      </c>
    </row>
    <row r="928" spans="1:10">
      <c r="A928" s="6" t="s">
        <v>139</v>
      </c>
      <c r="B928" s="6" t="s">
        <v>88</v>
      </c>
      <c r="C928" s="6" t="s">
        <v>337</v>
      </c>
      <c r="D928" s="6">
        <v>8.164250000000001</v>
      </c>
      <c r="E928" s="6" t="s">
        <v>88</v>
      </c>
      <c r="F928" s="6" t="s">
        <v>52</v>
      </c>
      <c r="G928" s="7">
        <v>44335.59781697809</v>
      </c>
      <c r="H928" s="6">
        <v>361966.9044772634</v>
      </c>
      <c r="I928" s="6" t="s">
        <v>180</v>
      </c>
      <c r="J928" s="15">
        <v>23.08823420331521</v>
      </c>
    </row>
    <row r="929" spans="1:10">
      <c r="A929" s="6" t="s">
        <v>139</v>
      </c>
      <c r="B929" s="6" t="s">
        <v>88</v>
      </c>
      <c r="C929" s="6" t="s">
        <v>200</v>
      </c>
      <c r="D929" s="6">
        <v>140.3050833333333</v>
      </c>
      <c r="E929" s="6" t="s">
        <v>88</v>
      </c>
      <c r="F929" s="6" t="s">
        <v>52</v>
      </c>
      <c r="G929" s="7">
        <v>32832.77265499769</v>
      </c>
      <c r="H929" s="6">
        <v>4606604.903423839</v>
      </c>
      <c r="I929" s="6" t="s">
        <v>179</v>
      </c>
      <c r="J929" s="15">
        <v>28.025</v>
      </c>
    </row>
    <row r="930" spans="1:10">
      <c r="A930" s="6" t="s">
        <v>139</v>
      </c>
      <c r="B930" s="6" t="s">
        <v>92</v>
      </c>
      <c r="C930" s="6" t="s">
        <v>201</v>
      </c>
      <c r="D930" s="6">
        <v>16.70283333333333</v>
      </c>
      <c r="E930" s="6" t="s">
        <v>88</v>
      </c>
      <c r="F930" s="6" t="s">
        <v>56</v>
      </c>
      <c r="G930" s="7">
        <v>64076.14664886126</v>
      </c>
      <c r="H930" s="6">
        <v>1070253.198118155</v>
      </c>
      <c r="I930" s="6" t="s">
        <v>180</v>
      </c>
      <c r="J930" s="15">
        <v>17.23117314709855</v>
      </c>
    </row>
    <row r="931" spans="1:10">
      <c r="A931" s="6" t="s">
        <v>139</v>
      </c>
      <c r="B931" s="6" t="s">
        <v>88</v>
      </c>
      <c r="C931" s="6" t="s">
        <v>202</v>
      </c>
      <c r="D931" s="6">
        <v>1271.925166666667</v>
      </c>
      <c r="E931" s="6" t="s">
        <v>88</v>
      </c>
      <c r="F931" s="6" t="s">
        <v>54</v>
      </c>
      <c r="G931" s="7">
        <v>52343.66061009689</v>
      </c>
      <c r="H931" s="6">
        <v>66577219.24544092</v>
      </c>
      <c r="I931" s="6" t="s">
        <v>180</v>
      </c>
      <c r="J931" s="15">
        <v>28.47960950085214</v>
      </c>
    </row>
    <row r="932" spans="1:10">
      <c r="A932" s="6" t="s">
        <v>139</v>
      </c>
      <c r="B932" s="6" t="s">
        <v>86</v>
      </c>
      <c r="C932" s="6" t="s">
        <v>203</v>
      </c>
      <c r="D932" s="6">
        <v>499.0579166666666</v>
      </c>
      <c r="E932" s="6" t="s">
        <v>88</v>
      </c>
      <c r="F932" s="6" t="s">
        <v>53</v>
      </c>
      <c r="G932" s="7">
        <v>22045.15542894867</v>
      </c>
      <c r="H932" s="6">
        <v>11001809.34096398</v>
      </c>
      <c r="I932" s="6" t="s">
        <v>179</v>
      </c>
      <c r="J932" s="15">
        <v>8</v>
      </c>
    </row>
    <row r="933" spans="1:10">
      <c r="A933" s="6" t="s">
        <v>139</v>
      </c>
      <c r="B933" s="6" t="s">
        <v>92</v>
      </c>
      <c r="C933" s="6" t="s">
        <v>204</v>
      </c>
      <c r="D933" s="6">
        <v>2500.7715</v>
      </c>
      <c r="E933" s="6" t="s">
        <v>88</v>
      </c>
      <c r="F933" s="6" t="s">
        <v>51</v>
      </c>
      <c r="G933" s="7">
        <v>45931.03732154475</v>
      </c>
      <c r="H933" s="6">
        <v>114863029.0991555</v>
      </c>
      <c r="I933" s="6" t="s">
        <v>179</v>
      </c>
      <c r="J933" s="15">
        <v>41.54166666666667</v>
      </c>
    </row>
    <row r="934" spans="1:10">
      <c r="A934" s="6" t="s">
        <v>139</v>
      </c>
      <c r="B934" s="6" t="s">
        <v>88</v>
      </c>
      <c r="C934" s="6" t="s">
        <v>338</v>
      </c>
      <c r="D934" s="6">
        <v>2.61025</v>
      </c>
      <c r="E934" s="6" t="s">
        <v>88</v>
      </c>
      <c r="F934" s="6" t="s">
        <v>52</v>
      </c>
      <c r="G934" s="7">
        <v>44335.59781697809</v>
      </c>
      <c r="H934" s="6">
        <v>115726.9942017671</v>
      </c>
      <c r="I934" s="6" t="s">
        <v>180</v>
      </c>
      <c r="J934" s="15">
        <v>23.08823420331521</v>
      </c>
    </row>
    <row r="935" spans="1:10">
      <c r="A935" s="6" t="s">
        <v>139</v>
      </c>
      <c r="B935" s="6" t="s">
        <v>88</v>
      </c>
      <c r="C935" s="6" t="s">
        <v>205</v>
      </c>
      <c r="D935" s="6">
        <v>637.0635000000001</v>
      </c>
      <c r="E935" s="6" t="s">
        <v>88</v>
      </c>
      <c r="F935" s="6" t="s">
        <v>56</v>
      </c>
      <c r="G935" s="7">
        <v>38874.1891890203</v>
      </c>
      <c r="H935" s="6">
        <v>24765327.02441944</v>
      </c>
      <c r="I935" s="6" t="s">
        <v>180</v>
      </c>
      <c r="J935" s="15">
        <v>19.4113769748944</v>
      </c>
    </row>
    <row r="936" spans="1:10">
      <c r="A936" s="6" t="s">
        <v>139</v>
      </c>
      <c r="B936" s="6" t="s">
        <v>92</v>
      </c>
      <c r="C936" s="6" t="s">
        <v>206</v>
      </c>
      <c r="D936" s="6">
        <v>6.860416666666667</v>
      </c>
      <c r="E936" s="6" t="s">
        <v>88</v>
      </c>
      <c r="F936" s="6" t="s">
        <v>55</v>
      </c>
      <c r="G936" s="7">
        <v>31981.7567354776</v>
      </c>
      <c r="H936" s="6">
        <v>219408.1769373495</v>
      </c>
      <c r="I936" s="6" t="s">
        <v>179</v>
      </c>
      <c r="J936" s="15">
        <v>16</v>
      </c>
    </row>
    <row r="937" spans="1:10">
      <c r="A937" s="6" t="s">
        <v>139</v>
      </c>
      <c r="B937" s="6" t="s">
        <v>92</v>
      </c>
      <c r="C937" s="6" t="s">
        <v>340</v>
      </c>
      <c r="D937" s="6">
        <v>118.7876666666667</v>
      </c>
      <c r="E937" s="6" t="s">
        <v>88</v>
      </c>
      <c r="F937" s="6" t="s">
        <v>52</v>
      </c>
      <c r="G937" s="7">
        <v>30591.57365130842</v>
      </c>
      <c r="H937" s="6">
        <v>3633901.653700407</v>
      </c>
      <c r="I937" s="6" t="s">
        <v>180</v>
      </c>
      <c r="J937" s="15">
        <v>4.69377687961323</v>
      </c>
    </row>
    <row r="938" spans="1:10">
      <c r="A938" s="6" t="s">
        <v>139</v>
      </c>
      <c r="B938" s="6" t="s">
        <v>92</v>
      </c>
      <c r="C938" s="6" t="s">
        <v>207</v>
      </c>
      <c r="D938" s="6">
        <v>0.2558333333333334</v>
      </c>
      <c r="E938" s="6" t="s">
        <v>88</v>
      </c>
      <c r="F938" s="6" t="s">
        <v>55</v>
      </c>
      <c r="G938" s="7">
        <v>35193.17601920018</v>
      </c>
      <c r="H938" s="6">
        <v>9003.587531578714</v>
      </c>
      <c r="I938" s="6" t="s">
        <v>180</v>
      </c>
      <c r="J938" s="15">
        <v>6.416722916759179</v>
      </c>
    </row>
    <row r="939" spans="1:10">
      <c r="A939" s="6" t="s">
        <v>139</v>
      </c>
      <c r="B939" s="6" t="s">
        <v>92</v>
      </c>
      <c r="C939" s="6" t="s">
        <v>208</v>
      </c>
      <c r="D939" s="6">
        <v>2.200666666666667</v>
      </c>
      <c r="E939" s="6" t="s">
        <v>88</v>
      </c>
      <c r="F939" s="6" t="s">
        <v>51</v>
      </c>
      <c r="G939" s="7">
        <v>50504.79293432883</v>
      </c>
      <c r="H939" s="6">
        <v>111144.2143174797</v>
      </c>
      <c r="I939" s="6" t="s">
        <v>180</v>
      </c>
      <c r="J939" s="15">
        <v>12.14974536787207</v>
      </c>
    </row>
    <row r="940" spans="1:10">
      <c r="A940" s="6" t="s">
        <v>139</v>
      </c>
      <c r="B940" s="6" t="s">
        <v>92</v>
      </c>
      <c r="C940" s="6" t="s">
        <v>209</v>
      </c>
      <c r="D940" s="6">
        <v>0.2256666666666667</v>
      </c>
      <c r="E940" s="6" t="s">
        <v>88</v>
      </c>
      <c r="F940" s="6" t="s">
        <v>57</v>
      </c>
      <c r="G940" s="7">
        <v>37511.68520504731</v>
      </c>
      <c r="H940" s="6">
        <v>8465.136961272343</v>
      </c>
      <c r="I940" s="6" t="s">
        <v>180</v>
      </c>
      <c r="J940" s="15">
        <v>7.284826219581484</v>
      </c>
    </row>
    <row r="941" spans="1:10">
      <c r="A941" s="6" t="s">
        <v>139</v>
      </c>
      <c r="B941" s="6" t="s">
        <v>92</v>
      </c>
      <c r="C941" s="6" t="s">
        <v>210</v>
      </c>
      <c r="D941" s="6">
        <v>0.4045833333333334</v>
      </c>
      <c r="E941" s="6" t="s">
        <v>88</v>
      </c>
      <c r="F941" s="6" t="s">
        <v>53</v>
      </c>
      <c r="G941" s="7">
        <v>49345.5773914262</v>
      </c>
      <c r="H941" s="6">
        <v>19964.39818628119</v>
      </c>
      <c r="I941" s="6" t="s">
        <v>180</v>
      </c>
      <c r="J941" s="15">
        <v>11.71570833768923</v>
      </c>
    </row>
    <row r="942" spans="1:10">
      <c r="A942" s="6" t="s">
        <v>139</v>
      </c>
      <c r="B942" s="6" t="s">
        <v>92</v>
      </c>
      <c r="C942" s="6" t="s">
        <v>211</v>
      </c>
      <c r="D942" s="6">
        <v>404.5624166666666</v>
      </c>
      <c r="E942" s="6" t="s">
        <v>88</v>
      </c>
      <c r="F942" s="6" t="s">
        <v>55</v>
      </c>
      <c r="G942" s="7">
        <v>25336.04217074411</v>
      </c>
      <c r="H942" s="6">
        <v>10250010.44936481</v>
      </c>
      <c r="I942" s="6" t="s">
        <v>179</v>
      </c>
      <c r="J942" s="15">
        <v>16</v>
      </c>
    </row>
    <row r="943" spans="1:10">
      <c r="A943" s="6" t="s">
        <v>139</v>
      </c>
      <c r="B943" s="6" t="s">
        <v>92</v>
      </c>
      <c r="C943" s="6" t="s">
        <v>377</v>
      </c>
      <c r="D943" s="6">
        <v>4.25175</v>
      </c>
      <c r="E943" s="6" t="s">
        <v>88</v>
      </c>
      <c r="F943" s="6" t="s">
        <v>51</v>
      </c>
      <c r="G943" s="7">
        <v>38568.74339775931</v>
      </c>
      <c r="H943" s="6">
        <v>163984.6547414231</v>
      </c>
      <c r="I943" s="6" t="s">
        <v>180</v>
      </c>
      <c r="J943" s="15">
        <v>7.680613182156479</v>
      </c>
    </row>
    <row r="944" spans="1:10">
      <c r="A944" s="6" t="s">
        <v>139</v>
      </c>
      <c r="B944" s="6" t="s">
        <v>92</v>
      </c>
      <c r="C944" s="6" t="s">
        <v>212</v>
      </c>
      <c r="D944" s="6">
        <v>25.90866666666667</v>
      </c>
      <c r="E944" s="6" t="s">
        <v>88</v>
      </c>
      <c r="F944" s="6" t="s">
        <v>55</v>
      </c>
      <c r="G944" s="7">
        <v>23468.05749758728</v>
      </c>
      <c r="H944" s="6">
        <v>608026.0790191562</v>
      </c>
      <c r="I944" s="6" t="s">
        <v>179</v>
      </c>
      <c r="J944" s="15">
        <v>15</v>
      </c>
    </row>
    <row r="945" spans="1:10">
      <c r="A945" s="6" t="s">
        <v>139</v>
      </c>
      <c r="B945" s="6" t="s">
        <v>88</v>
      </c>
      <c r="C945" s="6" t="s">
        <v>213</v>
      </c>
      <c r="D945" s="6">
        <v>16.92391666666666</v>
      </c>
      <c r="E945" s="6" t="s">
        <v>88</v>
      </c>
      <c r="F945" s="6" t="s">
        <v>52</v>
      </c>
      <c r="G945" s="7">
        <v>44335.59781697809</v>
      </c>
      <c r="H945" s="6">
        <v>750331.9628213856</v>
      </c>
      <c r="I945" s="6" t="s">
        <v>180</v>
      </c>
      <c r="J945" s="15">
        <v>23.08823420331521</v>
      </c>
    </row>
    <row r="946" spans="1:10">
      <c r="A946" s="6" t="s">
        <v>139</v>
      </c>
      <c r="B946" s="6" t="s">
        <v>92</v>
      </c>
      <c r="C946" s="6" t="s">
        <v>214</v>
      </c>
      <c r="D946" s="6">
        <v>0.3579166666666667</v>
      </c>
      <c r="E946" s="6" t="s">
        <v>88</v>
      </c>
      <c r="F946" s="6" t="s">
        <v>53</v>
      </c>
      <c r="G946" s="7">
        <v>62422.24836497094</v>
      </c>
      <c r="H946" s="6">
        <v>22341.96306062918</v>
      </c>
      <c r="I946" s="6" t="s">
        <v>180</v>
      </c>
      <c r="J946" s="15">
        <v>16.61191549155782</v>
      </c>
    </row>
    <row r="947" spans="1:10">
      <c r="A947" s="6" t="s">
        <v>139</v>
      </c>
      <c r="B947" s="6" t="s">
        <v>88</v>
      </c>
      <c r="C947" s="6" t="s">
        <v>215</v>
      </c>
      <c r="D947" s="6">
        <v>199.4104166666667</v>
      </c>
      <c r="E947" s="6" t="s">
        <v>88</v>
      </c>
      <c r="F947" s="6" t="s">
        <v>54</v>
      </c>
      <c r="G947" s="7">
        <v>49061.49876660256</v>
      </c>
      <c r="H947" s="6">
        <v>9783373.911339369</v>
      </c>
      <c r="I947" s="6" t="s">
        <v>180</v>
      </c>
      <c r="J947" s="15">
        <v>26.26991575310344</v>
      </c>
    </row>
    <row r="948" spans="1:10">
      <c r="A948" s="6" t="s">
        <v>139</v>
      </c>
      <c r="B948" s="6" t="s">
        <v>92</v>
      </c>
      <c r="C948" s="6" t="s">
        <v>216</v>
      </c>
      <c r="D948" s="6">
        <v>1.496333333333333</v>
      </c>
      <c r="E948" s="6" t="s">
        <v>88</v>
      </c>
      <c r="F948" s="6" t="s">
        <v>55</v>
      </c>
      <c r="G948" s="7">
        <v>37794.08920614998</v>
      </c>
      <c r="H948" s="6">
        <v>56552.55548213574</v>
      </c>
      <c r="I948" s="6" t="s">
        <v>180</v>
      </c>
      <c r="J948" s="15">
        <v>22.25</v>
      </c>
    </row>
    <row r="949" spans="1:10">
      <c r="A949" s="6" t="s">
        <v>139</v>
      </c>
      <c r="B949" s="6" t="s">
        <v>88</v>
      </c>
      <c r="C949" s="6" t="s">
        <v>341</v>
      </c>
      <c r="D949" s="6">
        <v>11.00733333333333</v>
      </c>
      <c r="E949" s="6" t="s">
        <v>88</v>
      </c>
      <c r="F949" s="6" t="s">
        <v>52</v>
      </c>
      <c r="G949" s="7">
        <v>44335.59781697809</v>
      </c>
      <c r="H949" s="6">
        <v>488016.7037040835</v>
      </c>
      <c r="I949" s="6" t="s">
        <v>180</v>
      </c>
      <c r="J949" s="15">
        <v>23.08823420331521</v>
      </c>
    </row>
    <row r="950" spans="1:10">
      <c r="A950" s="6" t="s">
        <v>139</v>
      </c>
      <c r="B950" s="6" t="s">
        <v>92</v>
      </c>
      <c r="C950" s="6" t="s">
        <v>217</v>
      </c>
      <c r="D950" s="6">
        <v>14.37508333333333</v>
      </c>
      <c r="E950" s="6" t="s">
        <v>88</v>
      </c>
      <c r="F950" s="6" t="s">
        <v>53</v>
      </c>
      <c r="G950" s="7">
        <v>65939.82541874713</v>
      </c>
      <c r="H950" s="6">
        <v>947890.4853799415</v>
      </c>
      <c r="I950" s="6" t="s">
        <v>180</v>
      </c>
      <c r="J950" s="15">
        <v>17.92897745402719</v>
      </c>
    </row>
    <row r="951" spans="1:10">
      <c r="A951" s="6" t="s">
        <v>139</v>
      </c>
      <c r="B951" s="6" t="s">
        <v>92</v>
      </c>
      <c r="C951" s="6" t="s">
        <v>218</v>
      </c>
      <c r="D951" s="6">
        <v>0.2668333333333334</v>
      </c>
      <c r="E951" s="6" t="s">
        <v>88</v>
      </c>
      <c r="F951" s="6" t="s">
        <v>54</v>
      </c>
      <c r="G951" s="7">
        <v>72528.9080341926</v>
      </c>
      <c r="H951" s="6">
        <v>19353.1302937904</v>
      </c>
      <c r="I951" s="6" t="s">
        <v>180</v>
      </c>
      <c r="J951" s="15">
        <v>20.39608192613964</v>
      </c>
    </row>
    <row r="952" spans="1:10">
      <c r="A952" s="6" t="s">
        <v>139</v>
      </c>
      <c r="B952" s="6" t="s">
        <v>92</v>
      </c>
      <c r="C952" s="6" t="s">
        <v>219</v>
      </c>
      <c r="D952" s="6">
        <v>7.749583333333334</v>
      </c>
      <c r="E952" s="6" t="s">
        <v>88</v>
      </c>
      <c r="F952" s="6" t="s">
        <v>51</v>
      </c>
      <c r="G952" s="7">
        <v>50028.12386913064</v>
      </c>
      <c r="H952" s="6">
        <v>387697.1149341503</v>
      </c>
      <c r="I952" s="6" t="s">
        <v>180</v>
      </c>
      <c r="J952" s="15">
        <v>11.97126947811596</v>
      </c>
    </row>
    <row r="953" spans="1:10">
      <c r="A953" s="6" t="s">
        <v>139</v>
      </c>
      <c r="B953" s="6" t="s">
        <v>92</v>
      </c>
      <c r="C953" s="6" t="s">
        <v>220</v>
      </c>
      <c r="D953" s="6">
        <v>1.558333333333333</v>
      </c>
      <c r="E953" s="6" t="s">
        <v>88</v>
      </c>
      <c r="F953" s="6" t="s">
        <v>57</v>
      </c>
      <c r="G953" s="7">
        <v>40832.06893400874</v>
      </c>
      <c r="H953" s="6">
        <v>63629.97408883029</v>
      </c>
      <c r="I953" s="6" t="s">
        <v>180</v>
      </c>
      <c r="J953" s="15">
        <v>8.528054454062554</v>
      </c>
    </row>
    <row r="954" spans="1:10">
      <c r="A954" s="6" t="s">
        <v>139</v>
      </c>
      <c r="B954" s="6" t="s">
        <v>92</v>
      </c>
      <c r="C954" s="6" t="s">
        <v>221</v>
      </c>
      <c r="D954" s="6">
        <v>38.65241666666667</v>
      </c>
      <c r="E954" s="6" t="s">
        <v>88</v>
      </c>
      <c r="F954" s="6" t="s">
        <v>51</v>
      </c>
      <c r="G954" s="7">
        <v>44450.04061738423</v>
      </c>
      <c r="H954" s="6">
        <v>1718101.490793393</v>
      </c>
      <c r="I954" s="6" t="s">
        <v>179</v>
      </c>
      <c r="J954" s="15">
        <v>39.525</v>
      </c>
    </row>
    <row r="955" spans="1:10">
      <c r="A955" s="6" t="s">
        <v>139</v>
      </c>
      <c r="B955" s="6" t="s">
        <v>92</v>
      </c>
      <c r="C955" s="6" t="s">
        <v>222</v>
      </c>
      <c r="D955" s="6">
        <v>0.31175</v>
      </c>
      <c r="E955" s="6" t="s">
        <v>88</v>
      </c>
      <c r="F955" s="6" t="s">
        <v>57</v>
      </c>
      <c r="G955" s="7">
        <v>38127.89574884072</v>
      </c>
      <c r="H955" s="6">
        <v>11886.37149970109</v>
      </c>
      <c r="I955" s="6" t="s">
        <v>180</v>
      </c>
      <c r="J955" s="15">
        <v>7.515549656679076</v>
      </c>
    </row>
    <row r="956" spans="1:10">
      <c r="A956" s="6" t="s">
        <v>139</v>
      </c>
      <c r="B956" s="6" t="s">
        <v>92</v>
      </c>
      <c r="C956" s="6" t="s">
        <v>342</v>
      </c>
      <c r="D956" s="6">
        <v>19.24808333333333</v>
      </c>
      <c r="E956" s="6" t="s">
        <v>88</v>
      </c>
      <c r="F956" s="6" t="s">
        <v>53</v>
      </c>
      <c r="G956" s="7">
        <v>46480.71512957623</v>
      </c>
      <c r="H956" s="6">
        <v>894664.6782070107</v>
      </c>
      <c r="I956" s="6" t="s">
        <v>180</v>
      </c>
      <c r="J956" s="15">
        <v>10.64303784458775</v>
      </c>
    </row>
    <row r="957" spans="1:10">
      <c r="A957" s="6" t="s">
        <v>139</v>
      </c>
      <c r="B957" s="6" t="s">
        <v>92</v>
      </c>
      <c r="C957" s="6" t="s">
        <v>223</v>
      </c>
      <c r="D957" s="6">
        <v>49.886</v>
      </c>
      <c r="E957" s="6" t="s">
        <v>88</v>
      </c>
      <c r="F957" s="6" t="s">
        <v>53</v>
      </c>
      <c r="G957" s="7">
        <v>48232.87547336299</v>
      </c>
      <c r="H957" s="6">
        <v>2406145.225864186</v>
      </c>
      <c r="I957" s="6" t="s">
        <v>179</v>
      </c>
      <c r="J957" s="15">
        <v>53.5</v>
      </c>
    </row>
    <row r="958" spans="1:10">
      <c r="A958" s="6" t="s">
        <v>139</v>
      </c>
      <c r="B958" s="6" t="s">
        <v>92</v>
      </c>
      <c r="C958" s="6" t="s">
        <v>224</v>
      </c>
      <c r="D958" s="6">
        <v>621.3332499999999</v>
      </c>
      <c r="E958" s="6" t="s">
        <v>88</v>
      </c>
      <c r="F958" s="6" t="s">
        <v>51</v>
      </c>
      <c r="G958" s="7">
        <v>46793.10139429578</v>
      </c>
      <c r="H958" s="6">
        <v>29074109.76689732</v>
      </c>
      <c r="I958" s="6" t="s">
        <v>179</v>
      </c>
      <c r="J958" s="15">
        <v>41.85</v>
      </c>
    </row>
    <row r="959" spans="1:10">
      <c r="A959" s="6" t="s">
        <v>139</v>
      </c>
      <c r="B959" s="6" t="s">
        <v>88</v>
      </c>
      <c r="C959" s="6" t="s">
        <v>225</v>
      </c>
      <c r="D959" s="6">
        <v>0.004666666666666667</v>
      </c>
      <c r="E959" s="6" t="s">
        <v>88</v>
      </c>
      <c r="F959" s="6" t="s">
        <v>54</v>
      </c>
      <c r="G959" s="7">
        <v>44268.94328669953</v>
      </c>
      <c r="H959" s="6">
        <v>206.5884020045978</v>
      </c>
      <c r="I959" s="6" t="s">
        <v>180</v>
      </c>
      <c r="J959" s="15">
        <v>23.04335948176314</v>
      </c>
    </row>
    <row r="960" spans="1:10">
      <c r="A960" s="6" t="s">
        <v>139</v>
      </c>
      <c r="B960" s="6" t="s">
        <v>88</v>
      </c>
      <c r="C960" s="6" t="s">
        <v>226</v>
      </c>
      <c r="D960" s="6">
        <v>230.1254166666667</v>
      </c>
      <c r="E960" s="6" t="s">
        <v>88</v>
      </c>
      <c r="F960" s="6" t="s">
        <v>56</v>
      </c>
      <c r="G960" s="7">
        <v>43574.43033788576</v>
      </c>
      <c r="H960" s="6">
        <v>10027583.9375186</v>
      </c>
      <c r="I960" s="6" t="s">
        <v>180</v>
      </c>
      <c r="J960" s="15">
        <v>22.57578323357593</v>
      </c>
    </row>
    <row r="961" spans="1:10">
      <c r="A961" s="6" t="s">
        <v>139</v>
      </c>
      <c r="B961" s="6" t="s">
        <v>88</v>
      </c>
      <c r="C961" s="6" t="s">
        <v>344</v>
      </c>
      <c r="D961" s="6">
        <v>22.83183333333334</v>
      </c>
      <c r="E961" s="6" t="s">
        <v>88</v>
      </c>
      <c r="F961" s="6" t="s">
        <v>52</v>
      </c>
      <c r="G961" s="7">
        <v>44335.59781697809</v>
      </c>
      <c r="H961" s="6">
        <v>1012262.980090941</v>
      </c>
      <c r="I961" s="6" t="s">
        <v>180</v>
      </c>
      <c r="J961" s="15">
        <v>23.08823420331521</v>
      </c>
    </row>
    <row r="962" spans="1:10">
      <c r="A962" s="6" t="s">
        <v>139</v>
      </c>
      <c r="B962" s="6" t="s">
        <v>92</v>
      </c>
      <c r="C962" s="6" t="s">
        <v>345</v>
      </c>
      <c r="D962" s="6">
        <v>16.05825</v>
      </c>
      <c r="E962" s="6" t="s">
        <v>88</v>
      </c>
      <c r="F962" s="6" t="s">
        <v>53</v>
      </c>
      <c r="G962" s="7">
        <v>53287.30462003995</v>
      </c>
      <c r="H962" s="6">
        <v>855700.8594147565</v>
      </c>
      <c r="I962" s="6" t="s">
        <v>180</v>
      </c>
      <c r="J962" s="15">
        <v>13.19158190630481</v>
      </c>
    </row>
    <row r="963" spans="1:10">
      <c r="A963" s="6" t="s">
        <v>139</v>
      </c>
      <c r="B963" s="6" t="s">
        <v>92</v>
      </c>
      <c r="C963" s="6" t="s">
        <v>227</v>
      </c>
      <c r="D963" s="6">
        <v>28.6565</v>
      </c>
      <c r="E963" s="6" t="s">
        <v>88</v>
      </c>
      <c r="F963" s="6" t="s">
        <v>57</v>
      </c>
      <c r="G963" s="7">
        <v>53193.31448576911</v>
      </c>
      <c r="H963" s="6">
        <v>1524334.216561442</v>
      </c>
      <c r="I963" s="6" t="s">
        <v>179</v>
      </c>
      <c r="J963" s="15">
        <v>43</v>
      </c>
    </row>
    <row r="964" spans="1:10">
      <c r="A964" s="6" t="s">
        <v>139</v>
      </c>
      <c r="B964" s="6" t="s">
        <v>92</v>
      </c>
      <c r="C964" s="6" t="s">
        <v>228</v>
      </c>
      <c r="D964" s="6">
        <v>45.89083333333333</v>
      </c>
      <c r="E964" s="6" t="s">
        <v>88</v>
      </c>
      <c r="F964" s="6" t="s">
        <v>51</v>
      </c>
      <c r="G964" s="7">
        <v>40082.62252520998</v>
      </c>
      <c r="H964" s="6">
        <v>1839424.949867324</v>
      </c>
      <c r="I964" s="6" t="s">
        <v>179</v>
      </c>
      <c r="J964" s="15">
        <v>26.025</v>
      </c>
    </row>
    <row r="965" spans="1:10">
      <c r="A965" s="6" t="s">
        <v>139</v>
      </c>
      <c r="B965" s="6" t="s">
        <v>92</v>
      </c>
      <c r="C965" s="6" t="s">
        <v>229</v>
      </c>
      <c r="D965" s="6">
        <v>25.42741666666667</v>
      </c>
      <c r="E965" s="6" t="s">
        <v>88</v>
      </c>
      <c r="F965" s="6" t="s">
        <v>53</v>
      </c>
      <c r="G965" s="7">
        <v>50225.07411158284</v>
      </c>
      <c r="H965" s="6">
        <v>1277093.88654943</v>
      </c>
      <c r="I965" s="6" t="s">
        <v>180</v>
      </c>
      <c r="J965" s="15">
        <v>12.04501219046236</v>
      </c>
    </row>
    <row r="966" spans="1:10">
      <c r="A966" s="6" t="s">
        <v>139</v>
      </c>
      <c r="B966" s="6" t="s">
        <v>92</v>
      </c>
      <c r="C966" s="6" t="s">
        <v>367</v>
      </c>
      <c r="D966" s="6">
        <v>0.9388333333333334</v>
      </c>
      <c r="E966" s="6" t="s">
        <v>88</v>
      </c>
      <c r="F966" s="6" t="s">
        <v>55</v>
      </c>
      <c r="G966" s="7">
        <v>42283.6525693799</v>
      </c>
      <c r="H966" s="6">
        <v>39697.30248721949</v>
      </c>
      <c r="I966" s="6" t="s">
        <v>179</v>
      </c>
      <c r="J966" s="15">
        <v>15</v>
      </c>
    </row>
    <row r="967" spans="1:10">
      <c r="A967" s="6" t="s">
        <v>139</v>
      </c>
      <c r="B967" s="6" t="s">
        <v>92</v>
      </c>
      <c r="C967" s="6" t="s">
        <v>230</v>
      </c>
      <c r="D967" s="6">
        <v>90.47050000000002</v>
      </c>
      <c r="E967" s="6" t="s">
        <v>88</v>
      </c>
      <c r="F967" s="6" t="s">
        <v>53</v>
      </c>
      <c r="G967" s="7">
        <v>50127.30283720783</v>
      </c>
      <c r="H967" s="6">
        <v>4535042.151333611</v>
      </c>
      <c r="I967" s="6" t="s">
        <v>180</v>
      </c>
      <c r="J967" s="15">
        <v>42.83333333333334</v>
      </c>
    </row>
    <row r="968" spans="1:10">
      <c r="A968" s="6" t="s">
        <v>139</v>
      </c>
      <c r="B968" s="6" t="s">
        <v>92</v>
      </c>
      <c r="C968" s="6" t="s">
        <v>378</v>
      </c>
      <c r="D968" s="6">
        <v>2.897416666666667</v>
      </c>
      <c r="E968" s="6" t="s">
        <v>88</v>
      </c>
      <c r="F968" s="6" t="s">
        <v>51</v>
      </c>
      <c r="G968" s="7">
        <v>41089.89799783281</v>
      </c>
      <c r="H968" s="6">
        <v>119054.5552905541</v>
      </c>
      <c r="I968" s="6" t="s">
        <v>180</v>
      </c>
      <c r="J968" s="15">
        <v>8.624591600965196</v>
      </c>
    </row>
    <row r="969" spans="1:10">
      <c r="A969" s="6" t="s">
        <v>139</v>
      </c>
      <c r="B969" s="6" t="s">
        <v>88</v>
      </c>
      <c r="C969" s="6" t="s">
        <v>231</v>
      </c>
      <c r="D969" s="6">
        <v>1.936916666666667</v>
      </c>
      <c r="E969" s="6" t="s">
        <v>88</v>
      </c>
      <c r="F969" s="6" t="s">
        <v>52</v>
      </c>
      <c r="G969" s="7">
        <v>44335.59781697809</v>
      </c>
      <c r="H969" s="6">
        <v>85874.35833833515</v>
      </c>
      <c r="I969" s="6" t="s">
        <v>180</v>
      </c>
      <c r="J969" s="15">
        <v>23.08823420331521</v>
      </c>
    </row>
    <row r="970" spans="1:10">
      <c r="A970" s="6" t="s">
        <v>139</v>
      </c>
      <c r="B970" s="6" t="s">
        <v>88</v>
      </c>
      <c r="C970" s="6" t="s">
        <v>346</v>
      </c>
      <c r="D970" s="6">
        <v>1.322916666666667</v>
      </c>
      <c r="E970" s="6" t="s">
        <v>88</v>
      </c>
      <c r="F970" s="6" t="s">
        <v>52</v>
      </c>
      <c r="G970" s="7">
        <v>44335.59781697809</v>
      </c>
      <c r="H970" s="6">
        <v>58652.3012787106</v>
      </c>
      <c r="I970" s="6" t="s">
        <v>180</v>
      </c>
      <c r="J970" s="15">
        <v>23.08823420331521</v>
      </c>
    </row>
    <row r="971" spans="1:10">
      <c r="A971" s="6" t="s">
        <v>139</v>
      </c>
      <c r="B971" s="6" t="s">
        <v>92</v>
      </c>
      <c r="C971" s="6" t="s">
        <v>232</v>
      </c>
      <c r="D971" s="6">
        <v>12.86858333333333</v>
      </c>
      <c r="E971" s="6" t="s">
        <v>88</v>
      </c>
      <c r="F971" s="6" t="s">
        <v>51</v>
      </c>
      <c r="G971" s="7">
        <v>47655.11283939263</v>
      </c>
      <c r="H971" s="6">
        <v>613253.7908331273</v>
      </c>
      <c r="I971" s="6" t="s">
        <v>180</v>
      </c>
      <c r="J971" s="15">
        <v>11.08275942815615</v>
      </c>
    </row>
    <row r="972" spans="1:10">
      <c r="A972" s="6" t="s">
        <v>139</v>
      </c>
      <c r="B972" s="6" t="s">
        <v>92</v>
      </c>
      <c r="C972" s="6" t="s">
        <v>233</v>
      </c>
      <c r="D972" s="6">
        <v>46.15808333333333</v>
      </c>
      <c r="E972" s="6" t="s">
        <v>88</v>
      </c>
      <c r="F972" s="6" t="s">
        <v>59</v>
      </c>
      <c r="G972" s="7">
        <v>44232.39847084988</v>
      </c>
      <c r="H972" s="6">
        <v>2041682.734650695</v>
      </c>
      <c r="I972" s="6" t="s">
        <v>180</v>
      </c>
      <c r="J972" s="15">
        <v>9.801216242523401</v>
      </c>
    </row>
    <row r="973" spans="1:10">
      <c r="A973" s="6" t="s">
        <v>139</v>
      </c>
      <c r="B973" s="6" t="s">
        <v>88</v>
      </c>
      <c r="C973" s="6" t="s">
        <v>234</v>
      </c>
      <c r="D973" s="6">
        <v>142.3055833333333</v>
      </c>
      <c r="E973" s="6" t="s">
        <v>88</v>
      </c>
      <c r="F973" s="6" t="s">
        <v>56</v>
      </c>
      <c r="G973" s="7">
        <v>38754.40855139481</v>
      </c>
      <c r="H973" s="6">
        <v>5514968.715644559</v>
      </c>
      <c r="I973" s="6" t="s">
        <v>180</v>
      </c>
      <c r="J973" s="15">
        <v>19.33073545303068</v>
      </c>
    </row>
    <row r="974" spans="1:10">
      <c r="A974" s="6" t="s">
        <v>139</v>
      </c>
      <c r="B974" s="6" t="s">
        <v>92</v>
      </c>
      <c r="C974" s="6" t="s">
        <v>235</v>
      </c>
      <c r="D974" s="6">
        <v>0.07575</v>
      </c>
      <c r="E974" s="6" t="s">
        <v>88</v>
      </c>
      <c r="F974" s="6" t="s">
        <v>53</v>
      </c>
      <c r="G974" s="7">
        <v>47918.71656407737</v>
      </c>
      <c r="H974" s="6">
        <v>3629.84277972886</v>
      </c>
      <c r="I974" s="6" t="s">
        <v>180</v>
      </c>
      <c r="J974" s="15">
        <v>11.18145874124577</v>
      </c>
    </row>
    <row r="975" spans="1:10">
      <c r="A975" s="6" t="s">
        <v>139</v>
      </c>
      <c r="B975" s="6" t="s">
        <v>92</v>
      </c>
      <c r="C975" s="6" t="s">
        <v>236</v>
      </c>
      <c r="D975" s="6">
        <v>1182.403333333333</v>
      </c>
      <c r="E975" s="6" t="s">
        <v>88</v>
      </c>
      <c r="F975" s="6" t="s">
        <v>51</v>
      </c>
      <c r="G975" s="7">
        <v>44660.20742498994</v>
      </c>
      <c r="H975" s="6">
        <v>52806378.12666618</v>
      </c>
      <c r="I975" s="6" t="s">
        <v>179</v>
      </c>
      <c r="J975" s="15">
        <v>46.28333333333333</v>
      </c>
    </row>
    <row r="976" spans="1:10">
      <c r="A976" s="6" t="s">
        <v>139</v>
      </c>
      <c r="B976" s="6" t="s">
        <v>92</v>
      </c>
      <c r="C976" s="6" t="s">
        <v>237</v>
      </c>
      <c r="D976" s="6">
        <v>19.15158333333333</v>
      </c>
      <c r="E976" s="6" t="s">
        <v>88</v>
      </c>
      <c r="F976" s="6" t="s">
        <v>51</v>
      </c>
      <c r="G976" s="7">
        <v>45814.12048649801</v>
      </c>
      <c r="H976" s="6">
        <v>877412.9463405405</v>
      </c>
      <c r="I976" s="6" t="s">
        <v>180</v>
      </c>
      <c r="J976" s="15">
        <v>10.39344943888626</v>
      </c>
    </row>
    <row r="977" spans="1:10">
      <c r="A977" s="6" t="s">
        <v>139</v>
      </c>
      <c r="B977" s="6" t="s">
        <v>92</v>
      </c>
      <c r="C977" s="6" t="s">
        <v>238</v>
      </c>
      <c r="D977" s="6">
        <v>73.16891666666666</v>
      </c>
      <c r="E977" s="6" t="s">
        <v>88</v>
      </c>
      <c r="F977" s="6" t="s">
        <v>51</v>
      </c>
      <c r="G977" s="7">
        <v>51984.33495522587</v>
      </c>
      <c r="H977" s="6">
        <v>3803637.472311008</v>
      </c>
      <c r="I977" s="6" t="s">
        <v>180</v>
      </c>
      <c r="J977" s="15">
        <v>12.70372001798148</v>
      </c>
    </row>
    <row r="978" spans="1:10">
      <c r="A978" s="6" t="s">
        <v>139</v>
      </c>
      <c r="B978" s="6" t="s">
        <v>88</v>
      </c>
      <c r="C978" s="6" t="s">
        <v>239</v>
      </c>
      <c r="D978" s="6">
        <v>117.7128333333333</v>
      </c>
      <c r="E978" s="6" t="s">
        <v>88</v>
      </c>
      <c r="F978" s="6" t="s">
        <v>54</v>
      </c>
      <c r="G978" s="7">
        <v>51922.31915235746</v>
      </c>
      <c r="H978" s="6">
        <v>6111923.300661595</v>
      </c>
      <c r="I978" s="6" t="s">
        <v>180</v>
      </c>
      <c r="J978" s="15">
        <v>28.19594415184457</v>
      </c>
    </row>
    <row r="979" spans="1:10">
      <c r="A979" s="6" t="s">
        <v>139</v>
      </c>
      <c r="B979" s="6" t="s">
        <v>92</v>
      </c>
      <c r="C979" s="6" t="s">
        <v>379</v>
      </c>
      <c r="D979" s="6">
        <v>9.439</v>
      </c>
      <c r="E979" s="6" t="s">
        <v>88</v>
      </c>
      <c r="F979" s="6" t="s">
        <v>51</v>
      </c>
      <c r="G979" s="7">
        <v>39736.55973566615</v>
      </c>
      <c r="H979" s="6">
        <v>375073.3873449527</v>
      </c>
      <c r="I979" s="6" t="s">
        <v>180</v>
      </c>
      <c r="J979" s="15">
        <v>8.117870548318852</v>
      </c>
    </row>
    <row r="980" spans="1:10">
      <c r="A980" s="6" t="s">
        <v>139</v>
      </c>
      <c r="B980" s="6" t="s">
        <v>92</v>
      </c>
      <c r="C980" s="6" t="s">
        <v>368</v>
      </c>
      <c r="D980" s="6">
        <v>0.3261666666666667</v>
      </c>
      <c r="E980" s="6" t="s">
        <v>88</v>
      </c>
      <c r="F980" s="6" t="s">
        <v>55</v>
      </c>
      <c r="G980" s="7">
        <v>43717.6088593299</v>
      </c>
      <c r="H980" s="6">
        <v>14259.22675628477</v>
      </c>
      <c r="I980" s="6" t="s">
        <v>179</v>
      </c>
      <c r="J980" s="15">
        <v>15</v>
      </c>
    </row>
    <row r="981" spans="1:10">
      <c r="A981" s="6" t="s">
        <v>139</v>
      </c>
      <c r="B981" s="6" t="s">
        <v>92</v>
      </c>
      <c r="C981" s="6" t="s">
        <v>240</v>
      </c>
      <c r="D981" s="6">
        <v>2.63225</v>
      </c>
      <c r="E981" s="6" t="s">
        <v>88</v>
      </c>
      <c r="F981" s="6" t="s">
        <v>51</v>
      </c>
      <c r="G981" s="7">
        <v>42218.72021108094</v>
      </c>
      <c r="H981" s="6">
        <v>111130.2262756178</v>
      </c>
      <c r="I981" s="6" t="s">
        <v>180</v>
      </c>
      <c r="J981" s="15">
        <v>9.04724866767069</v>
      </c>
    </row>
    <row r="982" spans="1:10">
      <c r="A982" s="6" t="s">
        <v>139</v>
      </c>
      <c r="B982" s="6" t="s">
        <v>92</v>
      </c>
      <c r="C982" s="6" t="s">
        <v>241</v>
      </c>
      <c r="D982" s="6">
        <v>31.65108333333334</v>
      </c>
      <c r="E982" s="6" t="s">
        <v>88</v>
      </c>
      <c r="F982" s="6" t="s">
        <v>53</v>
      </c>
      <c r="G982" s="7">
        <v>52223.82604068523</v>
      </c>
      <c r="H982" s="6">
        <v>1652940.669999232</v>
      </c>
      <c r="I982" s="6" t="s">
        <v>180</v>
      </c>
      <c r="J982" s="15">
        <v>12.79339100291993</v>
      </c>
    </row>
    <row r="983" spans="1:10">
      <c r="A983" s="6" t="s">
        <v>139</v>
      </c>
      <c r="B983" s="6" t="s">
        <v>92</v>
      </c>
      <c r="C983" s="6" t="s">
        <v>242</v>
      </c>
      <c r="D983" s="6">
        <v>102.34575</v>
      </c>
      <c r="E983" s="6" t="s">
        <v>88</v>
      </c>
      <c r="F983" s="6" t="s">
        <v>56</v>
      </c>
      <c r="G983" s="7">
        <v>67827.26265290676</v>
      </c>
      <c r="H983" s="6">
        <v>6941832.066658732</v>
      </c>
      <c r="I983" s="6" t="s">
        <v>180</v>
      </c>
      <c r="J983" s="15">
        <v>18.63567747783801</v>
      </c>
    </row>
    <row r="984" spans="1:10">
      <c r="A984" s="6" t="s">
        <v>139</v>
      </c>
      <c r="B984" s="6" t="s">
        <v>92</v>
      </c>
      <c r="C984" s="6" t="s">
        <v>243</v>
      </c>
      <c r="D984" s="6">
        <v>0.1345</v>
      </c>
      <c r="E984" s="6" t="s">
        <v>88</v>
      </c>
      <c r="F984" s="6" t="s">
        <v>58</v>
      </c>
      <c r="G984" s="7">
        <v>50145.16283380362</v>
      </c>
      <c r="H984" s="6">
        <v>6744.524401146587</v>
      </c>
      <c r="I984" s="6" t="s">
        <v>180</v>
      </c>
      <c r="J984" s="15">
        <v>12.01509156534846</v>
      </c>
    </row>
    <row r="985" spans="1:10">
      <c r="A985" s="6" t="s">
        <v>139</v>
      </c>
      <c r="B985" s="6" t="s">
        <v>92</v>
      </c>
      <c r="C985" s="6" t="s">
        <v>369</v>
      </c>
      <c r="D985" s="6">
        <v>0.7195</v>
      </c>
      <c r="E985" s="6" t="s">
        <v>88</v>
      </c>
      <c r="F985" s="6" t="s">
        <v>55</v>
      </c>
      <c r="G985" s="7">
        <v>40825.70263339478</v>
      </c>
      <c r="H985" s="6">
        <v>29374.09304472755</v>
      </c>
      <c r="I985" s="6" t="s">
        <v>179</v>
      </c>
      <c r="J985" s="15">
        <v>15.5</v>
      </c>
    </row>
    <row r="986" spans="1:10">
      <c r="A986" s="6" t="s">
        <v>139</v>
      </c>
      <c r="B986" s="6" t="s">
        <v>92</v>
      </c>
      <c r="C986" s="6" t="s">
        <v>244</v>
      </c>
      <c r="D986" s="6">
        <v>4.119083333333333</v>
      </c>
      <c r="E986" s="6" t="s">
        <v>88</v>
      </c>
      <c r="F986" s="6" t="s">
        <v>55</v>
      </c>
      <c r="G986" s="7">
        <v>48892.00333862133</v>
      </c>
      <c r="H986" s="6">
        <v>201390.2360853928</v>
      </c>
      <c r="I986" s="6" t="s">
        <v>179</v>
      </c>
      <c r="J986" s="15">
        <v>17</v>
      </c>
    </row>
    <row r="987" spans="1:10">
      <c r="A987" s="6" t="s">
        <v>139</v>
      </c>
      <c r="B987" s="6" t="s">
        <v>90</v>
      </c>
      <c r="C987" s="6" t="s">
        <v>245</v>
      </c>
      <c r="D987" s="6">
        <v>109.08575</v>
      </c>
      <c r="E987" s="6" t="s">
        <v>88</v>
      </c>
      <c r="F987" s="6" t="s">
        <v>53</v>
      </c>
      <c r="G987" s="7">
        <v>15981.96816829709</v>
      </c>
      <c r="H987" s="6">
        <v>1743404.984114815</v>
      </c>
      <c r="I987" s="6" t="s">
        <v>179</v>
      </c>
      <c r="J987" s="15">
        <v>38</v>
      </c>
    </row>
    <row r="988" spans="1:10">
      <c r="A988" s="6" t="s">
        <v>139</v>
      </c>
      <c r="B988" s="6" t="s">
        <v>92</v>
      </c>
      <c r="C988" s="6" t="s">
        <v>246</v>
      </c>
      <c r="D988" s="6">
        <v>0.06491666666666668</v>
      </c>
      <c r="E988" s="6" t="s">
        <v>88</v>
      </c>
      <c r="F988" s="6" t="s">
        <v>53</v>
      </c>
      <c r="G988" s="7">
        <v>52060.28389589844</v>
      </c>
      <c r="H988" s="6">
        <v>3379.580096242074</v>
      </c>
      <c r="I988" s="6" t="s">
        <v>180</v>
      </c>
      <c r="J988" s="15">
        <v>12.73215705271319</v>
      </c>
    </row>
    <row r="989" spans="1:10">
      <c r="A989" s="6" t="s">
        <v>139</v>
      </c>
      <c r="B989" s="6" t="s">
        <v>88</v>
      </c>
      <c r="C989" s="6" t="s">
        <v>348</v>
      </c>
      <c r="D989" s="6">
        <v>46.96041666666667</v>
      </c>
      <c r="E989" s="6" t="s">
        <v>88</v>
      </c>
      <c r="F989" s="6" t="s">
        <v>52</v>
      </c>
      <c r="G989" s="7">
        <v>44335.59781697809</v>
      </c>
      <c r="H989" s="6">
        <v>2082018.146651048</v>
      </c>
      <c r="I989" s="6" t="s">
        <v>180</v>
      </c>
      <c r="J989" s="15">
        <v>23.08823420331521</v>
      </c>
    </row>
    <row r="990" spans="1:10">
      <c r="A990" s="6" t="s">
        <v>139</v>
      </c>
      <c r="B990" s="6" t="s">
        <v>88</v>
      </c>
      <c r="C990" s="6" t="s">
        <v>349</v>
      </c>
      <c r="D990" s="6">
        <v>1.246333333333333</v>
      </c>
      <c r="E990" s="6" t="s">
        <v>88</v>
      </c>
      <c r="F990" s="6" t="s">
        <v>52</v>
      </c>
      <c r="G990" s="7">
        <v>44335.59781697809</v>
      </c>
      <c r="H990" s="6">
        <v>55256.93341256036</v>
      </c>
      <c r="I990" s="6" t="s">
        <v>180</v>
      </c>
      <c r="J990" s="15">
        <v>23.08823420331521</v>
      </c>
    </row>
    <row r="991" spans="1:10">
      <c r="A991" s="6" t="s">
        <v>139</v>
      </c>
      <c r="B991" s="6" t="s">
        <v>92</v>
      </c>
      <c r="C991" s="6" t="s">
        <v>247</v>
      </c>
      <c r="D991" s="6">
        <v>234.6568333333333</v>
      </c>
      <c r="E991" s="6" t="s">
        <v>88</v>
      </c>
      <c r="F991" s="6" t="s">
        <v>51</v>
      </c>
      <c r="G991" s="7">
        <v>46237.23227272295</v>
      </c>
      <c r="H991" s="6">
        <v>10849882.50721497</v>
      </c>
      <c r="I991" s="6" t="s">
        <v>179</v>
      </c>
      <c r="J991" s="15">
        <v>29.3</v>
      </c>
    </row>
    <row r="992" spans="1:10">
      <c r="A992" s="6" t="s">
        <v>139</v>
      </c>
      <c r="B992" s="6" t="s">
        <v>92</v>
      </c>
      <c r="C992" s="6" t="s">
        <v>248</v>
      </c>
      <c r="D992" s="6">
        <v>19.2925</v>
      </c>
      <c r="E992" s="6" t="s">
        <v>88</v>
      </c>
      <c r="F992" s="6" t="s">
        <v>55</v>
      </c>
      <c r="G992" s="7">
        <v>58404.33083392808</v>
      </c>
      <c r="H992" s="6">
        <v>1126765.552613558</v>
      </c>
      <c r="I992" s="6" t="s">
        <v>179</v>
      </c>
      <c r="J992" s="15">
        <v>49.38333333333333</v>
      </c>
    </row>
    <row r="993" spans="1:10">
      <c r="A993" s="6" t="s">
        <v>139</v>
      </c>
      <c r="B993" s="6" t="s">
        <v>92</v>
      </c>
      <c r="C993" s="6" t="s">
        <v>249</v>
      </c>
      <c r="D993" s="6">
        <v>237.52175</v>
      </c>
      <c r="E993" s="6" t="s">
        <v>88</v>
      </c>
      <c r="F993" s="6" t="s">
        <v>53</v>
      </c>
      <c r="G993" s="7">
        <v>38542.7817237839</v>
      </c>
      <c r="H993" s="6">
        <v>9154748.964901168</v>
      </c>
      <c r="I993" s="6" t="s">
        <v>179</v>
      </c>
      <c r="J993" s="15">
        <v>47.575</v>
      </c>
    </row>
    <row r="994" spans="1:10">
      <c r="A994" s="6" t="s">
        <v>139</v>
      </c>
      <c r="B994" s="6" t="s">
        <v>88</v>
      </c>
      <c r="C994" s="6" t="s">
        <v>352</v>
      </c>
      <c r="D994" s="6">
        <v>5.249666666666667</v>
      </c>
      <c r="E994" s="6" t="s">
        <v>88</v>
      </c>
      <c r="F994" s="6" t="s">
        <v>52</v>
      </c>
      <c r="G994" s="7">
        <v>44335.59781697809</v>
      </c>
      <c r="H994" s="6">
        <v>232747.1100065293</v>
      </c>
      <c r="I994" s="6" t="s">
        <v>180</v>
      </c>
      <c r="J994" s="15">
        <v>23.08823420331521</v>
      </c>
    </row>
    <row r="995" spans="1:10">
      <c r="A995" s="6" t="s">
        <v>139</v>
      </c>
      <c r="B995" s="6" t="s">
        <v>92</v>
      </c>
      <c r="C995" s="6" t="s">
        <v>250</v>
      </c>
      <c r="D995" s="6">
        <v>2.650333333333333</v>
      </c>
      <c r="E995" s="6" t="s">
        <v>88</v>
      </c>
      <c r="F995" s="6" t="s">
        <v>55</v>
      </c>
      <c r="G995" s="7">
        <v>37321.61329653078</v>
      </c>
      <c r="H995" s="6">
        <v>98914.71577357207</v>
      </c>
      <c r="I995" s="6" t="s">
        <v>179</v>
      </c>
      <c r="J995" s="15">
        <v>15</v>
      </c>
    </row>
    <row r="996" spans="1:10">
      <c r="A996" s="6" t="s">
        <v>139</v>
      </c>
      <c r="B996" s="6" t="s">
        <v>92</v>
      </c>
      <c r="C996" s="6" t="s">
        <v>251</v>
      </c>
      <c r="D996" s="6">
        <v>3.149583333333333</v>
      </c>
      <c r="E996" s="6" t="s">
        <v>88</v>
      </c>
      <c r="F996" s="6" t="s">
        <v>53</v>
      </c>
      <c r="G996" s="7">
        <v>49502.3667901282</v>
      </c>
      <c r="H996" s="6">
        <v>155911.8294027413</v>
      </c>
      <c r="I996" s="6" t="s">
        <v>180</v>
      </c>
      <c r="J996" s="15">
        <v>11.77441390404695</v>
      </c>
    </row>
    <row r="997" spans="1:10">
      <c r="A997" s="6" t="s">
        <v>139</v>
      </c>
      <c r="B997" s="6" t="s">
        <v>92</v>
      </c>
      <c r="C997" s="6" t="s">
        <v>252</v>
      </c>
      <c r="D997" s="6">
        <v>20.45391666666667</v>
      </c>
      <c r="E997" s="6" t="s">
        <v>88</v>
      </c>
      <c r="F997" s="6" t="s">
        <v>57</v>
      </c>
      <c r="G997" s="7">
        <v>48993.49682082658</v>
      </c>
      <c r="H997" s="6">
        <v>1002108.901181785</v>
      </c>
      <c r="I997" s="6" t="s">
        <v>180</v>
      </c>
      <c r="J997" s="15">
        <v>11.58388125325807</v>
      </c>
    </row>
    <row r="998" spans="1:10">
      <c r="A998" s="6" t="s">
        <v>139</v>
      </c>
      <c r="B998" s="6" t="s">
        <v>92</v>
      </c>
      <c r="C998" s="6" t="s">
        <v>253</v>
      </c>
      <c r="D998" s="6">
        <v>18.01516666666667</v>
      </c>
      <c r="E998" s="6" t="s">
        <v>88</v>
      </c>
      <c r="F998" s="6" t="s">
        <v>53</v>
      </c>
      <c r="G998" s="7">
        <v>49900.32874056988</v>
      </c>
      <c r="H998" s="6">
        <v>898962.7389828231</v>
      </c>
      <c r="I998" s="6" t="s">
        <v>180</v>
      </c>
      <c r="J998" s="15">
        <v>11.92342003509223</v>
      </c>
    </row>
    <row r="999" spans="1:10">
      <c r="A999" s="6" t="s">
        <v>139</v>
      </c>
      <c r="B999" s="6" t="s">
        <v>86</v>
      </c>
      <c r="C999" s="6" t="s">
        <v>353</v>
      </c>
      <c r="D999" s="6">
        <v>1.652916666666667</v>
      </c>
      <c r="E999" s="6" t="s">
        <v>88</v>
      </c>
      <c r="F999" s="6" t="s">
        <v>62</v>
      </c>
      <c r="G999" s="7">
        <v>81005.34654028571</v>
      </c>
      <c r="H999" s="6">
        <v>133895.0873855473</v>
      </c>
      <c r="I999" s="6" t="s">
        <v>179</v>
      </c>
      <c r="J999" s="15">
        <v>102.3</v>
      </c>
    </row>
    <row r="1000" spans="1:10">
      <c r="A1000" s="6" t="s">
        <v>139</v>
      </c>
      <c r="B1000" s="6" t="s">
        <v>92</v>
      </c>
      <c r="C1000" s="6" t="s">
        <v>254</v>
      </c>
      <c r="D1000" s="6">
        <v>0.4851666666666667</v>
      </c>
      <c r="E1000" s="6" t="s">
        <v>88</v>
      </c>
      <c r="F1000" s="6" t="s">
        <v>51</v>
      </c>
      <c r="G1000" s="7">
        <v>46071.76246643075</v>
      </c>
      <c r="H1000" s="6">
        <v>22352.48342329665</v>
      </c>
      <c r="I1000" s="6" t="s">
        <v>180</v>
      </c>
      <c r="J1000" s="15">
        <v>10.48991653726593</v>
      </c>
    </row>
    <row r="1001" spans="1:10">
      <c r="A1001" s="6" t="s">
        <v>139</v>
      </c>
      <c r="B1001" s="6" t="s">
        <v>92</v>
      </c>
      <c r="C1001" s="6" t="s">
        <v>255</v>
      </c>
      <c r="D1001" s="6">
        <v>9.908416666666666</v>
      </c>
      <c r="E1001" s="6" t="s">
        <v>88</v>
      </c>
      <c r="F1001" s="6" t="s">
        <v>51</v>
      </c>
      <c r="G1001" s="7">
        <v>37181.66036935381</v>
      </c>
      <c r="H1001" s="6">
        <v>368411.3832980447</v>
      </c>
      <c r="I1001" s="6" t="s">
        <v>180</v>
      </c>
      <c r="J1001" s="15">
        <v>7.161257310893189</v>
      </c>
    </row>
    <row r="1002" spans="1:10">
      <c r="A1002" s="6" t="s">
        <v>139</v>
      </c>
      <c r="B1002" s="6" t="s">
        <v>92</v>
      </c>
      <c r="C1002" s="6" t="s">
        <v>256</v>
      </c>
      <c r="D1002" s="6">
        <v>0.1535</v>
      </c>
      <c r="E1002" s="6" t="s">
        <v>88</v>
      </c>
      <c r="F1002" s="6" t="s">
        <v>57</v>
      </c>
      <c r="G1002" s="7">
        <v>36188.63012585403</v>
      </c>
      <c r="H1002" s="6">
        <v>5554.954724318593</v>
      </c>
      <c r="I1002" s="6" t="s">
        <v>180</v>
      </c>
      <c r="J1002" s="15">
        <v>6.789443888955148</v>
      </c>
    </row>
    <row r="1003" spans="1:10">
      <c r="A1003" s="6" t="s">
        <v>139</v>
      </c>
      <c r="B1003" s="6" t="s">
        <v>88</v>
      </c>
      <c r="C1003" s="6" t="s">
        <v>257</v>
      </c>
      <c r="D1003" s="6">
        <v>3.505916666666667</v>
      </c>
      <c r="E1003" s="6" t="s">
        <v>88</v>
      </c>
      <c r="F1003" s="6" t="s">
        <v>52</v>
      </c>
      <c r="G1003" s="7">
        <v>44335.59781697809</v>
      </c>
      <c r="H1003" s="6">
        <v>155436.9113131738</v>
      </c>
      <c r="I1003" s="6" t="s">
        <v>180</v>
      </c>
      <c r="J1003" s="15">
        <v>23.08823420331521</v>
      </c>
    </row>
    <row r="1004" spans="1:10">
      <c r="A1004" s="6" t="s">
        <v>139</v>
      </c>
      <c r="B1004" s="6" t="s">
        <v>88</v>
      </c>
      <c r="C1004" s="6" t="s">
        <v>258</v>
      </c>
      <c r="D1004" s="6">
        <v>1.08975</v>
      </c>
      <c r="E1004" s="6" t="s">
        <v>88</v>
      </c>
      <c r="F1004" s="6" t="s">
        <v>52</v>
      </c>
      <c r="G1004" s="7">
        <v>44335.59781697809</v>
      </c>
      <c r="H1004" s="6">
        <v>48314.71772105187</v>
      </c>
      <c r="I1004" s="6" t="s">
        <v>180</v>
      </c>
      <c r="J1004" s="15">
        <v>23.08823420331521</v>
      </c>
    </row>
    <row r="1005" spans="1:10">
      <c r="A1005" s="6" t="s">
        <v>139</v>
      </c>
      <c r="B1005" s="6" t="s">
        <v>88</v>
      </c>
      <c r="C1005" s="6" t="s">
        <v>259</v>
      </c>
      <c r="D1005" s="6">
        <v>112.1245</v>
      </c>
      <c r="E1005" s="6" t="s">
        <v>88</v>
      </c>
      <c r="F1005" s="6" t="s">
        <v>56</v>
      </c>
      <c r="G1005" s="7">
        <v>38535.39804217755</v>
      </c>
      <c r="H1005" s="6">
        <v>4320762.237780136</v>
      </c>
      <c r="I1005" s="6" t="s">
        <v>180</v>
      </c>
      <c r="J1005" s="15">
        <v>19.18328807658034</v>
      </c>
    </row>
    <row r="1006" spans="1:10">
      <c r="A1006" s="6" t="s">
        <v>139</v>
      </c>
      <c r="B1006" s="6" t="s">
        <v>88</v>
      </c>
      <c r="C1006" s="6" t="s">
        <v>260</v>
      </c>
      <c r="D1006" s="6">
        <v>2059.23925</v>
      </c>
      <c r="E1006" s="6" t="s">
        <v>88</v>
      </c>
      <c r="F1006" s="6" t="s">
        <v>52</v>
      </c>
      <c r="G1006" s="7">
        <v>32200.609517864</v>
      </c>
      <c r="H1006" s="6">
        <v>66308758.99310911</v>
      </c>
      <c r="I1006" s="6" t="s">
        <v>179</v>
      </c>
      <c r="J1006" s="15">
        <v>31.95</v>
      </c>
    </row>
    <row r="1007" spans="1:10">
      <c r="A1007" s="6" t="s">
        <v>139</v>
      </c>
      <c r="B1007" s="6" t="s">
        <v>88</v>
      </c>
      <c r="C1007" s="6" t="s">
        <v>261</v>
      </c>
      <c r="D1007" s="6">
        <v>0.3685833333333334</v>
      </c>
      <c r="E1007" s="6" t="s">
        <v>88</v>
      </c>
      <c r="F1007" s="6" t="s">
        <v>54</v>
      </c>
      <c r="G1007" s="7">
        <v>43413.20480753685</v>
      </c>
      <c r="H1007" s="6">
        <v>16001.38373864463</v>
      </c>
      <c r="I1007" s="6" t="s">
        <v>180</v>
      </c>
      <c r="J1007" s="15">
        <v>22.46723921186792</v>
      </c>
    </row>
    <row r="1008" spans="1:10">
      <c r="A1008" s="6" t="s">
        <v>139</v>
      </c>
      <c r="B1008" s="6" t="s">
        <v>92</v>
      </c>
      <c r="C1008" s="6" t="s">
        <v>262</v>
      </c>
      <c r="D1008" s="6">
        <v>42.91933333333333</v>
      </c>
      <c r="E1008" s="6" t="s">
        <v>88</v>
      </c>
      <c r="F1008" s="6" t="s">
        <v>51</v>
      </c>
      <c r="G1008" s="7">
        <v>47917.77818891367</v>
      </c>
      <c r="H1008" s="6">
        <v>2056599.094682715</v>
      </c>
      <c r="I1008" s="6" t="s">
        <v>180</v>
      </c>
      <c r="J1008" s="15">
        <v>11.18110739194603</v>
      </c>
    </row>
    <row r="1009" spans="1:10">
      <c r="A1009" s="6" t="s">
        <v>139</v>
      </c>
      <c r="B1009" s="6" t="s">
        <v>88</v>
      </c>
      <c r="C1009" s="6" t="s">
        <v>263</v>
      </c>
      <c r="D1009" s="6">
        <v>6.920583333333333</v>
      </c>
      <c r="E1009" s="6" t="s">
        <v>88</v>
      </c>
      <c r="F1009" s="6" t="s">
        <v>54</v>
      </c>
      <c r="G1009" s="7">
        <v>44354.09550833685</v>
      </c>
      <c r="H1009" s="6">
        <v>306956.2141400708</v>
      </c>
      <c r="I1009" s="6" t="s">
        <v>180</v>
      </c>
      <c r="J1009" s="15">
        <v>23.10068765164966</v>
      </c>
    </row>
    <row r="1010" spans="1:10">
      <c r="A1010" s="6" t="s">
        <v>139</v>
      </c>
      <c r="B1010" s="6" t="s">
        <v>88</v>
      </c>
      <c r="C1010" s="6" t="s">
        <v>264</v>
      </c>
      <c r="D1010" s="6">
        <v>12.32333333333333</v>
      </c>
      <c r="E1010" s="6" t="s">
        <v>88</v>
      </c>
      <c r="F1010" s="6" t="s">
        <v>54</v>
      </c>
      <c r="G1010" s="7">
        <v>58216.48799252068</v>
      </c>
      <c r="H1010" s="6">
        <v>717421.1870278299</v>
      </c>
      <c r="I1010" s="6" t="s">
        <v>180</v>
      </c>
      <c r="J1010" s="15">
        <v>32.43345168394607</v>
      </c>
    </row>
    <row r="1011" spans="1:10">
      <c r="A1011" s="6" t="s">
        <v>139</v>
      </c>
      <c r="B1011" s="6" t="s">
        <v>88</v>
      </c>
      <c r="C1011" s="6" t="s">
        <v>265</v>
      </c>
      <c r="D1011" s="6">
        <v>107.28575</v>
      </c>
      <c r="E1011" s="6" t="s">
        <v>88</v>
      </c>
      <c r="F1011" s="6" t="s">
        <v>54</v>
      </c>
      <c r="G1011" s="7">
        <v>51838.86171354609</v>
      </c>
      <c r="H1011" s="6">
        <v>5561571.158084078</v>
      </c>
      <c r="I1011" s="6" t="s">
        <v>180</v>
      </c>
      <c r="J1011" s="15">
        <v>28.13975698328366</v>
      </c>
    </row>
    <row r="1012" spans="1:10">
      <c r="A1012" s="6" t="s">
        <v>139</v>
      </c>
      <c r="B1012" s="6" t="s">
        <v>88</v>
      </c>
      <c r="C1012" s="6" t="s">
        <v>266</v>
      </c>
      <c r="D1012" s="6">
        <v>9.835666666666667</v>
      </c>
      <c r="E1012" s="6" t="s">
        <v>88</v>
      </c>
      <c r="F1012" s="6" t="s">
        <v>57</v>
      </c>
      <c r="G1012" s="7">
        <v>24366.26087614369</v>
      </c>
      <c r="H1012" s="6">
        <v>239658.4198907907</v>
      </c>
      <c r="I1012" s="6" t="s">
        <v>180</v>
      </c>
      <c r="J1012" s="15">
        <v>9.644010216520485</v>
      </c>
    </row>
    <row r="1013" spans="1:10">
      <c r="A1013" s="6" t="s">
        <v>139</v>
      </c>
      <c r="B1013" s="6" t="s">
        <v>92</v>
      </c>
      <c r="C1013" s="6" t="s">
        <v>354</v>
      </c>
      <c r="D1013" s="6">
        <v>0.05883333333333333</v>
      </c>
      <c r="E1013" s="6" t="s">
        <v>88</v>
      </c>
      <c r="F1013" s="6" t="s">
        <v>51</v>
      </c>
      <c r="G1013" s="7">
        <v>46093.87409211043</v>
      </c>
      <c r="H1013" s="6">
        <v>2711.85625908583</v>
      </c>
      <c r="I1013" s="6" t="s">
        <v>180</v>
      </c>
      <c r="J1013" s="15">
        <v>10.49819563980323</v>
      </c>
    </row>
    <row r="1014" spans="1:10">
      <c r="A1014" s="6" t="s">
        <v>139</v>
      </c>
      <c r="B1014" s="6" t="s">
        <v>88</v>
      </c>
      <c r="C1014" s="6" t="s">
        <v>355</v>
      </c>
      <c r="D1014" s="6">
        <v>1.147333333333333</v>
      </c>
      <c r="E1014" s="6" t="s">
        <v>88</v>
      </c>
      <c r="F1014" s="6" t="s">
        <v>52</v>
      </c>
      <c r="G1014" s="7">
        <v>44335.59781697809</v>
      </c>
      <c r="H1014" s="6">
        <v>50867.70922867952</v>
      </c>
      <c r="I1014" s="6" t="s">
        <v>180</v>
      </c>
      <c r="J1014" s="15">
        <v>23.08823420331521</v>
      </c>
    </row>
    <row r="1015" spans="1:10">
      <c r="A1015" s="6" t="s">
        <v>139</v>
      </c>
      <c r="B1015" s="6" t="s">
        <v>92</v>
      </c>
      <c r="C1015" s="6" t="s">
        <v>267</v>
      </c>
      <c r="D1015" s="6">
        <v>396.14725</v>
      </c>
      <c r="E1015" s="6" t="s">
        <v>88</v>
      </c>
      <c r="F1015" s="6" t="s">
        <v>53</v>
      </c>
      <c r="G1015" s="7">
        <v>48956.37381074637</v>
      </c>
      <c r="H1015" s="6">
        <v>19393932.85509919</v>
      </c>
      <c r="I1015" s="6" t="s">
        <v>179</v>
      </c>
      <c r="J1015" s="15">
        <v>31.05</v>
      </c>
    </row>
    <row r="1016" spans="1:10">
      <c r="A1016" s="6" t="s">
        <v>139</v>
      </c>
      <c r="B1016" s="6" t="s">
        <v>92</v>
      </c>
      <c r="C1016" s="6" t="s">
        <v>268</v>
      </c>
      <c r="D1016" s="6">
        <v>0.4505</v>
      </c>
      <c r="E1016" s="6" t="s">
        <v>88</v>
      </c>
      <c r="F1016" s="6" t="s">
        <v>51</v>
      </c>
      <c r="G1016" s="7">
        <v>43172.09311535833</v>
      </c>
      <c r="H1016" s="6">
        <v>19449.02794846893</v>
      </c>
      <c r="I1016" s="6" t="s">
        <v>180</v>
      </c>
      <c r="J1016" s="15">
        <v>9.404213467325818</v>
      </c>
    </row>
    <row r="1017" spans="1:10">
      <c r="A1017" s="6" t="s">
        <v>139</v>
      </c>
      <c r="B1017" s="6" t="s">
        <v>88</v>
      </c>
      <c r="C1017" s="6" t="s">
        <v>269</v>
      </c>
      <c r="D1017" s="6">
        <v>4.08025</v>
      </c>
      <c r="E1017" s="6" t="s">
        <v>88</v>
      </c>
      <c r="F1017" s="6" t="s">
        <v>52</v>
      </c>
      <c r="G1017" s="7">
        <v>44335.59781697809</v>
      </c>
      <c r="H1017" s="6">
        <v>180900.3229927249</v>
      </c>
      <c r="I1017" s="6" t="s">
        <v>180</v>
      </c>
      <c r="J1017" s="15">
        <v>23.08823420331521</v>
      </c>
    </row>
    <row r="1018" spans="1:10">
      <c r="A1018" s="6" t="s">
        <v>139</v>
      </c>
      <c r="B1018" s="6" t="s">
        <v>92</v>
      </c>
      <c r="C1018" s="6" t="s">
        <v>270</v>
      </c>
      <c r="D1018" s="6">
        <v>18.5845</v>
      </c>
      <c r="E1018" s="6" t="s">
        <v>88</v>
      </c>
      <c r="F1018" s="6" t="s">
        <v>59</v>
      </c>
      <c r="G1018" s="7">
        <v>46459.09667024752</v>
      </c>
      <c r="H1018" s="6">
        <v>863419.082068215</v>
      </c>
      <c r="I1018" s="6" t="s">
        <v>180</v>
      </c>
      <c r="J1018" s="15">
        <v>10.63494339490442</v>
      </c>
    </row>
    <row r="1019" spans="1:10">
      <c r="A1019" s="6" t="s">
        <v>139</v>
      </c>
      <c r="B1019" s="6" t="s">
        <v>88</v>
      </c>
      <c r="C1019" s="6" t="s">
        <v>271</v>
      </c>
      <c r="D1019" s="6">
        <v>249.9280833333333</v>
      </c>
      <c r="E1019" s="6" t="s">
        <v>88</v>
      </c>
      <c r="F1019" s="6" t="s">
        <v>54</v>
      </c>
      <c r="G1019" s="7">
        <v>41071.74894263604</v>
      </c>
      <c r="H1019" s="6">
        <v>10264983.49238089</v>
      </c>
      <c r="I1019" s="6" t="s">
        <v>180</v>
      </c>
      <c r="J1019" s="15">
        <v>20.89086954089749</v>
      </c>
    </row>
    <row r="1020" spans="1:10">
      <c r="A1020" s="6" t="s">
        <v>139</v>
      </c>
      <c r="B1020" s="6" t="s">
        <v>92</v>
      </c>
      <c r="C1020" s="6" t="s">
        <v>272</v>
      </c>
      <c r="D1020" s="6">
        <v>10.09383333333333</v>
      </c>
      <c r="E1020" s="6" t="s">
        <v>88</v>
      </c>
      <c r="F1020" s="6" t="s">
        <v>51</v>
      </c>
      <c r="G1020" s="7">
        <v>48140.33007987355</v>
      </c>
      <c r="H1020" s="6">
        <v>485920.468437897</v>
      </c>
      <c r="I1020" s="6" t="s">
        <v>180</v>
      </c>
      <c r="J1020" s="15">
        <v>11.26443595185468</v>
      </c>
    </row>
    <row r="1021" spans="1:10">
      <c r="A1021" s="6" t="s">
        <v>139</v>
      </c>
      <c r="B1021" s="6" t="s">
        <v>92</v>
      </c>
      <c r="C1021" s="6" t="s">
        <v>273</v>
      </c>
      <c r="D1021" s="6">
        <v>465.2955000000001</v>
      </c>
      <c r="E1021" s="6" t="s">
        <v>88</v>
      </c>
      <c r="F1021" s="6" t="s">
        <v>51</v>
      </c>
      <c r="G1021" s="7">
        <v>39415.32644745876</v>
      </c>
      <c r="H1021" s="6">
        <v>18339774.02703355</v>
      </c>
      <c r="I1021" s="6" t="s">
        <v>179</v>
      </c>
      <c r="J1021" s="15">
        <v>27</v>
      </c>
    </row>
    <row r="1022" spans="1:10">
      <c r="A1022" s="6" t="s">
        <v>139</v>
      </c>
      <c r="B1022" s="6" t="s">
        <v>88</v>
      </c>
      <c r="C1022" s="6" t="s">
        <v>274</v>
      </c>
      <c r="D1022" s="6">
        <v>9.778666666666666</v>
      </c>
      <c r="E1022" s="6" t="s">
        <v>88</v>
      </c>
      <c r="F1022" s="6" t="s">
        <v>56</v>
      </c>
      <c r="G1022" s="7">
        <v>42560.66367428353</v>
      </c>
      <c r="H1022" s="6">
        <v>416186.5431829271</v>
      </c>
      <c r="I1022" s="6" t="s">
        <v>180</v>
      </c>
      <c r="J1022" s="15">
        <v>21.89327153395389</v>
      </c>
    </row>
    <row r="1023" spans="1:10">
      <c r="A1023" s="6" t="s">
        <v>139</v>
      </c>
      <c r="B1023" s="6" t="s">
        <v>92</v>
      </c>
      <c r="C1023" s="6" t="s">
        <v>275</v>
      </c>
      <c r="D1023" s="6">
        <v>0.6556666666666666</v>
      </c>
      <c r="E1023" s="6" t="s">
        <v>88</v>
      </c>
      <c r="F1023" s="6" t="s">
        <v>51</v>
      </c>
      <c r="G1023" s="7">
        <v>60987.13615097924</v>
      </c>
      <c r="H1023" s="6">
        <v>39987.23226965872</v>
      </c>
      <c r="I1023" s="6" t="s">
        <v>180</v>
      </c>
      <c r="J1023" s="15">
        <v>16.0745763856825</v>
      </c>
    </row>
    <row r="1024" spans="1:10">
      <c r="A1024" s="6" t="s">
        <v>139</v>
      </c>
      <c r="B1024" s="6" t="s">
        <v>92</v>
      </c>
      <c r="C1024" s="6" t="s">
        <v>276</v>
      </c>
      <c r="D1024" s="6">
        <v>14.35008333333333</v>
      </c>
      <c r="E1024" s="6" t="s">
        <v>88</v>
      </c>
      <c r="F1024" s="6" t="s">
        <v>51</v>
      </c>
      <c r="G1024" s="7">
        <v>36785.44810286325</v>
      </c>
      <c r="H1024" s="6">
        <v>527874.2457300962</v>
      </c>
      <c r="I1024" s="6" t="s">
        <v>180</v>
      </c>
      <c r="J1024" s="15">
        <v>7.012906301866028</v>
      </c>
    </row>
    <row r="1025" spans="1:10">
      <c r="A1025" s="6" t="s">
        <v>139</v>
      </c>
      <c r="B1025" s="6" t="s">
        <v>92</v>
      </c>
      <c r="C1025" s="6" t="s">
        <v>277</v>
      </c>
      <c r="D1025" s="6">
        <v>0.12675</v>
      </c>
      <c r="E1025" s="6" t="s">
        <v>88</v>
      </c>
      <c r="F1025" s="6" t="s">
        <v>57</v>
      </c>
      <c r="G1025" s="7">
        <v>41020.02489344452</v>
      </c>
      <c r="H1025" s="6">
        <v>5199.288155244091</v>
      </c>
      <c r="I1025" s="6" t="s">
        <v>180</v>
      </c>
      <c r="J1025" s="15">
        <v>8.598429499444013</v>
      </c>
    </row>
    <row r="1026" spans="1:10">
      <c r="A1026" s="6" t="s">
        <v>139</v>
      </c>
      <c r="B1026" s="6" t="s">
        <v>92</v>
      </c>
      <c r="C1026" s="6" t="s">
        <v>278</v>
      </c>
      <c r="D1026" s="6">
        <v>394.68225</v>
      </c>
      <c r="E1026" s="6" t="s">
        <v>88</v>
      </c>
      <c r="F1026" s="6" t="s">
        <v>55</v>
      </c>
      <c r="G1026" s="7">
        <v>30336.77880022909</v>
      </c>
      <c r="H1026" s="6">
        <v>11973388.11462672</v>
      </c>
      <c r="I1026" s="6" t="s">
        <v>179</v>
      </c>
      <c r="J1026" s="15">
        <v>14</v>
      </c>
    </row>
    <row r="1027" spans="1:10">
      <c r="A1027" s="6" t="s">
        <v>139</v>
      </c>
      <c r="B1027" s="6" t="s">
        <v>88</v>
      </c>
      <c r="C1027" s="6" t="s">
        <v>280</v>
      </c>
      <c r="D1027" s="6">
        <v>105.9163333333333</v>
      </c>
      <c r="E1027" s="6" t="s">
        <v>88</v>
      </c>
      <c r="F1027" s="6" t="s">
        <v>55</v>
      </c>
      <c r="G1027" s="7">
        <v>24869.46250635056</v>
      </c>
      <c r="H1027" s="6">
        <v>2634082.280643461</v>
      </c>
      <c r="I1027" s="6" t="s">
        <v>180</v>
      </c>
      <c r="J1027" s="15">
        <v>9.982787385089743</v>
      </c>
    </row>
    <row r="1028" spans="1:10">
      <c r="A1028" s="6" t="s">
        <v>139</v>
      </c>
      <c r="B1028" s="6" t="s">
        <v>92</v>
      </c>
      <c r="C1028" s="6" t="s">
        <v>281</v>
      </c>
      <c r="D1028" s="6">
        <v>717.1550833333333</v>
      </c>
      <c r="E1028" s="6" t="s">
        <v>88</v>
      </c>
      <c r="F1028" s="6" t="s">
        <v>57</v>
      </c>
      <c r="G1028" s="7">
        <v>47725.16793448776</v>
      </c>
      <c r="H1028" s="6">
        <v>34226346.7871549</v>
      </c>
      <c r="I1028" s="6" t="s">
        <v>179</v>
      </c>
      <c r="J1028" s="15">
        <v>36</v>
      </c>
    </row>
    <row r="1029" spans="1:10">
      <c r="A1029" s="6" t="s">
        <v>139</v>
      </c>
      <c r="B1029" s="6" t="s">
        <v>92</v>
      </c>
      <c r="C1029" s="6" t="s">
        <v>282</v>
      </c>
      <c r="D1029" s="6">
        <v>0.2808333333333333</v>
      </c>
      <c r="E1029" s="6" t="s">
        <v>88</v>
      </c>
      <c r="F1029" s="6" t="s">
        <v>56</v>
      </c>
      <c r="G1029" s="7">
        <v>68040.22841453915</v>
      </c>
      <c r="H1029" s="6">
        <v>19107.96414641641</v>
      </c>
      <c r="I1029" s="6" t="s">
        <v>180</v>
      </c>
      <c r="J1029" s="15">
        <v>18.71541676987519</v>
      </c>
    </row>
    <row r="1030" spans="1:10">
      <c r="A1030" s="6" t="s">
        <v>139</v>
      </c>
      <c r="B1030" s="6" t="s">
        <v>92</v>
      </c>
      <c r="C1030" s="6" t="s">
        <v>283</v>
      </c>
      <c r="D1030" s="6">
        <v>137.3395</v>
      </c>
      <c r="E1030" s="6" t="s">
        <v>88</v>
      </c>
      <c r="F1030" s="6" t="s">
        <v>51</v>
      </c>
      <c r="G1030" s="7">
        <v>40169.43882543561</v>
      </c>
      <c r="H1030" s="6">
        <v>5516850.643565914</v>
      </c>
      <c r="I1030" s="6" t="s">
        <v>179</v>
      </c>
      <c r="J1030" s="15">
        <v>27.40833333333333</v>
      </c>
    </row>
    <row r="1031" spans="1:10">
      <c r="A1031" s="6" t="s">
        <v>139</v>
      </c>
      <c r="B1031" s="6" t="s">
        <v>92</v>
      </c>
      <c r="C1031" s="6" t="s">
        <v>284</v>
      </c>
      <c r="D1031" s="6">
        <v>46.54083333333333</v>
      </c>
      <c r="E1031" s="6" t="s">
        <v>88</v>
      </c>
      <c r="F1031" s="6" t="s">
        <v>55</v>
      </c>
      <c r="G1031" s="7">
        <v>36138.38846146646</v>
      </c>
      <c r="H1031" s="6">
        <v>1681910.714320367</v>
      </c>
      <c r="I1031" s="6" t="s">
        <v>179</v>
      </c>
      <c r="J1031" s="15">
        <v>40.2</v>
      </c>
    </row>
    <row r="1032" spans="1:10">
      <c r="A1032" s="6" t="s">
        <v>139</v>
      </c>
      <c r="B1032" s="6" t="s">
        <v>92</v>
      </c>
      <c r="C1032" s="6" t="s">
        <v>286</v>
      </c>
      <c r="D1032" s="6">
        <v>8.121666666666666</v>
      </c>
      <c r="E1032" s="6" t="s">
        <v>88</v>
      </c>
      <c r="F1032" s="6" t="s">
        <v>59</v>
      </c>
      <c r="G1032" s="7">
        <v>51919.2206470298</v>
      </c>
      <c r="H1032" s="6">
        <v>421670.6036882937</v>
      </c>
      <c r="I1032" s="6" t="s">
        <v>180</v>
      </c>
      <c r="J1032" s="15">
        <v>12.67933971949008</v>
      </c>
    </row>
    <row r="1033" spans="1:10">
      <c r="A1033" s="6" t="s">
        <v>139</v>
      </c>
      <c r="B1033" s="6" t="s">
        <v>92</v>
      </c>
      <c r="C1033" s="6" t="s">
        <v>287</v>
      </c>
      <c r="D1033" s="6">
        <v>0.3740000000000001</v>
      </c>
      <c r="E1033" s="6" t="s">
        <v>88</v>
      </c>
      <c r="F1033" s="6" t="s">
        <v>53</v>
      </c>
      <c r="G1033" s="7">
        <v>57298.25349141887</v>
      </c>
      <c r="H1033" s="6">
        <v>21429.54680579066</v>
      </c>
      <c r="I1033" s="6" t="s">
        <v>180</v>
      </c>
      <c r="J1033" s="15">
        <v>14.69337365418751</v>
      </c>
    </row>
    <row r="1034" spans="1:10">
      <c r="A1034" s="6" t="s">
        <v>139</v>
      </c>
      <c r="B1034" s="6" t="s">
        <v>88</v>
      </c>
      <c r="C1034" s="6" t="s">
        <v>376</v>
      </c>
      <c r="D1034" s="6">
        <v>0.2081666666666667</v>
      </c>
      <c r="E1034" s="6" t="s">
        <v>88</v>
      </c>
      <c r="F1034" s="6" t="s">
        <v>54</v>
      </c>
      <c r="G1034" s="7">
        <v>52281.20456964882</v>
      </c>
      <c r="H1034" s="6">
        <v>10883.2040845819</v>
      </c>
      <c r="I1034" s="6" t="s">
        <v>180</v>
      </c>
      <c r="J1034" s="15">
        <v>28.43756138480302</v>
      </c>
    </row>
    <row r="1035" spans="1:10">
      <c r="A1035" s="6" t="s">
        <v>139</v>
      </c>
      <c r="B1035" s="6" t="s">
        <v>92</v>
      </c>
      <c r="C1035" s="6" t="s">
        <v>288</v>
      </c>
      <c r="D1035" s="6">
        <v>0.197</v>
      </c>
      <c r="E1035" s="6" t="s">
        <v>88</v>
      </c>
      <c r="F1035" s="6" t="s">
        <v>58</v>
      </c>
      <c r="G1035" s="7">
        <v>64645.17061643103</v>
      </c>
      <c r="H1035" s="6">
        <v>12735.09861143691</v>
      </c>
      <c r="I1035" s="6" t="s">
        <v>180</v>
      </c>
      <c r="J1035" s="15">
        <v>17.44422884195959</v>
      </c>
    </row>
    <row r="1036" spans="1:10">
      <c r="A1036" s="6" t="s">
        <v>139</v>
      </c>
      <c r="B1036" s="6" t="s">
        <v>88</v>
      </c>
      <c r="C1036" s="6" t="s">
        <v>370</v>
      </c>
      <c r="D1036" s="6">
        <v>0.2088333333333333</v>
      </c>
      <c r="E1036" s="6" t="s">
        <v>88</v>
      </c>
      <c r="F1036" s="6" t="s">
        <v>55</v>
      </c>
      <c r="G1036" s="7">
        <v>14611.98013674237</v>
      </c>
      <c r="H1036" s="6">
        <v>3051.468518556365</v>
      </c>
      <c r="I1036" s="6" t="s">
        <v>180</v>
      </c>
      <c r="J1036" s="15">
        <v>3.077005238882525</v>
      </c>
    </row>
    <row r="1037" spans="1:10">
      <c r="A1037" s="6" t="s">
        <v>139</v>
      </c>
      <c r="B1037" s="6" t="s">
        <v>92</v>
      </c>
      <c r="C1037" s="6" t="s">
        <v>359</v>
      </c>
      <c r="D1037" s="6">
        <v>4.2075</v>
      </c>
      <c r="E1037" s="6" t="s">
        <v>88</v>
      </c>
      <c r="F1037" s="6" t="s">
        <v>60</v>
      </c>
      <c r="G1037" s="7">
        <v>44697.22384667303</v>
      </c>
      <c r="H1037" s="6">
        <v>188063.5693348768</v>
      </c>
      <c r="I1037" s="6" t="s">
        <v>180</v>
      </c>
      <c r="J1037" s="15">
        <v>9.975257581868043</v>
      </c>
    </row>
    <row r="1038" spans="1:10">
      <c r="A1038" s="6" t="s">
        <v>139</v>
      </c>
      <c r="B1038" s="6" t="s">
        <v>88</v>
      </c>
      <c r="C1038" s="6" t="s">
        <v>289</v>
      </c>
      <c r="D1038" s="6">
        <v>1584.21425</v>
      </c>
      <c r="E1038" s="6" t="s">
        <v>88</v>
      </c>
      <c r="F1038" s="6" t="s">
        <v>52</v>
      </c>
      <c r="G1038" s="7">
        <v>34757.37314593359</v>
      </c>
      <c r="H1038" s="6">
        <v>55063125.83035532</v>
      </c>
      <c r="I1038" s="6" t="s">
        <v>179</v>
      </c>
      <c r="J1038" s="15">
        <v>49</v>
      </c>
    </row>
    <row r="1039" spans="1:10">
      <c r="A1039" s="6" t="s">
        <v>139</v>
      </c>
      <c r="B1039" s="6" t="s">
        <v>92</v>
      </c>
      <c r="C1039" s="6" t="s">
        <v>290</v>
      </c>
      <c r="D1039" s="6">
        <v>0.01525</v>
      </c>
      <c r="E1039" s="6" t="s">
        <v>88</v>
      </c>
      <c r="F1039" s="6" t="s">
        <v>53</v>
      </c>
      <c r="G1039" s="7">
        <v>49488.52827244454</v>
      </c>
      <c r="H1039" s="6">
        <v>754.7000561547792</v>
      </c>
      <c r="I1039" s="6" t="s">
        <v>180</v>
      </c>
      <c r="J1039" s="15">
        <v>11.76923244391702</v>
      </c>
    </row>
    <row r="1040" spans="1:10">
      <c r="A1040" s="6" t="s">
        <v>139</v>
      </c>
      <c r="B1040" s="6" t="s">
        <v>92</v>
      </c>
      <c r="C1040" s="6" t="s">
        <v>291</v>
      </c>
      <c r="D1040" s="6">
        <v>0.003416666666666667</v>
      </c>
      <c r="E1040" s="6" t="s">
        <v>88</v>
      </c>
      <c r="F1040" s="6" t="s">
        <v>51</v>
      </c>
      <c r="G1040" s="7">
        <v>42426.84693805363</v>
      </c>
      <c r="H1040" s="6">
        <v>144.9583937050166</v>
      </c>
      <c r="I1040" s="6" t="s">
        <v>180</v>
      </c>
      <c r="J1040" s="15">
        <v>9.125176113545601</v>
      </c>
    </row>
    <row r="1041" spans="1:10">
      <c r="A1041" s="6" t="s">
        <v>139</v>
      </c>
      <c r="B1041" s="6" t="s">
        <v>88</v>
      </c>
      <c r="C1041" s="6" t="s">
        <v>292</v>
      </c>
      <c r="D1041" s="6">
        <v>13.08775</v>
      </c>
      <c r="E1041" s="6" t="s">
        <v>88</v>
      </c>
      <c r="F1041" s="6" t="s">
        <v>54</v>
      </c>
      <c r="G1041" s="7">
        <v>57587.50593880366</v>
      </c>
      <c r="H1041" s="6">
        <v>753690.8808505776</v>
      </c>
      <c r="I1041" s="6" t="s">
        <v>180</v>
      </c>
      <c r="J1041" s="15">
        <v>32.00999367735827</v>
      </c>
    </row>
    <row r="1042" spans="1:10">
      <c r="A1042" s="6" t="s">
        <v>139</v>
      </c>
      <c r="B1042" s="6" t="s">
        <v>88</v>
      </c>
      <c r="C1042" s="6" t="s">
        <v>293</v>
      </c>
      <c r="D1042" s="6">
        <v>174.7410833333333</v>
      </c>
      <c r="E1042" s="6" t="s">
        <v>88</v>
      </c>
      <c r="F1042" s="6" t="s">
        <v>53</v>
      </c>
      <c r="G1042" s="7">
        <v>29405.08722093612</v>
      </c>
      <c r="H1042" s="6">
        <v>5138276.796497533</v>
      </c>
      <c r="I1042" s="6" t="s">
        <v>180</v>
      </c>
      <c r="J1042" s="15">
        <v>13.0363667184245</v>
      </c>
    </row>
    <row r="1043" spans="1:10">
      <c r="A1043" s="6" t="s">
        <v>139</v>
      </c>
      <c r="B1043" s="6" t="s">
        <v>88</v>
      </c>
      <c r="C1043" s="6" t="s">
        <v>371</v>
      </c>
      <c r="D1043" s="6">
        <v>0.41775</v>
      </c>
      <c r="E1043" s="6" t="s">
        <v>88</v>
      </c>
      <c r="F1043" s="6" t="s">
        <v>55</v>
      </c>
      <c r="G1043" s="7">
        <v>20381.74878536983</v>
      </c>
      <c r="H1043" s="6">
        <v>8514.475555088247</v>
      </c>
      <c r="I1043" s="6" t="s">
        <v>180</v>
      </c>
      <c r="J1043" s="15">
        <v>6.961463811240732</v>
      </c>
    </row>
    <row r="1044" spans="1:10">
      <c r="A1044" s="6" t="s">
        <v>139</v>
      </c>
      <c r="B1044" s="6" t="s">
        <v>88</v>
      </c>
      <c r="C1044" s="6" t="s">
        <v>294</v>
      </c>
      <c r="D1044" s="6">
        <v>0.2556666666666667</v>
      </c>
      <c r="E1044" s="6" t="s">
        <v>88</v>
      </c>
      <c r="F1044" s="6" t="s">
        <v>54</v>
      </c>
      <c r="G1044" s="7">
        <v>50619.94402359961</v>
      </c>
      <c r="H1044" s="6">
        <v>12941.83235536697</v>
      </c>
      <c r="I1044" s="6" t="s">
        <v>180</v>
      </c>
      <c r="J1044" s="15">
        <v>27.31912871236711</v>
      </c>
    </row>
    <row r="1045" spans="1:10">
      <c r="A1045" s="6" t="s">
        <v>139</v>
      </c>
      <c r="B1045" s="6" t="s">
        <v>92</v>
      </c>
      <c r="C1045" s="6" t="s">
        <v>295</v>
      </c>
      <c r="D1045" s="6">
        <v>44.90033333333334</v>
      </c>
      <c r="E1045" s="6" t="s">
        <v>88</v>
      </c>
      <c r="F1045" s="6" t="s">
        <v>53</v>
      </c>
      <c r="G1045" s="7">
        <v>43665.47276142767</v>
      </c>
      <c r="H1045" s="6">
        <v>1960594.28214569</v>
      </c>
      <c r="I1045" s="6" t="s">
        <v>179</v>
      </c>
      <c r="J1045" s="15">
        <v>37</v>
      </c>
    </row>
    <row r="1046" spans="1:10">
      <c r="A1046" s="6" t="s">
        <v>139</v>
      </c>
      <c r="B1046" s="6" t="s">
        <v>92</v>
      </c>
      <c r="C1046" s="6" t="s">
        <v>296</v>
      </c>
      <c r="D1046" s="6">
        <v>37.49591666666667</v>
      </c>
      <c r="E1046" s="6" t="s">
        <v>88</v>
      </c>
      <c r="F1046" s="6" t="s">
        <v>61</v>
      </c>
      <c r="G1046" s="7">
        <v>53088.58925206317</v>
      </c>
      <c r="H1046" s="6">
        <v>1990605.318546256</v>
      </c>
      <c r="I1046" s="6" t="s">
        <v>179</v>
      </c>
      <c r="J1046" s="15">
        <v>21</v>
      </c>
    </row>
    <row r="1047" spans="1:10">
      <c r="A1047" s="6" t="s">
        <v>139</v>
      </c>
      <c r="B1047" s="6" t="s">
        <v>88</v>
      </c>
      <c r="C1047" s="6" t="s">
        <v>297</v>
      </c>
      <c r="D1047" s="6">
        <v>0.9535</v>
      </c>
      <c r="E1047" s="6" t="s">
        <v>88</v>
      </c>
      <c r="F1047" s="6" t="s">
        <v>52</v>
      </c>
      <c r="G1047" s="7">
        <v>44335.59781697809</v>
      </c>
      <c r="H1047" s="6">
        <v>42273.99251848861</v>
      </c>
      <c r="I1047" s="6" t="s">
        <v>180</v>
      </c>
      <c r="J1047" s="15">
        <v>23.08823420331521</v>
      </c>
    </row>
    <row r="1048" spans="1:10">
      <c r="A1048" s="6" t="s">
        <v>139</v>
      </c>
      <c r="B1048" s="6" t="s">
        <v>92</v>
      </c>
      <c r="C1048" s="6" t="s">
        <v>298</v>
      </c>
      <c r="D1048" s="6">
        <v>24.49525</v>
      </c>
      <c r="E1048" s="6" t="s">
        <v>88</v>
      </c>
      <c r="F1048" s="6" t="s">
        <v>56</v>
      </c>
      <c r="G1048" s="7">
        <v>64956.33439155623</v>
      </c>
      <c r="H1048" s="6">
        <v>1591121.650004768</v>
      </c>
      <c r="I1048" s="6" t="s">
        <v>180</v>
      </c>
      <c r="J1048" s="15">
        <v>17.56073573464467</v>
      </c>
    </row>
    <row r="1049" spans="1:10">
      <c r="A1049" s="6" t="s">
        <v>139</v>
      </c>
      <c r="B1049" s="6" t="s">
        <v>92</v>
      </c>
      <c r="C1049" s="6" t="s">
        <v>299</v>
      </c>
      <c r="D1049" s="6">
        <v>0.486</v>
      </c>
      <c r="E1049" s="6" t="s">
        <v>88</v>
      </c>
      <c r="F1049" s="6" t="s">
        <v>53</v>
      </c>
      <c r="G1049" s="7">
        <v>52009.60071301651</v>
      </c>
      <c r="H1049" s="6">
        <v>25276.66594652602</v>
      </c>
      <c r="I1049" s="6" t="s">
        <v>180</v>
      </c>
      <c r="J1049" s="15">
        <v>12.7131801003138</v>
      </c>
    </row>
    <row r="1050" spans="1:10">
      <c r="A1050" s="6" t="s">
        <v>139</v>
      </c>
      <c r="B1050" s="6" t="s">
        <v>92</v>
      </c>
      <c r="C1050" s="6" t="s">
        <v>301</v>
      </c>
      <c r="D1050" s="6">
        <v>5.4905</v>
      </c>
      <c r="E1050" s="6" t="s">
        <v>88</v>
      </c>
      <c r="F1050" s="6" t="s">
        <v>59</v>
      </c>
      <c r="G1050" s="7">
        <v>60287.5334728343</v>
      </c>
      <c r="H1050" s="6">
        <v>331008.7025325967</v>
      </c>
      <c r="I1050" s="6" t="s">
        <v>180</v>
      </c>
      <c r="J1050" s="15">
        <v>15.81262901050354</v>
      </c>
    </row>
    <row r="1051" spans="1:10">
      <c r="A1051" s="6" t="s">
        <v>139</v>
      </c>
      <c r="B1051" s="6" t="s">
        <v>88</v>
      </c>
      <c r="C1051" s="6" t="s">
        <v>302</v>
      </c>
      <c r="D1051" s="6">
        <v>1068.670833333333</v>
      </c>
      <c r="E1051" s="6" t="s">
        <v>88</v>
      </c>
      <c r="F1051" s="6" t="s">
        <v>52</v>
      </c>
      <c r="G1051" s="7">
        <v>33240.74338740388</v>
      </c>
      <c r="H1051" s="6">
        <v>35523412.93643639</v>
      </c>
      <c r="I1051" s="6" t="s">
        <v>179</v>
      </c>
      <c r="J1051" s="15">
        <v>34</v>
      </c>
    </row>
    <row r="1052" spans="1:10">
      <c r="A1052" s="6" t="s">
        <v>139</v>
      </c>
      <c r="B1052" s="6" t="s">
        <v>92</v>
      </c>
      <c r="C1052" s="6" t="s">
        <v>303</v>
      </c>
      <c r="D1052" s="6">
        <v>0.18575</v>
      </c>
      <c r="E1052" s="6" t="s">
        <v>88</v>
      </c>
      <c r="F1052" s="6" t="s">
        <v>53</v>
      </c>
      <c r="G1052" s="7">
        <v>52579.50648328198</v>
      </c>
      <c r="H1052" s="6">
        <v>9766.643329269627</v>
      </c>
      <c r="I1052" s="6" t="s">
        <v>180</v>
      </c>
      <c r="J1052" s="15">
        <v>12.92656596243804</v>
      </c>
    </row>
    <row r="1053" spans="1:10">
      <c r="A1053" s="6" t="s">
        <v>139</v>
      </c>
      <c r="B1053" s="6" t="s">
        <v>88</v>
      </c>
      <c r="C1053" s="6" t="s">
        <v>361</v>
      </c>
      <c r="D1053" s="6">
        <v>59.64275</v>
      </c>
      <c r="E1053" s="6" t="s">
        <v>88</v>
      </c>
      <c r="F1053" s="6" t="s">
        <v>52</v>
      </c>
      <c r="G1053" s="7">
        <v>41929.97821752574</v>
      </c>
      <c r="H1053" s="6">
        <v>2500819.208333333</v>
      </c>
      <c r="I1053" s="6" t="s">
        <v>179</v>
      </c>
      <c r="J1053" s="15">
        <v>39.98333333333333</v>
      </c>
    </row>
    <row r="1054" spans="1:10">
      <c r="A1054" s="6" t="s">
        <v>139</v>
      </c>
      <c r="B1054" s="6" t="s">
        <v>88</v>
      </c>
      <c r="C1054" s="6" t="s">
        <v>305</v>
      </c>
      <c r="D1054" s="6">
        <v>35.40958333333334</v>
      </c>
      <c r="E1054" s="6" t="s">
        <v>88</v>
      </c>
      <c r="F1054" s="6" t="s">
        <v>54</v>
      </c>
      <c r="G1054" s="7">
        <v>54240.54060127008</v>
      </c>
      <c r="H1054" s="6">
        <v>1920634.942465723</v>
      </c>
      <c r="I1054" s="6" t="s">
        <v>180</v>
      </c>
      <c r="J1054" s="15">
        <v>29.75667140595994</v>
      </c>
    </row>
    <row r="1055" spans="1:10">
      <c r="A1055" s="6" t="s">
        <v>139</v>
      </c>
      <c r="B1055" s="6" t="s">
        <v>92</v>
      </c>
      <c r="C1055" s="6" t="s">
        <v>306</v>
      </c>
      <c r="D1055" s="6">
        <v>5.902083333333334</v>
      </c>
      <c r="E1055" s="6" t="s">
        <v>88</v>
      </c>
      <c r="F1055" s="6" t="s">
        <v>57</v>
      </c>
      <c r="G1055" s="7">
        <v>39936.89263645957</v>
      </c>
      <c r="H1055" s="6">
        <v>235710.8684147708</v>
      </c>
      <c r="I1055" s="6" t="s">
        <v>180</v>
      </c>
      <c r="J1055" s="15">
        <v>8.192879805950582</v>
      </c>
    </row>
    <row r="1056" spans="1:10">
      <c r="A1056" s="6" t="s">
        <v>139</v>
      </c>
      <c r="B1056" s="6" t="s">
        <v>92</v>
      </c>
      <c r="C1056" s="6" t="s">
        <v>307</v>
      </c>
      <c r="D1056" s="6">
        <v>0.09766666666666667</v>
      </c>
      <c r="E1056" s="6" t="s">
        <v>88</v>
      </c>
      <c r="F1056" s="6" t="s">
        <v>53</v>
      </c>
      <c r="G1056" s="7">
        <v>52756.89179587198</v>
      </c>
      <c r="H1056" s="6">
        <v>5152.58976539683</v>
      </c>
      <c r="I1056" s="6" t="s">
        <v>180</v>
      </c>
      <c r="J1056" s="15">
        <v>12.99298311388671</v>
      </c>
    </row>
    <row r="1057" spans="1:10">
      <c r="A1057" s="6" t="s">
        <v>139</v>
      </c>
      <c r="B1057" s="6" t="s">
        <v>88</v>
      </c>
      <c r="C1057" s="6" t="s">
        <v>362</v>
      </c>
      <c r="D1057" s="6">
        <v>181.7543333333333</v>
      </c>
      <c r="E1057" s="6" t="s">
        <v>88</v>
      </c>
      <c r="F1057" s="6" t="s">
        <v>52</v>
      </c>
      <c r="G1057" s="7">
        <v>36106.29405129155</v>
      </c>
      <c r="H1057" s="6">
        <v>6562475.404429795</v>
      </c>
      <c r="I1057" s="6" t="s">
        <v>179</v>
      </c>
      <c r="J1057" s="15">
        <v>34.25</v>
      </c>
    </row>
    <row r="1058" spans="1:10">
      <c r="A1058" s="6" t="s">
        <v>139</v>
      </c>
      <c r="B1058" s="6" t="s">
        <v>88</v>
      </c>
      <c r="C1058" s="6" t="s">
        <v>308</v>
      </c>
      <c r="D1058" s="6">
        <v>0.2456666666666667</v>
      </c>
      <c r="E1058" s="6" t="s">
        <v>88</v>
      </c>
      <c r="F1058" s="6" t="s">
        <v>54</v>
      </c>
      <c r="G1058" s="7">
        <v>44901.76692934829</v>
      </c>
      <c r="H1058" s="6">
        <v>11030.86740897656</v>
      </c>
      <c r="I1058" s="6" t="s">
        <v>180</v>
      </c>
      <c r="J1058" s="15">
        <v>23.46940381268491</v>
      </c>
    </row>
    <row r="1059" spans="1:10">
      <c r="A1059" s="6" t="s">
        <v>139</v>
      </c>
      <c r="B1059" s="6" t="s">
        <v>88</v>
      </c>
      <c r="C1059" s="6" t="s">
        <v>309</v>
      </c>
      <c r="D1059" s="6">
        <v>360.7226666666667</v>
      </c>
      <c r="E1059" s="6" t="s">
        <v>88</v>
      </c>
      <c r="F1059" s="6" t="s">
        <v>52</v>
      </c>
      <c r="G1059" s="7">
        <v>43401.39202919273</v>
      </c>
      <c r="H1059" s="6">
        <v>15655865.86981581</v>
      </c>
      <c r="I1059" s="6" t="s">
        <v>179</v>
      </c>
      <c r="J1059" s="15">
        <v>37.5</v>
      </c>
    </row>
    <row r="1060" spans="1:10">
      <c r="A1060" s="6" t="s">
        <v>139</v>
      </c>
      <c r="B1060" s="6" t="s">
        <v>92</v>
      </c>
      <c r="C1060" s="6" t="s">
        <v>310</v>
      </c>
      <c r="D1060" s="6">
        <v>35.30658333333333</v>
      </c>
      <c r="E1060" s="6" t="s">
        <v>88</v>
      </c>
      <c r="F1060" s="6" t="s">
        <v>52</v>
      </c>
      <c r="G1060" s="7">
        <v>77318.80490856594</v>
      </c>
      <c r="H1060" s="6">
        <v>2729862.828738025</v>
      </c>
      <c r="I1060" s="6" t="s">
        <v>180</v>
      </c>
      <c r="J1060" s="15">
        <v>22.18952976848772</v>
      </c>
    </row>
    <row r="1061" spans="1:10">
      <c r="A1061" s="6" t="s">
        <v>139</v>
      </c>
      <c r="B1061" s="6" t="s">
        <v>92</v>
      </c>
      <c r="C1061" s="6" t="s">
        <v>311</v>
      </c>
      <c r="D1061" s="6">
        <v>222.953</v>
      </c>
      <c r="E1061" s="6" t="s">
        <v>88</v>
      </c>
      <c r="F1061" s="6" t="s">
        <v>51</v>
      </c>
      <c r="G1061" s="7">
        <v>47093.06261970591</v>
      </c>
      <c r="H1061" s="6">
        <v>10499539.59025129</v>
      </c>
      <c r="I1061" s="6" t="s">
        <v>179</v>
      </c>
      <c r="J1061" s="15">
        <v>49.65833333333333</v>
      </c>
    </row>
    <row r="1062" spans="1:10">
      <c r="A1062" s="6" t="s">
        <v>139</v>
      </c>
      <c r="B1062" s="6" t="s">
        <v>88</v>
      </c>
      <c r="C1062" s="6" t="s">
        <v>312</v>
      </c>
      <c r="D1062" s="6">
        <v>54.05091666666667</v>
      </c>
      <c r="E1062" s="6" t="s">
        <v>88</v>
      </c>
      <c r="F1062" s="6" t="s">
        <v>54</v>
      </c>
      <c r="G1062" s="7">
        <v>43974.2296302894</v>
      </c>
      <c r="H1062" s="6">
        <v>2376847.421227636</v>
      </c>
      <c r="I1062" s="6" t="s">
        <v>180</v>
      </c>
      <c r="J1062" s="15">
        <v>22.84494546228496</v>
      </c>
    </row>
    <row r="1063" spans="1:10">
      <c r="A1063" s="6" t="s">
        <v>139</v>
      </c>
      <c r="B1063" s="6" t="s">
        <v>92</v>
      </c>
      <c r="C1063" s="6" t="s">
        <v>313</v>
      </c>
      <c r="D1063" s="6">
        <v>7.997000000000001</v>
      </c>
      <c r="E1063" s="6" t="s">
        <v>88</v>
      </c>
      <c r="F1063" s="6" t="s">
        <v>51</v>
      </c>
      <c r="G1063" s="7">
        <v>47731.50326829251</v>
      </c>
      <c r="H1063" s="6">
        <v>381708.8316365352</v>
      </c>
      <c r="I1063" s="6" t="s">
        <v>180</v>
      </c>
      <c r="J1063" s="15">
        <v>11.11136176626066</v>
      </c>
    </row>
    <row r="1064" spans="1:10">
      <c r="A1064" s="6" t="s">
        <v>139</v>
      </c>
      <c r="B1064" s="6" t="s">
        <v>92</v>
      </c>
      <c r="C1064" s="6" t="s">
        <v>314</v>
      </c>
      <c r="D1064" s="6">
        <v>2.293416666666666</v>
      </c>
      <c r="E1064" s="6" t="s">
        <v>88</v>
      </c>
      <c r="F1064" s="6" t="s">
        <v>51</v>
      </c>
      <c r="G1064" s="7">
        <v>66764.46796773297</v>
      </c>
      <c r="H1064" s="6">
        <v>153118.7435783316</v>
      </c>
      <c r="I1064" s="6" t="s">
        <v>180</v>
      </c>
      <c r="J1064" s="15">
        <v>18.23774264020472</v>
      </c>
    </row>
    <row r="1065" spans="1:10">
      <c r="A1065" s="6" t="s">
        <v>139</v>
      </c>
      <c r="B1065" s="6" t="s">
        <v>92</v>
      </c>
      <c r="C1065" s="6" t="s">
        <v>315</v>
      </c>
      <c r="D1065" s="6">
        <v>37.0025</v>
      </c>
      <c r="E1065" s="6" t="s">
        <v>88</v>
      </c>
      <c r="F1065" s="6" t="s">
        <v>51</v>
      </c>
      <c r="G1065" s="7">
        <v>36977.7141649833</v>
      </c>
      <c r="H1065" s="6">
        <v>1368267.868389794</v>
      </c>
      <c r="I1065" s="6" t="s">
        <v>179</v>
      </c>
      <c r="J1065" s="15">
        <v>20.63333333333333</v>
      </c>
    </row>
    <row r="1066" spans="1:10">
      <c r="A1066" s="6" t="s">
        <v>139</v>
      </c>
      <c r="B1066" s="6" t="s">
        <v>88</v>
      </c>
      <c r="C1066" s="6" t="s">
        <v>316</v>
      </c>
      <c r="D1066" s="6">
        <v>2.109166666666667</v>
      </c>
      <c r="E1066" s="6" t="s">
        <v>88</v>
      </c>
      <c r="F1066" s="6" t="s">
        <v>54</v>
      </c>
      <c r="G1066" s="7">
        <v>52119.57953683602</v>
      </c>
      <c r="H1066" s="6">
        <v>109928.8798397767</v>
      </c>
      <c r="I1066" s="6" t="s">
        <v>180</v>
      </c>
      <c r="J1066" s="15">
        <v>28.32874840070413</v>
      </c>
    </row>
    <row r="1067" spans="1:10">
      <c r="A1067" s="6" t="s">
        <v>139</v>
      </c>
      <c r="B1067" s="6" t="s">
        <v>92</v>
      </c>
      <c r="C1067" s="6" t="s">
        <v>317</v>
      </c>
      <c r="D1067" s="6">
        <v>0.3051666666666667</v>
      </c>
      <c r="E1067" s="6" t="s">
        <v>88</v>
      </c>
      <c r="F1067" s="6" t="s">
        <v>51</v>
      </c>
      <c r="G1067" s="7">
        <v>51135.75391883078</v>
      </c>
      <c r="H1067" s="6">
        <v>15604.92757089653</v>
      </c>
      <c r="I1067" s="6" t="s">
        <v>180</v>
      </c>
      <c r="J1067" s="15">
        <v>12.38599171010859</v>
      </c>
    </row>
    <row r="1068" spans="1:10">
      <c r="A1068" s="6" t="s">
        <v>139</v>
      </c>
      <c r="B1068" s="6" t="s">
        <v>88</v>
      </c>
      <c r="C1068" s="6" t="s">
        <v>319</v>
      </c>
      <c r="D1068" s="6">
        <v>4.120083333333334</v>
      </c>
      <c r="E1068" s="6" t="s">
        <v>88</v>
      </c>
      <c r="F1068" s="6" t="s">
        <v>52</v>
      </c>
      <c r="G1068" s="7">
        <v>44335.59781697809</v>
      </c>
      <c r="H1068" s="6">
        <v>182666.3576391011</v>
      </c>
      <c r="I1068" s="6" t="s">
        <v>180</v>
      </c>
      <c r="J1068" s="15">
        <v>23.08823420331521</v>
      </c>
    </row>
    <row r="1069" spans="1:10">
      <c r="A1069" s="6" t="s">
        <v>139</v>
      </c>
      <c r="B1069" s="6" t="s">
        <v>92</v>
      </c>
      <c r="C1069" s="6" t="s">
        <v>320</v>
      </c>
      <c r="D1069" s="6">
        <v>413.5562499999999</v>
      </c>
      <c r="E1069" s="6" t="s">
        <v>88</v>
      </c>
      <c r="F1069" s="6" t="s">
        <v>51</v>
      </c>
      <c r="G1069" s="7">
        <v>42399.1324717879</v>
      </c>
      <c r="H1069" s="6">
        <v>17534426.22828583</v>
      </c>
      <c r="I1069" s="6" t="s">
        <v>179</v>
      </c>
      <c r="J1069" s="15">
        <v>45</v>
      </c>
    </row>
    <row r="1070" spans="1:10">
      <c r="A1070" s="6" t="s">
        <v>139</v>
      </c>
      <c r="B1070" s="6" t="s">
        <v>92</v>
      </c>
      <c r="C1070" s="6" t="s">
        <v>321</v>
      </c>
      <c r="D1070" s="6">
        <v>0.1015833333333333</v>
      </c>
      <c r="E1070" s="6" t="s">
        <v>88</v>
      </c>
      <c r="F1070" s="6" t="s">
        <v>54</v>
      </c>
      <c r="G1070" s="7">
        <v>66126.21911984179</v>
      </c>
      <c r="H1070" s="6">
        <v>6717.321758923928</v>
      </c>
      <c r="I1070" s="6" t="s">
        <v>180</v>
      </c>
      <c r="J1070" s="15">
        <v>17.99876755386086</v>
      </c>
    </row>
    <row r="1071" spans="1:10">
      <c r="A1071" s="6" t="s">
        <v>139</v>
      </c>
      <c r="B1071" s="6" t="s">
        <v>92</v>
      </c>
      <c r="C1071" s="6" t="s">
        <v>322</v>
      </c>
      <c r="D1071" s="6">
        <v>85.50508333333333</v>
      </c>
      <c r="E1071" s="6" t="s">
        <v>88</v>
      </c>
      <c r="F1071" s="6" t="s">
        <v>51</v>
      </c>
      <c r="G1071" s="7">
        <v>51594.95855690809</v>
      </c>
      <c r="H1071" s="6">
        <v>4411631.230988306</v>
      </c>
      <c r="I1071" s="6" t="s">
        <v>180</v>
      </c>
      <c r="J1071" s="15">
        <v>12.55792851562985</v>
      </c>
    </row>
    <row r="1072" spans="1:10">
      <c r="A1072" s="6" t="s">
        <v>139</v>
      </c>
      <c r="B1072" s="6" t="s">
        <v>92</v>
      </c>
      <c r="C1072" s="6" t="s">
        <v>323</v>
      </c>
      <c r="D1072" s="6">
        <v>23.45583333333333</v>
      </c>
      <c r="E1072" s="6" t="s">
        <v>88</v>
      </c>
      <c r="F1072" s="6" t="s">
        <v>55</v>
      </c>
      <c r="G1072" s="7">
        <v>37901.84707720344</v>
      </c>
      <c r="H1072" s="6">
        <v>889019.4080683711</v>
      </c>
      <c r="I1072" s="6" t="s">
        <v>179</v>
      </c>
      <c r="J1072" s="15">
        <v>17</v>
      </c>
    </row>
    <row r="1073" spans="1:10">
      <c r="A1073" s="6" t="s">
        <v>139</v>
      </c>
      <c r="B1073" s="6" t="s">
        <v>92</v>
      </c>
      <c r="C1073" s="6" t="s">
        <v>324</v>
      </c>
      <c r="D1073" s="6">
        <v>237.2449166666667</v>
      </c>
      <c r="E1073" s="6" t="s">
        <v>88</v>
      </c>
      <c r="F1073" s="6" t="s">
        <v>51</v>
      </c>
      <c r="G1073" s="7">
        <v>59286.87997138536</v>
      </c>
      <c r="H1073" s="6">
        <v>14065510.89823799</v>
      </c>
      <c r="I1073" s="6" t="s">
        <v>179</v>
      </c>
      <c r="J1073" s="15">
        <v>44</v>
      </c>
    </row>
    <row r="1074" spans="1:10">
      <c r="A1074" s="6" t="s">
        <v>139</v>
      </c>
      <c r="B1074" s="6" t="s">
        <v>88</v>
      </c>
      <c r="C1074" s="6" t="s">
        <v>372</v>
      </c>
      <c r="D1074" s="6">
        <v>1.7615</v>
      </c>
      <c r="E1074" s="6" t="s">
        <v>88</v>
      </c>
      <c r="F1074" s="6" t="s">
        <v>55</v>
      </c>
      <c r="G1074" s="7">
        <v>26107.48186832325</v>
      </c>
      <c r="H1074" s="6">
        <v>45988.32931105141</v>
      </c>
      <c r="I1074" s="6" t="s">
        <v>180</v>
      </c>
      <c r="J1074" s="15">
        <v>10.81627573032942</v>
      </c>
    </row>
    <row r="1075" spans="1:10">
      <c r="A1075" s="6" t="s">
        <v>139</v>
      </c>
      <c r="B1075" s="6" t="s">
        <v>92</v>
      </c>
      <c r="C1075" s="6" t="s">
        <v>325</v>
      </c>
      <c r="D1075" s="6">
        <v>0.5835833333333333</v>
      </c>
      <c r="E1075" s="6" t="s">
        <v>88</v>
      </c>
      <c r="F1075" s="6" t="s">
        <v>53</v>
      </c>
      <c r="G1075" s="7">
        <v>65311.40887625943</v>
      </c>
      <c r="H1075" s="6">
        <v>38114.64969670373</v>
      </c>
      <c r="I1075" s="6" t="s">
        <v>180</v>
      </c>
      <c r="J1075" s="15">
        <v>17.69368380955434</v>
      </c>
    </row>
    <row r="1076" spans="1:10">
      <c r="A1076" s="6" t="s">
        <v>139</v>
      </c>
      <c r="B1076" s="6" t="s">
        <v>88</v>
      </c>
      <c r="C1076" s="6" t="s">
        <v>364</v>
      </c>
      <c r="D1076" s="6">
        <v>4.807583333333334</v>
      </c>
      <c r="E1076" s="6" t="s">
        <v>88</v>
      </c>
      <c r="F1076" s="6" t="s">
        <v>52</v>
      </c>
      <c r="G1076" s="7">
        <v>44335.59781697809</v>
      </c>
      <c r="H1076" s="6">
        <v>213147.0811382736</v>
      </c>
      <c r="I1076" s="6" t="s">
        <v>180</v>
      </c>
      <c r="J1076" s="15">
        <v>23.08823420331521</v>
      </c>
    </row>
    <row r="1077" spans="1:10">
      <c r="A1077" s="6" t="s">
        <v>139</v>
      </c>
      <c r="B1077" s="6" t="s">
        <v>88</v>
      </c>
      <c r="C1077" s="6" t="s">
        <v>326</v>
      </c>
      <c r="D1077" s="6">
        <v>288.858</v>
      </c>
      <c r="E1077" s="6" t="s">
        <v>88</v>
      </c>
      <c r="F1077" s="6" t="s">
        <v>54</v>
      </c>
      <c r="G1077" s="7">
        <v>52218.3360663061</v>
      </c>
      <c r="H1077" s="6">
        <v>15083684.11944105</v>
      </c>
      <c r="I1077" s="6" t="s">
        <v>180</v>
      </c>
      <c r="J1077" s="15">
        <v>28.39523558083876</v>
      </c>
    </row>
    <row r="1078" spans="1:10">
      <c r="A1078" s="6" t="s">
        <v>139</v>
      </c>
      <c r="B1078" s="6" t="s">
        <v>88</v>
      </c>
      <c r="C1078" s="6" t="s">
        <v>373</v>
      </c>
      <c r="D1078" s="6">
        <v>0.2316666666666667</v>
      </c>
      <c r="E1078" s="6" t="s">
        <v>88</v>
      </c>
      <c r="F1078" s="6" t="s">
        <v>55</v>
      </c>
      <c r="G1078" s="7">
        <v>16856.45138564954</v>
      </c>
      <c r="H1078" s="6">
        <v>3905.077904342143</v>
      </c>
      <c r="I1078" s="6" t="s">
        <v>180</v>
      </c>
      <c r="J1078" s="15">
        <v>4.588080658744115</v>
      </c>
    </row>
    <row r="1079" spans="1:10">
      <c r="A1079" s="6" t="s">
        <v>139</v>
      </c>
      <c r="B1079" s="6" t="s">
        <v>92</v>
      </c>
      <c r="C1079" s="6" t="s">
        <v>374</v>
      </c>
      <c r="D1079" s="6">
        <v>0.05691666666666666</v>
      </c>
      <c r="E1079" s="6" t="s">
        <v>88</v>
      </c>
      <c r="F1079" s="6" t="s">
        <v>55</v>
      </c>
      <c r="G1079" s="7">
        <v>29054.37866544401</v>
      </c>
      <c r="H1079" s="6">
        <v>1653.678385708188</v>
      </c>
      <c r="I1079" s="6" t="s">
        <v>180</v>
      </c>
      <c r="J1079" s="15">
        <v>15.81666666666667</v>
      </c>
    </row>
    <row r="1080" spans="1:10">
      <c r="A1080" s="6" t="s">
        <v>139</v>
      </c>
      <c r="B1080" s="6" t="s">
        <v>88</v>
      </c>
      <c r="C1080" s="6" t="s">
        <v>327</v>
      </c>
      <c r="D1080" s="6">
        <v>49.30216666666666</v>
      </c>
      <c r="E1080" s="6" t="s">
        <v>88</v>
      </c>
      <c r="F1080" s="6" t="s">
        <v>57</v>
      </c>
      <c r="G1080" s="7">
        <v>24260.20233969063</v>
      </c>
      <c r="H1080" s="6">
        <v>1196080.539118484</v>
      </c>
      <c r="I1080" s="6" t="s">
        <v>180</v>
      </c>
      <c r="J1080" s="15">
        <v>9.572607008491534</v>
      </c>
    </row>
    <row r="1081" spans="1:10">
      <c r="A1081" s="6" t="s">
        <v>139</v>
      </c>
      <c r="B1081" s="6" t="s">
        <v>92</v>
      </c>
      <c r="C1081" s="6" t="s">
        <v>328</v>
      </c>
      <c r="D1081" s="6">
        <v>0.1481666666666667</v>
      </c>
      <c r="E1081" s="6" t="s">
        <v>88</v>
      </c>
      <c r="F1081" s="6" t="s">
        <v>58</v>
      </c>
      <c r="G1081" s="7">
        <v>58185.92729035135</v>
      </c>
      <c r="H1081" s="6">
        <v>8621.214893520391</v>
      </c>
      <c r="I1081" s="6" t="s">
        <v>180</v>
      </c>
      <c r="J1081" s="15">
        <v>15.02573919381359</v>
      </c>
    </row>
    <row r="1082" spans="1:10">
      <c r="A1082" s="6" t="s">
        <v>139</v>
      </c>
      <c r="B1082" s="6" t="s">
        <v>88</v>
      </c>
      <c r="C1082" s="6" t="s">
        <v>329</v>
      </c>
      <c r="D1082" s="6">
        <v>192.4203333333333</v>
      </c>
      <c r="E1082" s="6" t="s">
        <v>88</v>
      </c>
      <c r="F1082" s="6" t="s">
        <v>58</v>
      </c>
      <c r="G1082" s="7">
        <v>28500.44322961068</v>
      </c>
      <c r="H1082" s="6">
        <v>5484064.786389429</v>
      </c>
      <c r="I1082" s="6" t="s">
        <v>180</v>
      </c>
      <c r="J1082" s="15">
        <v>12.42732113600372</v>
      </c>
    </row>
    <row r="1083" spans="1:10">
      <c r="A1083" s="6" t="s">
        <v>139</v>
      </c>
      <c r="B1083" s="6" t="s">
        <v>88</v>
      </c>
      <c r="C1083" s="6" t="s">
        <v>330</v>
      </c>
      <c r="D1083" s="6">
        <v>5.259333333333333</v>
      </c>
      <c r="E1083" s="6" t="s">
        <v>88</v>
      </c>
      <c r="F1083" s="6" t="s">
        <v>52</v>
      </c>
      <c r="G1083" s="7">
        <v>44335.59781697809</v>
      </c>
      <c r="H1083" s="6">
        <v>233175.6874520934</v>
      </c>
      <c r="I1083" s="6" t="s">
        <v>180</v>
      </c>
      <c r="J1083" s="15">
        <v>23.08823420331521</v>
      </c>
    </row>
    <row r="1084" spans="1:10">
      <c r="A1084" s="6" t="s">
        <v>139</v>
      </c>
      <c r="B1084" s="6" t="s">
        <v>92</v>
      </c>
      <c r="C1084" s="6" t="s">
        <v>331</v>
      </c>
      <c r="D1084" s="6">
        <v>52.29525</v>
      </c>
      <c r="E1084" s="6" t="s">
        <v>88</v>
      </c>
      <c r="F1084" s="6" t="s">
        <v>58</v>
      </c>
      <c r="G1084" s="7">
        <v>52490.82308035896</v>
      </c>
      <c r="H1084" s="6">
        <v>2745020.715693142</v>
      </c>
      <c r="I1084" s="6" t="s">
        <v>179</v>
      </c>
      <c r="J1084" s="15">
        <v>17.40719355741339</v>
      </c>
    </row>
    <row r="1085" spans="1:10">
      <c r="A1085" s="6" t="s">
        <v>139</v>
      </c>
      <c r="B1085" s="6" t="s">
        <v>92</v>
      </c>
      <c r="C1085" s="6" t="s">
        <v>332</v>
      </c>
      <c r="D1085" s="6">
        <v>807.2191666666666</v>
      </c>
      <c r="E1085" s="6" t="s">
        <v>88</v>
      </c>
      <c r="F1085" s="6" t="s">
        <v>55</v>
      </c>
      <c r="G1085" s="7">
        <v>18935.91078298569</v>
      </c>
      <c r="H1085" s="6">
        <v>15285430.12231605</v>
      </c>
      <c r="I1085" s="6" t="s">
        <v>179</v>
      </c>
      <c r="J1085" s="15">
        <v>13</v>
      </c>
    </row>
    <row r="1086" spans="1:10">
      <c r="A1086" s="6" t="s">
        <v>139</v>
      </c>
      <c r="B1086" s="6" t="s">
        <v>88</v>
      </c>
      <c r="C1086" s="6" t="s">
        <v>375</v>
      </c>
      <c r="D1086" s="6">
        <v>0.4240833333333333</v>
      </c>
      <c r="E1086" s="6" t="s">
        <v>88</v>
      </c>
      <c r="F1086" s="6" t="s">
        <v>55</v>
      </c>
      <c r="G1086" s="7">
        <v>20384.26846005159</v>
      </c>
      <c r="H1086" s="6">
        <v>8644.628516100212</v>
      </c>
      <c r="I1086" s="6" t="s">
        <v>180</v>
      </c>
      <c r="J1086" s="15">
        <v>6.963160165551133</v>
      </c>
    </row>
    <row r="1087" spans="1:10">
      <c r="A1087" s="6" t="s">
        <v>139</v>
      </c>
      <c r="B1087" s="6" t="s">
        <v>92</v>
      </c>
      <c r="C1087" s="6" t="s">
        <v>333</v>
      </c>
      <c r="D1087" s="6">
        <v>27.81408333333333</v>
      </c>
      <c r="E1087" s="6" t="s">
        <v>88</v>
      </c>
      <c r="F1087" s="6" t="s">
        <v>51</v>
      </c>
      <c r="G1087" s="7">
        <v>51151.59012928524</v>
      </c>
      <c r="H1087" s="6">
        <v>1422734.59048845</v>
      </c>
      <c r="I1087" s="6" t="s">
        <v>180</v>
      </c>
      <c r="J1087" s="15">
        <v>12.39192115247769</v>
      </c>
    </row>
    <row r="1088" spans="1:10">
      <c r="A1088" s="6" t="s">
        <v>139</v>
      </c>
      <c r="B1088" s="6" t="s">
        <v>90</v>
      </c>
      <c r="C1088" s="6" t="s">
        <v>194</v>
      </c>
      <c r="D1088" s="6">
        <v>0.2404166666666667</v>
      </c>
      <c r="E1088" s="6" t="s">
        <v>90</v>
      </c>
      <c r="F1088" s="6" t="s">
        <v>58</v>
      </c>
      <c r="G1088" s="7">
        <v>59839.94997846646</v>
      </c>
      <c r="H1088" s="6">
        <v>14386.52130732298</v>
      </c>
      <c r="I1088" s="6" t="s">
        <v>180</v>
      </c>
      <c r="J1088" s="15">
        <v>69.98333333333333</v>
      </c>
    </row>
    <row r="1089" spans="1:10">
      <c r="A1089" s="6" t="s">
        <v>139</v>
      </c>
      <c r="B1089" s="6" t="s">
        <v>90</v>
      </c>
      <c r="C1089" s="6" t="s">
        <v>195</v>
      </c>
      <c r="D1089" s="6">
        <v>21.21025</v>
      </c>
      <c r="E1089" s="6" t="s">
        <v>90</v>
      </c>
      <c r="F1089" s="6" t="s">
        <v>54</v>
      </c>
      <c r="G1089" s="7">
        <v>56976.27849226169</v>
      </c>
      <c r="H1089" s="6">
        <v>1208481.110890494</v>
      </c>
      <c r="I1089" s="6" t="s">
        <v>180</v>
      </c>
      <c r="J1089" s="15">
        <v>11.49610447263148</v>
      </c>
    </row>
    <row r="1090" spans="1:10">
      <c r="A1090" s="6" t="s">
        <v>139</v>
      </c>
      <c r="B1090" s="6" t="s">
        <v>90</v>
      </c>
      <c r="C1090" s="6" t="s">
        <v>334</v>
      </c>
      <c r="D1090" s="6">
        <v>0.003333333333333334</v>
      </c>
      <c r="E1090" s="6" t="s">
        <v>90</v>
      </c>
      <c r="F1090" s="6" t="s">
        <v>54</v>
      </c>
      <c r="G1090" s="7">
        <v>73156.13365961002</v>
      </c>
      <c r="H1090" s="6">
        <v>243.8537788653667</v>
      </c>
      <c r="I1090" s="6" t="s">
        <v>180</v>
      </c>
      <c r="J1090" s="15">
        <v>16.68050450820028</v>
      </c>
    </row>
    <row r="1091" spans="1:10">
      <c r="A1091" s="6" t="s">
        <v>139</v>
      </c>
      <c r="B1091" s="6" t="s">
        <v>90</v>
      </c>
      <c r="C1091" s="6" t="s">
        <v>335</v>
      </c>
      <c r="D1091" s="6">
        <v>295.1966666666667</v>
      </c>
      <c r="E1091" s="6" t="s">
        <v>90</v>
      </c>
      <c r="F1091" s="6" t="s">
        <v>52</v>
      </c>
      <c r="G1091" s="7">
        <v>95698.07693963528</v>
      </c>
      <c r="H1091" s="6">
        <v>28249753.31899054</v>
      </c>
      <c r="I1091" s="6" t="s">
        <v>179</v>
      </c>
      <c r="J1091" s="15">
        <v>62.25</v>
      </c>
    </row>
    <row r="1092" spans="1:10">
      <c r="A1092" s="6" t="s">
        <v>139</v>
      </c>
      <c r="B1092" s="6" t="s">
        <v>90</v>
      </c>
      <c r="C1092" s="6" t="s">
        <v>197</v>
      </c>
      <c r="D1092" s="6">
        <v>13.35216666666667</v>
      </c>
      <c r="E1092" s="6" t="s">
        <v>90</v>
      </c>
      <c r="F1092" s="6" t="s">
        <v>53</v>
      </c>
      <c r="G1092" s="7">
        <v>24873.23941462196</v>
      </c>
      <c r="H1092" s="6">
        <v>332111.6382039348</v>
      </c>
      <c r="I1092" s="6" t="s">
        <v>179</v>
      </c>
      <c r="J1092" s="15">
        <v>27</v>
      </c>
    </row>
    <row r="1093" spans="1:10">
      <c r="A1093" s="6" t="s">
        <v>139</v>
      </c>
      <c r="B1093" s="6" t="s">
        <v>90</v>
      </c>
      <c r="C1093" s="6" t="s">
        <v>198</v>
      </c>
      <c r="D1093" s="6">
        <v>9.5905</v>
      </c>
      <c r="E1093" s="6" t="s">
        <v>90</v>
      </c>
      <c r="F1093" s="6" t="s">
        <v>58</v>
      </c>
      <c r="G1093" s="7">
        <v>77672.91374469569</v>
      </c>
      <c r="H1093" s="6">
        <v>744922.0792685041</v>
      </c>
      <c r="I1093" s="6" t="s">
        <v>180</v>
      </c>
      <c r="J1093" s="15">
        <v>18.12778537638943</v>
      </c>
    </row>
    <row r="1094" spans="1:10">
      <c r="A1094" s="6" t="s">
        <v>139</v>
      </c>
      <c r="B1094" s="6" t="s">
        <v>90</v>
      </c>
      <c r="C1094" s="6" t="s">
        <v>199</v>
      </c>
      <c r="D1094" s="6">
        <v>30.45966666666666</v>
      </c>
      <c r="E1094" s="6" t="s">
        <v>90</v>
      </c>
      <c r="F1094" s="6" t="s">
        <v>57</v>
      </c>
      <c r="G1094" s="7">
        <v>56186.72410453543</v>
      </c>
      <c r="H1094" s="6">
        <v>1711428.887316114</v>
      </c>
      <c r="I1094" s="6" t="s">
        <v>179</v>
      </c>
      <c r="J1094" s="15">
        <v>8.999964910367698</v>
      </c>
    </row>
    <row r="1095" spans="1:10">
      <c r="A1095" s="6" t="s">
        <v>139</v>
      </c>
      <c r="B1095" s="6" t="s">
        <v>90</v>
      </c>
      <c r="C1095" s="6" t="s">
        <v>337</v>
      </c>
      <c r="D1095" s="6">
        <v>7.947416666666666</v>
      </c>
      <c r="E1095" s="6" t="s">
        <v>90</v>
      </c>
      <c r="F1095" s="6" t="s">
        <v>52</v>
      </c>
      <c r="G1095" s="7">
        <v>59918.03179942394</v>
      </c>
      <c r="H1095" s="6">
        <v>476193.5645566051</v>
      </c>
      <c r="I1095" s="6" t="s">
        <v>180</v>
      </c>
      <c r="J1095" s="15">
        <v>12.43871031134531</v>
      </c>
    </row>
    <row r="1096" spans="1:10">
      <c r="A1096" s="6" t="s">
        <v>139</v>
      </c>
      <c r="B1096" s="6" t="s">
        <v>90</v>
      </c>
      <c r="C1096" s="6" t="s">
        <v>200</v>
      </c>
      <c r="D1096" s="6">
        <v>4.313666666666667</v>
      </c>
      <c r="E1096" s="6" t="s">
        <v>90</v>
      </c>
      <c r="F1096" s="6" t="s">
        <v>52</v>
      </c>
      <c r="G1096" s="7">
        <v>59918.03179942394</v>
      </c>
      <c r="H1096" s="6">
        <v>258466.4165054484</v>
      </c>
      <c r="I1096" s="6" t="s">
        <v>180</v>
      </c>
      <c r="J1096" s="15">
        <v>12.43871031134531</v>
      </c>
    </row>
    <row r="1097" spans="1:10">
      <c r="A1097" s="6" t="s">
        <v>139</v>
      </c>
      <c r="B1097" s="6" t="s">
        <v>90</v>
      </c>
      <c r="C1097" s="6" t="s">
        <v>201</v>
      </c>
      <c r="D1097" s="6">
        <v>22.92925</v>
      </c>
      <c r="E1097" s="6" t="s">
        <v>90</v>
      </c>
      <c r="F1097" s="6" t="s">
        <v>56</v>
      </c>
      <c r="G1097" s="7">
        <v>47784.13759688608</v>
      </c>
      <c r="H1097" s="6">
        <v>1095654.4369934</v>
      </c>
      <c r="I1097" s="6" t="s">
        <v>180</v>
      </c>
      <c r="J1097" s="15">
        <v>8.550729801966316</v>
      </c>
    </row>
    <row r="1098" spans="1:10">
      <c r="A1098" s="6" t="s">
        <v>139</v>
      </c>
      <c r="B1098" s="6" t="s">
        <v>90</v>
      </c>
      <c r="C1098" s="6" t="s">
        <v>202</v>
      </c>
      <c r="D1098" s="6">
        <v>262.6076666666667</v>
      </c>
      <c r="E1098" s="6" t="s">
        <v>90</v>
      </c>
      <c r="F1098" s="6" t="s">
        <v>54</v>
      </c>
      <c r="G1098" s="7">
        <v>97561.06954083586</v>
      </c>
      <c r="H1098" s="6">
        <v>25620284.82962331</v>
      </c>
      <c r="I1098" s="6" t="s">
        <v>179</v>
      </c>
      <c r="J1098" s="15">
        <v>17.88099969416268</v>
      </c>
    </row>
    <row r="1099" spans="1:10">
      <c r="A1099" s="6" t="s">
        <v>139</v>
      </c>
      <c r="B1099" s="6" t="s">
        <v>90</v>
      </c>
      <c r="C1099" s="6" t="s">
        <v>203</v>
      </c>
      <c r="D1099" s="6">
        <v>170.0596666666667</v>
      </c>
      <c r="E1099" s="6" t="s">
        <v>90</v>
      </c>
      <c r="F1099" s="6" t="s">
        <v>53</v>
      </c>
      <c r="G1099" s="7">
        <v>17844.00974373058</v>
      </c>
      <c r="H1099" s="6">
        <v>3034546.349015574</v>
      </c>
      <c r="I1099" s="6" t="s">
        <v>179</v>
      </c>
      <c r="J1099" s="15">
        <v>12</v>
      </c>
    </row>
    <row r="1100" spans="1:10">
      <c r="A1100" s="6" t="s">
        <v>139</v>
      </c>
      <c r="B1100" s="6" t="s">
        <v>90</v>
      </c>
      <c r="C1100" s="6" t="s">
        <v>204</v>
      </c>
      <c r="D1100" s="6">
        <v>854.2524999999999</v>
      </c>
      <c r="E1100" s="6" t="s">
        <v>90</v>
      </c>
      <c r="F1100" s="6" t="s">
        <v>51</v>
      </c>
      <c r="G1100" s="7">
        <v>48521.48309148364</v>
      </c>
      <c r="H1100" s="6">
        <v>41449598.23460763</v>
      </c>
      <c r="I1100" s="6" t="s">
        <v>179</v>
      </c>
      <c r="J1100" s="15">
        <v>44.48333333333333</v>
      </c>
    </row>
    <row r="1101" spans="1:10">
      <c r="A1101" s="6" t="s">
        <v>139</v>
      </c>
      <c r="B1101" s="6" t="s">
        <v>90</v>
      </c>
      <c r="C1101" s="6" t="s">
        <v>338</v>
      </c>
      <c r="D1101" s="6">
        <v>0.0795</v>
      </c>
      <c r="E1101" s="6" t="s">
        <v>90</v>
      </c>
      <c r="F1101" s="6" t="s">
        <v>52</v>
      </c>
      <c r="G1101" s="7">
        <v>59918.03179942394</v>
      </c>
      <c r="H1101" s="6">
        <v>4763.483528054203</v>
      </c>
      <c r="I1101" s="6" t="s">
        <v>180</v>
      </c>
      <c r="J1101" s="15">
        <v>12.43871031134531</v>
      </c>
    </row>
    <row r="1102" spans="1:10">
      <c r="A1102" s="6" t="s">
        <v>139</v>
      </c>
      <c r="B1102" s="6" t="s">
        <v>90</v>
      </c>
      <c r="C1102" s="6" t="s">
        <v>339</v>
      </c>
      <c r="D1102" s="6">
        <v>0.057</v>
      </c>
      <c r="E1102" s="6" t="s">
        <v>90</v>
      </c>
      <c r="F1102" s="6" t="s">
        <v>52</v>
      </c>
      <c r="G1102" s="7">
        <v>59918.03179942394</v>
      </c>
      <c r="H1102" s="6">
        <v>3415.327812567164</v>
      </c>
      <c r="I1102" s="6" t="s">
        <v>180</v>
      </c>
      <c r="J1102" s="15">
        <v>12.43871031134531</v>
      </c>
    </row>
    <row r="1103" spans="1:10">
      <c r="A1103" s="6" t="s">
        <v>139</v>
      </c>
      <c r="B1103" s="6" t="s">
        <v>90</v>
      </c>
      <c r="C1103" s="6" t="s">
        <v>205</v>
      </c>
      <c r="D1103" s="6">
        <v>67.98949999999999</v>
      </c>
      <c r="E1103" s="6" t="s">
        <v>90</v>
      </c>
      <c r="F1103" s="6" t="s">
        <v>56</v>
      </c>
      <c r="G1103" s="7">
        <v>54785.63728382858</v>
      </c>
      <c r="H1103" s="6">
        <v>3724848.086108862</v>
      </c>
      <c r="I1103" s="6" t="s">
        <v>180</v>
      </c>
      <c r="J1103" s="15">
        <v>10.79417233285323</v>
      </c>
    </row>
    <row r="1104" spans="1:10">
      <c r="A1104" s="6" t="s">
        <v>139</v>
      </c>
      <c r="B1104" s="6" t="s">
        <v>90</v>
      </c>
      <c r="C1104" s="6" t="s">
        <v>206</v>
      </c>
      <c r="D1104" s="6">
        <v>6.854</v>
      </c>
      <c r="E1104" s="6" t="s">
        <v>90</v>
      </c>
      <c r="F1104" s="6" t="s">
        <v>55</v>
      </c>
      <c r="G1104" s="7">
        <v>60123.96801866899</v>
      </c>
      <c r="H1104" s="6">
        <v>412089.6767999572</v>
      </c>
      <c r="I1104" s="6" t="s">
        <v>180</v>
      </c>
      <c r="J1104" s="15">
        <v>12.5046970418405</v>
      </c>
    </row>
    <row r="1105" spans="1:10">
      <c r="A1105" s="6" t="s">
        <v>139</v>
      </c>
      <c r="B1105" s="6" t="s">
        <v>92</v>
      </c>
      <c r="C1105" s="6" t="s">
        <v>340</v>
      </c>
      <c r="D1105" s="6">
        <v>24.34158333333333</v>
      </c>
      <c r="E1105" s="6" t="s">
        <v>90</v>
      </c>
      <c r="F1105" s="6" t="s">
        <v>52</v>
      </c>
      <c r="G1105" s="7">
        <v>30591.57365130842</v>
      </c>
      <c r="H1105" s="6">
        <v>744647.3393311281</v>
      </c>
      <c r="I1105" s="6" t="s">
        <v>180</v>
      </c>
      <c r="J1105" s="15">
        <v>4.69377687961323</v>
      </c>
    </row>
    <row r="1106" spans="1:10">
      <c r="A1106" s="6" t="s">
        <v>139</v>
      </c>
      <c r="B1106" s="6" t="s">
        <v>90</v>
      </c>
      <c r="C1106" s="6" t="s">
        <v>207</v>
      </c>
      <c r="D1106" s="6">
        <v>0.213</v>
      </c>
      <c r="E1106" s="6" t="s">
        <v>90</v>
      </c>
      <c r="F1106" s="6" t="s">
        <v>55</v>
      </c>
      <c r="G1106" s="7">
        <v>51379.92992151718</v>
      </c>
      <c r="H1106" s="6">
        <v>10943.92507328316</v>
      </c>
      <c r="I1106" s="6" t="s">
        <v>180</v>
      </c>
      <c r="J1106" s="15">
        <v>46</v>
      </c>
    </row>
    <row r="1107" spans="1:10">
      <c r="A1107" s="6" t="s">
        <v>139</v>
      </c>
      <c r="B1107" s="6" t="s">
        <v>90</v>
      </c>
      <c r="C1107" s="6" t="s">
        <v>208</v>
      </c>
      <c r="D1107" s="6">
        <v>3.811166666666667</v>
      </c>
      <c r="E1107" s="6" t="s">
        <v>90</v>
      </c>
      <c r="F1107" s="6" t="s">
        <v>51</v>
      </c>
      <c r="G1107" s="7">
        <v>50863.64364522683</v>
      </c>
      <c r="H1107" s="6">
        <v>193849.8232059003</v>
      </c>
      <c r="I1107" s="6" t="s">
        <v>180</v>
      </c>
      <c r="J1107" s="15">
        <v>49.81666666666667</v>
      </c>
    </row>
    <row r="1108" spans="1:10">
      <c r="A1108" s="6" t="s">
        <v>139</v>
      </c>
      <c r="B1108" s="6" t="s">
        <v>90</v>
      </c>
      <c r="C1108" s="6" t="s">
        <v>209</v>
      </c>
      <c r="D1108" s="6">
        <v>0.2264166666666667</v>
      </c>
      <c r="E1108" s="6" t="s">
        <v>90</v>
      </c>
      <c r="F1108" s="6" t="s">
        <v>57</v>
      </c>
      <c r="G1108" s="7">
        <v>49159.54940532756</v>
      </c>
      <c r="H1108" s="6">
        <v>11130.54131118958</v>
      </c>
      <c r="I1108" s="6" t="s">
        <v>180</v>
      </c>
      <c r="J1108" s="15">
        <v>8.991443575659162</v>
      </c>
    </row>
    <row r="1109" spans="1:10">
      <c r="A1109" s="6" t="s">
        <v>139</v>
      </c>
      <c r="B1109" s="6" t="s">
        <v>90</v>
      </c>
      <c r="C1109" s="6" t="s">
        <v>210</v>
      </c>
      <c r="D1109" s="6">
        <v>0.1901666666666667</v>
      </c>
      <c r="E1109" s="6" t="s">
        <v>90</v>
      </c>
      <c r="F1109" s="6" t="s">
        <v>53</v>
      </c>
      <c r="G1109" s="7">
        <v>33962.09735450833</v>
      </c>
      <c r="H1109" s="6">
        <v>6458.458846915668</v>
      </c>
      <c r="I1109" s="6" t="s">
        <v>180</v>
      </c>
      <c r="J1109" s="15">
        <v>12</v>
      </c>
    </row>
    <row r="1110" spans="1:10">
      <c r="A1110" s="6" t="s">
        <v>139</v>
      </c>
      <c r="B1110" s="6" t="s">
        <v>90</v>
      </c>
      <c r="C1110" s="6" t="s">
        <v>211</v>
      </c>
      <c r="D1110" s="6">
        <v>233.689</v>
      </c>
      <c r="E1110" s="6" t="s">
        <v>90</v>
      </c>
      <c r="F1110" s="6" t="s">
        <v>55</v>
      </c>
      <c r="G1110" s="7">
        <v>46692.76242695332</v>
      </c>
      <c r="H1110" s="6">
        <v>10911584.95879229</v>
      </c>
      <c r="I1110" s="6" t="s">
        <v>179</v>
      </c>
      <c r="J1110" s="15">
        <v>27.95</v>
      </c>
    </row>
    <row r="1111" spans="1:10">
      <c r="A1111" s="6" t="s">
        <v>139</v>
      </c>
      <c r="B1111" s="6" t="s">
        <v>90</v>
      </c>
      <c r="C1111" s="6" t="s">
        <v>212</v>
      </c>
      <c r="D1111" s="6">
        <v>28.25275</v>
      </c>
      <c r="E1111" s="6" t="s">
        <v>90</v>
      </c>
      <c r="F1111" s="6" t="s">
        <v>55</v>
      </c>
      <c r="G1111" s="7">
        <v>50564.67204652241</v>
      </c>
      <c r="H1111" s="6">
        <v>1428591.038162386</v>
      </c>
      <c r="I1111" s="6" t="s">
        <v>179</v>
      </c>
      <c r="J1111" s="15">
        <v>30.11666666666667</v>
      </c>
    </row>
    <row r="1112" spans="1:10">
      <c r="A1112" s="6" t="s">
        <v>139</v>
      </c>
      <c r="B1112" s="6" t="s">
        <v>90</v>
      </c>
      <c r="C1112" s="6" t="s">
        <v>213</v>
      </c>
      <c r="D1112" s="6">
        <v>1.54075</v>
      </c>
      <c r="E1112" s="6" t="s">
        <v>90</v>
      </c>
      <c r="F1112" s="6" t="s">
        <v>52</v>
      </c>
      <c r="G1112" s="7">
        <v>87922.06742521108</v>
      </c>
      <c r="H1112" s="6">
        <v>135465.925385394</v>
      </c>
      <c r="I1112" s="6" t="s">
        <v>179</v>
      </c>
      <c r="J1112" s="15">
        <v>49.5</v>
      </c>
    </row>
    <row r="1113" spans="1:10">
      <c r="A1113" s="6" t="s">
        <v>139</v>
      </c>
      <c r="B1113" s="6" t="s">
        <v>90</v>
      </c>
      <c r="C1113" s="6" t="s">
        <v>214</v>
      </c>
      <c r="D1113" s="6">
        <v>0.7293333333333333</v>
      </c>
      <c r="E1113" s="6" t="s">
        <v>90</v>
      </c>
      <c r="F1113" s="6" t="s">
        <v>53</v>
      </c>
      <c r="G1113" s="7">
        <v>29230.07315219457</v>
      </c>
      <c r="H1113" s="6">
        <v>21318.46668566724</v>
      </c>
      <c r="I1113" s="6" t="s">
        <v>179</v>
      </c>
      <c r="J1113" s="15">
        <v>27</v>
      </c>
    </row>
    <row r="1114" spans="1:10">
      <c r="A1114" s="6" t="s">
        <v>139</v>
      </c>
      <c r="B1114" s="6" t="s">
        <v>90</v>
      </c>
      <c r="C1114" s="6" t="s">
        <v>215</v>
      </c>
      <c r="D1114" s="6">
        <v>96.47325000000001</v>
      </c>
      <c r="E1114" s="6" t="s">
        <v>90</v>
      </c>
      <c r="F1114" s="6" t="s">
        <v>54</v>
      </c>
      <c r="G1114" s="7">
        <v>98451.26614065717</v>
      </c>
      <c r="H1114" s="6">
        <v>9497913.611204155</v>
      </c>
      <c r="I1114" s="6" t="s">
        <v>179</v>
      </c>
      <c r="J1114" s="15">
        <v>57.11666666666667</v>
      </c>
    </row>
    <row r="1115" spans="1:10">
      <c r="A1115" s="6" t="s">
        <v>139</v>
      </c>
      <c r="B1115" s="6" t="s">
        <v>90</v>
      </c>
      <c r="C1115" s="6" t="s">
        <v>216</v>
      </c>
      <c r="D1115" s="6">
        <v>1.695166666666667</v>
      </c>
      <c r="E1115" s="6" t="s">
        <v>90</v>
      </c>
      <c r="F1115" s="6" t="s">
        <v>55</v>
      </c>
      <c r="G1115" s="7">
        <v>59347.09149684771</v>
      </c>
      <c r="H1115" s="6">
        <v>100603.211269073</v>
      </c>
      <c r="I1115" s="6" t="s">
        <v>179</v>
      </c>
      <c r="J1115" s="15">
        <v>8.461003645555749</v>
      </c>
    </row>
    <row r="1116" spans="1:10">
      <c r="A1116" s="6" t="s">
        <v>139</v>
      </c>
      <c r="B1116" s="6" t="s">
        <v>90</v>
      </c>
      <c r="C1116" s="6" t="s">
        <v>341</v>
      </c>
      <c r="D1116" s="6">
        <v>0.271</v>
      </c>
      <c r="E1116" s="6" t="s">
        <v>90</v>
      </c>
      <c r="F1116" s="6" t="s">
        <v>52</v>
      </c>
      <c r="G1116" s="7">
        <v>59918.03179942394</v>
      </c>
      <c r="H1116" s="6">
        <v>16237.78661764389</v>
      </c>
      <c r="I1116" s="6" t="s">
        <v>180</v>
      </c>
      <c r="J1116" s="15">
        <v>12.43871031134531</v>
      </c>
    </row>
    <row r="1117" spans="1:10">
      <c r="A1117" s="6" t="s">
        <v>139</v>
      </c>
      <c r="B1117" s="6" t="s">
        <v>90</v>
      </c>
      <c r="C1117" s="6" t="s">
        <v>217</v>
      </c>
      <c r="D1117" s="6">
        <v>17.78958333333333</v>
      </c>
      <c r="E1117" s="6" t="s">
        <v>90</v>
      </c>
      <c r="F1117" s="6" t="s">
        <v>53</v>
      </c>
      <c r="G1117" s="7">
        <v>29595.99008532836</v>
      </c>
      <c r="H1117" s="6">
        <v>526500.3319554559</v>
      </c>
      <c r="I1117" s="6" t="s">
        <v>179</v>
      </c>
      <c r="J1117" s="15">
        <v>15</v>
      </c>
    </row>
    <row r="1118" spans="1:10">
      <c r="A1118" s="6" t="s">
        <v>139</v>
      </c>
      <c r="B1118" s="6" t="s">
        <v>90</v>
      </c>
      <c r="C1118" s="6" t="s">
        <v>218</v>
      </c>
      <c r="D1118" s="6">
        <v>0.4558333333333334</v>
      </c>
      <c r="E1118" s="6" t="s">
        <v>90</v>
      </c>
      <c r="F1118" s="6" t="s">
        <v>54</v>
      </c>
      <c r="G1118" s="7">
        <v>55803.8509311504</v>
      </c>
      <c r="H1118" s="6">
        <v>25437.25538278273</v>
      </c>
      <c r="I1118" s="6" t="s">
        <v>180</v>
      </c>
      <c r="J1118" s="15">
        <v>11.12043154931672</v>
      </c>
    </row>
    <row r="1119" spans="1:10">
      <c r="A1119" s="6" t="s">
        <v>139</v>
      </c>
      <c r="B1119" s="6" t="s">
        <v>90</v>
      </c>
      <c r="C1119" s="6" t="s">
        <v>219</v>
      </c>
      <c r="D1119" s="6">
        <v>44.2515</v>
      </c>
      <c r="E1119" s="6" t="s">
        <v>90</v>
      </c>
      <c r="F1119" s="6" t="s">
        <v>51</v>
      </c>
      <c r="G1119" s="7">
        <v>51094.03428788485</v>
      </c>
      <c r="H1119" s="6">
        <v>2260987.658290336</v>
      </c>
      <c r="I1119" s="6" t="s">
        <v>180</v>
      </c>
      <c r="J1119" s="15">
        <v>34</v>
      </c>
    </row>
    <row r="1120" spans="1:10">
      <c r="A1120" s="6" t="s">
        <v>139</v>
      </c>
      <c r="B1120" s="6" t="s">
        <v>90</v>
      </c>
      <c r="C1120" s="6" t="s">
        <v>220</v>
      </c>
      <c r="D1120" s="6">
        <v>1.212416666666666</v>
      </c>
      <c r="E1120" s="6" t="s">
        <v>90</v>
      </c>
      <c r="F1120" s="6" t="s">
        <v>57</v>
      </c>
      <c r="G1120" s="7">
        <v>53924.04503825644</v>
      </c>
      <c r="H1120" s="6">
        <v>65378.41093846606</v>
      </c>
      <c r="I1120" s="6" t="s">
        <v>179</v>
      </c>
      <c r="J1120" s="15">
        <v>7.538540506713255</v>
      </c>
    </row>
    <row r="1121" spans="1:10">
      <c r="A1121" s="6" t="s">
        <v>139</v>
      </c>
      <c r="B1121" s="6" t="s">
        <v>90</v>
      </c>
      <c r="C1121" s="6" t="s">
        <v>221</v>
      </c>
      <c r="D1121" s="6">
        <v>13.74483333333333</v>
      </c>
      <c r="E1121" s="6" t="s">
        <v>90</v>
      </c>
      <c r="F1121" s="6" t="s">
        <v>51</v>
      </c>
      <c r="G1121" s="7">
        <v>48425.8383555996</v>
      </c>
      <c r="H1121" s="6">
        <v>665605.0772246572</v>
      </c>
      <c r="I1121" s="6" t="s">
        <v>180</v>
      </c>
      <c r="J1121" s="15">
        <v>8.756345575524822</v>
      </c>
    </row>
    <row r="1122" spans="1:10">
      <c r="A1122" s="6" t="s">
        <v>139</v>
      </c>
      <c r="B1122" s="6" t="s">
        <v>90</v>
      </c>
      <c r="C1122" s="6" t="s">
        <v>222</v>
      </c>
      <c r="D1122" s="6">
        <v>0.1710833333333333</v>
      </c>
      <c r="E1122" s="6" t="s">
        <v>90</v>
      </c>
      <c r="F1122" s="6" t="s">
        <v>57</v>
      </c>
      <c r="G1122" s="7">
        <v>48262.84075043558</v>
      </c>
      <c r="H1122" s="6">
        <v>8256.967671720353</v>
      </c>
      <c r="I1122" s="6" t="s">
        <v>180</v>
      </c>
      <c r="J1122" s="15">
        <v>8.704117370681843</v>
      </c>
    </row>
    <row r="1123" spans="1:10">
      <c r="A1123" s="6" t="s">
        <v>139</v>
      </c>
      <c r="B1123" s="6" t="s">
        <v>90</v>
      </c>
      <c r="C1123" s="6" t="s">
        <v>342</v>
      </c>
      <c r="D1123" s="6">
        <v>11.25733333333333</v>
      </c>
      <c r="E1123" s="6" t="s">
        <v>90</v>
      </c>
      <c r="F1123" s="6" t="s">
        <v>53</v>
      </c>
      <c r="G1123" s="7">
        <v>31674.534542392</v>
      </c>
      <c r="H1123" s="6">
        <v>356570.7935218876</v>
      </c>
      <c r="I1123" s="6" t="s">
        <v>179</v>
      </c>
      <c r="J1123" s="15">
        <v>16</v>
      </c>
    </row>
    <row r="1124" spans="1:10">
      <c r="A1124" s="6" t="s">
        <v>139</v>
      </c>
      <c r="B1124" s="6" t="s">
        <v>90</v>
      </c>
      <c r="C1124" s="6" t="s">
        <v>223</v>
      </c>
      <c r="D1124" s="6">
        <v>72.68941666666666</v>
      </c>
      <c r="E1124" s="6" t="s">
        <v>90</v>
      </c>
      <c r="F1124" s="6" t="s">
        <v>53</v>
      </c>
      <c r="G1124" s="7">
        <v>25083.95562381905</v>
      </c>
      <c r="H1124" s="6">
        <v>1823338.101987959</v>
      </c>
      <c r="I1124" s="6" t="s">
        <v>179</v>
      </c>
      <c r="J1124" s="15">
        <v>13.5</v>
      </c>
    </row>
    <row r="1125" spans="1:10">
      <c r="A1125" s="6" t="s">
        <v>139</v>
      </c>
      <c r="B1125" s="6" t="s">
        <v>90</v>
      </c>
      <c r="C1125" s="6" t="s">
        <v>224</v>
      </c>
      <c r="D1125" s="6">
        <v>237.9389166666667</v>
      </c>
      <c r="E1125" s="6" t="s">
        <v>90</v>
      </c>
      <c r="F1125" s="6" t="s">
        <v>51</v>
      </c>
      <c r="G1125" s="7">
        <v>42799.40931898241</v>
      </c>
      <c r="H1125" s="6">
        <v>10183645.08733191</v>
      </c>
      <c r="I1125" s="6" t="s">
        <v>179</v>
      </c>
      <c r="J1125" s="15">
        <v>35.01666666666667</v>
      </c>
    </row>
    <row r="1126" spans="1:10">
      <c r="A1126" s="6" t="s">
        <v>139</v>
      </c>
      <c r="B1126" s="6" t="s">
        <v>90</v>
      </c>
      <c r="C1126" s="6" t="s">
        <v>225</v>
      </c>
      <c r="D1126" s="6">
        <v>0.004333333333333333</v>
      </c>
      <c r="E1126" s="6" t="s">
        <v>90</v>
      </c>
      <c r="F1126" s="6" t="s">
        <v>54</v>
      </c>
      <c r="G1126" s="7">
        <v>60801.11682439398</v>
      </c>
      <c r="H1126" s="6">
        <v>263.4715062390406</v>
      </c>
      <c r="I1126" s="6" t="s">
        <v>180</v>
      </c>
      <c r="J1126" s="15">
        <v>12.72167119001276</v>
      </c>
    </row>
    <row r="1127" spans="1:10">
      <c r="A1127" s="6" t="s">
        <v>139</v>
      </c>
      <c r="B1127" s="6" t="s">
        <v>90</v>
      </c>
      <c r="C1127" s="6" t="s">
        <v>226</v>
      </c>
      <c r="D1127" s="6">
        <v>82.84791666666666</v>
      </c>
      <c r="E1127" s="6" t="s">
        <v>90</v>
      </c>
      <c r="F1127" s="6" t="s">
        <v>56</v>
      </c>
      <c r="G1127" s="7">
        <v>63445.86444387945</v>
      </c>
      <c r="H1127" s="6">
        <v>5256357.690291154</v>
      </c>
      <c r="I1127" s="6" t="s">
        <v>180</v>
      </c>
      <c r="J1127" s="15">
        <v>13.56910953298392</v>
      </c>
    </row>
    <row r="1128" spans="1:10">
      <c r="A1128" s="6" t="s">
        <v>139</v>
      </c>
      <c r="B1128" s="6" t="s">
        <v>90</v>
      </c>
      <c r="C1128" s="6" t="s">
        <v>344</v>
      </c>
      <c r="D1128" s="6">
        <v>2.162166666666667</v>
      </c>
      <c r="E1128" s="6" t="s">
        <v>90</v>
      </c>
      <c r="F1128" s="6" t="s">
        <v>52</v>
      </c>
      <c r="G1128" s="7">
        <v>59918.03179942394</v>
      </c>
      <c r="H1128" s="6">
        <v>129552.7710889878</v>
      </c>
      <c r="I1128" s="6" t="s">
        <v>180</v>
      </c>
      <c r="J1128" s="15">
        <v>12.43871031134531</v>
      </c>
    </row>
    <row r="1129" spans="1:10">
      <c r="A1129" s="6" t="s">
        <v>139</v>
      </c>
      <c r="B1129" s="6" t="s">
        <v>90</v>
      </c>
      <c r="C1129" s="6" t="s">
        <v>345</v>
      </c>
      <c r="D1129" s="6">
        <v>9.000999999999999</v>
      </c>
      <c r="E1129" s="6" t="s">
        <v>90</v>
      </c>
      <c r="F1129" s="6" t="s">
        <v>53</v>
      </c>
      <c r="G1129" s="7">
        <v>31666.61853090228</v>
      </c>
      <c r="H1129" s="6">
        <v>285031.2333966514</v>
      </c>
      <c r="I1129" s="6" t="s">
        <v>180</v>
      </c>
      <c r="J1129" s="15">
        <v>3.386303695878892</v>
      </c>
    </row>
    <row r="1130" spans="1:10">
      <c r="A1130" s="6" t="s">
        <v>139</v>
      </c>
      <c r="B1130" s="6" t="s">
        <v>90</v>
      </c>
      <c r="C1130" s="6" t="s">
        <v>227</v>
      </c>
      <c r="D1130" s="6">
        <v>22.1825</v>
      </c>
      <c r="E1130" s="6" t="s">
        <v>90</v>
      </c>
      <c r="F1130" s="6" t="s">
        <v>57</v>
      </c>
      <c r="G1130" s="7">
        <v>55105.68966338142</v>
      </c>
      <c r="H1130" s="6">
        <v>1222381.960957958</v>
      </c>
      <c r="I1130" s="6" t="s">
        <v>179</v>
      </c>
      <c r="J1130" s="15">
        <v>105.6833333333333</v>
      </c>
    </row>
    <row r="1131" spans="1:10">
      <c r="A1131" s="6" t="s">
        <v>139</v>
      </c>
      <c r="B1131" s="6" t="s">
        <v>90</v>
      </c>
      <c r="C1131" s="6" t="s">
        <v>228</v>
      </c>
      <c r="D1131" s="6">
        <v>25.68058333333333</v>
      </c>
      <c r="E1131" s="6" t="s">
        <v>90</v>
      </c>
      <c r="F1131" s="6" t="s">
        <v>51</v>
      </c>
      <c r="G1131" s="7">
        <v>55221.41986499156</v>
      </c>
      <c r="H1131" s="6">
        <v>1418118.274627905</v>
      </c>
      <c r="I1131" s="6" t="s">
        <v>180</v>
      </c>
      <c r="J1131" s="15">
        <v>10.933807156893</v>
      </c>
    </row>
    <row r="1132" spans="1:10">
      <c r="A1132" s="6" t="s">
        <v>139</v>
      </c>
      <c r="B1132" s="6" t="s">
        <v>90</v>
      </c>
      <c r="C1132" s="6" t="s">
        <v>229</v>
      </c>
      <c r="D1132" s="6">
        <v>13.59116666666667</v>
      </c>
      <c r="E1132" s="6" t="s">
        <v>90</v>
      </c>
      <c r="F1132" s="6" t="s">
        <v>53</v>
      </c>
      <c r="G1132" s="7">
        <v>33699.99337319762</v>
      </c>
      <c r="H1132" s="6">
        <v>458022.226600691</v>
      </c>
      <c r="I1132" s="6" t="s">
        <v>180</v>
      </c>
      <c r="J1132" s="15">
        <v>4.037844052432551</v>
      </c>
    </row>
    <row r="1133" spans="1:10">
      <c r="A1133" s="6" t="s">
        <v>139</v>
      </c>
      <c r="B1133" s="6" t="s">
        <v>90</v>
      </c>
      <c r="C1133" s="6" t="s">
        <v>367</v>
      </c>
      <c r="D1133" s="6">
        <v>1.4085</v>
      </c>
      <c r="E1133" s="6" t="s">
        <v>90</v>
      </c>
      <c r="F1133" s="6" t="s">
        <v>55</v>
      </c>
      <c r="G1133" s="7">
        <v>58813.07473894906</v>
      </c>
      <c r="H1133" s="6">
        <v>82838.21576980976</v>
      </c>
      <c r="I1133" s="6" t="s">
        <v>180</v>
      </c>
      <c r="J1133" s="15">
        <v>12.08465649786073</v>
      </c>
    </row>
    <row r="1134" spans="1:10">
      <c r="A1134" s="6" t="s">
        <v>139</v>
      </c>
      <c r="B1134" s="6" t="s">
        <v>90</v>
      </c>
      <c r="C1134" s="6" t="s">
        <v>230</v>
      </c>
      <c r="D1134" s="6">
        <v>28.58533333333333</v>
      </c>
      <c r="E1134" s="6" t="s">
        <v>90</v>
      </c>
      <c r="F1134" s="6" t="s">
        <v>53</v>
      </c>
      <c r="G1134" s="7">
        <v>26357.64880300622</v>
      </c>
      <c r="H1134" s="6">
        <v>753442.176916867</v>
      </c>
      <c r="I1134" s="6" t="s">
        <v>179</v>
      </c>
      <c r="J1134" s="15">
        <v>20</v>
      </c>
    </row>
    <row r="1135" spans="1:10">
      <c r="A1135" s="6" t="s">
        <v>139</v>
      </c>
      <c r="B1135" s="6" t="s">
        <v>90</v>
      </c>
      <c r="C1135" s="6" t="s">
        <v>378</v>
      </c>
      <c r="D1135" s="6">
        <v>2.464083333333333</v>
      </c>
      <c r="E1135" s="6" t="s">
        <v>90</v>
      </c>
      <c r="F1135" s="6" t="s">
        <v>51</v>
      </c>
      <c r="G1135" s="7">
        <v>53573.36913713455</v>
      </c>
      <c r="H1135" s="6">
        <v>132009.2460013276</v>
      </c>
      <c r="I1135" s="6" t="s">
        <v>180</v>
      </c>
      <c r="J1135" s="15">
        <v>10.40573356391279</v>
      </c>
    </row>
    <row r="1136" spans="1:10">
      <c r="A1136" s="6" t="s">
        <v>139</v>
      </c>
      <c r="B1136" s="6" t="s">
        <v>90</v>
      </c>
      <c r="C1136" s="6" t="s">
        <v>231</v>
      </c>
      <c r="D1136" s="6">
        <v>0.07516666666666667</v>
      </c>
      <c r="E1136" s="6" t="s">
        <v>90</v>
      </c>
      <c r="F1136" s="6" t="s">
        <v>52</v>
      </c>
      <c r="G1136" s="7">
        <v>82232.89172108902</v>
      </c>
      <c r="H1136" s="6">
        <v>6181.172361035192</v>
      </c>
      <c r="I1136" s="6" t="s">
        <v>179</v>
      </c>
      <c r="J1136" s="15">
        <v>52</v>
      </c>
    </row>
    <row r="1137" spans="1:10">
      <c r="A1137" s="6" t="s">
        <v>139</v>
      </c>
      <c r="B1137" s="6" t="s">
        <v>90</v>
      </c>
      <c r="C1137" s="6" t="s">
        <v>346</v>
      </c>
      <c r="D1137" s="6">
        <v>0.1093333333333333</v>
      </c>
      <c r="E1137" s="6" t="s">
        <v>90</v>
      </c>
      <c r="F1137" s="6" t="s">
        <v>52</v>
      </c>
      <c r="G1137" s="7">
        <v>91163.5527628312</v>
      </c>
      <c r="H1137" s="6">
        <v>9967.215102069544</v>
      </c>
      <c r="I1137" s="6" t="s">
        <v>179</v>
      </c>
      <c r="J1137" s="15">
        <v>48.5</v>
      </c>
    </row>
    <row r="1138" spans="1:10">
      <c r="A1138" s="6" t="s">
        <v>139</v>
      </c>
      <c r="B1138" s="6" t="s">
        <v>90</v>
      </c>
      <c r="C1138" s="6" t="s">
        <v>232</v>
      </c>
      <c r="D1138" s="6">
        <v>5.965416666666668</v>
      </c>
      <c r="E1138" s="6" t="s">
        <v>90</v>
      </c>
      <c r="F1138" s="6" t="s">
        <v>51</v>
      </c>
      <c r="G1138" s="7">
        <v>49666.97485574454</v>
      </c>
      <c r="H1138" s="6">
        <v>296284.1995873728</v>
      </c>
      <c r="I1138" s="6" t="s">
        <v>180</v>
      </c>
      <c r="J1138" s="15">
        <v>9.154034432992617</v>
      </c>
    </row>
    <row r="1139" spans="1:10">
      <c r="A1139" s="6" t="s">
        <v>139</v>
      </c>
      <c r="B1139" s="6" t="s">
        <v>90</v>
      </c>
      <c r="C1139" s="6" t="s">
        <v>233</v>
      </c>
      <c r="D1139" s="6">
        <v>15.2075</v>
      </c>
      <c r="E1139" s="6" t="s">
        <v>90</v>
      </c>
      <c r="F1139" s="6" t="s">
        <v>59</v>
      </c>
      <c r="G1139" s="7">
        <v>45010.3800065543</v>
      </c>
      <c r="H1139" s="6">
        <v>684495.3539496745</v>
      </c>
      <c r="I1139" s="6" t="s">
        <v>179</v>
      </c>
      <c r="J1139" s="15">
        <v>30.75</v>
      </c>
    </row>
    <row r="1140" spans="1:10">
      <c r="A1140" s="6" t="s">
        <v>139</v>
      </c>
      <c r="B1140" s="6" t="s">
        <v>86</v>
      </c>
      <c r="C1140" s="6" t="s">
        <v>234</v>
      </c>
      <c r="D1140" s="6">
        <v>65.25375</v>
      </c>
      <c r="E1140" s="6" t="s">
        <v>90</v>
      </c>
      <c r="F1140" s="6" t="s">
        <v>56</v>
      </c>
      <c r="G1140" s="7">
        <v>61798.18645536575</v>
      </c>
      <c r="H1140" s="6">
        <v>4032563.409411822</v>
      </c>
      <c r="I1140" s="6" t="s">
        <v>179</v>
      </c>
      <c r="J1140" s="15">
        <v>49</v>
      </c>
    </row>
    <row r="1141" spans="1:10">
      <c r="A1141" s="6" t="s">
        <v>139</v>
      </c>
      <c r="B1141" s="6" t="s">
        <v>90</v>
      </c>
      <c r="C1141" s="6" t="s">
        <v>235</v>
      </c>
      <c r="D1141" s="6">
        <v>0.08958333333333335</v>
      </c>
      <c r="E1141" s="6" t="s">
        <v>90</v>
      </c>
      <c r="F1141" s="6" t="s">
        <v>53</v>
      </c>
      <c r="G1141" s="7">
        <v>35566.8159439669</v>
      </c>
      <c r="H1141" s="6">
        <v>3186.193928313702</v>
      </c>
      <c r="I1141" s="6" t="s">
        <v>180</v>
      </c>
      <c r="J1141" s="15">
        <v>38</v>
      </c>
    </row>
    <row r="1142" spans="1:10">
      <c r="A1142" s="6" t="s">
        <v>139</v>
      </c>
      <c r="B1142" s="6" t="s">
        <v>90</v>
      </c>
      <c r="C1142" s="6" t="s">
        <v>236</v>
      </c>
      <c r="D1142" s="6">
        <v>197.6156666666667</v>
      </c>
      <c r="E1142" s="6" t="s">
        <v>90</v>
      </c>
      <c r="F1142" s="6" t="s">
        <v>51</v>
      </c>
      <c r="G1142" s="7">
        <v>47804.16828302459</v>
      </c>
      <c r="H1142" s="6">
        <v>9446852.584695429</v>
      </c>
      <c r="I1142" s="6" t="s">
        <v>179</v>
      </c>
      <c r="J1142" s="15">
        <v>46.93333333333333</v>
      </c>
    </row>
    <row r="1143" spans="1:10">
      <c r="A1143" s="6" t="s">
        <v>139</v>
      </c>
      <c r="B1143" s="6" t="s">
        <v>90</v>
      </c>
      <c r="C1143" s="6" t="s">
        <v>237</v>
      </c>
      <c r="D1143" s="6">
        <v>11.23591666666667</v>
      </c>
      <c r="E1143" s="6" t="s">
        <v>90</v>
      </c>
      <c r="F1143" s="6" t="s">
        <v>51</v>
      </c>
      <c r="G1143" s="7">
        <v>53666.69833269802</v>
      </c>
      <c r="H1143" s="6">
        <v>602994.5502413339</v>
      </c>
      <c r="I1143" s="6" t="s">
        <v>180</v>
      </c>
      <c r="J1143" s="15">
        <v>10.43563839802869</v>
      </c>
    </row>
    <row r="1144" spans="1:10">
      <c r="A1144" s="6" t="s">
        <v>139</v>
      </c>
      <c r="B1144" s="6" t="s">
        <v>90</v>
      </c>
      <c r="C1144" s="6" t="s">
        <v>238</v>
      </c>
      <c r="D1144" s="6">
        <v>10.27441666666667</v>
      </c>
      <c r="E1144" s="6" t="s">
        <v>90</v>
      </c>
      <c r="F1144" s="6" t="s">
        <v>51</v>
      </c>
      <c r="G1144" s="7">
        <v>51511.99694495334</v>
      </c>
      <c r="H1144" s="6">
        <v>529255.719944511</v>
      </c>
      <c r="I1144" s="6" t="s">
        <v>180</v>
      </c>
      <c r="J1144" s="15">
        <v>9.745222208531091</v>
      </c>
    </row>
    <row r="1145" spans="1:10">
      <c r="A1145" s="6" t="s">
        <v>139</v>
      </c>
      <c r="B1145" s="6" t="s">
        <v>90</v>
      </c>
      <c r="C1145" s="6" t="s">
        <v>239</v>
      </c>
      <c r="D1145" s="6">
        <v>31.99425</v>
      </c>
      <c r="E1145" s="6" t="s">
        <v>90</v>
      </c>
      <c r="F1145" s="6" t="s">
        <v>54</v>
      </c>
      <c r="G1145" s="7">
        <v>77876.19751626256</v>
      </c>
      <c r="H1145" s="6">
        <v>2491590.532384683</v>
      </c>
      <c r="I1145" s="6" t="s">
        <v>179</v>
      </c>
      <c r="J1145" s="15">
        <v>17.61605692581799</v>
      </c>
    </row>
    <row r="1146" spans="1:10">
      <c r="A1146" s="6" t="s">
        <v>139</v>
      </c>
      <c r="B1146" s="6" t="s">
        <v>90</v>
      </c>
      <c r="C1146" s="6" t="s">
        <v>379</v>
      </c>
      <c r="D1146" s="6">
        <v>0.5303333333333333</v>
      </c>
      <c r="E1146" s="6" t="s">
        <v>90</v>
      </c>
      <c r="F1146" s="6" t="s">
        <v>51</v>
      </c>
      <c r="G1146" s="7">
        <v>72453.65556637621</v>
      </c>
      <c r="H1146" s="6">
        <v>38424.58866870152</v>
      </c>
      <c r="I1146" s="6" t="s">
        <v>180</v>
      </c>
      <c r="J1146" s="15">
        <v>16.45541427013083</v>
      </c>
    </row>
    <row r="1147" spans="1:10">
      <c r="A1147" s="6" t="s">
        <v>139</v>
      </c>
      <c r="B1147" s="6" t="s">
        <v>90</v>
      </c>
      <c r="C1147" s="6" t="s">
        <v>368</v>
      </c>
      <c r="D1147" s="6">
        <v>0.39225</v>
      </c>
      <c r="E1147" s="6" t="s">
        <v>90</v>
      </c>
      <c r="F1147" s="6" t="s">
        <v>55</v>
      </c>
      <c r="G1147" s="7">
        <v>58353.01421955921</v>
      </c>
      <c r="H1147" s="6">
        <v>22888.9698276221</v>
      </c>
      <c r="I1147" s="6" t="s">
        <v>180</v>
      </c>
      <c r="J1147" s="15">
        <v>11.93724246056441</v>
      </c>
    </row>
    <row r="1148" spans="1:10">
      <c r="A1148" s="6" t="s">
        <v>139</v>
      </c>
      <c r="B1148" s="6" t="s">
        <v>90</v>
      </c>
      <c r="C1148" s="6" t="s">
        <v>240</v>
      </c>
      <c r="D1148" s="6">
        <v>2.864666666666667</v>
      </c>
      <c r="E1148" s="6" t="s">
        <v>90</v>
      </c>
      <c r="F1148" s="6" t="s">
        <v>51</v>
      </c>
      <c r="G1148" s="7">
        <v>52330.78471449605</v>
      </c>
      <c r="H1148" s="6">
        <v>149910.2546121264</v>
      </c>
      <c r="I1148" s="6" t="s">
        <v>180</v>
      </c>
      <c r="J1148" s="15">
        <v>42</v>
      </c>
    </row>
    <row r="1149" spans="1:10">
      <c r="A1149" s="6" t="s">
        <v>139</v>
      </c>
      <c r="B1149" s="6" t="s">
        <v>90</v>
      </c>
      <c r="C1149" s="6" t="s">
        <v>241</v>
      </c>
      <c r="D1149" s="6">
        <v>8.402166666666666</v>
      </c>
      <c r="E1149" s="6" t="s">
        <v>90</v>
      </c>
      <c r="F1149" s="6" t="s">
        <v>53</v>
      </c>
      <c r="G1149" s="7">
        <v>26388.49277067184</v>
      </c>
      <c r="H1149" s="6">
        <v>221720.5143413132</v>
      </c>
      <c r="I1149" s="6" t="s">
        <v>179</v>
      </c>
      <c r="J1149" s="15">
        <v>14.36666666666667</v>
      </c>
    </row>
    <row r="1150" spans="1:10">
      <c r="A1150" s="6" t="s">
        <v>139</v>
      </c>
      <c r="B1150" s="6" t="s">
        <v>90</v>
      </c>
      <c r="C1150" s="6" t="s">
        <v>242</v>
      </c>
      <c r="D1150" s="6">
        <v>89.8575</v>
      </c>
      <c r="E1150" s="6" t="s">
        <v>90</v>
      </c>
      <c r="F1150" s="6" t="s">
        <v>56</v>
      </c>
      <c r="G1150" s="7">
        <v>48613.69532428356</v>
      </c>
      <c r="H1150" s="6">
        <v>4368305.12760181</v>
      </c>
      <c r="I1150" s="6" t="s">
        <v>179</v>
      </c>
      <c r="J1150" s="15">
        <v>6.75</v>
      </c>
    </row>
    <row r="1151" spans="1:10">
      <c r="A1151" s="6" t="s">
        <v>139</v>
      </c>
      <c r="B1151" s="6" t="s">
        <v>90</v>
      </c>
      <c r="C1151" s="6" t="s">
        <v>243</v>
      </c>
      <c r="D1151" s="6">
        <v>0.131</v>
      </c>
      <c r="E1151" s="6" t="s">
        <v>90</v>
      </c>
      <c r="F1151" s="6" t="s">
        <v>58</v>
      </c>
      <c r="G1151" s="7">
        <v>63812.70248767162</v>
      </c>
      <c r="H1151" s="6">
        <v>8359.464025884983</v>
      </c>
      <c r="I1151" s="6" t="s">
        <v>180</v>
      </c>
      <c r="J1151" s="15">
        <v>13.68665293171113</v>
      </c>
    </row>
    <row r="1152" spans="1:10">
      <c r="A1152" s="6" t="s">
        <v>139</v>
      </c>
      <c r="B1152" s="6" t="s">
        <v>90</v>
      </c>
      <c r="C1152" s="6" t="s">
        <v>369</v>
      </c>
      <c r="D1152" s="6">
        <v>0.8280833333333334</v>
      </c>
      <c r="E1152" s="6" t="s">
        <v>90</v>
      </c>
      <c r="F1152" s="6" t="s">
        <v>55</v>
      </c>
      <c r="G1152" s="7">
        <v>58207.75837622919</v>
      </c>
      <c r="H1152" s="6">
        <v>48200.87458204912</v>
      </c>
      <c r="I1152" s="6" t="s">
        <v>180</v>
      </c>
      <c r="J1152" s="15">
        <v>11.89069912679919</v>
      </c>
    </row>
    <row r="1153" spans="1:10">
      <c r="A1153" s="6" t="s">
        <v>139</v>
      </c>
      <c r="B1153" s="6" t="s">
        <v>90</v>
      </c>
      <c r="C1153" s="6" t="s">
        <v>244</v>
      </c>
      <c r="D1153" s="6">
        <v>4.41725</v>
      </c>
      <c r="E1153" s="6" t="s">
        <v>90</v>
      </c>
      <c r="F1153" s="6" t="s">
        <v>55</v>
      </c>
      <c r="G1153" s="7">
        <v>56778.78135882129</v>
      </c>
      <c r="H1153" s="6">
        <v>250806.0719572534</v>
      </c>
      <c r="I1153" s="6" t="s">
        <v>180</v>
      </c>
      <c r="J1153" s="15">
        <v>11.43282182052843</v>
      </c>
    </row>
    <row r="1154" spans="1:10">
      <c r="A1154" s="6" t="s">
        <v>139</v>
      </c>
      <c r="B1154" s="6" t="s">
        <v>90</v>
      </c>
      <c r="C1154" s="6" t="s">
        <v>245</v>
      </c>
      <c r="D1154" s="6">
        <v>5.16825</v>
      </c>
      <c r="E1154" s="6" t="s">
        <v>90</v>
      </c>
      <c r="F1154" s="6" t="s">
        <v>53</v>
      </c>
      <c r="G1154" s="7">
        <v>15981.96816829709</v>
      </c>
      <c r="H1154" s="6">
        <v>82598.80698580145</v>
      </c>
      <c r="I1154" s="6" t="s">
        <v>179</v>
      </c>
      <c r="J1154" s="15">
        <v>38</v>
      </c>
    </row>
    <row r="1155" spans="1:10">
      <c r="A1155" s="6" t="s">
        <v>139</v>
      </c>
      <c r="B1155" s="6" t="s">
        <v>90</v>
      </c>
      <c r="C1155" s="6" t="s">
        <v>246</v>
      </c>
      <c r="D1155" s="6">
        <v>0.05350000000000001</v>
      </c>
      <c r="E1155" s="6" t="s">
        <v>90</v>
      </c>
      <c r="F1155" s="6" t="s">
        <v>53</v>
      </c>
      <c r="G1155" s="7">
        <v>33731.16398827116</v>
      </c>
      <c r="H1155" s="6">
        <v>1804.617273372507</v>
      </c>
      <c r="I1155" s="6" t="s">
        <v>180</v>
      </c>
      <c r="J1155" s="15">
        <v>34.44166666666666</v>
      </c>
    </row>
    <row r="1156" spans="1:10">
      <c r="A1156" s="6" t="s">
        <v>139</v>
      </c>
      <c r="B1156" s="6" t="s">
        <v>90</v>
      </c>
      <c r="C1156" s="6" t="s">
        <v>348</v>
      </c>
      <c r="D1156" s="6">
        <v>11.899</v>
      </c>
      <c r="E1156" s="6" t="s">
        <v>90</v>
      </c>
      <c r="F1156" s="6" t="s">
        <v>52</v>
      </c>
      <c r="G1156" s="7">
        <v>84173.86100654831</v>
      </c>
      <c r="H1156" s="6">
        <v>1001584.772116918</v>
      </c>
      <c r="I1156" s="6" t="s">
        <v>179</v>
      </c>
      <c r="J1156" s="15">
        <v>51</v>
      </c>
    </row>
    <row r="1157" spans="1:10">
      <c r="A1157" s="6" t="s">
        <v>139</v>
      </c>
      <c r="B1157" s="6" t="s">
        <v>90</v>
      </c>
      <c r="C1157" s="6" t="s">
        <v>247</v>
      </c>
      <c r="D1157" s="6">
        <v>71.80325000000001</v>
      </c>
      <c r="E1157" s="6" t="s">
        <v>90</v>
      </c>
      <c r="F1157" s="6" t="s">
        <v>51</v>
      </c>
      <c r="G1157" s="7">
        <v>47607.91710069619</v>
      </c>
      <c r="H1157" s="6">
        <v>3418403.173560564</v>
      </c>
      <c r="I1157" s="6" t="s">
        <v>179</v>
      </c>
      <c r="J1157" s="15">
        <v>22.81666666666667</v>
      </c>
    </row>
    <row r="1158" spans="1:10">
      <c r="A1158" s="6" t="s">
        <v>139</v>
      </c>
      <c r="B1158" s="6" t="s">
        <v>90</v>
      </c>
      <c r="C1158" s="6" t="s">
        <v>248</v>
      </c>
      <c r="D1158" s="6">
        <v>15.83666666666667</v>
      </c>
      <c r="E1158" s="6" t="s">
        <v>90</v>
      </c>
      <c r="F1158" s="6" t="s">
        <v>55</v>
      </c>
      <c r="G1158" s="7">
        <v>105730.4534899073</v>
      </c>
      <c r="H1158" s="6">
        <v>1674417.948435166</v>
      </c>
      <c r="I1158" s="6" t="s">
        <v>179</v>
      </c>
      <c r="J1158" s="15">
        <v>62</v>
      </c>
    </row>
    <row r="1159" spans="1:10">
      <c r="A1159" s="6" t="s">
        <v>139</v>
      </c>
      <c r="B1159" s="6" t="s">
        <v>90</v>
      </c>
      <c r="C1159" s="6" t="s">
        <v>249</v>
      </c>
      <c r="D1159" s="6">
        <v>78.27333333333333</v>
      </c>
      <c r="E1159" s="6" t="s">
        <v>90</v>
      </c>
      <c r="F1159" s="6" t="s">
        <v>53</v>
      </c>
      <c r="G1159" s="7">
        <v>24606.21147932586</v>
      </c>
      <c r="H1159" s="6">
        <v>1926010.193191766</v>
      </c>
      <c r="I1159" s="6" t="s">
        <v>179</v>
      </c>
      <c r="J1159" s="15">
        <v>18</v>
      </c>
    </row>
    <row r="1160" spans="1:10">
      <c r="A1160" s="6" t="s">
        <v>139</v>
      </c>
      <c r="B1160" s="6" t="s">
        <v>90</v>
      </c>
      <c r="C1160" s="6" t="s">
        <v>351</v>
      </c>
      <c r="D1160" s="6">
        <v>1.561166666666667</v>
      </c>
      <c r="E1160" s="6" t="s">
        <v>90</v>
      </c>
      <c r="F1160" s="6" t="s">
        <v>53</v>
      </c>
      <c r="G1160" s="7">
        <v>38920.81072942021</v>
      </c>
      <c r="H1160" s="6">
        <v>60761.87235041318</v>
      </c>
      <c r="I1160" s="6" t="s">
        <v>180</v>
      </c>
      <c r="J1160" s="15">
        <v>57</v>
      </c>
    </row>
    <row r="1161" spans="1:10">
      <c r="A1161" s="6" t="s">
        <v>139</v>
      </c>
      <c r="B1161" s="6" t="s">
        <v>90</v>
      </c>
      <c r="C1161" s="6" t="s">
        <v>352</v>
      </c>
      <c r="D1161" s="6">
        <v>6.905833333333334</v>
      </c>
      <c r="E1161" s="6" t="s">
        <v>90</v>
      </c>
      <c r="F1161" s="6" t="s">
        <v>52</v>
      </c>
      <c r="G1161" s="7">
        <v>59918.03179942394</v>
      </c>
      <c r="H1161" s="6">
        <v>413783.9412681885</v>
      </c>
      <c r="I1161" s="6" t="s">
        <v>180</v>
      </c>
      <c r="J1161" s="15">
        <v>12.43871031134531</v>
      </c>
    </row>
    <row r="1162" spans="1:10">
      <c r="A1162" s="6" t="s">
        <v>139</v>
      </c>
      <c r="B1162" s="6" t="s">
        <v>90</v>
      </c>
      <c r="C1162" s="6" t="s">
        <v>250</v>
      </c>
      <c r="D1162" s="6">
        <v>3.11875</v>
      </c>
      <c r="E1162" s="6" t="s">
        <v>90</v>
      </c>
      <c r="F1162" s="6" t="s">
        <v>55</v>
      </c>
      <c r="G1162" s="7">
        <v>63627.67337809179</v>
      </c>
      <c r="H1162" s="6">
        <v>198438.8063479238</v>
      </c>
      <c r="I1162" s="6" t="s">
        <v>180</v>
      </c>
      <c r="J1162" s="15">
        <v>13.62736532299243</v>
      </c>
    </row>
    <row r="1163" spans="1:10">
      <c r="A1163" s="6" t="s">
        <v>139</v>
      </c>
      <c r="B1163" s="6" t="s">
        <v>90</v>
      </c>
      <c r="C1163" s="6" t="s">
        <v>251</v>
      </c>
      <c r="D1163" s="6">
        <v>1.025666666666667</v>
      </c>
      <c r="E1163" s="6" t="s">
        <v>90</v>
      </c>
      <c r="F1163" s="6" t="s">
        <v>53</v>
      </c>
      <c r="G1163" s="7">
        <v>23642.19568206914</v>
      </c>
      <c r="H1163" s="6">
        <v>24249.01203790892</v>
      </c>
      <c r="I1163" s="6" t="s">
        <v>179</v>
      </c>
      <c r="J1163" s="15">
        <v>18.675</v>
      </c>
    </row>
    <row r="1164" spans="1:10">
      <c r="A1164" s="6" t="s">
        <v>139</v>
      </c>
      <c r="B1164" s="6" t="s">
        <v>90</v>
      </c>
      <c r="C1164" s="6" t="s">
        <v>252</v>
      </c>
      <c r="D1164" s="6">
        <v>8.50375</v>
      </c>
      <c r="E1164" s="6" t="s">
        <v>90</v>
      </c>
      <c r="F1164" s="6" t="s">
        <v>57</v>
      </c>
      <c r="G1164" s="7">
        <v>42694.47301830137</v>
      </c>
      <c r="H1164" s="6">
        <v>363063.1249293803</v>
      </c>
      <c r="I1164" s="6" t="s">
        <v>180</v>
      </c>
      <c r="J1164" s="15">
        <v>6.919883484163813</v>
      </c>
    </row>
    <row r="1165" spans="1:10">
      <c r="A1165" s="6" t="s">
        <v>139</v>
      </c>
      <c r="B1165" s="6" t="s">
        <v>90</v>
      </c>
      <c r="C1165" s="6" t="s">
        <v>253</v>
      </c>
      <c r="D1165" s="6">
        <v>18.42725</v>
      </c>
      <c r="E1165" s="6" t="s">
        <v>90</v>
      </c>
      <c r="F1165" s="6" t="s">
        <v>53</v>
      </c>
      <c r="G1165" s="7">
        <v>32446.79249986879</v>
      </c>
      <c r="H1165" s="6">
        <v>597905.1570932071</v>
      </c>
      <c r="I1165" s="6" t="s">
        <v>179</v>
      </c>
      <c r="J1165" s="15">
        <v>16</v>
      </c>
    </row>
    <row r="1166" spans="1:10">
      <c r="A1166" s="6" t="s">
        <v>139</v>
      </c>
      <c r="B1166" s="6" t="s">
        <v>86</v>
      </c>
      <c r="C1166" s="6" t="s">
        <v>353</v>
      </c>
      <c r="D1166" s="6">
        <v>0.0495</v>
      </c>
      <c r="E1166" s="6" t="s">
        <v>90</v>
      </c>
      <c r="F1166" s="6" t="s">
        <v>62</v>
      </c>
      <c r="G1166" s="7">
        <v>81005.34654028571</v>
      </c>
      <c r="H1166" s="6">
        <v>4009.764653744142</v>
      </c>
      <c r="I1166" s="6" t="s">
        <v>179</v>
      </c>
      <c r="J1166" s="15">
        <v>102.3</v>
      </c>
    </row>
    <row r="1167" spans="1:10">
      <c r="A1167" s="6" t="s">
        <v>139</v>
      </c>
      <c r="B1167" s="6" t="s">
        <v>90</v>
      </c>
      <c r="C1167" s="6" t="s">
        <v>254</v>
      </c>
      <c r="D1167" s="6">
        <v>0.4653333333333334</v>
      </c>
      <c r="E1167" s="6" t="s">
        <v>90</v>
      </c>
      <c r="F1167" s="6" t="s">
        <v>51</v>
      </c>
      <c r="G1167" s="7">
        <v>50623.2876601551</v>
      </c>
      <c r="H1167" s="6">
        <v>23556.70319119217</v>
      </c>
      <c r="I1167" s="6" t="s">
        <v>180</v>
      </c>
      <c r="J1167" s="15">
        <v>9.460459186856067</v>
      </c>
    </row>
    <row r="1168" spans="1:10">
      <c r="A1168" s="6" t="s">
        <v>139</v>
      </c>
      <c r="B1168" s="6" t="s">
        <v>90</v>
      </c>
      <c r="C1168" s="6" t="s">
        <v>255</v>
      </c>
      <c r="D1168" s="6">
        <v>1.794166666666667</v>
      </c>
      <c r="E1168" s="6" t="s">
        <v>90</v>
      </c>
      <c r="F1168" s="6" t="s">
        <v>51</v>
      </c>
      <c r="G1168" s="7">
        <v>70751.8805274951</v>
      </c>
      <c r="H1168" s="6">
        <v>126940.6656464141</v>
      </c>
      <c r="I1168" s="6" t="s">
        <v>180</v>
      </c>
      <c r="J1168" s="15">
        <v>15.91012616459143</v>
      </c>
    </row>
    <row r="1169" spans="1:10">
      <c r="A1169" s="6" t="s">
        <v>139</v>
      </c>
      <c r="B1169" s="6" t="s">
        <v>90</v>
      </c>
      <c r="C1169" s="6" t="s">
        <v>256</v>
      </c>
      <c r="D1169" s="6">
        <v>0.1343333333333333</v>
      </c>
      <c r="E1169" s="6" t="s">
        <v>90</v>
      </c>
      <c r="F1169" s="6" t="s">
        <v>57</v>
      </c>
      <c r="G1169" s="7">
        <v>50139.25135563286</v>
      </c>
      <c r="H1169" s="6">
        <v>6735.372765440015</v>
      </c>
      <c r="I1169" s="6" t="s">
        <v>180</v>
      </c>
      <c r="J1169" s="15">
        <v>64</v>
      </c>
    </row>
    <row r="1170" spans="1:10">
      <c r="A1170" s="6" t="s">
        <v>139</v>
      </c>
      <c r="B1170" s="6" t="s">
        <v>90</v>
      </c>
      <c r="C1170" s="6" t="s">
        <v>257</v>
      </c>
      <c r="D1170" s="6">
        <v>0.20625</v>
      </c>
      <c r="E1170" s="6" t="s">
        <v>90</v>
      </c>
      <c r="F1170" s="6" t="s">
        <v>52</v>
      </c>
      <c r="G1170" s="7">
        <v>85265.7273803006</v>
      </c>
      <c r="H1170" s="6">
        <v>17586.056272187</v>
      </c>
      <c r="I1170" s="6" t="s">
        <v>179</v>
      </c>
      <c r="J1170" s="15">
        <v>44</v>
      </c>
    </row>
    <row r="1171" spans="1:10">
      <c r="A1171" s="6" t="s">
        <v>139</v>
      </c>
      <c r="B1171" s="6" t="s">
        <v>90</v>
      </c>
      <c r="C1171" s="6" t="s">
        <v>258</v>
      </c>
      <c r="D1171" s="6">
        <v>0.08266666666666667</v>
      </c>
      <c r="E1171" s="6" t="s">
        <v>90</v>
      </c>
      <c r="F1171" s="6" t="s">
        <v>52</v>
      </c>
      <c r="G1171" s="7">
        <v>82626.29734022004</v>
      </c>
      <c r="H1171" s="6">
        <v>6830.440580124857</v>
      </c>
      <c r="I1171" s="6" t="s">
        <v>179</v>
      </c>
      <c r="J1171" s="15">
        <v>47</v>
      </c>
    </row>
    <row r="1172" spans="1:10">
      <c r="A1172" s="6" t="s">
        <v>139</v>
      </c>
      <c r="B1172" s="6" t="s">
        <v>90</v>
      </c>
      <c r="C1172" s="6" t="s">
        <v>259</v>
      </c>
      <c r="D1172" s="6">
        <v>0.8616666666666667</v>
      </c>
      <c r="E1172" s="6" t="s">
        <v>90</v>
      </c>
      <c r="F1172" s="6" t="s">
        <v>56</v>
      </c>
      <c r="G1172" s="7">
        <v>53809.54610454979</v>
      </c>
      <c r="H1172" s="6">
        <v>46365.89222675374</v>
      </c>
      <c r="I1172" s="6" t="s">
        <v>180</v>
      </c>
      <c r="J1172" s="15">
        <v>10.48141012996383</v>
      </c>
    </row>
    <row r="1173" spans="1:10">
      <c r="A1173" s="6" t="s">
        <v>139</v>
      </c>
      <c r="B1173" s="6" t="s">
        <v>90</v>
      </c>
      <c r="C1173" s="6" t="s">
        <v>260</v>
      </c>
      <c r="D1173" s="6">
        <v>373.537</v>
      </c>
      <c r="E1173" s="6" t="s">
        <v>90</v>
      </c>
      <c r="F1173" s="6" t="s">
        <v>52</v>
      </c>
      <c r="G1173" s="7">
        <v>55804.87767627013</v>
      </c>
      <c r="H1173" s="6">
        <v>20845186.59256092</v>
      </c>
      <c r="I1173" s="6" t="s">
        <v>179</v>
      </c>
      <c r="J1173" s="15">
        <v>64.03333333333333</v>
      </c>
    </row>
    <row r="1174" spans="1:10">
      <c r="A1174" s="6" t="s">
        <v>139</v>
      </c>
      <c r="B1174" s="6" t="s">
        <v>90</v>
      </c>
      <c r="C1174" s="6" t="s">
        <v>261</v>
      </c>
      <c r="D1174" s="6">
        <v>0.3061666666666667</v>
      </c>
      <c r="E1174" s="6" t="s">
        <v>90</v>
      </c>
      <c r="F1174" s="6" t="s">
        <v>54</v>
      </c>
      <c r="G1174" s="7">
        <v>59278.32258850268</v>
      </c>
      <c r="H1174" s="6">
        <v>18149.04643251324</v>
      </c>
      <c r="I1174" s="6" t="s">
        <v>180</v>
      </c>
      <c r="J1174" s="15">
        <v>12.23373267578856</v>
      </c>
    </row>
    <row r="1175" spans="1:10">
      <c r="A1175" s="6" t="s">
        <v>139</v>
      </c>
      <c r="B1175" s="6" t="s">
        <v>90</v>
      </c>
      <c r="C1175" s="6" t="s">
        <v>262</v>
      </c>
      <c r="D1175" s="6">
        <v>23.50108333333333</v>
      </c>
      <c r="E1175" s="6" t="s">
        <v>90</v>
      </c>
      <c r="F1175" s="6" t="s">
        <v>51</v>
      </c>
      <c r="G1175" s="7">
        <v>50796.40449219351</v>
      </c>
      <c r="H1175" s="6">
        <v>1193770.535004747</v>
      </c>
      <c r="I1175" s="6" t="s">
        <v>180</v>
      </c>
      <c r="J1175" s="15">
        <v>9.515929826172339</v>
      </c>
    </row>
    <row r="1176" spans="1:10">
      <c r="A1176" s="6" t="s">
        <v>139</v>
      </c>
      <c r="B1176" s="6" t="s">
        <v>90</v>
      </c>
      <c r="C1176" s="6" t="s">
        <v>263</v>
      </c>
      <c r="D1176" s="6">
        <v>15.21991666666667</v>
      </c>
      <c r="E1176" s="6" t="s">
        <v>90</v>
      </c>
      <c r="F1176" s="6" t="s">
        <v>54</v>
      </c>
      <c r="G1176" s="7">
        <v>65896.61824279206</v>
      </c>
      <c r="H1176" s="6">
        <v>1002941.038270442</v>
      </c>
      <c r="I1176" s="6" t="s">
        <v>179</v>
      </c>
      <c r="J1176" s="15">
        <v>46.91666666666666</v>
      </c>
    </row>
    <row r="1177" spans="1:10">
      <c r="A1177" s="6" t="s">
        <v>139</v>
      </c>
      <c r="B1177" s="6" t="s">
        <v>90</v>
      </c>
      <c r="C1177" s="6" t="s">
        <v>264</v>
      </c>
      <c r="D1177" s="6">
        <v>5.535416666666666</v>
      </c>
      <c r="E1177" s="6" t="s">
        <v>90</v>
      </c>
      <c r="F1177" s="6" t="s">
        <v>54</v>
      </c>
      <c r="G1177" s="7">
        <v>89766.53686395117</v>
      </c>
      <c r="H1177" s="6">
        <v>496895.184265663</v>
      </c>
      <c r="I1177" s="6" t="s">
        <v>180</v>
      </c>
      <c r="J1177" s="15">
        <v>22.00286209871706</v>
      </c>
    </row>
    <row r="1178" spans="1:10">
      <c r="A1178" s="6" t="s">
        <v>139</v>
      </c>
      <c r="B1178" s="6" t="s">
        <v>90</v>
      </c>
      <c r="C1178" s="6" t="s">
        <v>265</v>
      </c>
      <c r="D1178" s="6">
        <v>52.437</v>
      </c>
      <c r="E1178" s="6" t="s">
        <v>90</v>
      </c>
      <c r="F1178" s="6" t="s">
        <v>54</v>
      </c>
      <c r="G1178" s="7">
        <v>88348.04007123776</v>
      </c>
      <c r="H1178" s="6">
        <v>4632706.177215495</v>
      </c>
      <c r="I1178" s="6" t="s">
        <v>179</v>
      </c>
      <c r="J1178" s="15">
        <v>17.53537223567039</v>
      </c>
    </row>
    <row r="1179" spans="1:10">
      <c r="A1179" s="6" t="s">
        <v>139</v>
      </c>
      <c r="B1179" s="6" t="s">
        <v>90</v>
      </c>
      <c r="C1179" s="6" t="s">
        <v>266</v>
      </c>
      <c r="D1179" s="6">
        <v>15.03408333333333</v>
      </c>
      <c r="E1179" s="6" t="s">
        <v>90</v>
      </c>
      <c r="F1179" s="6" t="s">
        <v>57</v>
      </c>
      <c r="G1179" s="7">
        <v>59085.91288749369</v>
      </c>
      <c r="H1179" s="6">
        <v>888302.538176654</v>
      </c>
      <c r="I1179" s="6" t="s">
        <v>179</v>
      </c>
      <c r="J1179" s="15">
        <v>7.229441618985901</v>
      </c>
    </row>
    <row r="1180" spans="1:10">
      <c r="A1180" s="6" t="s">
        <v>139</v>
      </c>
      <c r="B1180" s="6" t="s">
        <v>90</v>
      </c>
      <c r="C1180" s="6" t="s">
        <v>354</v>
      </c>
      <c r="D1180" s="6">
        <v>0.003416666666666666</v>
      </c>
      <c r="E1180" s="6" t="s">
        <v>90</v>
      </c>
      <c r="F1180" s="6" t="s">
        <v>51</v>
      </c>
      <c r="G1180" s="7">
        <v>43580.99560846043</v>
      </c>
      <c r="H1180" s="6">
        <v>148.9017349955732</v>
      </c>
      <c r="I1180" s="6" t="s">
        <v>180</v>
      </c>
      <c r="J1180" s="15">
        <v>7.203945838271181</v>
      </c>
    </row>
    <row r="1181" spans="1:10">
      <c r="A1181" s="6" t="s">
        <v>139</v>
      </c>
      <c r="B1181" s="6" t="s">
        <v>90</v>
      </c>
      <c r="C1181" s="6" t="s">
        <v>355</v>
      </c>
      <c r="D1181" s="6">
        <v>0.0275</v>
      </c>
      <c r="E1181" s="6" t="s">
        <v>90</v>
      </c>
      <c r="F1181" s="6" t="s">
        <v>52</v>
      </c>
      <c r="G1181" s="7">
        <v>59918.03179942394</v>
      </c>
      <c r="H1181" s="6">
        <v>1647.745874484158</v>
      </c>
      <c r="I1181" s="6" t="s">
        <v>180</v>
      </c>
      <c r="J1181" s="15">
        <v>12.43871031134531</v>
      </c>
    </row>
    <row r="1182" spans="1:10">
      <c r="A1182" s="6" t="s">
        <v>139</v>
      </c>
      <c r="B1182" s="6" t="s">
        <v>90</v>
      </c>
      <c r="C1182" s="6" t="s">
        <v>267</v>
      </c>
      <c r="D1182" s="6">
        <v>239.2293333333333</v>
      </c>
      <c r="E1182" s="6" t="s">
        <v>90</v>
      </c>
      <c r="F1182" s="6" t="s">
        <v>53</v>
      </c>
      <c r="G1182" s="7">
        <v>28187.4549918804</v>
      </c>
      <c r="H1182" s="6">
        <v>6743266.066070887</v>
      </c>
      <c r="I1182" s="6" t="s">
        <v>179</v>
      </c>
      <c r="J1182" s="15">
        <v>17</v>
      </c>
    </row>
    <row r="1183" spans="1:10">
      <c r="A1183" s="6" t="s">
        <v>139</v>
      </c>
      <c r="B1183" s="6" t="s">
        <v>90</v>
      </c>
      <c r="C1183" s="6" t="s">
        <v>366</v>
      </c>
      <c r="D1183" s="6">
        <v>22.40266666666666</v>
      </c>
      <c r="E1183" s="6" t="s">
        <v>90</v>
      </c>
      <c r="F1183" s="6" t="s">
        <v>52</v>
      </c>
      <c r="G1183" s="7">
        <v>78732.78292762766</v>
      </c>
      <c r="H1183" s="6">
        <v>1763824.291666667</v>
      </c>
      <c r="I1183" s="6" t="s">
        <v>179</v>
      </c>
      <c r="J1183" s="15">
        <v>56.95</v>
      </c>
    </row>
    <row r="1184" spans="1:10">
      <c r="A1184" s="6" t="s">
        <v>139</v>
      </c>
      <c r="B1184" s="6" t="s">
        <v>90</v>
      </c>
      <c r="C1184" s="6" t="s">
        <v>268</v>
      </c>
      <c r="D1184" s="6">
        <v>0.323</v>
      </c>
      <c r="E1184" s="6" t="s">
        <v>90</v>
      </c>
      <c r="F1184" s="6" t="s">
        <v>51</v>
      </c>
      <c r="G1184" s="7">
        <v>53756.28752738577</v>
      </c>
      <c r="H1184" s="6">
        <v>17363.2808713456</v>
      </c>
      <c r="I1184" s="6" t="s">
        <v>180</v>
      </c>
      <c r="J1184" s="15">
        <v>10.46434484931158</v>
      </c>
    </row>
    <row r="1185" spans="1:10">
      <c r="A1185" s="6" t="s">
        <v>139</v>
      </c>
      <c r="B1185" s="6" t="s">
        <v>90</v>
      </c>
      <c r="C1185" s="6" t="s">
        <v>269</v>
      </c>
      <c r="D1185" s="6">
        <v>0.148</v>
      </c>
      <c r="E1185" s="6" t="s">
        <v>90</v>
      </c>
      <c r="F1185" s="6" t="s">
        <v>52</v>
      </c>
      <c r="G1185" s="7">
        <v>84417.47941334113</v>
      </c>
      <c r="H1185" s="6">
        <v>12493.78695317449</v>
      </c>
      <c r="I1185" s="6" t="s">
        <v>179</v>
      </c>
      <c r="J1185" s="15">
        <v>68</v>
      </c>
    </row>
    <row r="1186" spans="1:10">
      <c r="A1186" s="6" t="s">
        <v>139</v>
      </c>
      <c r="B1186" s="6" t="s">
        <v>90</v>
      </c>
      <c r="C1186" s="6" t="s">
        <v>270</v>
      </c>
      <c r="D1186" s="6">
        <v>5.754083333333333</v>
      </c>
      <c r="E1186" s="6" t="s">
        <v>90</v>
      </c>
      <c r="F1186" s="6" t="s">
        <v>59</v>
      </c>
      <c r="G1186" s="7">
        <v>54632.02416918429</v>
      </c>
      <c r="H1186" s="6">
        <v>314357.2197381671</v>
      </c>
      <c r="I1186" s="6" t="s">
        <v>179</v>
      </c>
      <c r="J1186" s="15">
        <v>20.25074634581768</v>
      </c>
    </row>
    <row r="1187" spans="1:10">
      <c r="A1187" s="6" t="s">
        <v>139</v>
      </c>
      <c r="B1187" s="6" t="s">
        <v>86</v>
      </c>
      <c r="C1187" s="6" t="s">
        <v>271</v>
      </c>
      <c r="D1187" s="6">
        <v>63.04333333333333</v>
      </c>
      <c r="E1187" s="6" t="s">
        <v>90</v>
      </c>
      <c r="F1187" s="6" t="s">
        <v>54</v>
      </c>
      <c r="G1187" s="7">
        <v>81091.15446449892</v>
      </c>
      <c r="H1187" s="6">
        <v>5112256.681290227</v>
      </c>
      <c r="I1187" s="6" t="s">
        <v>179</v>
      </c>
      <c r="J1187" s="15">
        <v>47.58333333333334</v>
      </c>
    </row>
    <row r="1188" spans="1:10">
      <c r="A1188" s="6" t="s">
        <v>139</v>
      </c>
      <c r="B1188" s="6" t="s">
        <v>90</v>
      </c>
      <c r="C1188" s="6" t="s">
        <v>272</v>
      </c>
      <c r="D1188" s="6">
        <v>9.595166666666666</v>
      </c>
      <c r="E1188" s="6" t="s">
        <v>90</v>
      </c>
      <c r="F1188" s="6" t="s">
        <v>51</v>
      </c>
      <c r="G1188" s="7">
        <v>51191.96394899175</v>
      </c>
      <c r="H1188" s="6">
        <v>491195.4260845673</v>
      </c>
      <c r="I1188" s="6" t="s">
        <v>180</v>
      </c>
      <c r="J1188" s="15">
        <v>9.642676230307826</v>
      </c>
    </row>
    <row r="1189" spans="1:10">
      <c r="A1189" s="6" t="s">
        <v>139</v>
      </c>
      <c r="B1189" s="6" t="s">
        <v>90</v>
      </c>
      <c r="C1189" s="6" t="s">
        <v>273</v>
      </c>
      <c r="D1189" s="6">
        <v>65.77941666666666</v>
      </c>
      <c r="E1189" s="6" t="s">
        <v>90</v>
      </c>
      <c r="F1189" s="6" t="s">
        <v>51</v>
      </c>
      <c r="G1189" s="7">
        <v>68796.23409337111</v>
      </c>
      <c r="H1189" s="6">
        <v>4525376.147525397</v>
      </c>
      <c r="I1189" s="6" t="s">
        <v>179</v>
      </c>
      <c r="J1189" s="15">
        <v>27</v>
      </c>
    </row>
    <row r="1190" spans="1:10">
      <c r="A1190" s="6" t="s">
        <v>139</v>
      </c>
      <c r="B1190" s="6" t="s">
        <v>90</v>
      </c>
      <c r="C1190" s="6" t="s">
        <v>274</v>
      </c>
      <c r="D1190" s="6">
        <v>8.800833333333333</v>
      </c>
      <c r="E1190" s="6" t="s">
        <v>90</v>
      </c>
      <c r="F1190" s="6" t="s">
        <v>56</v>
      </c>
      <c r="G1190" s="7">
        <v>58346.71964656267</v>
      </c>
      <c r="H1190" s="6">
        <v>513499.7551561236</v>
      </c>
      <c r="I1190" s="6" t="s">
        <v>180</v>
      </c>
      <c r="J1190" s="15">
        <v>11.93522553370507</v>
      </c>
    </row>
    <row r="1191" spans="1:10">
      <c r="A1191" s="6" t="s">
        <v>139</v>
      </c>
      <c r="B1191" s="6" t="s">
        <v>90</v>
      </c>
      <c r="C1191" s="6" t="s">
        <v>275</v>
      </c>
      <c r="D1191" s="6">
        <v>0.9287500000000001</v>
      </c>
      <c r="E1191" s="6" t="s">
        <v>90</v>
      </c>
      <c r="F1191" s="6" t="s">
        <v>51</v>
      </c>
      <c r="G1191" s="7">
        <v>54453.54162987976</v>
      </c>
      <c r="H1191" s="6">
        <v>50573.72678875083</v>
      </c>
      <c r="I1191" s="6" t="s">
        <v>180</v>
      </c>
      <c r="J1191" s="15">
        <v>10.68776119985255</v>
      </c>
    </row>
    <row r="1192" spans="1:10">
      <c r="A1192" s="6" t="s">
        <v>139</v>
      </c>
      <c r="B1192" s="6" t="s">
        <v>90</v>
      </c>
      <c r="C1192" s="6" t="s">
        <v>276</v>
      </c>
      <c r="D1192" s="6">
        <v>8.163666666666666</v>
      </c>
      <c r="E1192" s="6" t="s">
        <v>90</v>
      </c>
      <c r="F1192" s="6" t="s">
        <v>51</v>
      </c>
      <c r="G1192" s="7">
        <v>63381.90932521886</v>
      </c>
      <c r="H1192" s="6">
        <v>517428.7804279783</v>
      </c>
      <c r="I1192" s="6" t="s">
        <v>179</v>
      </c>
      <c r="J1192" s="15">
        <v>57.28333333333333</v>
      </c>
    </row>
    <row r="1193" spans="1:10">
      <c r="A1193" s="6" t="s">
        <v>139</v>
      </c>
      <c r="B1193" s="6" t="s">
        <v>90</v>
      </c>
      <c r="C1193" s="6" t="s">
        <v>277</v>
      </c>
      <c r="D1193" s="6">
        <v>0.1316666666666667</v>
      </c>
      <c r="E1193" s="6" t="s">
        <v>90</v>
      </c>
      <c r="F1193" s="6" t="s">
        <v>57</v>
      </c>
      <c r="G1193" s="7">
        <v>44258.82186038292</v>
      </c>
      <c r="H1193" s="6">
        <v>5827.411544950419</v>
      </c>
      <c r="I1193" s="6" t="s">
        <v>180</v>
      </c>
      <c r="J1193" s="15">
        <v>7.421137055882822</v>
      </c>
    </row>
    <row r="1194" spans="1:10">
      <c r="A1194" s="6" t="s">
        <v>139</v>
      </c>
      <c r="B1194" s="6" t="s">
        <v>90</v>
      </c>
      <c r="C1194" s="6" t="s">
        <v>278</v>
      </c>
      <c r="D1194" s="6">
        <v>71.20308333333332</v>
      </c>
      <c r="E1194" s="6" t="s">
        <v>90</v>
      </c>
      <c r="F1194" s="6" t="s">
        <v>55</v>
      </c>
      <c r="G1194" s="7">
        <v>46621.33394129809</v>
      </c>
      <c r="H1194" s="6">
        <v>3319582.725733409</v>
      </c>
      <c r="I1194" s="6" t="s">
        <v>179</v>
      </c>
      <c r="J1194" s="15">
        <v>47.06666666666667</v>
      </c>
    </row>
    <row r="1195" spans="1:10">
      <c r="A1195" s="6" t="s">
        <v>139</v>
      </c>
      <c r="B1195" s="6" t="s">
        <v>90</v>
      </c>
      <c r="C1195" s="6" t="s">
        <v>280</v>
      </c>
      <c r="D1195" s="6">
        <v>65.38600000000001</v>
      </c>
      <c r="E1195" s="6" t="s">
        <v>90</v>
      </c>
      <c r="F1195" s="6" t="s">
        <v>55</v>
      </c>
      <c r="G1195" s="7">
        <v>88199.71827653726</v>
      </c>
      <c r="H1195" s="6">
        <v>5767026.779229666</v>
      </c>
      <c r="I1195" s="6" t="s">
        <v>179</v>
      </c>
      <c r="J1195" s="15">
        <v>61</v>
      </c>
    </row>
    <row r="1196" spans="1:10">
      <c r="A1196" s="6" t="s">
        <v>139</v>
      </c>
      <c r="B1196" s="6" t="s">
        <v>90</v>
      </c>
      <c r="C1196" s="6" t="s">
        <v>281</v>
      </c>
      <c r="D1196" s="6">
        <v>131.1771666666667</v>
      </c>
      <c r="E1196" s="6" t="s">
        <v>90</v>
      </c>
      <c r="F1196" s="6" t="s">
        <v>57</v>
      </c>
      <c r="G1196" s="7">
        <v>70375.78171760954</v>
      </c>
      <c r="H1196" s="6">
        <v>9231695.64766782</v>
      </c>
      <c r="I1196" s="6" t="s">
        <v>179</v>
      </c>
      <c r="J1196" s="15">
        <v>25</v>
      </c>
    </row>
    <row r="1197" spans="1:10">
      <c r="A1197" s="6" t="s">
        <v>139</v>
      </c>
      <c r="B1197" s="6" t="s">
        <v>90</v>
      </c>
      <c r="C1197" s="6" t="s">
        <v>282</v>
      </c>
      <c r="D1197" s="6">
        <v>0.2321666666666667</v>
      </c>
      <c r="E1197" s="6" t="s">
        <v>90</v>
      </c>
      <c r="F1197" s="6" t="s">
        <v>56</v>
      </c>
      <c r="G1197" s="7">
        <v>55102.56172936118</v>
      </c>
      <c r="H1197" s="6">
        <v>12792.97808150002</v>
      </c>
      <c r="I1197" s="6" t="s">
        <v>180</v>
      </c>
      <c r="J1197" s="15">
        <v>10.89572225957987</v>
      </c>
    </row>
    <row r="1198" spans="1:10">
      <c r="A1198" s="6" t="s">
        <v>139</v>
      </c>
      <c r="B1198" s="6" t="s">
        <v>90</v>
      </c>
      <c r="C1198" s="6" t="s">
        <v>283</v>
      </c>
      <c r="D1198" s="6">
        <v>29.34275</v>
      </c>
      <c r="E1198" s="6" t="s">
        <v>90</v>
      </c>
      <c r="F1198" s="6" t="s">
        <v>51</v>
      </c>
      <c r="G1198" s="7">
        <v>41673.53339700109</v>
      </c>
      <c r="H1198" s="6">
        <v>1222816.072084854</v>
      </c>
      <c r="I1198" s="6" t="s">
        <v>179</v>
      </c>
      <c r="J1198" s="15">
        <v>26.5</v>
      </c>
    </row>
    <row r="1199" spans="1:10">
      <c r="A1199" s="6" t="s">
        <v>139</v>
      </c>
      <c r="B1199" s="6" t="s">
        <v>90</v>
      </c>
      <c r="C1199" s="6" t="s">
        <v>284</v>
      </c>
      <c r="D1199" s="6">
        <v>23.9545</v>
      </c>
      <c r="E1199" s="6" t="s">
        <v>90</v>
      </c>
      <c r="F1199" s="6" t="s">
        <v>55</v>
      </c>
      <c r="G1199" s="7">
        <v>71665.2692915682</v>
      </c>
      <c r="H1199" s="6">
        <v>1716705.69324487</v>
      </c>
      <c r="I1199" s="6" t="s">
        <v>180</v>
      </c>
      <c r="J1199" s="15">
        <v>16.20279706256738</v>
      </c>
    </row>
    <row r="1200" spans="1:10">
      <c r="A1200" s="6" t="s">
        <v>139</v>
      </c>
      <c r="B1200" s="6" t="s">
        <v>86</v>
      </c>
      <c r="C1200" s="6" t="s">
        <v>285</v>
      </c>
      <c r="D1200" s="6">
        <v>0.3499999999999999</v>
      </c>
      <c r="E1200" s="6" t="s">
        <v>90</v>
      </c>
      <c r="F1200" s="6" t="s">
        <v>52</v>
      </c>
      <c r="G1200" s="7">
        <v>124592.4363366081</v>
      </c>
      <c r="H1200" s="6">
        <v>43607.35271781282</v>
      </c>
      <c r="I1200" s="6" t="s">
        <v>179</v>
      </c>
      <c r="J1200" s="15">
        <v>102.5583333333333</v>
      </c>
    </row>
    <row r="1201" spans="1:10">
      <c r="A1201" s="6" t="s">
        <v>139</v>
      </c>
      <c r="B1201" s="6" t="s">
        <v>90</v>
      </c>
      <c r="C1201" s="6" t="s">
        <v>286</v>
      </c>
      <c r="D1201" s="6">
        <v>3.27975</v>
      </c>
      <c r="E1201" s="6" t="s">
        <v>90</v>
      </c>
      <c r="F1201" s="6" t="s">
        <v>59</v>
      </c>
      <c r="G1201" s="7">
        <v>90288.54517641803</v>
      </c>
      <c r="H1201" s="6">
        <v>296123.8560423571</v>
      </c>
      <c r="I1201" s="6" t="s">
        <v>180</v>
      </c>
      <c r="J1201" s="15">
        <v>22.17012564253306</v>
      </c>
    </row>
    <row r="1202" spans="1:10">
      <c r="A1202" s="6" t="s">
        <v>139</v>
      </c>
      <c r="B1202" s="6" t="s">
        <v>90</v>
      </c>
      <c r="C1202" s="6" t="s">
        <v>287</v>
      </c>
      <c r="D1202" s="6">
        <v>0.3600833333333333</v>
      </c>
      <c r="E1202" s="6" t="s">
        <v>90</v>
      </c>
      <c r="F1202" s="6" t="s">
        <v>53</v>
      </c>
      <c r="G1202" s="7">
        <v>25443.86066146324</v>
      </c>
      <c r="H1202" s="6">
        <v>9161.910159848554</v>
      </c>
      <c r="I1202" s="6" t="s">
        <v>179</v>
      </c>
      <c r="J1202" s="15">
        <v>16</v>
      </c>
    </row>
    <row r="1203" spans="1:10">
      <c r="A1203" s="6" t="s">
        <v>139</v>
      </c>
      <c r="B1203" s="6" t="s">
        <v>90</v>
      </c>
      <c r="C1203" s="6" t="s">
        <v>376</v>
      </c>
      <c r="D1203" s="6">
        <v>0.2405</v>
      </c>
      <c r="E1203" s="6" t="s">
        <v>90</v>
      </c>
      <c r="F1203" s="6" t="s">
        <v>54</v>
      </c>
      <c r="G1203" s="7">
        <v>76892.37004653887</v>
      </c>
      <c r="H1203" s="6">
        <v>18492.6149961926</v>
      </c>
      <c r="I1203" s="6" t="s">
        <v>180</v>
      </c>
      <c r="J1203" s="15">
        <v>17.87768111188072</v>
      </c>
    </row>
    <row r="1204" spans="1:10">
      <c r="A1204" s="6" t="s">
        <v>139</v>
      </c>
      <c r="B1204" s="6" t="s">
        <v>90</v>
      </c>
      <c r="C1204" s="6" t="s">
        <v>357</v>
      </c>
      <c r="D1204" s="6">
        <v>11.031</v>
      </c>
      <c r="E1204" s="6" t="s">
        <v>90</v>
      </c>
      <c r="F1204" s="6" t="s">
        <v>52</v>
      </c>
      <c r="G1204" s="7">
        <v>59918.03179942394</v>
      </c>
      <c r="H1204" s="6">
        <v>660955.8087794454</v>
      </c>
      <c r="I1204" s="6" t="s">
        <v>180</v>
      </c>
      <c r="J1204" s="15">
        <v>27</v>
      </c>
    </row>
    <row r="1205" spans="1:10">
      <c r="A1205" s="6" t="s">
        <v>139</v>
      </c>
      <c r="B1205" s="6" t="s">
        <v>90</v>
      </c>
      <c r="C1205" s="6" t="s">
        <v>288</v>
      </c>
      <c r="D1205" s="6">
        <v>0.153</v>
      </c>
      <c r="E1205" s="6" t="s">
        <v>90</v>
      </c>
      <c r="F1205" s="6" t="s">
        <v>58</v>
      </c>
      <c r="G1205" s="7">
        <v>69966.42569413477</v>
      </c>
      <c r="H1205" s="6">
        <v>10704.86313120262</v>
      </c>
      <c r="I1205" s="6" t="s">
        <v>180</v>
      </c>
      <c r="J1205" s="15">
        <v>15.65844825870828</v>
      </c>
    </row>
    <row r="1206" spans="1:10">
      <c r="A1206" s="6" t="s">
        <v>139</v>
      </c>
      <c r="B1206" s="6" t="s">
        <v>90</v>
      </c>
      <c r="C1206" s="6" t="s">
        <v>370</v>
      </c>
      <c r="D1206" s="6">
        <v>0.4484166666666666</v>
      </c>
      <c r="E1206" s="6" t="s">
        <v>90</v>
      </c>
      <c r="F1206" s="6" t="s">
        <v>55</v>
      </c>
      <c r="G1206" s="7">
        <v>63543.31246850626</v>
      </c>
      <c r="H1206" s="6">
        <v>28493.88036608601</v>
      </c>
      <c r="I1206" s="6" t="s">
        <v>180</v>
      </c>
      <c r="J1206" s="15">
        <v>13.60033413525112</v>
      </c>
    </row>
    <row r="1207" spans="1:10">
      <c r="A1207" s="6" t="s">
        <v>139</v>
      </c>
      <c r="B1207" s="6" t="s">
        <v>90</v>
      </c>
      <c r="C1207" s="6" t="s">
        <v>359</v>
      </c>
      <c r="D1207" s="6">
        <v>3.964166666666666</v>
      </c>
      <c r="E1207" s="6" t="s">
        <v>90</v>
      </c>
      <c r="F1207" s="6" t="s">
        <v>60</v>
      </c>
      <c r="G1207" s="7">
        <v>44402.32112778664</v>
      </c>
      <c r="H1207" s="6">
        <v>176018.2013374009</v>
      </c>
      <c r="I1207" s="6" t="s">
        <v>180</v>
      </c>
      <c r="J1207" s="15">
        <v>7.467117542069946</v>
      </c>
    </row>
    <row r="1208" spans="1:10">
      <c r="A1208" s="6" t="s">
        <v>139</v>
      </c>
      <c r="B1208" s="6" t="s">
        <v>90</v>
      </c>
      <c r="C1208" s="6" t="s">
        <v>289</v>
      </c>
      <c r="D1208" s="6">
        <v>107.7736666666667</v>
      </c>
      <c r="E1208" s="6" t="s">
        <v>90</v>
      </c>
      <c r="F1208" s="6" t="s">
        <v>52</v>
      </c>
      <c r="G1208" s="7">
        <v>67135.49298692077</v>
      </c>
      <c r="H1208" s="6">
        <v>7235438.242674736</v>
      </c>
      <c r="I1208" s="6" t="s">
        <v>179</v>
      </c>
      <c r="J1208" s="15">
        <v>64</v>
      </c>
    </row>
    <row r="1209" spans="1:10">
      <c r="A1209" s="6" t="s">
        <v>139</v>
      </c>
      <c r="B1209" s="6" t="s">
        <v>90</v>
      </c>
      <c r="C1209" s="6" t="s">
        <v>290</v>
      </c>
      <c r="D1209" s="6">
        <v>0.01141666666666667</v>
      </c>
      <c r="E1209" s="6" t="s">
        <v>90</v>
      </c>
      <c r="F1209" s="6" t="s">
        <v>53</v>
      </c>
      <c r="G1209" s="7">
        <v>33776.0793312915</v>
      </c>
      <c r="H1209" s="6">
        <v>385.6102390322446</v>
      </c>
      <c r="I1209" s="6" t="s">
        <v>180</v>
      </c>
      <c r="J1209" s="15">
        <v>4.062223754214076</v>
      </c>
    </row>
    <row r="1210" spans="1:10">
      <c r="A1210" s="6" t="s">
        <v>139</v>
      </c>
      <c r="B1210" s="6" t="s">
        <v>90</v>
      </c>
      <c r="C1210" s="6" t="s">
        <v>291</v>
      </c>
      <c r="D1210" s="6">
        <v>0.006166666666666667</v>
      </c>
      <c r="E1210" s="6" t="s">
        <v>90</v>
      </c>
      <c r="F1210" s="6" t="s">
        <v>51</v>
      </c>
      <c r="G1210" s="7">
        <v>52631.38079889913</v>
      </c>
      <c r="H1210" s="6">
        <v>324.5601815932113</v>
      </c>
      <c r="I1210" s="6" t="s">
        <v>180</v>
      </c>
      <c r="J1210" s="15">
        <v>10.10389870051373</v>
      </c>
    </row>
    <row r="1211" spans="1:10">
      <c r="A1211" s="6" t="s">
        <v>139</v>
      </c>
      <c r="B1211" s="6" t="s">
        <v>90</v>
      </c>
      <c r="C1211" s="6" t="s">
        <v>292</v>
      </c>
      <c r="D1211" s="6">
        <v>14.64266666666667</v>
      </c>
      <c r="E1211" s="6" t="s">
        <v>90</v>
      </c>
      <c r="F1211" s="6" t="s">
        <v>54</v>
      </c>
      <c r="G1211" s="7">
        <v>102155.1088842532</v>
      </c>
      <c r="H1211" s="6">
        <v>1495823.207689158</v>
      </c>
      <c r="I1211" s="6" t="s">
        <v>179</v>
      </c>
      <c r="J1211" s="15">
        <v>55</v>
      </c>
    </row>
    <row r="1212" spans="1:10">
      <c r="A1212" s="6" t="s">
        <v>139</v>
      </c>
      <c r="B1212" s="6" t="s">
        <v>90</v>
      </c>
      <c r="C1212" s="6" t="s">
        <v>293</v>
      </c>
      <c r="D1212" s="6">
        <v>430.8868333333334</v>
      </c>
      <c r="E1212" s="6" t="s">
        <v>90</v>
      </c>
      <c r="F1212" s="6" t="s">
        <v>53</v>
      </c>
      <c r="G1212" s="7">
        <v>41041.87189365314</v>
      </c>
      <c r="H1212" s="6">
        <v>17684402.21432854</v>
      </c>
      <c r="I1212" s="6" t="s">
        <v>179</v>
      </c>
      <c r="J1212" s="15">
        <v>18</v>
      </c>
    </row>
    <row r="1213" spans="1:10">
      <c r="A1213" s="6" t="s">
        <v>139</v>
      </c>
      <c r="B1213" s="6" t="s">
        <v>90</v>
      </c>
      <c r="C1213" s="6" t="s">
        <v>371</v>
      </c>
      <c r="D1213" s="6">
        <v>0.426</v>
      </c>
      <c r="E1213" s="6" t="s">
        <v>90</v>
      </c>
      <c r="F1213" s="6" t="s">
        <v>55</v>
      </c>
      <c r="G1213" s="7">
        <v>51459.79003816719</v>
      </c>
      <c r="H1213" s="6">
        <v>21921.87055625922</v>
      </c>
      <c r="I1213" s="6" t="s">
        <v>180</v>
      </c>
      <c r="J1213" s="15">
        <v>9.72849390740604</v>
      </c>
    </row>
    <row r="1214" spans="1:10">
      <c r="A1214" s="6" t="s">
        <v>139</v>
      </c>
      <c r="B1214" s="6" t="s">
        <v>90</v>
      </c>
      <c r="C1214" s="6" t="s">
        <v>294</v>
      </c>
      <c r="D1214" s="6">
        <v>0.21075</v>
      </c>
      <c r="E1214" s="6" t="s">
        <v>90</v>
      </c>
      <c r="F1214" s="6" t="s">
        <v>54</v>
      </c>
      <c r="G1214" s="7">
        <v>73336.4313640656</v>
      </c>
      <c r="H1214" s="6">
        <v>15455.65290997682</v>
      </c>
      <c r="I1214" s="6" t="s">
        <v>180</v>
      </c>
      <c r="J1214" s="15">
        <v>16.73827606522132</v>
      </c>
    </row>
    <row r="1215" spans="1:10">
      <c r="A1215" s="6" t="s">
        <v>139</v>
      </c>
      <c r="B1215" s="6" t="s">
        <v>90</v>
      </c>
      <c r="C1215" s="6" t="s">
        <v>295</v>
      </c>
      <c r="D1215" s="6">
        <v>8.174333333333333</v>
      </c>
      <c r="E1215" s="6" t="s">
        <v>90</v>
      </c>
      <c r="F1215" s="6" t="s">
        <v>53</v>
      </c>
      <c r="G1215" s="7">
        <v>29529.16394109224</v>
      </c>
      <c r="H1215" s="6">
        <v>241381.229109135</v>
      </c>
      <c r="I1215" s="6" t="s">
        <v>179</v>
      </c>
      <c r="J1215" s="15">
        <v>15</v>
      </c>
    </row>
    <row r="1216" spans="1:10">
      <c r="A1216" s="6" t="s">
        <v>139</v>
      </c>
      <c r="B1216" s="6" t="s">
        <v>90</v>
      </c>
      <c r="C1216" s="6" t="s">
        <v>296</v>
      </c>
      <c r="D1216" s="6">
        <v>50.43708333333333</v>
      </c>
      <c r="E1216" s="6" t="s">
        <v>90</v>
      </c>
      <c r="F1216" s="6" t="s">
        <v>61</v>
      </c>
      <c r="G1216" s="7">
        <v>58003.92647416519</v>
      </c>
      <c r="H1216" s="6">
        <v>2925548.873238009</v>
      </c>
      <c r="I1216" s="6" t="s">
        <v>179</v>
      </c>
      <c r="J1216" s="15">
        <v>13</v>
      </c>
    </row>
    <row r="1217" spans="1:10">
      <c r="A1217" s="6" t="s">
        <v>139</v>
      </c>
      <c r="B1217" s="6" t="s">
        <v>90</v>
      </c>
      <c r="C1217" s="6" t="s">
        <v>297</v>
      </c>
      <c r="D1217" s="6">
        <v>0.06433333333333334</v>
      </c>
      <c r="E1217" s="6" t="s">
        <v>90</v>
      </c>
      <c r="F1217" s="6" t="s">
        <v>52</v>
      </c>
      <c r="G1217" s="7">
        <v>86676.57256067361</v>
      </c>
      <c r="H1217" s="6">
        <v>5576.192834736669</v>
      </c>
      <c r="I1217" s="6" t="s">
        <v>179</v>
      </c>
      <c r="J1217" s="15">
        <v>50</v>
      </c>
    </row>
    <row r="1218" spans="1:10">
      <c r="A1218" s="6" t="s">
        <v>139</v>
      </c>
      <c r="B1218" s="6" t="s">
        <v>90</v>
      </c>
      <c r="C1218" s="6" t="s">
        <v>298</v>
      </c>
      <c r="D1218" s="6">
        <v>15.76858333333333</v>
      </c>
      <c r="E1218" s="6" t="s">
        <v>90</v>
      </c>
      <c r="F1218" s="6" t="s">
        <v>56</v>
      </c>
      <c r="G1218" s="7">
        <v>48595.16583801468</v>
      </c>
      <c r="H1218" s="6">
        <v>766276.9221138877</v>
      </c>
      <c r="I1218" s="6" t="s">
        <v>179</v>
      </c>
      <c r="J1218" s="15">
        <v>63.75</v>
      </c>
    </row>
    <row r="1219" spans="1:10">
      <c r="A1219" s="6" t="s">
        <v>139</v>
      </c>
      <c r="B1219" s="6" t="s">
        <v>90</v>
      </c>
      <c r="C1219" s="6" t="s">
        <v>299</v>
      </c>
      <c r="D1219" s="6">
        <v>0.3615</v>
      </c>
      <c r="E1219" s="6" t="s">
        <v>90</v>
      </c>
      <c r="F1219" s="6" t="s">
        <v>53</v>
      </c>
      <c r="G1219" s="7">
        <v>25973.79370043561</v>
      </c>
      <c r="H1219" s="6">
        <v>9389.526422707475</v>
      </c>
      <c r="I1219" s="6" t="s">
        <v>179</v>
      </c>
      <c r="J1219" s="15">
        <v>14</v>
      </c>
    </row>
    <row r="1220" spans="1:10">
      <c r="A1220" s="6" t="s">
        <v>139</v>
      </c>
      <c r="B1220" s="6" t="s">
        <v>90</v>
      </c>
      <c r="C1220" s="6" t="s">
        <v>301</v>
      </c>
      <c r="D1220" s="6">
        <v>2.369916666666667</v>
      </c>
      <c r="E1220" s="6" t="s">
        <v>90</v>
      </c>
      <c r="F1220" s="6" t="s">
        <v>59</v>
      </c>
      <c r="G1220" s="7">
        <v>77898.61399430037</v>
      </c>
      <c r="H1220" s="6">
        <v>184613.2236153257</v>
      </c>
      <c r="I1220" s="6" t="s">
        <v>180</v>
      </c>
      <c r="J1220" s="15">
        <v>18.20010495959805</v>
      </c>
    </row>
    <row r="1221" spans="1:10">
      <c r="A1221" s="6" t="s">
        <v>139</v>
      </c>
      <c r="B1221" s="6" t="s">
        <v>90</v>
      </c>
      <c r="C1221" s="6" t="s">
        <v>302</v>
      </c>
      <c r="D1221" s="6">
        <v>106.7463333333333</v>
      </c>
      <c r="E1221" s="6" t="s">
        <v>90</v>
      </c>
      <c r="F1221" s="6" t="s">
        <v>52</v>
      </c>
      <c r="G1221" s="7">
        <v>75366.35678233257</v>
      </c>
      <c r="H1221" s="6">
        <v>8045082.2432058</v>
      </c>
      <c r="I1221" s="6" t="s">
        <v>179</v>
      </c>
      <c r="J1221" s="15">
        <v>59.01666666666667</v>
      </c>
    </row>
    <row r="1222" spans="1:10">
      <c r="A1222" s="6" t="s">
        <v>139</v>
      </c>
      <c r="B1222" s="6" t="s">
        <v>90</v>
      </c>
      <c r="C1222" s="6" t="s">
        <v>303</v>
      </c>
      <c r="D1222" s="6">
        <v>0.1738333333333333</v>
      </c>
      <c r="E1222" s="6" t="s">
        <v>90</v>
      </c>
      <c r="F1222" s="6" t="s">
        <v>53</v>
      </c>
      <c r="G1222" s="7">
        <v>31792.00581425614</v>
      </c>
      <c r="H1222" s="6">
        <v>5526.510344044859</v>
      </c>
      <c r="I1222" s="6" t="s">
        <v>180</v>
      </c>
      <c r="J1222" s="15">
        <v>14</v>
      </c>
    </row>
    <row r="1223" spans="1:10">
      <c r="A1223" s="6" t="s">
        <v>139</v>
      </c>
      <c r="B1223" s="6" t="s">
        <v>90</v>
      </c>
      <c r="C1223" s="6" t="s">
        <v>361</v>
      </c>
      <c r="D1223" s="6">
        <v>4.722</v>
      </c>
      <c r="E1223" s="6" t="s">
        <v>90</v>
      </c>
      <c r="F1223" s="6" t="s">
        <v>52</v>
      </c>
      <c r="G1223" s="7">
        <v>77309.29947361469</v>
      </c>
      <c r="H1223" s="6">
        <v>365054.5121144086</v>
      </c>
      <c r="I1223" s="6" t="s">
        <v>179</v>
      </c>
      <c r="J1223" s="15">
        <v>52</v>
      </c>
    </row>
    <row r="1224" spans="1:10">
      <c r="A1224" s="6" t="s">
        <v>139</v>
      </c>
      <c r="B1224" s="6" t="s">
        <v>90</v>
      </c>
      <c r="C1224" s="6" t="s">
        <v>305</v>
      </c>
      <c r="D1224" s="6">
        <v>70.10508333333334</v>
      </c>
      <c r="E1224" s="6" t="s">
        <v>90</v>
      </c>
      <c r="F1224" s="6" t="s">
        <v>54</v>
      </c>
      <c r="G1224" s="7">
        <v>98512.45602947168</v>
      </c>
      <c r="H1224" s="6">
        <v>6906223.939317449</v>
      </c>
      <c r="I1224" s="6" t="s">
        <v>179</v>
      </c>
      <c r="J1224" s="15">
        <v>67</v>
      </c>
    </row>
    <row r="1225" spans="1:10">
      <c r="A1225" s="6" t="s">
        <v>139</v>
      </c>
      <c r="B1225" s="6" t="s">
        <v>90</v>
      </c>
      <c r="C1225" s="6" t="s">
        <v>306</v>
      </c>
      <c r="D1225" s="6">
        <v>2.227666666666667</v>
      </c>
      <c r="E1225" s="6" t="s">
        <v>90</v>
      </c>
      <c r="F1225" s="6" t="s">
        <v>57</v>
      </c>
      <c r="G1225" s="7">
        <v>50865.11911120607</v>
      </c>
      <c r="H1225" s="6">
        <v>113310.5303400634</v>
      </c>
      <c r="I1225" s="6" t="s">
        <v>179</v>
      </c>
      <c r="J1225" s="15">
        <v>39</v>
      </c>
    </row>
    <row r="1226" spans="1:10">
      <c r="A1226" s="6" t="s">
        <v>139</v>
      </c>
      <c r="B1226" s="6" t="s">
        <v>90</v>
      </c>
      <c r="C1226" s="6" t="s">
        <v>307</v>
      </c>
      <c r="D1226" s="6">
        <v>0.1010833333333333</v>
      </c>
      <c r="E1226" s="6" t="s">
        <v>90</v>
      </c>
      <c r="F1226" s="6" t="s">
        <v>53</v>
      </c>
      <c r="G1226" s="7">
        <v>34610.3479059413</v>
      </c>
      <c r="H1226" s="6">
        <v>3498.529334158899</v>
      </c>
      <c r="I1226" s="6" t="s">
        <v>180</v>
      </c>
      <c r="J1226" s="15">
        <v>13.5</v>
      </c>
    </row>
    <row r="1227" spans="1:10">
      <c r="A1227" s="6" t="s">
        <v>139</v>
      </c>
      <c r="B1227" s="6" t="s">
        <v>90</v>
      </c>
      <c r="C1227" s="6" t="s">
        <v>362</v>
      </c>
      <c r="D1227" s="6">
        <v>139.13325</v>
      </c>
      <c r="E1227" s="6" t="s">
        <v>90</v>
      </c>
      <c r="F1227" s="6" t="s">
        <v>52</v>
      </c>
      <c r="G1227" s="7">
        <v>56852.15728722059</v>
      </c>
      <c r="H1227" s="6">
        <v>7910025.412882185</v>
      </c>
      <c r="I1227" s="6" t="s">
        <v>179</v>
      </c>
      <c r="J1227" s="15">
        <v>69</v>
      </c>
    </row>
    <row r="1228" spans="1:10">
      <c r="A1228" s="6" t="s">
        <v>139</v>
      </c>
      <c r="B1228" s="6" t="s">
        <v>90</v>
      </c>
      <c r="C1228" s="6" t="s">
        <v>308</v>
      </c>
      <c r="D1228" s="6">
        <v>0.1410833333333333</v>
      </c>
      <c r="E1228" s="6" t="s">
        <v>90</v>
      </c>
      <c r="F1228" s="6" t="s">
        <v>54</v>
      </c>
      <c r="G1228" s="7">
        <v>61958.4525384317</v>
      </c>
      <c r="H1228" s="6">
        <v>8741.305012297073</v>
      </c>
      <c r="I1228" s="6" t="s">
        <v>180</v>
      </c>
      <c r="J1228" s="15">
        <v>13.09250833626427</v>
      </c>
    </row>
    <row r="1229" spans="1:10">
      <c r="A1229" s="6" t="s">
        <v>139</v>
      </c>
      <c r="B1229" s="6" t="s">
        <v>90</v>
      </c>
      <c r="C1229" s="6" t="s">
        <v>309</v>
      </c>
      <c r="D1229" s="6">
        <v>322.4103333333333</v>
      </c>
      <c r="E1229" s="6" t="s">
        <v>90</v>
      </c>
      <c r="F1229" s="6" t="s">
        <v>52</v>
      </c>
      <c r="G1229" s="7">
        <v>73075.41331885532</v>
      </c>
      <c r="H1229" s="6">
        <v>23560268.36660325</v>
      </c>
      <c r="I1229" s="6" t="s">
        <v>179</v>
      </c>
      <c r="J1229" s="15">
        <v>52</v>
      </c>
    </row>
    <row r="1230" spans="1:10">
      <c r="A1230" s="6" t="s">
        <v>139</v>
      </c>
      <c r="B1230" s="6" t="s">
        <v>90</v>
      </c>
      <c r="C1230" s="6" t="s">
        <v>310</v>
      </c>
      <c r="D1230" s="6">
        <v>18.93475</v>
      </c>
      <c r="E1230" s="6" t="s">
        <v>90</v>
      </c>
      <c r="F1230" s="6" t="s">
        <v>52</v>
      </c>
      <c r="G1230" s="7">
        <v>72589.43692380768</v>
      </c>
      <c r="H1230" s="6">
        <v>1374462.840793067</v>
      </c>
      <c r="I1230" s="6" t="s">
        <v>179</v>
      </c>
      <c r="J1230" s="15">
        <v>75.54166666666666</v>
      </c>
    </row>
    <row r="1231" spans="1:10">
      <c r="A1231" s="6" t="s">
        <v>139</v>
      </c>
      <c r="B1231" s="6" t="s">
        <v>90</v>
      </c>
      <c r="C1231" s="6" t="s">
        <v>311</v>
      </c>
      <c r="D1231" s="6">
        <v>2.588916666666667</v>
      </c>
      <c r="E1231" s="6" t="s">
        <v>90</v>
      </c>
      <c r="F1231" s="6" t="s">
        <v>51</v>
      </c>
      <c r="G1231" s="7">
        <v>52856.52992243581</v>
      </c>
      <c r="H1231" s="6">
        <v>136841.1512583594</v>
      </c>
      <c r="I1231" s="6" t="s">
        <v>180</v>
      </c>
      <c r="J1231" s="15">
        <v>10.1760416901758</v>
      </c>
    </row>
    <row r="1232" spans="1:10">
      <c r="A1232" s="6" t="s">
        <v>139</v>
      </c>
      <c r="B1232" s="6" t="s">
        <v>90</v>
      </c>
      <c r="C1232" s="6" t="s">
        <v>312</v>
      </c>
      <c r="D1232" s="6">
        <v>37.39941666666667</v>
      </c>
      <c r="E1232" s="6" t="s">
        <v>90</v>
      </c>
      <c r="F1232" s="6" t="s">
        <v>54</v>
      </c>
      <c r="G1232" s="7">
        <v>98038.89341868946</v>
      </c>
      <c r="H1232" s="6">
        <v>3666597.424504492</v>
      </c>
      <c r="I1232" s="6" t="s">
        <v>179</v>
      </c>
      <c r="J1232" s="15">
        <v>97.98333333333333</v>
      </c>
    </row>
    <row r="1233" spans="1:10">
      <c r="A1233" s="6" t="s">
        <v>139</v>
      </c>
      <c r="B1233" s="6" t="s">
        <v>90</v>
      </c>
      <c r="C1233" s="6" t="s">
        <v>313</v>
      </c>
      <c r="D1233" s="6">
        <v>24.621</v>
      </c>
      <c r="E1233" s="6" t="s">
        <v>90</v>
      </c>
      <c r="F1233" s="6" t="s">
        <v>51</v>
      </c>
      <c r="G1233" s="7">
        <v>52321.25291717758</v>
      </c>
      <c r="H1233" s="6">
        <v>1288201.568073829</v>
      </c>
      <c r="I1233" s="6" t="s">
        <v>180</v>
      </c>
      <c r="J1233" s="15">
        <v>10.00452655012064</v>
      </c>
    </row>
    <row r="1234" spans="1:10">
      <c r="A1234" s="6" t="s">
        <v>139</v>
      </c>
      <c r="B1234" s="6" t="s">
        <v>90</v>
      </c>
      <c r="C1234" s="6" t="s">
        <v>314</v>
      </c>
      <c r="D1234" s="6">
        <v>1.547083333333333</v>
      </c>
      <c r="E1234" s="6" t="s">
        <v>90</v>
      </c>
      <c r="F1234" s="6" t="s">
        <v>51</v>
      </c>
      <c r="G1234" s="7">
        <v>58052.11180989485</v>
      </c>
      <c r="H1234" s="6">
        <v>89811.45464589148</v>
      </c>
      <c r="I1234" s="6" t="s">
        <v>180</v>
      </c>
      <c r="J1234" s="15">
        <v>11.84082636491759</v>
      </c>
    </row>
    <row r="1235" spans="1:10">
      <c r="A1235" s="6" t="s">
        <v>139</v>
      </c>
      <c r="B1235" s="6" t="s">
        <v>90</v>
      </c>
      <c r="C1235" s="6" t="s">
        <v>315</v>
      </c>
      <c r="D1235" s="6">
        <v>3.922916666666667</v>
      </c>
      <c r="E1235" s="6" t="s">
        <v>90</v>
      </c>
      <c r="F1235" s="6" t="s">
        <v>51</v>
      </c>
      <c r="G1235" s="7">
        <v>56453.56097958141</v>
      </c>
      <c r="H1235" s="6">
        <v>221462.6152594829</v>
      </c>
      <c r="I1235" s="6" t="s">
        <v>180</v>
      </c>
      <c r="J1235" s="15">
        <v>11.32861368465454</v>
      </c>
    </row>
    <row r="1236" spans="1:10">
      <c r="A1236" s="6" t="s">
        <v>139</v>
      </c>
      <c r="B1236" s="6" t="s">
        <v>86</v>
      </c>
      <c r="C1236" s="6" t="s">
        <v>316</v>
      </c>
      <c r="D1236" s="6">
        <v>2.097416666666667</v>
      </c>
      <c r="E1236" s="6" t="s">
        <v>90</v>
      </c>
      <c r="F1236" s="6" t="s">
        <v>54</v>
      </c>
      <c r="G1236" s="7">
        <v>83552.76780903985</v>
      </c>
      <c r="H1236" s="6">
        <v>175244.9677488103</v>
      </c>
      <c r="I1236" s="6" t="s">
        <v>180</v>
      </c>
      <c r="J1236" s="15">
        <v>18.34838172284276</v>
      </c>
    </row>
    <row r="1237" spans="1:10">
      <c r="A1237" s="6" t="s">
        <v>139</v>
      </c>
      <c r="B1237" s="6" t="s">
        <v>90</v>
      </c>
      <c r="C1237" s="6" t="s">
        <v>317</v>
      </c>
      <c r="D1237" s="6">
        <v>0.22975</v>
      </c>
      <c r="E1237" s="6" t="s">
        <v>90</v>
      </c>
      <c r="F1237" s="6" t="s">
        <v>51</v>
      </c>
      <c r="G1237" s="7">
        <v>51588.11271374751</v>
      </c>
      <c r="H1237" s="6">
        <v>11852.36889598349</v>
      </c>
      <c r="I1237" s="6" t="s">
        <v>180</v>
      </c>
      <c r="J1237" s="15">
        <v>9.769611462350877</v>
      </c>
    </row>
    <row r="1238" spans="1:10">
      <c r="A1238" s="6" t="s">
        <v>139</v>
      </c>
      <c r="B1238" s="6" t="s">
        <v>90</v>
      </c>
      <c r="C1238" s="6" t="s">
        <v>319</v>
      </c>
      <c r="D1238" s="6">
        <v>19.55266666666667</v>
      </c>
      <c r="E1238" s="6" t="s">
        <v>90</v>
      </c>
      <c r="F1238" s="6" t="s">
        <v>52</v>
      </c>
      <c r="G1238" s="7">
        <v>59918.03179942394</v>
      </c>
      <c r="H1238" s="6">
        <v>1171557.30309687</v>
      </c>
      <c r="I1238" s="6" t="s">
        <v>180</v>
      </c>
      <c r="J1238" s="15">
        <v>12.43871031134531</v>
      </c>
    </row>
    <row r="1239" spans="1:10">
      <c r="A1239" s="6" t="s">
        <v>139</v>
      </c>
      <c r="B1239" s="6" t="s">
        <v>90</v>
      </c>
      <c r="C1239" s="6" t="s">
        <v>320</v>
      </c>
      <c r="D1239" s="6">
        <v>32.91991666666667</v>
      </c>
      <c r="E1239" s="6" t="s">
        <v>90</v>
      </c>
      <c r="F1239" s="6" t="s">
        <v>51</v>
      </c>
      <c r="G1239" s="7">
        <v>50478.21140108545</v>
      </c>
      <c r="H1239" s="6">
        <v>1661738.512806116</v>
      </c>
      <c r="I1239" s="6" t="s">
        <v>180</v>
      </c>
      <c r="J1239" s="15">
        <v>9.413973396043877</v>
      </c>
    </row>
    <row r="1240" spans="1:10">
      <c r="A1240" s="6" t="s">
        <v>139</v>
      </c>
      <c r="B1240" s="6" t="s">
        <v>90</v>
      </c>
      <c r="C1240" s="6" t="s">
        <v>321</v>
      </c>
      <c r="D1240" s="6">
        <v>0.2525</v>
      </c>
      <c r="E1240" s="6" t="s">
        <v>90</v>
      </c>
      <c r="F1240" s="6" t="s">
        <v>54</v>
      </c>
      <c r="G1240" s="7">
        <v>49362.0809529337</v>
      </c>
      <c r="H1240" s="6">
        <v>12463.92544061576</v>
      </c>
      <c r="I1240" s="6" t="s">
        <v>180</v>
      </c>
      <c r="J1240" s="15">
        <v>9.05633937056912</v>
      </c>
    </row>
    <row r="1241" spans="1:10">
      <c r="A1241" s="6" t="s">
        <v>139</v>
      </c>
      <c r="B1241" s="6" t="s">
        <v>90</v>
      </c>
      <c r="C1241" s="6" t="s">
        <v>322</v>
      </c>
      <c r="D1241" s="6">
        <v>1.595166666666667</v>
      </c>
      <c r="E1241" s="6" t="s">
        <v>90</v>
      </c>
      <c r="F1241" s="6" t="s">
        <v>51</v>
      </c>
      <c r="G1241" s="7">
        <v>51362.83162893766</v>
      </c>
      <c r="H1241" s="6">
        <v>81932.27692009373</v>
      </c>
      <c r="I1241" s="6" t="s">
        <v>180</v>
      </c>
      <c r="J1241" s="15">
        <v>9.697426189242986</v>
      </c>
    </row>
    <row r="1242" spans="1:10">
      <c r="A1242" s="6" t="s">
        <v>139</v>
      </c>
      <c r="B1242" s="6" t="s">
        <v>90</v>
      </c>
      <c r="C1242" s="6" t="s">
        <v>323</v>
      </c>
      <c r="D1242" s="6">
        <v>28.00283333333334</v>
      </c>
      <c r="E1242" s="6" t="s">
        <v>90</v>
      </c>
      <c r="F1242" s="6" t="s">
        <v>55</v>
      </c>
      <c r="G1242" s="7">
        <v>54663.87536141942</v>
      </c>
      <c r="H1242" s="6">
        <v>1530743.391099934</v>
      </c>
      <c r="I1242" s="6" t="s">
        <v>180</v>
      </c>
      <c r="J1242" s="15">
        <v>20.61666666666667</v>
      </c>
    </row>
    <row r="1243" spans="1:10">
      <c r="A1243" s="6" t="s">
        <v>139</v>
      </c>
      <c r="B1243" s="6" t="s">
        <v>90</v>
      </c>
      <c r="C1243" s="6" t="s">
        <v>324</v>
      </c>
      <c r="D1243" s="6">
        <v>26.64766666666667</v>
      </c>
      <c r="E1243" s="6" t="s">
        <v>90</v>
      </c>
      <c r="F1243" s="6" t="s">
        <v>51</v>
      </c>
      <c r="G1243" s="7">
        <v>52939.45685818696</v>
      </c>
      <c r="H1243" s="6">
        <v>1410712.999871347</v>
      </c>
      <c r="I1243" s="6" t="s">
        <v>180</v>
      </c>
      <c r="J1243" s="15">
        <v>10.20261339951505</v>
      </c>
    </row>
    <row r="1244" spans="1:10">
      <c r="A1244" s="6" t="s">
        <v>139</v>
      </c>
      <c r="B1244" s="6" t="s">
        <v>90</v>
      </c>
      <c r="C1244" s="6" t="s">
        <v>372</v>
      </c>
      <c r="D1244" s="6">
        <v>2.02625</v>
      </c>
      <c r="E1244" s="6" t="s">
        <v>90</v>
      </c>
      <c r="F1244" s="6" t="s">
        <v>55</v>
      </c>
      <c r="G1244" s="7">
        <v>87811.98275494319</v>
      </c>
      <c r="H1244" s="6">
        <v>177929.0300572037</v>
      </c>
      <c r="I1244" s="6" t="s">
        <v>180</v>
      </c>
      <c r="J1244" s="15">
        <v>21.37657772920605</v>
      </c>
    </row>
    <row r="1245" spans="1:10">
      <c r="A1245" s="6" t="s">
        <v>139</v>
      </c>
      <c r="B1245" s="6" t="s">
        <v>90</v>
      </c>
      <c r="C1245" s="6" t="s">
        <v>325</v>
      </c>
      <c r="D1245" s="6">
        <v>0.3865</v>
      </c>
      <c r="E1245" s="6" t="s">
        <v>90</v>
      </c>
      <c r="F1245" s="6" t="s">
        <v>53</v>
      </c>
      <c r="G1245" s="7">
        <v>27183.84720656899</v>
      </c>
      <c r="H1245" s="6">
        <v>10506.55694533891</v>
      </c>
      <c r="I1245" s="6" t="s">
        <v>179</v>
      </c>
      <c r="J1245" s="15">
        <v>16</v>
      </c>
    </row>
    <row r="1246" spans="1:10">
      <c r="A1246" s="6" t="s">
        <v>139</v>
      </c>
      <c r="B1246" s="6" t="s">
        <v>90</v>
      </c>
      <c r="C1246" s="6" t="s">
        <v>364</v>
      </c>
      <c r="D1246" s="6">
        <v>4.366</v>
      </c>
      <c r="E1246" s="6" t="s">
        <v>90</v>
      </c>
      <c r="F1246" s="6" t="s">
        <v>52</v>
      </c>
      <c r="G1246" s="7">
        <v>51274.29567237874</v>
      </c>
      <c r="H1246" s="6">
        <v>223863.5749056056</v>
      </c>
      <c r="I1246" s="6" t="s">
        <v>179</v>
      </c>
      <c r="J1246" s="15">
        <v>65</v>
      </c>
    </row>
    <row r="1247" spans="1:10">
      <c r="A1247" s="6" t="s">
        <v>139</v>
      </c>
      <c r="B1247" s="6" t="s">
        <v>90</v>
      </c>
      <c r="C1247" s="6" t="s">
        <v>326</v>
      </c>
      <c r="D1247" s="6">
        <v>81.65166666666667</v>
      </c>
      <c r="E1247" s="6" t="s">
        <v>90</v>
      </c>
      <c r="F1247" s="6" t="s">
        <v>54</v>
      </c>
      <c r="G1247" s="7">
        <v>73204.69251441542</v>
      </c>
      <c r="H1247" s="6">
        <v>5977285.151622877</v>
      </c>
      <c r="I1247" s="6" t="s">
        <v>179</v>
      </c>
      <c r="J1247" s="15">
        <v>50.55</v>
      </c>
    </row>
    <row r="1248" spans="1:10">
      <c r="A1248" s="6" t="s">
        <v>139</v>
      </c>
      <c r="B1248" s="6" t="s">
        <v>90</v>
      </c>
      <c r="C1248" s="6" t="s">
        <v>373</v>
      </c>
      <c r="D1248" s="6">
        <v>0.2753333333333334</v>
      </c>
      <c r="E1248" s="6" t="s">
        <v>90</v>
      </c>
      <c r="F1248" s="6" t="s">
        <v>55</v>
      </c>
      <c r="G1248" s="7">
        <v>59139.33667023354</v>
      </c>
      <c r="H1248" s="6">
        <v>16283.03069653764</v>
      </c>
      <c r="I1248" s="6" t="s">
        <v>180</v>
      </c>
      <c r="J1248" s="15">
        <v>12.18919837111368</v>
      </c>
    </row>
    <row r="1249" spans="1:10">
      <c r="A1249" s="6" t="s">
        <v>139</v>
      </c>
      <c r="B1249" s="6" t="s">
        <v>90</v>
      </c>
      <c r="C1249" s="6" t="s">
        <v>374</v>
      </c>
      <c r="D1249" s="6">
        <v>0.0575</v>
      </c>
      <c r="E1249" s="6" t="s">
        <v>90</v>
      </c>
      <c r="F1249" s="6" t="s">
        <v>55</v>
      </c>
      <c r="G1249" s="7">
        <v>64140.6251115471</v>
      </c>
      <c r="H1249" s="6">
        <v>3688.085943913958</v>
      </c>
      <c r="I1249" s="6" t="s">
        <v>180</v>
      </c>
      <c r="J1249" s="15">
        <v>13.79172692930257</v>
      </c>
    </row>
    <row r="1250" spans="1:10">
      <c r="A1250" s="6" t="s">
        <v>139</v>
      </c>
      <c r="B1250" s="6" t="s">
        <v>90</v>
      </c>
      <c r="C1250" s="6" t="s">
        <v>327</v>
      </c>
      <c r="D1250" s="6">
        <v>21.70366666666667</v>
      </c>
      <c r="E1250" s="6" t="s">
        <v>90</v>
      </c>
      <c r="F1250" s="6" t="s">
        <v>57</v>
      </c>
      <c r="G1250" s="7">
        <v>43941.25100916271</v>
      </c>
      <c r="H1250" s="6">
        <v>953686.2648191979</v>
      </c>
      <c r="I1250" s="6" t="s">
        <v>180</v>
      </c>
      <c r="J1250" s="15">
        <v>7.319380005814523</v>
      </c>
    </row>
    <row r="1251" spans="1:10">
      <c r="A1251" s="6" t="s">
        <v>139</v>
      </c>
      <c r="B1251" s="6" t="s">
        <v>90</v>
      </c>
      <c r="C1251" s="6" t="s">
        <v>328</v>
      </c>
      <c r="D1251" s="6">
        <v>0.3508333333333333</v>
      </c>
      <c r="E1251" s="6" t="s">
        <v>90</v>
      </c>
      <c r="F1251" s="6" t="s">
        <v>58</v>
      </c>
      <c r="G1251" s="7">
        <v>61261.16637247237</v>
      </c>
      <c r="H1251" s="6">
        <v>21492.45920234239</v>
      </c>
      <c r="I1251" s="6" t="s">
        <v>180</v>
      </c>
      <c r="J1251" s="15">
        <v>12.86908171184699</v>
      </c>
    </row>
    <row r="1252" spans="1:10">
      <c r="A1252" s="6" t="s">
        <v>139</v>
      </c>
      <c r="B1252" s="6" t="s">
        <v>90</v>
      </c>
      <c r="C1252" s="6" t="s">
        <v>329</v>
      </c>
      <c r="D1252" s="6">
        <v>80.1365</v>
      </c>
      <c r="E1252" s="6" t="s">
        <v>90</v>
      </c>
      <c r="F1252" s="6" t="s">
        <v>58</v>
      </c>
      <c r="G1252" s="7">
        <v>59375.40509749136</v>
      </c>
      <c r="H1252" s="6">
        <v>4758137.150595116</v>
      </c>
      <c r="I1252" s="6" t="s">
        <v>180</v>
      </c>
      <c r="J1252" s="15">
        <v>12.2648401583864</v>
      </c>
    </row>
    <row r="1253" spans="1:10">
      <c r="A1253" s="6" t="s">
        <v>139</v>
      </c>
      <c r="B1253" s="6" t="s">
        <v>90</v>
      </c>
      <c r="C1253" s="6" t="s">
        <v>330</v>
      </c>
      <c r="D1253" s="6">
        <v>1.315083333333333</v>
      </c>
      <c r="E1253" s="6" t="s">
        <v>90</v>
      </c>
      <c r="F1253" s="6" t="s">
        <v>52</v>
      </c>
      <c r="G1253" s="7">
        <v>59918.03179942394</v>
      </c>
      <c r="H1253" s="6">
        <v>78797.20498555909</v>
      </c>
      <c r="I1253" s="6" t="s">
        <v>180</v>
      </c>
      <c r="J1253" s="15">
        <v>47.43333333333333</v>
      </c>
    </row>
    <row r="1254" spans="1:10">
      <c r="A1254" s="6" t="s">
        <v>139</v>
      </c>
      <c r="B1254" s="6" t="s">
        <v>90</v>
      </c>
      <c r="C1254" s="6" t="s">
        <v>365</v>
      </c>
      <c r="D1254" s="6">
        <v>2.423166666666667</v>
      </c>
      <c r="E1254" s="6" t="s">
        <v>90</v>
      </c>
      <c r="F1254" s="6" t="s">
        <v>53</v>
      </c>
      <c r="G1254" s="7">
        <v>52809.46858302614</v>
      </c>
      <c r="H1254" s="6">
        <v>127966.1439547695</v>
      </c>
      <c r="I1254" s="6" t="s">
        <v>179</v>
      </c>
      <c r="J1254" s="15">
        <v>21.15</v>
      </c>
    </row>
    <row r="1255" spans="1:10">
      <c r="A1255" s="6" t="s">
        <v>139</v>
      </c>
      <c r="B1255" s="6" t="s">
        <v>90</v>
      </c>
      <c r="C1255" s="6" t="s">
        <v>331</v>
      </c>
      <c r="D1255" s="6">
        <v>27.62033333333333</v>
      </c>
      <c r="E1255" s="6" t="s">
        <v>90</v>
      </c>
      <c r="F1255" s="6" t="s">
        <v>58</v>
      </c>
      <c r="G1255" s="7">
        <v>62490.71047845359</v>
      </c>
      <c r="H1255" s="6">
        <v>1726014.253651714</v>
      </c>
      <c r="I1255" s="6" t="s">
        <v>180</v>
      </c>
      <c r="J1255" s="15">
        <v>13.26305609794943</v>
      </c>
    </row>
    <row r="1256" spans="1:10">
      <c r="A1256" s="6" t="s">
        <v>139</v>
      </c>
      <c r="B1256" s="6" t="s">
        <v>90</v>
      </c>
      <c r="C1256" s="6" t="s">
        <v>332</v>
      </c>
      <c r="D1256" s="6">
        <v>90.82641666666666</v>
      </c>
      <c r="E1256" s="6" t="s">
        <v>90</v>
      </c>
      <c r="F1256" s="6" t="s">
        <v>55</v>
      </c>
      <c r="G1256" s="7">
        <v>51480.939560739</v>
      </c>
      <c r="H1256" s="6">
        <v>4675829.266935164</v>
      </c>
      <c r="I1256" s="6" t="s">
        <v>179</v>
      </c>
      <c r="J1256" s="15">
        <v>30.66666666666666</v>
      </c>
    </row>
    <row r="1257" spans="1:10">
      <c r="A1257" s="6" t="s">
        <v>139</v>
      </c>
      <c r="B1257" s="6" t="s">
        <v>90</v>
      </c>
      <c r="C1257" s="6" t="s">
        <v>375</v>
      </c>
      <c r="D1257" s="6">
        <v>0.4036666666666667</v>
      </c>
      <c r="E1257" s="6" t="s">
        <v>90</v>
      </c>
      <c r="F1257" s="6" t="s">
        <v>55</v>
      </c>
      <c r="G1257" s="7">
        <v>51398.76773903722</v>
      </c>
      <c r="H1257" s="6">
        <v>20747.96924399136</v>
      </c>
      <c r="I1257" s="6" t="s">
        <v>180</v>
      </c>
      <c r="J1257" s="15">
        <v>9.708940950565097</v>
      </c>
    </row>
    <row r="1258" spans="1:10">
      <c r="A1258" s="6" t="s">
        <v>139</v>
      </c>
      <c r="B1258" s="6" t="s">
        <v>90</v>
      </c>
      <c r="C1258" s="6" t="s">
        <v>333</v>
      </c>
      <c r="D1258" s="6">
        <v>20.468</v>
      </c>
      <c r="E1258" s="6" t="s">
        <v>90</v>
      </c>
      <c r="F1258" s="6" t="s">
        <v>51</v>
      </c>
      <c r="G1258" s="7">
        <v>50361.75765821278</v>
      </c>
      <c r="H1258" s="6">
        <v>1030804.455748299</v>
      </c>
      <c r="I1258" s="6" t="s">
        <v>180</v>
      </c>
      <c r="J1258" s="15">
        <v>9.376658921813627</v>
      </c>
    </row>
    <row r="1259" spans="1:10">
      <c r="A1259" s="6" t="s">
        <v>139</v>
      </c>
      <c r="B1259" s="6" t="s">
        <v>44</v>
      </c>
      <c r="C1259" s="6" t="s">
        <v>194</v>
      </c>
      <c r="D1259" s="6">
        <v>0.7348333333333333</v>
      </c>
      <c r="E1259" s="6" t="s">
        <v>177</v>
      </c>
      <c r="F1259" s="6" t="s">
        <v>58</v>
      </c>
      <c r="G1259" s="7">
        <v>20829.42392802728</v>
      </c>
      <c r="H1259" s="6">
        <v>15306.15501644538</v>
      </c>
      <c r="I1259" s="6" t="s">
        <v>179</v>
      </c>
      <c r="J1259" s="15">
        <v>14.33333333333333</v>
      </c>
    </row>
    <row r="1260" spans="1:10">
      <c r="A1260" s="6" t="s">
        <v>139</v>
      </c>
      <c r="B1260" s="6" t="s">
        <v>90</v>
      </c>
      <c r="C1260" s="6" t="s">
        <v>195</v>
      </c>
      <c r="D1260" s="6">
        <v>141.99475</v>
      </c>
      <c r="E1260" s="6" t="s">
        <v>177</v>
      </c>
      <c r="F1260" s="6" t="s">
        <v>54</v>
      </c>
      <c r="G1260" s="7">
        <v>56976.27849226169</v>
      </c>
      <c r="H1260" s="6">
        <v>8090332.420439075</v>
      </c>
      <c r="I1260" s="6" t="s">
        <v>180</v>
      </c>
      <c r="J1260" s="15">
        <v>11.49610447263148</v>
      </c>
    </row>
    <row r="1261" spans="1:10">
      <c r="A1261" s="6" t="s">
        <v>139</v>
      </c>
      <c r="B1261" s="6" t="s">
        <v>177</v>
      </c>
      <c r="C1261" s="6" t="s">
        <v>335</v>
      </c>
      <c r="D1261" s="6">
        <v>174.4801666666667</v>
      </c>
      <c r="E1261" s="6" t="s">
        <v>177</v>
      </c>
      <c r="F1261" s="6" t="s">
        <v>52</v>
      </c>
      <c r="G1261" s="7">
        <v>46330.61773444634</v>
      </c>
      <c r="H1261" s="6">
        <v>8083773.904075822</v>
      </c>
      <c r="I1261" s="6" t="s">
        <v>180</v>
      </c>
      <c r="J1261" s="15">
        <v>13.11274919560723</v>
      </c>
    </row>
    <row r="1262" spans="1:10">
      <c r="A1262" s="6" t="s">
        <v>139</v>
      </c>
      <c r="B1262" s="6" t="s">
        <v>90</v>
      </c>
      <c r="C1262" s="6" t="s">
        <v>197</v>
      </c>
      <c r="D1262" s="6">
        <v>205.3219166666667</v>
      </c>
      <c r="E1262" s="6" t="s">
        <v>177</v>
      </c>
      <c r="F1262" s="6" t="s">
        <v>53</v>
      </c>
      <c r="G1262" s="7">
        <v>24873.23941462196</v>
      </c>
      <c r="H1262" s="6">
        <v>5107021.190319058</v>
      </c>
      <c r="I1262" s="6" t="s">
        <v>179</v>
      </c>
      <c r="J1262" s="15">
        <v>27</v>
      </c>
    </row>
    <row r="1263" spans="1:10">
      <c r="A1263" s="6" t="s">
        <v>139</v>
      </c>
      <c r="B1263" s="6" t="s">
        <v>90</v>
      </c>
      <c r="C1263" s="6" t="s">
        <v>198</v>
      </c>
      <c r="D1263" s="6">
        <v>94.97425000000001</v>
      </c>
      <c r="E1263" s="6" t="s">
        <v>177</v>
      </c>
      <c r="F1263" s="6" t="s">
        <v>58</v>
      </c>
      <c r="G1263" s="7">
        <v>77672.91374469569</v>
      </c>
      <c r="H1263" s="6">
        <v>7376926.728217165</v>
      </c>
      <c r="I1263" s="6" t="s">
        <v>180</v>
      </c>
      <c r="J1263" s="15">
        <v>18.12778537638943</v>
      </c>
    </row>
    <row r="1264" spans="1:10">
      <c r="A1264" s="6" t="s">
        <v>139</v>
      </c>
      <c r="B1264" s="6" t="s">
        <v>86</v>
      </c>
      <c r="C1264" s="6" t="s">
        <v>199</v>
      </c>
      <c r="D1264" s="6">
        <v>255.83525</v>
      </c>
      <c r="E1264" s="6" t="s">
        <v>177</v>
      </c>
      <c r="F1264" s="6" t="s">
        <v>57</v>
      </c>
      <c r="G1264" s="7">
        <v>52709.72675479725</v>
      </c>
      <c r="H1264" s="6">
        <v>13485006.12174524</v>
      </c>
      <c r="I1264" s="6" t="s">
        <v>179</v>
      </c>
      <c r="J1264" s="15">
        <v>49.53333333333333</v>
      </c>
    </row>
    <row r="1265" spans="1:10">
      <c r="A1265" s="6" t="s">
        <v>139</v>
      </c>
      <c r="B1265" s="6" t="s">
        <v>90</v>
      </c>
      <c r="C1265" s="6" t="s">
        <v>337</v>
      </c>
      <c r="D1265" s="6">
        <v>6.999583333333334</v>
      </c>
      <c r="E1265" s="6" t="s">
        <v>177</v>
      </c>
      <c r="F1265" s="6" t="s">
        <v>52</v>
      </c>
      <c r="G1265" s="7">
        <v>59918.03179942394</v>
      </c>
      <c r="H1265" s="6">
        <v>419401.2567493845</v>
      </c>
      <c r="I1265" s="6" t="s">
        <v>180</v>
      </c>
      <c r="J1265" s="15">
        <v>12.43871031134531</v>
      </c>
    </row>
    <row r="1266" spans="1:10">
      <c r="A1266" s="6" t="s">
        <v>139</v>
      </c>
      <c r="B1266" s="6" t="s">
        <v>90</v>
      </c>
      <c r="C1266" s="6" t="s">
        <v>200</v>
      </c>
      <c r="D1266" s="6">
        <v>0.8716666666666667</v>
      </c>
      <c r="E1266" s="6" t="s">
        <v>177</v>
      </c>
      <c r="F1266" s="6" t="s">
        <v>52</v>
      </c>
      <c r="G1266" s="7">
        <v>59918.03179942394</v>
      </c>
      <c r="H1266" s="6">
        <v>52228.5510518312</v>
      </c>
      <c r="I1266" s="6" t="s">
        <v>180</v>
      </c>
      <c r="J1266" s="15">
        <v>12.43871031134531</v>
      </c>
    </row>
    <row r="1267" spans="1:10">
      <c r="A1267" s="6" t="s">
        <v>139</v>
      </c>
      <c r="B1267" s="6" t="s">
        <v>90</v>
      </c>
      <c r="C1267" s="6" t="s">
        <v>201</v>
      </c>
      <c r="D1267" s="6">
        <v>107.30425</v>
      </c>
      <c r="E1267" s="6" t="s">
        <v>177</v>
      </c>
      <c r="F1267" s="6" t="s">
        <v>56</v>
      </c>
      <c r="G1267" s="7">
        <v>47784.13759688608</v>
      </c>
      <c r="H1267" s="6">
        <v>5127441.046730663</v>
      </c>
      <c r="I1267" s="6" t="s">
        <v>180</v>
      </c>
      <c r="J1267" s="15">
        <v>8.550729801966316</v>
      </c>
    </row>
    <row r="1268" spans="1:10">
      <c r="A1268" s="6" t="s">
        <v>139</v>
      </c>
      <c r="B1268" s="6" t="s">
        <v>86</v>
      </c>
      <c r="C1268" s="6" t="s">
        <v>202</v>
      </c>
      <c r="D1268" s="6">
        <v>247.4997474755086</v>
      </c>
      <c r="E1268" s="6" t="s">
        <v>177</v>
      </c>
      <c r="F1268" s="6" t="s">
        <v>54</v>
      </c>
      <c r="G1268" s="7">
        <v>90789.34185131452</v>
      </c>
      <c r="H1268" s="6">
        <v>22470339.18166796</v>
      </c>
      <c r="I1268" s="6" t="s">
        <v>179</v>
      </c>
      <c r="J1268" s="15">
        <v>65.125</v>
      </c>
    </row>
    <row r="1269" spans="1:10">
      <c r="A1269" s="6" t="s">
        <v>139</v>
      </c>
      <c r="B1269" s="6" t="s">
        <v>177</v>
      </c>
      <c r="C1269" s="6" t="s">
        <v>202</v>
      </c>
      <c r="D1269" s="6">
        <v>388.1242525244915</v>
      </c>
      <c r="E1269" s="6" t="s">
        <v>177</v>
      </c>
      <c r="F1269" s="6" t="s">
        <v>54</v>
      </c>
      <c r="G1269" s="7">
        <v>58973.33246139273</v>
      </c>
      <c r="H1269" s="6">
        <v>22888980.58045638</v>
      </c>
      <c r="I1269" s="6" t="s">
        <v>180</v>
      </c>
      <c r="J1269" s="15">
        <v>18.53574465238702</v>
      </c>
    </row>
    <row r="1270" spans="1:10">
      <c r="A1270" s="6" t="s">
        <v>139</v>
      </c>
      <c r="B1270" s="6" t="s">
        <v>90</v>
      </c>
      <c r="C1270" s="6" t="s">
        <v>203</v>
      </c>
      <c r="D1270" s="6">
        <v>2148.213333333333</v>
      </c>
      <c r="E1270" s="6" t="s">
        <v>177</v>
      </c>
      <c r="F1270" s="6" t="s">
        <v>53</v>
      </c>
      <c r="G1270" s="7">
        <v>17844.00974373058</v>
      </c>
      <c r="H1270" s="6">
        <v>38332739.65161194</v>
      </c>
      <c r="I1270" s="6" t="s">
        <v>179</v>
      </c>
      <c r="J1270" s="15">
        <v>12</v>
      </c>
    </row>
    <row r="1271" spans="1:10">
      <c r="A1271" s="6" t="s">
        <v>139</v>
      </c>
      <c r="B1271" s="6" t="s">
        <v>44</v>
      </c>
      <c r="C1271" s="6" t="s">
        <v>204</v>
      </c>
      <c r="D1271" s="6">
        <v>2488.447833333333</v>
      </c>
      <c r="E1271" s="6" t="s">
        <v>177</v>
      </c>
      <c r="F1271" s="6" t="s">
        <v>51</v>
      </c>
      <c r="G1271" s="7">
        <v>22075.51100893869</v>
      </c>
      <c r="H1271" s="6">
        <v>54933757.53991963</v>
      </c>
      <c r="I1271" s="6" t="s">
        <v>179</v>
      </c>
      <c r="J1271" s="15">
        <v>17.73333333333333</v>
      </c>
    </row>
    <row r="1272" spans="1:10">
      <c r="A1272" s="6" t="s">
        <v>139</v>
      </c>
      <c r="B1272" s="6" t="s">
        <v>90</v>
      </c>
      <c r="C1272" s="6" t="s">
        <v>338</v>
      </c>
      <c r="D1272" s="6">
        <v>9.563499999999999</v>
      </c>
      <c r="E1272" s="6" t="s">
        <v>177</v>
      </c>
      <c r="F1272" s="6" t="s">
        <v>52</v>
      </c>
      <c r="G1272" s="7">
        <v>59918.03179942394</v>
      </c>
      <c r="H1272" s="6">
        <v>573026.0971137908</v>
      </c>
      <c r="I1272" s="6" t="s">
        <v>180</v>
      </c>
      <c r="J1272" s="15">
        <v>12.43871031134531</v>
      </c>
    </row>
    <row r="1273" spans="1:10">
      <c r="A1273" s="6" t="s">
        <v>139</v>
      </c>
      <c r="B1273" s="6" t="s">
        <v>90</v>
      </c>
      <c r="C1273" s="6" t="s">
        <v>205</v>
      </c>
      <c r="D1273" s="6">
        <v>318.0451666666667</v>
      </c>
      <c r="E1273" s="6" t="s">
        <v>177</v>
      </c>
      <c r="F1273" s="6" t="s">
        <v>56</v>
      </c>
      <c r="G1273" s="7">
        <v>54785.63728382858</v>
      </c>
      <c r="H1273" s="6">
        <v>17424307.14087481</v>
      </c>
      <c r="I1273" s="6" t="s">
        <v>180</v>
      </c>
      <c r="J1273" s="15">
        <v>10.79417233285323</v>
      </c>
    </row>
    <row r="1274" spans="1:10">
      <c r="A1274" s="6" t="s">
        <v>139</v>
      </c>
      <c r="B1274" s="6" t="s">
        <v>92</v>
      </c>
      <c r="C1274" s="6" t="s">
        <v>206</v>
      </c>
      <c r="D1274" s="6">
        <v>118.2024166666667</v>
      </c>
      <c r="E1274" s="6" t="s">
        <v>177</v>
      </c>
      <c r="F1274" s="6" t="s">
        <v>55</v>
      </c>
      <c r="G1274" s="7">
        <v>31981.7567354776</v>
      </c>
      <c r="H1274" s="6">
        <v>3780320.935378897</v>
      </c>
      <c r="I1274" s="6" t="s">
        <v>179</v>
      </c>
      <c r="J1274" s="15">
        <v>16</v>
      </c>
    </row>
    <row r="1275" spans="1:10">
      <c r="A1275" s="6" t="s">
        <v>139</v>
      </c>
      <c r="B1275" s="6" t="s">
        <v>92</v>
      </c>
      <c r="C1275" s="6" t="s">
        <v>340</v>
      </c>
      <c r="D1275" s="6">
        <v>1.449666666666667</v>
      </c>
      <c r="E1275" s="6" t="s">
        <v>177</v>
      </c>
      <c r="F1275" s="6" t="s">
        <v>52</v>
      </c>
      <c r="G1275" s="7">
        <v>30591.57365130842</v>
      </c>
      <c r="H1275" s="6">
        <v>44347.5846031801</v>
      </c>
      <c r="I1275" s="6" t="s">
        <v>180</v>
      </c>
      <c r="J1275" s="15">
        <v>4.69377687961323</v>
      </c>
    </row>
    <row r="1276" spans="1:10">
      <c r="A1276" s="6" t="s">
        <v>139</v>
      </c>
      <c r="B1276" s="6" t="s">
        <v>90</v>
      </c>
      <c r="C1276" s="6" t="s">
        <v>207</v>
      </c>
      <c r="D1276" s="6">
        <v>1.412166666666667</v>
      </c>
      <c r="E1276" s="6" t="s">
        <v>177</v>
      </c>
      <c r="F1276" s="6" t="s">
        <v>55</v>
      </c>
      <c r="G1276" s="7">
        <v>51379.92992151718</v>
      </c>
      <c r="H1276" s="6">
        <v>72557.02437083585</v>
      </c>
      <c r="I1276" s="6" t="s">
        <v>180</v>
      </c>
      <c r="J1276" s="15">
        <v>46</v>
      </c>
    </row>
    <row r="1277" spans="1:10">
      <c r="A1277" s="6" t="s">
        <v>139</v>
      </c>
      <c r="B1277" s="6" t="s">
        <v>44</v>
      </c>
      <c r="C1277" s="6" t="s">
        <v>208</v>
      </c>
      <c r="D1277" s="6">
        <v>17.73</v>
      </c>
      <c r="E1277" s="6" t="s">
        <v>177</v>
      </c>
      <c r="F1277" s="6" t="s">
        <v>51</v>
      </c>
      <c r="G1277" s="7">
        <v>21097.10902947491</v>
      </c>
      <c r="H1277" s="6">
        <v>374051.7430925902</v>
      </c>
      <c r="I1277" s="6" t="s">
        <v>179</v>
      </c>
      <c r="J1277" s="15">
        <v>30</v>
      </c>
    </row>
    <row r="1278" spans="1:10">
      <c r="A1278" s="6" t="s">
        <v>139</v>
      </c>
      <c r="B1278" s="6" t="s">
        <v>90</v>
      </c>
      <c r="C1278" s="6" t="s">
        <v>209</v>
      </c>
      <c r="D1278" s="6">
        <v>1.726916666666667</v>
      </c>
      <c r="E1278" s="6" t="s">
        <v>177</v>
      </c>
      <c r="F1278" s="6" t="s">
        <v>57</v>
      </c>
      <c r="G1278" s="7">
        <v>49159.54940532756</v>
      </c>
      <c r="H1278" s="6">
        <v>84894.4451938836</v>
      </c>
      <c r="I1278" s="6" t="s">
        <v>180</v>
      </c>
      <c r="J1278" s="15">
        <v>8.991443575659162</v>
      </c>
    </row>
    <row r="1279" spans="1:10">
      <c r="A1279" s="6" t="s">
        <v>139</v>
      </c>
      <c r="B1279" s="6" t="s">
        <v>90</v>
      </c>
      <c r="C1279" s="6" t="s">
        <v>210</v>
      </c>
      <c r="D1279" s="6">
        <v>1.863916666666667</v>
      </c>
      <c r="E1279" s="6" t="s">
        <v>177</v>
      </c>
      <c r="F1279" s="6" t="s">
        <v>53</v>
      </c>
      <c r="G1279" s="7">
        <v>33962.09735450833</v>
      </c>
      <c r="H1279" s="6">
        <v>63302.51929402399</v>
      </c>
      <c r="I1279" s="6" t="s">
        <v>180</v>
      </c>
      <c r="J1279" s="15">
        <v>12</v>
      </c>
    </row>
    <row r="1280" spans="1:10">
      <c r="A1280" s="6" t="s">
        <v>139</v>
      </c>
      <c r="B1280" s="6" t="s">
        <v>90</v>
      </c>
      <c r="C1280" s="6" t="s">
        <v>211</v>
      </c>
      <c r="D1280" s="6">
        <v>1232.303416666667</v>
      </c>
      <c r="E1280" s="6" t="s">
        <v>177</v>
      </c>
      <c r="F1280" s="6" t="s">
        <v>55</v>
      </c>
      <c r="G1280" s="7">
        <v>46692.76242695332</v>
      </c>
      <c r="H1280" s="6">
        <v>57539650.67233953</v>
      </c>
      <c r="I1280" s="6" t="s">
        <v>179</v>
      </c>
      <c r="J1280" s="15">
        <v>27.95</v>
      </c>
    </row>
    <row r="1281" spans="1:10">
      <c r="A1281" s="6" t="s">
        <v>139</v>
      </c>
      <c r="B1281" s="6" t="s">
        <v>92</v>
      </c>
      <c r="C1281" s="6" t="s">
        <v>212</v>
      </c>
      <c r="D1281" s="6">
        <v>88.60383333333334</v>
      </c>
      <c r="E1281" s="6" t="s">
        <v>177</v>
      </c>
      <c r="F1281" s="6" t="s">
        <v>55</v>
      </c>
      <c r="G1281" s="7">
        <v>23468.05749758728</v>
      </c>
      <c r="H1281" s="6">
        <v>2079359.855173307</v>
      </c>
      <c r="I1281" s="6" t="s">
        <v>179</v>
      </c>
      <c r="J1281" s="15">
        <v>15</v>
      </c>
    </row>
    <row r="1282" spans="1:10">
      <c r="A1282" s="6" t="s">
        <v>139</v>
      </c>
      <c r="B1282" s="6" t="s">
        <v>177</v>
      </c>
      <c r="C1282" s="6" t="s">
        <v>213</v>
      </c>
      <c r="D1282" s="6">
        <v>1.149</v>
      </c>
      <c r="E1282" s="6" t="s">
        <v>177</v>
      </c>
      <c r="F1282" s="6" t="s">
        <v>52</v>
      </c>
      <c r="G1282" s="7">
        <v>46330.61773444634</v>
      </c>
      <c r="H1282" s="6">
        <v>53233.87977687885</v>
      </c>
      <c r="I1282" s="6" t="s">
        <v>180</v>
      </c>
      <c r="J1282" s="15">
        <v>13.11274919560723</v>
      </c>
    </row>
    <row r="1283" spans="1:10">
      <c r="A1283" s="6" t="s">
        <v>139</v>
      </c>
      <c r="B1283" s="6" t="s">
        <v>90</v>
      </c>
      <c r="C1283" s="6" t="s">
        <v>214</v>
      </c>
      <c r="D1283" s="6">
        <v>2.586333333333333</v>
      </c>
      <c r="E1283" s="6" t="s">
        <v>177</v>
      </c>
      <c r="F1283" s="6" t="s">
        <v>53</v>
      </c>
      <c r="G1283" s="7">
        <v>29230.07315219457</v>
      </c>
      <c r="H1283" s="6">
        <v>75598.71252929255</v>
      </c>
      <c r="I1283" s="6" t="s">
        <v>179</v>
      </c>
      <c r="J1283" s="15">
        <v>27</v>
      </c>
    </row>
    <row r="1284" spans="1:10">
      <c r="A1284" s="6" t="s">
        <v>139</v>
      </c>
      <c r="B1284" s="6" t="s">
        <v>86</v>
      </c>
      <c r="C1284" s="6" t="s">
        <v>215</v>
      </c>
      <c r="D1284" s="6">
        <v>632.4106666666667</v>
      </c>
      <c r="E1284" s="6" t="s">
        <v>177</v>
      </c>
      <c r="F1284" s="6" t="s">
        <v>54</v>
      </c>
      <c r="G1284" s="7">
        <v>92290.56849765679</v>
      </c>
      <c r="H1284" s="6">
        <v>58365539.95064879</v>
      </c>
      <c r="I1284" s="6" t="s">
        <v>179</v>
      </c>
      <c r="J1284" s="15">
        <v>62</v>
      </c>
    </row>
    <row r="1285" spans="1:10">
      <c r="A1285" s="6" t="s">
        <v>139</v>
      </c>
      <c r="B1285" s="6" t="s">
        <v>86</v>
      </c>
      <c r="C1285" s="6" t="s">
        <v>216</v>
      </c>
      <c r="D1285" s="6">
        <v>13.41491666666667</v>
      </c>
      <c r="E1285" s="6" t="s">
        <v>177</v>
      </c>
      <c r="F1285" s="6" t="s">
        <v>55</v>
      </c>
      <c r="G1285" s="7">
        <v>48830.3229287997</v>
      </c>
      <c r="H1285" s="6">
        <v>655054.7128962706</v>
      </c>
      <c r="I1285" s="6" t="s">
        <v>180</v>
      </c>
      <c r="J1285" s="15">
        <v>7.913793034893832</v>
      </c>
    </row>
    <row r="1286" spans="1:10">
      <c r="A1286" s="6" t="s">
        <v>139</v>
      </c>
      <c r="B1286" s="6" t="s">
        <v>90</v>
      </c>
      <c r="C1286" s="6" t="s">
        <v>217</v>
      </c>
      <c r="D1286" s="6">
        <v>345.3645</v>
      </c>
      <c r="E1286" s="6" t="s">
        <v>177</v>
      </c>
      <c r="F1286" s="6" t="s">
        <v>53</v>
      </c>
      <c r="G1286" s="7">
        <v>29595.99008532836</v>
      </c>
      <c r="H1286" s="6">
        <v>10221404.31782439</v>
      </c>
      <c r="I1286" s="6" t="s">
        <v>179</v>
      </c>
      <c r="J1286" s="15">
        <v>15</v>
      </c>
    </row>
    <row r="1287" spans="1:10">
      <c r="A1287" s="6" t="s">
        <v>139</v>
      </c>
      <c r="B1287" s="6" t="s">
        <v>90</v>
      </c>
      <c r="C1287" s="6" t="s">
        <v>218</v>
      </c>
      <c r="D1287" s="6">
        <v>52.59975</v>
      </c>
      <c r="E1287" s="6" t="s">
        <v>177</v>
      </c>
      <c r="F1287" s="6" t="s">
        <v>54</v>
      </c>
      <c r="G1287" s="7">
        <v>55803.8509311504</v>
      </c>
      <c r="H1287" s="6">
        <v>2935268.608015778</v>
      </c>
      <c r="I1287" s="6" t="s">
        <v>180</v>
      </c>
      <c r="J1287" s="15">
        <v>11.12043154931672</v>
      </c>
    </row>
    <row r="1288" spans="1:10">
      <c r="A1288" s="6" t="s">
        <v>139</v>
      </c>
      <c r="B1288" s="6" t="s">
        <v>44</v>
      </c>
      <c r="C1288" s="6" t="s">
        <v>219</v>
      </c>
      <c r="D1288" s="6">
        <v>31.80941666666667</v>
      </c>
      <c r="E1288" s="6" t="s">
        <v>177</v>
      </c>
      <c r="F1288" s="6" t="s">
        <v>51</v>
      </c>
      <c r="G1288" s="7">
        <v>24699.68371704026</v>
      </c>
      <c r="H1288" s="6">
        <v>785682.5308902157</v>
      </c>
      <c r="I1288" s="6" t="s">
        <v>179</v>
      </c>
      <c r="J1288" s="15">
        <v>13.96666666666667</v>
      </c>
    </row>
    <row r="1289" spans="1:10">
      <c r="A1289" s="6" t="s">
        <v>139</v>
      </c>
      <c r="B1289" s="6" t="s">
        <v>90</v>
      </c>
      <c r="C1289" s="6" t="s">
        <v>220</v>
      </c>
      <c r="D1289" s="6">
        <v>10.93108333333333</v>
      </c>
      <c r="E1289" s="6" t="s">
        <v>177</v>
      </c>
      <c r="F1289" s="6" t="s">
        <v>57</v>
      </c>
      <c r="G1289" s="7">
        <v>53924.04503825644</v>
      </c>
      <c r="H1289" s="6">
        <v>589448.229983601</v>
      </c>
      <c r="I1289" s="6" t="s">
        <v>179</v>
      </c>
      <c r="J1289" s="15">
        <v>7.538540506713255</v>
      </c>
    </row>
    <row r="1290" spans="1:10">
      <c r="A1290" s="6" t="s">
        <v>139</v>
      </c>
      <c r="B1290" s="6" t="s">
        <v>90</v>
      </c>
      <c r="C1290" s="6" t="s">
        <v>221</v>
      </c>
      <c r="D1290" s="6">
        <v>83.23616666666668</v>
      </c>
      <c r="E1290" s="6" t="s">
        <v>177</v>
      </c>
      <c r="F1290" s="6" t="s">
        <v>51</v>
      </c>
      <c r="G1290" s="7">
        <v>48425.8383555996</v>
      </c>
      <c r="H1290" s="6">
        <v>4030781.152339748</v>
      </c>
      <c r="I1290" s="6" t="s">
        <v>180</v>
      </c>
      <c r="J1290" s="15">
        <v>8.756345575524822</v>
      </c>
    </row>
    <row r="1291" spans="1:10">
      <c r="A1291" s="6" t="s">
        <v>139</v>
      </c>
      <c r="B1291" s="6" t="s">
        <v>90</v>
      </c>
      <c r="C1291" s="6" t="s">
        <v>222</v>
      </c>
      <c r="D1291" s="6">
        <v>1.70425</v>
      </c>
      <c r="E1291" s="6" t="s">
        <v>177</v>
      </c>
      <c r="F1291" s="6" t="s">
        <v>57</v>
      </c>
      <c r="G1291" s="7">
        <v>48262.84075043558</v>
      </c>
      <c r="H1291" s="6">
        <v>82251.94634892984</v>
      </c>
      <c r="I1291" s="6" t="s">
        <v>180</v>
      </c>
      <c r="J1291" s="15">
        <v>8.704117370681843</v>
      </c>
    </row>
    <row r="1292" spans="1:10">
      <c r="A1292" s="6" t="s">
        <v>139</v>
      </c>
      <c r="B1292" s="6" t="s">
        <v>90</v>
      </c>
      <c r="C1292" s="6" t="s">
        <v>342</v>
      </c>
      <c r="D1292" s="6">
        <v>223.8776666666667</v>
      </c>
      <c r="E1292" s="6" t="s">
        <v>177</v>
      </c>
      <c r="F1292" s="6" t="s">
        <v>53</v>
      </c>
      <c r="G1292" s="7">
        <v>31674.534542392</v>
      </c>
      <c r="H1292" s="6">
        <v>7091220.886103458</v>
      </c>
      <c r="I1292" s="6" t="s">
        <v>179</v>
      </c>
      <c r="J1292" s="15">
        <v>16</v>
      </c>
    </row>
    <row r="1293" spans="1:10">
      <c r="A1293" s="6" t="s">
        <v>139</v>
      </c>
      <c r="B1293" s="6" t="s">
        <v>90</v>
      </c>
      <c r="C1293" s="6" t="s">
        <v>223</v>
      </c>
      <c r="D1293" s="6">
        <v>313.9029166666667</v>
      </c>
      <c r="E1293" s="6" t="s">
        <v>177</v>
      </c>
      <c r="F1293" s="6" t="s">
        <v>53</v>
      </c>
      <c r="G1293" s="7">
        <v>25083.95562381905</v>
      </c>
      <c r="H1293" s="6">
        <v>7873926.831854036</v>
      </c>
      <c r="I1293" s="6" t="s">
        <v>179</v>
      </c>
      <c r="J1293" s="15">
        <v>13.5</v>
      </c>
    </row>
    <row r="1294" spans="1:10">
      <c r="A1294" s="6" t="s">
        <v>139</v>
      </c>
      <c r="B1294" s="6" t="s">
        <v>90</v>
      </c>
      <c r="C1294" s="6" t="s">
        <v>224</v>
      </c>
      <c r="D1294" s="6">
        <v>473.0221666666666</v>
      </c>
      <c r="E1294" s="6" t="s">
        <v>177</v>
      </c>
      <c r="F1294" s="6" t="s">
        <v>51</v>
      </c>
      <c r="G1294" s="7">
        <v>42799.40931898241</v>
      </c>
      <c r="H1294" s="6">
        <v>20245069.32811859</v>
      </c>
      <c r="I1294" s="6" t="s">
        <v>179</v>
      </c>
      <c r="J1294" s="15">
        <v>35.01666666666667</v>
      </c>
    </row>
    <row r="1295" spans="1:10">
      <c r="A1295" s="6" t="s">
        <v>139</v>
      </c>
      <c r="B1295" s="6" t="s">
        <v>90</v>
      </c>
      <c r="C1295" s="6" t="s">
        <v>225</v>
      </c>
      <c r="D1295" s="6">
        <v>0.013</v>
      </c>
      <c r="E1295" s="6" t="s">
        <v>177</v>
      </c>
      <c r="F1295" s="6" t="s">
        <v>54</v>
      </c>
      <c r="G1295" s="7">
        <v>60801.11682439398</v>
      </c>
      <c r="H1295" s="6">
        <v>790.4145187171217</v>
      </c>
      <c r="I1295" s="6" t="s">
        <v>180</v>
      </c>
      <c r="J1295" s="15">
        <v>12.72167119001276</v>
      </c>
    </row>
    <row r="1296" spans="1:10">
      <c r="A1296" s="6" t="s">
        <v>139</v>
      </c>
      <c r="B1296" s="6" t="s">
        <v>90</v>
      </c>
      <c r="C1296" s="6" t="s">
        <v>226</v>
      </c>
      <c r="D1296" s="6">
        <v>406.3419999999999</v>
      </c>
      <c r="E1296" s="6" t="s">
        <v>177</v>
      </c>
      <c r="F1296" s="6" t="s">
        <v>56</v>
      </c>
      <c r="G1296" s="7">
        <v>63445.86444387945</v>
      </c>
      <c r="H1296" s="6">
        <v>25780719.44985486</v>
      </c>
      <c r="I1296" s="6" t="s">
        <v>180</v>
      </c>
      <c r="J1296" s="15">
        <v>13.56910953298392</v>
      </c>
    </row>
    <row r="1297" spans="1:10">
      <c r="A1297" s="6" t="s">
        <v>139</v>
      </c>
      <c r="B1297" s="6" t="s">
        <v>90</v>
      </c>
      <c r="C1297" s="6" t="s">
        <v>345</v>
      </c>
      <c r="D1297" s="6">
        <v>93.092</v>
      </c>
      <c r="E1297" s="6" t="s">
        <v>177</v>
      </c>
      <c r="F1297" s="6" t="s">
        <v>53</v>
      </c>
      <c r="G1297" s="7">
        <v>31666.61853090228</v>
      </c>
      <c r="H1297" s="6">
        <v>2947908.852278755</v>
      </c>
      <c r="I1297" s="6" t="s">
        <v>180</v>
      </c>
      <c r="J1297" s="15">
        <v>3.386303695878892</v>
      </c>
    </row>
    <row r="1298" spans="1:10">
      <c r="A1298" s="6" t="s">
        <v>139</v>
      </c>
      <c r="B1298" s="6" t="s">
        <v>86</v>
      </c>
      <c r="C1298" s="6" t="s">
        <v>227</v>
      </c>
      <c r="D1298" s="6">
        <v>173.3800833333333</v>
      </c>
      <c r="E1298" s="6" t="s">
        <v>177</v>
      </c>
      <c r="F1298" s="6" t="s">
        <v>57</v>
      </c>
      <c r="G1298" s="7">
        <v>50057.03584104127</v>
      </c>
      <c r="H1298" s="6">
        <v>8678893.045539388</v>
      </c>
      <c r="I1298" s="6" t="s">
        <v>179</v>
      </c>
      <c r="J1298" s="15">
        <v>39</v>
      </c>
    </row>
    <row r="1299" spans="1:10">
      <c r="A1299" s="6" t="s">
        <v>139</v>
      </c>
      <c r="B1299" s="6" t="s">
        <v>90</v>
      </c>
      <c r="C1299" s="6" t="s">
        <v>228</v>
      </c>
      <c r="D1299" s="6">
        <v>146.4960833333333</v>
      </c>
      <c r="E1299" s="6" t="s">
        <v>177</v>
      </c>
      <c r="F1299" s="6" t="s">
        <v>51</v>
      </c>
      <c r="G1299" s="7">
        <v>55221.41986499156</v>
      </c>
      <c r="H1299" s="6">
        <v>8089721.726326793</v>
      </c>
      <c r="I1299" s="6" t="s">
        <v>180</v>
      </c>
      <c r="J1299" s="15">
        <v>10.933807156893</v>
      </c>
    </row>
    <row r="1300" spans="1:10">
      <c r="A1300" s="6" t="s">
        <v>139</v>
      </c>
      <c r="B1300" s="6" t="s">
        <v>86</v>
      </c>
      <c r="C1300" s="6" t="s">
        <v>229</v>
      </c>
      <c r="D1300" s="6">
        <v>179.0005</v>
      </c>
      <c r="E1300" s="6" t="s">
        <v>177</v>
      </c>
      <c r="F1300" s="6" t="s">
        <v>53</v>
      </c>
      <c r="G1300" s="7">
        <v>21180.73880713652</v>
      </c>
      <c r="H1300" s="6">
        <v>3791362.83684684</v>
      </c>
      <c r="I1300" s="6" t="s">
        <v>179</v>
      </c>
      <c r="J1300" s="15">
        <v>5</v>
      </c>
    </row>
    <row r="1301" spans="1:10">
      <c r="A1301" s="6" t="s">
        <v>139</v>
      </c>
      <c r="B1301" s="6" t="s">
        <v>90</v>
      </c>
      <c r="C1301" s="6" t="s">
        <v>367</v>
      </c>
      <c r="D1301" s="6">
        <v>7.1075</v>
      </c>
      <c r="E1301" s="6" t="s">
        <v>177</v>
      </c>
      <c r="F1301" s="6" t="s">
        <v>55</v>
      </c>
      <c r="G1301" s="7">
        <v>58813.07473894906</v>
      </c>
      <c r="H1301" s="6">
        <v>418013.9287070805</v>
      </c>
      <c r="I1301" s="6" t="s">
        <v>180</v>
      </c>
      <c r="J1301" s="15">
        <v>12.08465649786073</v>
      </c>
    </row>
    <row r="1302" spans="1:10">
      <c r="A1302" s="6" t="s">
        <v>139</v>
      </c>
      <c r="B1302" s="6" t="s">
        <v>90</v>
      </c>
      <c r="C1302" s="6" t="s">
        <v>230</v>
      </c>
      <c r="D1302" s="6">
        <v>175.094</v>
      </c>
      <c r="E1302" s="6" t="s">
        <v>177</v>
      </c>
      <c r="F1302" s="6" t="s">
        <v>53</v>
      </c>
      <c r="G1302" s="7">
        <v>26357.64880300622</v>
      </c>
      <c r="H1302" s="6">
        <v>4615066.15951357</v>
      </c>
      <c r="I1302" s="6" t="s">
        <v>179</v>
      </c>
      <c r="J1302" s="15">
        <v>20</v>
      </c>
    </row>
    <row r="1303" spans="1:10">
      <c r="A1303" s="6" t="s">
        <v>139</v>
      </c>
      <c r="B1303" s="6" t="s">
        <v>90</v>
      </c>
      <c r="C1303" s="6" t="s">
        <v>378</v>
      </c>
      <c r="D1303" s="6">
        <v>11.32725</v>
      </c>
      <c r="E1303" s="6" t="s">
        <v>177</v>
      </c>
      <c r="F1303" s="6" t="s">
        <v>51</v>
      </c>
      <c r="G1303" s="7">
        <v>53573.36913713455</v>
      </c>
      <c r="H1303" s="6">
        <v>606838.9455586072</v>
      </c>
      <c r="I1303" s="6" t="s">
        <v>180</v>
      </c>
      <c r="J1303" s="15">
        <v>10.40573356391279</v>
      </c>
    </row>
    <row r="1304" spans="1:10">
      <c r="A1304" s="6" t="s">
        <v>139</v>
      </c>
      <c r="B1304" s="6" t="s">
        <v>177</v>
      </c>
      <c r="C1304" s="6" t="s">
        <v>231</v>
      </c>
      <c r="D1304" s="6">
        <v>0.025</v>
      </c>
      <c r="E1304" s="6" t="s">
        <v>177</v>
      </c>
      <c r="F1304" s="6" t="s">
        <v>52</v>
      </c>
      <c r="G1304" s="7">
        <v>46330.61773444634</v>
      </c>
      <c r="H1304" s="6">
        <v>1158.265443361159</v>
      </c>
      <c r="I1304" s="6" t="s">
        <v>180</v>
      </c>
      <c r="J1304" s="15">
        <v>13.11274919560723</v>
      </c>
    </row>
    <row r="1305" spans="1:10">
      <c r="A1305" s="6" t="s">
        <v>139</v>
      </c>
      <c r="B1305" s="6" t="s">
        <v>177</v>
      </c>
      <c r="C1305" s="6" t="s">
        <v>346</v>
      </c>
      <c r="D1305" s="6">
        <v>0.076</v>
      </c>
      <c r="E1305" s="6" t="s">
        <v>177</v>
      </c>
      <c r="F1305" s="6" t="s">
        <v>52</v>
      </c>
      <c r="G1305" s="7">
        <v>46330.61773444634</v>
      </c>
      <c r="H1305" s="6">
        <v>3521.126947817922</v>
      </c>
      <c r="I1305" s="6" t="s">
        <v>180</v>
      </c>
      <c r="J1305" s="15">
        <v>13.11274919560723</v>
      </c>
    </row>
    <row r="1306" spans="1:10">
      <c r="A1306" s="6" t="s">
        <v>139</v>
      </c>
      <c r="B1306" s="6" t="s">
        <v>90</v>
      </c>
      <c r="C1306" s="6" t="s">
        <v>232</v>
      </c>
      <c r="D1306" s="6">
        <v>16.20641666666667</v>
      </c>
      <c r="E1306" s="6" t="s">
        <v>177</v>
      </c>
      <c r="F1306" s="6" t="s">
        <v>51</v>
      </c>
      <c r="G1306" s="7">
        <v>49666.97485574454</v>
      </c>
      <c r="H1306" s="6">
        <v>804923.6890850526</v>
      </c>
      <c r="I1306" s="6" t="s">
        <v>180</v>
      </c>
      <c r="J1306" s="15">
        <v>9.154034432992617</v>
      </c>
    </row>
    <row r="1307" spans="1:10">
      <c r="A1307" s="6" t="s">
        <v>139</v>
      </c>
      <c r="B1307" s="6" t="s">
        <v>86</v>
      </c>
      <c r="C1307" s="6" t="s">
        <v>233</v>
      </c>
      <c r="D1307" s="6">
        <v>250.8791666666667</v>
      </c>
      <c r="E1307" s="6" t="s">
        <v>177</v>
      </c>
      <c r="F1307" s="6" t="s">
        <v>59</v>
      </c>
      <c r="G1307" s="7">
        <v>42805.8355381377</v>
      </c>
      <c r="H1307" s="6">
        <v>10739092.34827837</v>
      </c>
      <c r="I1307" s="6" t="s">
        <v>179</v>
      </c>
      <c r="J1307" s="15">
        <v>27.26666666666667</v>
      </c>
    </row>
    <row r="1308" spans="1:10">
      <c r="A1308" s="6" t="s">
        <v>139</v>
      </c>
      <c r="B1308" s="6" t="s">
        <v>86</v>
      </c>
      <c r="C1308" s="6" t="s">
        <v>234</v>
      </c>
      <c r="D1308" s="6">
        <v>57.325</v>
      </c>
      <c r="E1308" s="6" t="s">
        <v>177</v>
      </c>
      <c r="F1308" s="6" t="s">
        <v>56</v>
      </c>
      <c r="G1308" s="7">
        <v>61798.18645536575</v>
      </c>
      <c r="H1308" s="6">
        <v>3542581.038553842</v>
      </c>
      <c r="I1308" s="6" t="s">
        <v>179</v>
      </c>
      <c r="J1308" s="15">
        <v>49</v>
      </c>
    </row>
    <row r="1309" spans="1:10">
      <c r="A1309" s="6" t="s">
        <v>139</v>
      </c>
      <c r="B1309" s="6" t="s">
        <v>90</v>
      </c>
      <c r="C1309" s="6" t="s">
        <v>235</v>
      </c>
      <c r="D1309" s="6">
        <v>0.6509166666666667</v>
      </c>
      <c r="E1309" s="6" t="s">
        <v>177</v>
      </c>
      <c r="F1309" s="6" t="s">
        <v>53</v>
      </c>
      <c r="G1309" s="7">
        <v>35566.8159439669</v>
      </c>
      <c r="H1309" s="6">
        <v>23151.03327819379</v>
      </c>
      <c r="I1309" s="6" t="s">
        <v>180</v>
      </c>
      <c r="J1309" s="15">
        <v>38</v>
      </c>
    </row>
    <row r="1310" spans="1:10">
      <c r="A1310" s="6" t="s">
        <v>139</v>
      </c>
      <c r="B1310" s="6" t="s">
        <v>44</v>
      </c>
      <c r="C1310" s="6" t="s">
        <v>236</v>
      </c>
      <c r="D1310" s="6">
        <v>882.5281666666667</v>
      </c>
      <c r="E1310" s="6" t="s">
        <v>177</v>
      </c>
      <c r="F1310" s="6" t="s">
        <v>51</v>
      </c>
      <c r="G1310" s="7">
        <v>16875.52434086435</v>
      </c>
      <c r="H1310" s="6">
        <v>14893125.55808173</v>
      </c>
      <c r="I1310" s="6" t="s">
        <v>179</v>
      </c>
      <c r="J1310" s="15">
        <v>16.31666666666667</v>
      </c>
    </row>
    <row r="1311" spans="1:10">
      <c r="A1311" s="6" t="s">
        <v>139</v>
      </c>
      <c r="B1311" s="6" t="s">
        <v>44</v>
      </c>
      <c r="C1311" s="6" t="s">
        <v>237</v>
      </c>
      <c r="D1311" s="6">
        <v>61.64383333333333</v>
      </c>
      <c r="E1311" s="6" t="s">
        <v>177</v>
      </c>
      <c r="F1311" s="6" t="s">
        <v>51</v>
      </c>
      <c r="G1311" s="7">
        <v>25931.08338799715</v>
      </c>
      <c r="H1311" s="6">
        <v>1598491.382522465</v>
      </c>
      <c r="I1311" s="6" t="s">
        <v>179</v>
      </c>
      <c r="J1311" s="15">
        <v>20</v>
      </c>
    </row>
    <row r="1312" spans="1:10">
      <c r="A1312" s="6" t="s">
        <v>139</v>
      </c>
      <c r="B1312" s="6" t="s">
        <v>44</v>
      </c>
      <c r="C1312" s="6" t="s">
        <v>238</v>
      </c>
      <c r="D1312" s="6">
        <v>75.17908333333334</v>
      </c>
      <c r="E1312" s="6" t="s">
        <v>177</v>
      </c>
      <c r="F1312" s="6" t="s">
        <v>51</v>
      </c>
      <c r="G1312" s="7">
        <v>21509.06685400382</v>
      </c>
      <c r="H1312" s="6">
        <v>1617031.929439391</v>
      </c>
      <c r="I1312" s="6" t="s">
        <v>179</v>
      </c>
      <c r="J1312" s="15">
        <v>11</v>
      </c>
    </row>
    <row r="1313" spans="1:10">
      <c r="A1313" s="6" t="s">
        <v>139</v>
      </c>
      <c r="B1313" s="6" t="s">
        <v>90</v>
      </c>
      <c r="C1313" s="6" t="s">
        <v>239</v>
      </c>
      <c r="D1313" s="6">
        <v>154.5120833333333</v>
      </c>
      <c r="E1313" s="6" t="s">
        <v>177</v>
      </c>
      <c r="F1313" s="6" t="s">
        <v>54</v>
      </c>
      <c r="G1313" s="7">
        <v>77876.19751626256</v>
      </c>
      <c r="H1313" s="6">
        <v>12032813.52031589</v>
      </c>
      <c r="I1313" s="6" t="s">
        <v>179</v>
      </c>
      <c r="J1313" s="15">
        <v>17.61605692581799</v>
      </c>
    </row>
    <row r="1314" spans="1:10">
      <c r="A1314" s="6" t="s">
        <v>139</v>
      </c>
      <c r="B1314" s="6" t="s">
        <v>92</v>
      </c>
      <c r="C1314" s="6" t="s">
        <v>379</v>
      </c>
      <c r="D1314" s="6">
        <v>4.204333333333333</v>
      </c>
      <c r="E1314" s="6" t="s">
        <v>177</v>
      </c>
      <c r="F1314" s="6" t="s">
        <v>51</v>
      </c>
      <c r="G1314" s="7">
        <v>39736.55973566615</v>
      </c>
      <c r="H1314" s="6">
        <v>167065.7426486524</v>
      </c>
      <c r="I1314" s="6" t="s">
        <v>180</v>
      </c>
      <c r="J1314" s="15">
        <v>8.117870548318852</v>
      </c>
    </row>
    <row r="1315" spans="1:10">
      <c r="A1315" s="6" t="s">
        <v>139</v>
      </c>
      <c r="B1315" s="6" t="s">
        <v>90</v>
      </c>
      <c r="C1315" s="6" t="s">
        <v>347</v>
      </c>
      <c r="D1315" s="6">
        <v>1.006666666666667</v>
      </c>
      <c r="E1315" s="6" t="s">
        <v>177</v>
      </c>
      <c r="F1315" s="6" t="s">
        <v>52</v>
      </c>
      <c r="G1315" s="7">
        <v>59918.03179942394</v>
      </c>
      <c r="H1315" s="6">
        <v>60317.48534475343</v>
      </c>
      <c r="I1315" s="6" t="s">
        <v>180</v>
      </c>
      <c r="J1315" s="15">
        <v>12.43871031134531</v>
      </c>
    </row>
    <row r="1316" spans="1:10">
      <c r="A1316" s="6" t="s">
        <v>139</v>
      </c>
      <c r="B1316" s="6" t="s">
        <v>90</v>
      </c>
      <c r="C1316" s="6" t="s">
        <v>368</v>
      </c>
      <c r="D1316" s="6">
        <v>3.051</v>
      </c>
      <c r="E1316" s="6" t="s">
        <v>177</v>
      </c>
      <c r="F1316" s="6" t="s">
        <v>55</v>
      </c>
      <c r="G1316" s="7">
        <v>58353.01421955921</v>
      </c>
      <c r="H1316" s="6">
        <v>178035.0463838751</v>
      </c>
      <c r="I1316" s="6" t="s">
        <v>180</v>
      </c>
      <c r="J1316" s="15">
        <v>11.93724246056441</v>
      </c>
    </row>
    <row r="1317" spans="1:10">
      <c r="A1317" s="6" t="s">
        <v>139</v>
      </c>
      <c r="B1317" s="6" t="s">
        <v>44</v>
      </c>
      <c r="C1317" s="6" t="s">
        <v>240</v>
      </c>
      <c r="D1317" s="6">
        <v>13.43433333333333</v>
      </c>
      <c r="E1317" s="6" t="s">
        <v>177</v>
      </c>
      <c r="F1317" s="6" t="s">
        <v>51</v>
      </c>
      <c r="G1317" s="7">
        <v>18174.39388396715</v>
      </c>
      <c r="H1317" s="6">
        <v>244160.8655685094</v>
      </c>
      <c r="I1317" s="6" t="s">
        <v>179</v>
      </c>
      <c r="J1317" s="15">
        <v>18</v>
      </c>
    </row>
    <row r="1318" spans="1:10">
      <c r="A1318" s="6" t="s">
        <v>139</v>
      </c>
      <c r="B1318" s="6" t="s">
        <v>90</v>
      </c>
      <c r="C1318" s="6" t="s">
        <v>241</v>
      </c>
      <c r="D1318" s="6">
        <v>63.08608333333334</v>
      </c>
      <c r="E1318" s="6" t="s">
        <v>177</v>
      </c>
      <c r="F1318" s="6" t="s">
        <v>53</v>
      </c>
      <c r="G1318" s="7">
        <v>26388.49277067184</v>
      </c>
      <c r="H1318" s="6">
        <v>1664746.653971668</v>
      </c>
      <c r="I1318" s="6" t="s">
        <v>179</v>
      </c>
      <c r="J1318" s="15">
        <v>14.36666666666667</v>
      </c>
    </row>
    <row r="1319" spans="1:10">
      <c r="A1319" s="6" t="s">
        <v>139</v>
      </c>
      <c r="B1319" s="6" t="s">
        <v>90</v>
      </c>
      <c r="C1319" s="6" t="s">
        <v>242</v>
      </c>
      <c r="D1319" s="6">
        <v>416.7945833333334</v>
      </c>
      <c r="E1319" s="6" t="s">
        <v>177</v>
      </c>
      <c r="F1319" s="6" t="s">
        <v>56</v>
      </c>
      <c r="G1319" s="7">
        <v>48613.69532428356</v>
      </c>
      <c r="H1319" s="6">
        <v>20261924.88697838</v>
      </c>
      <c r="I1319" s="6" t="s">
        <v>179</v>
      </c>
      <c r="J1319" s="15">
        <v>6.75</v>
      </c>
    </row>
    <row r="1320" spans="1:10">
      <c r="A1320" s="6" t="s">
        <v>139</v>
      </c>
      <c r="B1320" s="6" t="s">
        <v>44</v>
      </c>
      <c r="C1320" s="6" t="s">
        <v>243</v>
      </c>
      <c r="D1320" s="6">
        <v>0.4144166666666667</v>
      </c>
      <c r="E1320" s="6" t="s">
        <v>177</v>
      </c>
      <c r="F1320" s="6" t="s">
        <v>58</v>
      </c>
      <c r="G1320" s="7">
        <v>39072.48177856206</v>
      </c>
      <c r="H1320" s="6">
        <v>16192.28765706576</v>
      </c>
      <c r="I1320" s="6" t="s">
        <v>180</v>
      </c>
      <c r="J1320" s="15">
        <v>7.714159192642155</v>
      </c>
    </row>
    <row r="1321" spans="1:10">
      <c r="A1321" s="6" t="s">
        <v>139</v>
      </c>
      <c r="B1321" s="6" t="s">
        <v>90</v>
      </c>
      <c r="C1321" s="6" t="s">
        <v>369</v>
      </c>
      <c r="D1321" s="6">
        <v>3.835083333333333</v>
      </c>
      <c r="E1321" s="6" t="s">
        <v>177</v>
      </c>
      <c r="F1321" s="6" t="s">
        <v>55</v>
      </c>
      <c r="G1321" s="7">
        <v>58207.75837622919</v>
      </c>
      <c r="H1321" s="6">
        <v>223231.6040193703</v>
      </c>
      <c r="I1321" s="6" t="s">
        <v>180</v>
      </c>
      <c r="J1321" s="15">
        <v>11.89069912679919</v>
      </c>
    </row>
    <row r="1322" spans="1:10">
      <c r="A1322" s="6" t="s">
        <v>139</v>
      </c>
      <c r="B1322" s="6" t="s">
        <v>90</v>
      </c>
      <c r="C1322" s="6" t="s">
        <v>244</v>
      </c>
      <c r="D1322" s="6">
        <v>34.88041666666666</v>
      </c>
      <c r="E1322" s="6" t="s">
        <v>177</v>
      </c>
      <c r="F1322" s="6" t="s">
        <v>55</v>
      </c>
      <c r="G1322" s="7">
        <v>56778.78135882129</v>
      </c>
      <c r="H1322" s="6">
        <v>1980467.551621252</v>
      </c>
      <c r="I1322" s="6" t="s">
        <v>180</v>
      </c>
      <c r="J1322" s="15">
        <v>11.43282182052843</v>
      </c>
    </row>
    <row r="1323" spans="1:10">
      <c r="A1323" s="6" t="s">
        <v>139</v>
      </c>
      <c r="B1323" s="6" t="s">
        <v>90</v>
      </c>
      <c r="C1323" s="6" t="s">
        <v>245</v>
      </c>
      <c r="D1323" s="6">
        <v>31.28791666666666</v>
      </c>
      <c r="E1323" s="6" t="s">
        <v>177</v>
      </c>
      <c r="F1323" s="6" t="s">
        <v>53</v>
      </c>
      <c r="G1323" s="7">
        <v>15981.96816829709</v>
      </c>
      <c r="H1323" s="6">
        <v>500042.4882189988</v>
      </c>
      <c r="I1323" s="6" t="s">
        <v>179</v>
      </c>
      <c r="J1323" s="15">
        <v>38</v>
      </c>
    </row>
    <row r="1324" spans="1:10">
      <c r="A1324" s="6" t="s">
        <v>139</v>
      </c>
      <c r="B1324" s="6" t="s">
        <v>90</v>
      </c>
      <c r="C1324" s="6" t="s">
        <v>246</v>
      </c>
      <c r="D1324" s="6">
        <v>0.2989166666666667</v>
      </c>
      <c r="E1324" s="6" t="s">
        <v>177</v>
      </c>
      <c r="F1324" s="6" t="s">
        <v>53</v>
      </c>
      <c r="G1324" s="7">
        <v>33731.16398827116</v>
      </c>
      <c r="H1324" s="6">
        <v>10082.80710216072</v>
      </c>
      <c r="I1324" s="6" t="s">
        <v>180</v>
      </c>
      <c r="J1324" s="15">
        <v>34.44166666666666</v>
      </c>
    </row>
    <row r="1325" spans="1:10">
      <c r="A1325" s="6" t="s">
        <v>139</v>
      </c>
      <c r="B1325" s="6" t="s">
        <v>177</v>
      </c>
      <c r="C1325" s="6" t="s">
        <v>348</v>
      </c>
      <c r="D1325" s="6">
        <v>4.8705</v>
      </c>
      <c r="E1325" s="6" t="s">
        <v>177</v>
      </c>
      <c r="F1325" s="6" t="s">
        <v>52</v>
      </c>
      <c r="G1325" s="7">
        <v>46330.61773444634</v>
      </c>
      <c r="H1325" s="6">
        <v>225653.2736756209</v>
      </c>
      <c r="I1325" s="6" t="s">
        <v>180</v>
      </c>
      <c r="J1325" s="15">
        <v>13.11274919560723</v>
      </c>
    </row>
    <row r="1326" spans="1:10">
      <c r="A1326" s="6" t="s">
        <v>139</v>
      </c>
      <c r="B1326" s="6" t="s">
        <v>90</v>
      </c>
      <c r="C1326" s="6" t="s">
        <v>349</v>
      </c>
      <c r="D1326" s="6">
        <v>3.674166666666667</v>
      </c>
      <c r="E1326" s="6" t="s">
        <v>177</v>
      </c>
      <c r="F1326" s="6" t="s">
        <v>52</v>
      </c>
      <c r="G1326" s="7">
        <v>59918.03179942394</v>
      </c>
      <c r="H1326" s="6">
        <v>220148.8351697168</v>
      </c>
      <c r="I1326" s="6" t="s">
        <v>180</v>
      </c>
      <c r="J1326" s="15">
        <v>12.43871031134531</v>
      </c>
    </row>
    <row r="1327" spans="1:10">
      <c r="A1327" s="6" t="s">
        <v>139</v>
      </c>
      <c r="B1327" s="6" t="s">
        <v>90</v>
      </c>
      <c r="C1327" s="6" t="s">
        <v>247</v>
      </c>
      <c r="D1327" s="6">
        <v>457.5086666666666</v>
      </c>
      <c r="E1327" s="6" t="s">
        <v>177</v>
      </c>
      <c r="F1327" s="6" t="s">
        <v>51</v>
      </c>
      <c r="G1327" s="7">
        <v>47607.91710069619</v>
      </c>
      <c r="H1327" s="6">
        <v>21781034.67551671</v>
      </c>
      <c r="I1327" s="6" t="s">
        <v>179</v>
      </c>
      <c r="J1327" s="15">
        <v>22.81666666666667</v>
      </c>
    </row>
    <row r="1328" spans="1:10">
      <c r="A1328" s="6" t="s">
        <v>139</v>
      </c>
      <c r="B1328" s="6" t="s">
        <v>92</v>
      </c>
      <c r="C1328" s="6" t="s">
        <v>248</v>
      </c>
      <c r="D1328" s="6">
        <v>96.71433333333334</v>
      </c>
      <c r="E1328" s="6" t="s">
        <v>177</v>
      </c>
      <c r="F1328" s="6" t="s">
        <v>55</v>
      </c>
      <c r="G1328" s="7">
        <v>58404.33083392808</v>
      </c>
      <c r="H1328" s="6">
        <v>5648535.920382799</v>
      </c>
      <c r="I1328" s="6" t="s">
        <v>179</v>
      </c>
      <c r="J1328" s="15">
        <v>49.38333333333333</v>
      </c>
    </row>
    <row r="1329" spans="1:10">
      <c r="A1329" s="6" t="s">
        <v>139</v>
      </c>
      <c r="B1329" s="6" t="s">
        <v>90</v>
      </c>
      <c r="C1329" s="6" t="s">
        <v>249</v>
      </c>
      <c r="D1329" s="6">
        <v>625.5097500000001</v>
      </c>
      <c r="E1329" s="6" t="s">
        <v>177</v>
      </c>
      <c r="F1329" s="6" t="s">
        <v>53</v>
      </c>
      <c r="G1329" s="7">
        <v>24606.21147932586</v>
      </c>
      <c r="H1329" s="6">
        <v>15391425.19088025</v>
      </c>
      <c r="I1329" s="6" t="s">
        <v>179</v>
      </c>
      <c r="J1329" s="15">
        <v>18</v>
      </c>
    </row>
    <row r="1330" spans="1:10">
      <c r="A1330" s="6" t="s">
        <v>139</v>
      </c>
      <c r="B1330" s="6" t="s">
        <v>90</v>
      </c>
      <c r="C1330" s="6" t="s">
        <v>351</v>
      </c>
      <c r="D1330" s="6">
        <v>1.609666666666667</v>
      </c>
      <c r="E1330" s="6" t="s">
        <v>177</v>
      </c>
      <c r="F1330" s="6" t="s">
        <v>53</v>
      </c>
      <c r="G1330" s="7">
        <v>38920.81072942021</v>
      </c>
      <c r="H1330" s="6">
        <v>62649.53167079006</v>
      </c>
      <c r="I1330" s="6" t="s">
        <v>180</v>
      </c>
      <c r="J1330" s="15">
        <v>57</v>
      </c>
    </row>
    <row r="1331" spans="1:10">
      <c r="A1331" s="6" t="s">
        <v>139</v>
      </c>
      <c r="B1331" s="6" t="s">
        <v>92</v>
      </c>
      <c r="C1331" s="6" t="s">
        <v>250</v>
      </c>
      <c r="D1331" s="6">
        <v>28.65866666666667</v>
      </c>
      <c r="E1331" s="6" t="s">
        <v>177</v>
      </c>
      <c r="F1331" s="6" t="s">
        <v>55</v>
      </c>
      <c r="G1331" s="7">
        <v>37321.61329653078</v>
      </c>
      <c r="H1331" s="6">
        <v>1069587.67492751</v>
      </c>
      <c r="I1331" s="6" t="s">
        <v>179</v>
      </c>
      <c r="J1331" s="15">
        <v>15</v>
      </c>
    </row>
    <row r="1332" spans="1:10">
      <c r="A1332" s="6" t="s">
        <v>139</v>
      </c>
      <c r="B1332" s="6" t="s">
        <v>90</v>
      </c>
      <c r="C1332" s="6" t="s">
        <v>251</v>
      </c>
      <c r="D1332" s="6">
        <v>7.051833333333334</v>
      </c>
      <c r="E1332" s="6" t="s">
        <v>177</v>
      </c>
      <c r="F1332" s="6" t="s">
        <v>53</v>
      </c>
      <c r="G1332" s="7">
        <v>23642.19568206914</v>
      </c>
      <c r="H1332" s="6">
        <v>166720.8235840046</v>
      </c>
      <c r="I1332" s="6" t="s">
        <v>179</v>
      </c>
      <c r="J1332" s="15">
        <v>18.675</v>
      </c>
    </row>
    <row r="1333" spans="1:10">
      <c r="A1333" s="6" t="s">
        <v>139</v>
      </c>
      <c r="B1333" s="6" t="s">
        <v>90</v>
      </c>
      <c r="C1333" s="6" t="s">
        <v>252</v>
      </c>
      <c r="D1333" s="6">
        <v>96.33649999999999</v>
      </c>
      <c r="E1333" s="6" t="s">
        <v>177</v>
      </c>
      <c r="F1333" s="6" t="s">
        <v>57</v>
      </c>
      <c r="G1333" s="7">
        <v>42694.47301830137</v>
      </c>
      <c r="H1333" s="6">
        <v>4113036.099927589</v>
      </c>
      <c r="I1333" s="6" t="s">
        <v>180</v>
      </c>
      <c r="J1333" s="15">
        <v>6.919883484163813</v>
      </c>
    </row>
    <row r="1334" spans="1:10">
      <c r="A1334" s="6" t="s">
        <v>139</v>
      </c>
      <c r="B1334" s="6" t="s">
        <v>90</v>
      </c>
      <c r="C1334" s="6" t="s">
        <v>253</v>
      </c>
      <c r="D1334" s="6">
        <v>117.9541666666667</v>
      </c>
      <c r="E1334" s="6" t="s">
        <v>177</v>
      </c>
      <c r="F1334" s="6" t="s">
        <v>53</v>
      </c>
      <c r="G1334" s="7">
        <v>32446.79249986879</v>
      </c>
      <c r="H1334" s="6">
        <v>3827234.370328273</v>
      </c>
      <c r="I1334" s="6" t="s">
        <v>179</v>
      </c>
      <c r="J1334" s="15">
        <v>16</v>
      </c>
    </row>
    <row r="1335" spans="1:10">
      <c r="A1335" s="6" t="s">
        <v>139</v>
      </c>
      <c r="B1335" s="6" t="s">
        <v>86</v>
      </c>
      <c r="C1335" s="6" t="s">
        <v>353</v>
      </c>
      <c r="D1335" s="6">
        <v>4.191</v>
      </c>
      <c r="E1335" s="6" t="s">
        <v>177</v>
      </c>
      <c r="F1335" s="6" t="s">
        <v>62</v>
      </c>
      <c r="G1335" s="7">
        <v>81005.34654028571</v>
      </c>
      <c r="H1335" s="6">
        <v>339493.4073503374</v>
      </c>
      <c r="I1335" s="6" t="s">
        <v>179</v>
      </c>
      <c r="J1335" s="15">
        <v>102.3</v>
      </c>
    </row>
    <row r="1336" spans="1:10">
      <c r="A1336" s="6" t="s">
        <v>139</v>
      </c>
      <c r="B1336" s="6" t="s">
        <v>90</v>
      </c>
      <c r="C1336" s="6" t="s">
        <v>254</v>
      </c>
      <c r="D1336" s="6">
        <v>2.551916666666667</v>
      </c>
      <c r="E1336" s="6" t="s">
        <v>177</v>
      </c>
      <c r="F1336" s="6" t="s">
        <v>51</v>
      </c>
      <c r="G1336" s="7">
        <v>50623.2876601551</v>
      </c>
      <c r="H1336" s="6">
        <v>129186.4115014108</v>
      </c>
      <c r="I1336" s="6" t="s">
        <v>180</v>
      </c>
      <c r="J1336" s="15">
        <v>9.460459186856067</v>
      </c>
    </row>
    <row r="1337" spans="1:10">
      <c r="A1337" s="6" t="s">
        <v>139</v>
      </c>
      <c r="B1337" s="6" t="s">
        <v>44</v>
      </c>
      <c r="C1337" s="6" t="s">
        <v>255</v>
      </c>
      <c r="D1337" s="6">
        <v>38.77033333333333</v>
      </c>
      <c r="E1337" s="6" t="s">
        <v>177</v>
      </c>
      <c r="F1337" s="6" t="s">
        <v>51</v>
      </c>
      <c r="G1337" s="7">
        <v>32463.72189421727</v>
      </c>
      <c r="H1337" s="6">
        <v>1258629.319079435</v>
      </c>
      <c r="I1337" s="6" t="s">
        <v>179</v>
      </c>
      <c r="J1337" s="15">
        <v>13.29939623747558</v>
      </c>
    </row>
    <row r="1338" spans="1:10">
      <c r="A1338" s="6" t="s">
        <v>139</v>
      </c>
      <c r="B1338" s="6" t="s">
        <v>90</v>
      </c>
      <c r="C1338" s="6" t="s">
        <v>256</v>
      </c>
      <c r="D1338" s="6">
        <v>0.7382500000000001</v>
      </c>
      <c r="E1338" s="6" t="s">
        <v>177</v>
      </c>
      <c r="F1338" s="6" t="s">
        <v>57</v>
      </c>
      <c r="G1338" s="7">
        <v>50139.25135563286</v>
      </c>
      <c r="H1338" s="6">
        <v>37015.30231329596</v>
      </c>
      <c r="I1338" s="6" t="s">
        <v>180</v>
      </c>
      <c r="J1338" s="15">
        <v>64</v>
      </c>
    </row>
    <row r="1339" spans="1:10">
      <c r="A1339" s="6" t="s">
        <v>139</v>
      </c>
      <c r="B1339" s="6" t="s">
        <v>177</v>
      </c>
      <c r="C1339" s="6" t="s">
        <v>257</v>
      </c>
      <c r="D1339" s="6">
        <v>0.09833333333333333</v>
      </c>
      <c r="E1339" s="6" t="s">
        <v>177</v>
      </c>
      <c r="F1339" s="6" t="s">
        <v>52</v>
      </c>
      <c r="G1339" s="7">
        <v>46330.61773444634</v>
      </c>
      <c r="H1339" s="6">
        <v>4555.844077220557</v>
      </c>
      <c r="I1339" s="6" t="s">
        <v>180</v>
      </c>
      <c r="J1339" s="15">
        <v>13.11274919560723</v>
      </c>
    </row>
    <row r="1340" spans="1:10">
      <c r="A1340" s="6" t="s">
        <v>139</v>
      </c>
      <c r="B1340" s="6" t="s">
        <v>177</v>
      </c>
      <c r="C1340" s="6" t="s">
        <v>258</v>
      </c>
      <c r="D1340" s="6">
        <v>0.05833333333333333</v>
      </c>
      <c r="E1340" s="6" t="s">
        <v>177</v>
      </c>
      <c r="F1340" s="6" t="s">
        <v>52</v>
      </c>
      <c r="G1340" s="7">
        <v>46330.61773444634</v>
      </c>
      <c r="H1340" s="6">
        <v>2702.619367842703</v>
      </c>
      <c r="I1340" s="6" t="s">
        <v>180</v>
      </c>
      <c r="J1340" s="15">
        <v>13.11274919560723</v>
      </c>
    </row>
    <row r="1341" spans="1:10">
      <c r="A1341" s="6" t="s">
        <v>139</v>
      </c>
      <c r="B1341" s="6" t="s">
        <v>90</v>
      </c>
      <c r="C1341" s="6" t="s">
        <v>260</v>
      </c>
      <c r="D1341" s="6">
        <v>50.33466666666666</v>
      </c>
      <c r="E1341" s="6" t="s">
        <v>177</v>
      </c>
      <c r="F1341" s="6" t="s">
        <v>52</v>
      </c>
      <c r="G1341" s="7">
        <v>55804.87767627013</v>
      </c>
      <c r="H1341" s="6">
        <v>2808919.916209165</v>
      </c>
      <c r="I1341" s="6" t="s">
        <v>179</v>
      </c>
      <c r="J1341" s="15">
        <v>64.03333333333333</v>
      </c>
    </row>
    <row r="1342" spans="1:10">
      <c r="A1342" s="6" t="s">
        <v>139</v>
      </c>
      <c r="B1342" s="6" t="s">
        <v>90</v>
      </c>
      <c r="C1342" s="6" t="s">
        <v>261</v>
      </c>
      <c r="D1342" s="6">
        <v>0.7354166666666667</v>
      </c>
      <c r="E1342" s="6" t="s">
        <v>177</v>
      </c>
      <c r="F1342" s="6" t="s">
        <v>54</v>
      </c>
      <c r="G1342" s="7">
        <v>59278.32258850268</v>
      </c>
      <c r="H1342" s="6">
        <v>43594.26640362802</v>
      </c>
      <c r="I1342" s="6" t="s">
        <v>180</v>
      </c>
      <c r="J1342" s="15">
        <v>12.23373267578856</v>
      </c>
    </row>
    <row r="1343" spans="1:10">
      <c r="A1343" s="6" t="s">
        <v>139</v>
      </c>
      <c r="B1343" s="6" t="s">
        <v>44</v>
      </c>
      <c r="C1343" s="6" t="s">
        <v>262</v>
      </c>
      <c r="D1343" s="6">
        <v>117.0964166666667</v>
      </c>
      <c r="E1343" s="6" t="s">
        <v>177</v>
      </c>
      <c r="F1343" s="6" t="s">
        <v>51</v>
      </c>
      <c r="G1343" s="7">
        <v>21698.35157241016</v>
      </c>
      <c r="H1343" s="6">
        <v>2540799.216702762</v>
      </c>
      <c r="I1343" s="6" t="s">
        <v>179</v>
      </c>
      <c r="J1343" s="15">
        <v>22.96666666666667</v>
      </c>
    </row>
    <row r="1344" spans="1:10">
      <c r="A1344" s="6" t="s">
        <v>139</v>
      </c>
      <c r="B1344" s="6" t="s">
        <v>90</v>
      </c>
      <c r="C1344" s="6" t="s">
        <v>263</v>
      </c>
      <c r="D1344" s="6">
        <v>189.2355</v>
      </c>
      <c r="E1344" s="6" t="s">
        <v>177</v>
      </c>
      <c r="F1344" s="6" t="s">
        <v>54</v>
      </c>
      <c r="G1344" s="7">
        <v>65896.61824279206</v>
      </c>
      <c r="H1344" s="6">
        <v>12469979.50148387</v>
      </c>
      <c r="I1344" s="6" t="s">
        <v>179</v>
      </c>
      <c r="J1344" s="15">
        <v>46.91666666666666</v>
      </c>
    </row>
    <row r="1345" spans="1:10">
      <c r="A1345" s="6" t="s">
        <v>139</v>
      </c>
      <c r="B1345" s="6" t="s">
        <v>90</v>
      </c>
      <c r="C1345" s="6" t="s">
        <v>264</v>
      </c>
      <c r="D1345" s="6">
        <v>113.1703333333333</v>
      </c>
      <c r="E1345" s="6" t="s">
        <v>177</v>
      </c>
      <c r="F1345" s="6" t="s">
        <v>54</v>
      </c>
      <c r="G1345" s="7">
        <v>89766.53686395117</v>
      </c>
      <c r="H1345" s="6">
        <v>10158908.89907231</v>
      </c>
      <c r="I1345" s="6" t="s">
        <v>180</v>
      </c>
      <c r="J1345" s="15">
        <v>22.00286209871706</v>
      </c>
    </row>
    <row r="1346" spans="1:10">
      <c r="A1346" s="6" t="s">
        <v>139</v>
      </c>
      <c r="B1346" s="6" t="s">
        <v>90</v>
      </c>
      <c r="C1346" s="6" t="s">
        <v>265</v>
      </c>
      <c r="D1346" s="6">
        <v>288.9829166666667</v>
      </c>
      <c r="E1346" s="6" t="s">
        <v>177</v>
      </c>
      <c r="F1346" s="6" t="s">
        <v>54</v>
      </c>
      <c r="G1346" s="7">
        <v>88348.04007123776</v>
      </c>
      <c r="H1346" s="6">
        <v>25531074.30156983</v>
      </c>
      <c r="I1346" s="6" t="s">
        <v>179</v>
      </c>
      <c r="J1346" s="15">
        <v>17.53537223567039</v>
      </c>
    </row>
    <row r="1347" spans="1:10">
      <c r="A1347" s="6" t="s">
        <v>139</v>
      </c>
      <c r="B1347" s="6" t="s">
        <v>86</v>
      </c>
      <c r="C1347" s="6" t="s">
        <v>266</v>
      </c>
      <c r="D1347" s="6">
        <v>157.5191666666667</v>
      </c>
      <c r="E1347" s="6" t="s">
        <v>177</v>
      </c>
      <c r="F1347" s="6" t="s">
        <v>57</v>
      </c>
      <c r="G1347" s="7">
        <v>56598.40474601523</v>
      </c>
      <c r="H1347" s="6">
        <v>8915333.55025503</v>
      </c>
      <c r="I1347" s="6" t="s">
        <v>179</v>
      </c>
      <c r="J1347" s="15">
        <v>41.60833333333333</v>
      </c>
    </row>
    <row r="1348" spans="1:10">
      <c r="A1348" s="6" t="s">
        <v>139</v>
      </c>
      <c r="B1348" s="6" t="s">
        <v>90</v>
      </c>
      <c r="C1348" s="6" t="s">
        <v>354</v>
      </c>
      <c r="D1348" s="6">
        <v>0.02616666666666667</v>
      </c>
      <c r="E1348" s="6" t="s">
        <v>177</v>
      </c>
      <c r="F1348" s="6" t="s">
        <v>51</v>
      </c>
      <c r="G1348" s="7">
        <v>43580.99560846043</v>
      </c>
      <c r="H1348" s="6">
        <v>1140.369385088048</v>
      </c>
      <c r="I1348" s="6" t="s">
        <v>180</v>
      </c>
      <c r="J1348" s="15">
        <v>7.203945838271181</v>
      </c>
    </row>
    <row r="1349" spans="1:10">
      <c r="A1349" s="6" t="s">
        <v>139</v>
      </c>
      <c r="B1349" s="6" t="s">
        <v>90</v>
      </c>
      <c r="C1349" s="6" t="s">
        <v>267</v>
      </c>
      <c r="D1349" s="6">
        <v>907.1798333333334</v>
      </c>
      <c r="E1349" s="6" t="s">
        <v>177</v>
      </c>
      <c r="F1349" s="6" t="s">
        <v>53</v>
      </c>
      <c r="G1349" s="7">
        <v>28187.4549918804</v>
      </c>
      <c r="H1349" s="6">
        <v>25571090.7216249</v>
      </c>
      <c r="I1349" s="6" t="s">
        <v>179</v>
      </c>
      <c r="J1349" s="15">
        <v>17</v>
      </c>
    </row>
    <row r="1350" spans="1:10">
      <c r="A1350" s="6" t="s">
        <v>139</v>
      </c>
      <c r="B1350" s="6" t="s">
        <v>44</v>
      </c>
      <c r="C1350" s="6" t="s">
        <v>268</v>
      </c>
      <c r="D1350" s="6">
        <v>1.174</v>
      </c>
      <c r="E1350" s="6" t="s">
        <v>177</v>
      </c>
      <c r="F1350" s="6" t="s">
        <v>51</v>
      </c>
      <c r="G1350" s="7">
        <v>19920.3047306236</v>
      </c>
      <c r="H1350" s="6">
        <v>23386.43775375211</v>
      </c>
      <c r="I1350" s="6" t="s">
        <v>179</v>
      </c>
      <c r="J1350" s="15">
        <v>6.233478833728606</v>
      </c>
    </row>
    <row r="1351" spans="1:10">
      <c r="A1351" s="6" t="s">
        <v>139</v>
      </c>
      <c r="B1351" s="6" t="s">
        <v>177</v>
      </c>
      <c r="C1351" s="6" t="s">
        <v>269</v>
      </c>
      <c r="D1351" s="6">
        <v>0.03266666666666667</v>
      </c>
      <c r="E1351" s="6" t="s">
        <v>177</v>
      </c>
      <c r="F1351" s="6" t="s">
        <v>52</v>
      </c>
      <c r="G1351" s="7">
        <v>46330.61773444634</v>
      </c>
      <c r="H1351" s="6">
        <v>1513.466845991914</v>
      </c>
      <c r="I1351" s="6" t="s">
        <v>180</v>
      </c>
      <c r="J1351" s="15">
        <v>13.11274919560723</v>
      </c>
    </row>
    <row r="1352" spans="1:10">
      <c r="A1352" s="6" t="s">
        <v>139</v>
      </c>
      <c r="B1352" s="6" t="s">
        <v>86</v>
      </c>
      <c r="C1352" s="6" t="s">
        <v>270</v>
      </c>
      <c r="D1352" s="6">
        <v>93.65758333333333</v>
      </c>
      <c r="E1352" s="6" t="s">
        <v>177</v>
      </c>
      <c r="F1352" s="6" t="s">
        <v>59</v>
      </c>
      <c r="G1352" s="7">
        <v>48832.25327446419</v>
      </c>
      <c r="H1352" s="6">
        <v>4573510.830407569</v>
      </c>
      <c r="I1352" s="6" t="s">
        <v>179</v>
      </c>
      <c r="J1352" s="15">
        <v>27.28333333333333</v>
      </c>
    </row>
    <row r="1353" spans="1:10">
      <c r="A1353" s="6" t="s">
        <v>139</v>
      </c>
      <c r="B1353" s="6" t="s">
        <v>86</v>
      </c>
      <c r="C1353" s="6" t="s">
        <v>271</v>
      </c>
      <c r="D1353" s="6">
        <v>332.2901666666667</v>
      </c>
      <c r="E1353" s="6" t="s">
        <v>177</v>
      </c>
      <c r="F1353" s="6" t="s">
        <v>54</v>
      </c>
      <c r="G1353" s="7">
        <v>81091.15446449892</v>
      </c>
      <c r="H1353" s="6">
        <v>26945793.23220076</v>
      </c>
      <c r="I1353" s="6" t="s">
        <v>179</v>
      </c>
      <c r="J1353" s="15">
        <v>47.58333333333334</v>
      </c>
    </row>
    <row r="1354" spans="1:10">
      <c r="A1354" s="6" t="s">
        <v>139</v>
      </c>
      <c r="B1354" s="6" t="s">
        <v>86</v>
      </c>
      <c r="C1354" s="6" t="s">
        <v>272</v>
      </c>
      <c r="D1354" s="6">
        <v>23.43766666666667</v>
      </c>
      <c r="E1354" s="6" t="s">
        <v>177</v>
      </c>
      <c r="F1354" s="6" t="s">
        <v>51</v>
      </c>
      <c r="G1354" s="7">
        <v>35610.26336083005</v>
      </c>
      <c r="H1354" s="6">
        <v>834621.4825633478</v>
      </c>
      <c r="I1354" s="6" t="s">
        <v>179</v>
      </c>
      <c r="J1354" s="15">
        <v>8.94980137224452</v>
      </c>
    </row>
    <row r="1355" spans="1:10">
      <c r="A1355" s="6" t="s">
        <v>139</v>
      </c>
      <c r="B1355" s="6" t="s">
        <v>92</v>
      </c>
      <c r="C1355" s="6" t="s">
        <v>273</v>
      </c>
      <c r="D1355" s="6">
        <v>403.2598333333333</v>
      </c>
      <c r="E1355" s="6" t="s">
        <v>177</v>
      </c>
      <c r="F1355" s="6" t="s">
        <v>51</v>
      </c>
      <c r="G1355" s="7">
        <v>39415.32644745876</v>
      </c>
      <c r="H1355" s="6">
        <v>15894617.97398114</v>
      </c>
      <c r="I1355" s="6" t="s">
        <v>179</v>
      </c>
      <c r="J1355" s="15">
        <v>27</v>
      </c>
    </row>
    <row r="1356" spans="1:10">
      <c r="A1356" s="6" t="s">
        <v>139</v>
      </c>
      <c r="B1356" s="6" t="s">
        <v>90</v>
      </c>
      <c r="C1356" s="6" t="s">
        <v>274</v>
      </c>
      <c r="D1356" s="6">
        <v>42.83666666666666</v>
      </c>
      <c r="E1356" s="6" t="s">
        <v>177</v>
      </c>
      <c r="F1356" s="6" t="s">
        <v>56</v>
      </c>
      <c r="G1356" s="7">
        <v>58346.71964656267</v>
      </c>
      <c r="H1356" s="6">
        <v>2499378.980593256</v>
      </c>
      <c r="I1356" s="6" t="s">
        <v>180</v>
      </c>
      <c r="J1356" s="15">
        <v>11.93522553370507</v>
      </c>
    </row>
    <row r="1357" spans="1:10">
      <c r="A1357" s="6" t="s">
        <v>139</v>
      </c>
      <c r="B1357" s="6" t="s">
        <v>90</v>
      </c>
      <c r="C1357" s="6" t="s">
        <v>275</v>
      </c>
      <c r="D1357" s="6">
        <v>5.233000000000001</v>
      </c>
      <c r="E1357" s="6" t="s">
        <v>177</v>
      </c>
      <c r="F1357" s="6" t="s">
        <v>51</v>
      </c>
      <c r="G1357" s="7">
        <v>54453.54162987976</v>
      </c>
      <c r="H1357" s="6">
        <v>284955.3833491608</v>
      </c>
      <c r="I1357" s="6" t="s">
        <v>180</v>
      </c>
      <c r="J1357" s="15">
        <v>10.68776119985255</v>
      </c>
    </row>
    <row r="1358" spans="1:10">
      <c r="A1358" s="6" t="s">
        <v>139</v>
      </c>
      <c r="B1358" s="6" t="s">
        <v>92</v>
      </c>
      <c r="C1358" s="6" t="s">
        <v>276</v>
      </c>
      <c r="D1358" s="6">
        <v>123.77475</v>
      </c>
      <c r="E1358" s="6" t="s">
        <v>177</v>
      </c>
      <c r="F1358" s="6" t="s">
        <v>51</v>
      </c>
      <c r="G1358" s="7">
        <v>36785.44810286325</v>
      </c>
      <c r="H1358" s="6">
        <v>4553109.642569873</v>
      </c>
      <c r="I1358" s="6" t="s">
        <v>180</v>
      </c>
      <c r="J1358" s="15">
        <v>7.012906301866028</v>
      </c>
    </row>
    <row r="1359" spans="1:10">
      <c r="A1359" s="6" t="s">
        <v>139</v>
      </c>
      <c r="B1359" s="6" t="s">
        <v>90</v>
      </c>
      <c r="C1359" s="6" t="s">
        <v>277</v>
      </c>
      <c r="D1359" s="6">
        <v>0.8848333333333334</v>
      </c>
      <c r="E1359" s="6" t="s">
        <v>177</v>
      </c>
      <c r="F1359" s="6" t="s">
        <v>57</v>
      </c>
      <c r="G1359" s="7">
        <v>44258.82186038292</v>
      </c>
      <c r="H1359" s="6">
        <v>39161.68087612883</v>
      </c>
      <c r="I1359" s="6" t="s">
        <v>180</v>
      </c>
      <c r="J1359" s="15">
        <v>7.421137055882822</v>
      </c>
    </row>
    <row r="1360" spans="1:10">
      <c r="A1360" s="6" t="s">
        <v>139</v>
      </c>
      <c r="B1360" s="6" t="s">
        <v>90</v>
      </c>
      <c r="C1360" s="6" t="s">
        <v>278</v>
      </c>
      <c r="D1360" s="6">
        <v>290.4864166666666</v>
      </c>
      <c r="E1360" s="6" t="s">
        <v>177</v>
      </c>
      <c r="F1360" s="6" t="s">
        <v>55</v>
      </c>
      <c r="G1360" s="7">
        <v>46621.33394129809</v>
      </c>
      <c r="H1360" s="6">
        <v>13542864.23682772</v>
      </c>
      <c r="I1360" s="6" t="s">
        <v>179</v>
      </c>
      <c r="J1360" s="15">
        <v>47.06666666666667</v>
      </c>
    </row>
    <row r="1361" spans="1:10">
      <c r="A1361" s="6" t="s">
        <v>139</v>
      </c>
      <c r="B1361" s="6" t="s">
        <v>86</v>
      </c>
      <c r="C1361" s="6" t="s">
        <v>279</v>
      </c>
      <c r="D1361" s="6">
        <v>22.0375</v>
      </c>
      <c r="E1361" s="6" t="s">
        <v>177</v>
      </c>
      <c r="F1361" s="6" t="s">
        <v>52</v>
      </c>
      <c r="G1361" s="7">
        <v>55167.7237588997</v>
      </c>
      <c r="H1361" s="6">
        <v>1215758.712336752</v>
      </c>
      <c r="I1361" s="6" t="s">
        <v>179</v>
      </c>
      <c r="J1361" s="15">
        <v>95</v>
      </c>
    </row>
    <row r="1362" spans="1:10">
      <c r="A1362" s="6" t="s">
        <v>139</v>
      </c>
      <c r="B1362" s="6" t="s">
        <v>92</v>
      </c>
      <c r="C1362" s="6" t="s">
        <v>280</v>
      </c>
      <c r="D1362" s="6">
        <v>537.6108333333333</v>
      </c>
      <c r="E1362" s="6" t="s">
        <v>177</v>
      </c>
      <c r="F1362" s="6" t="s">
        <v>55</v>
      </c>
      <c r="G1362" s="7">
        <v>58368.69681371454</v>
      </c>
      <c r="H1362" s="6">
        <v>31379643.73460175</v>
      </c>
      <c r="I1362" s="6" t="s">
        <v>179</v>
      </c>
      <c r="J1362" s="15">
        <v>52.875</v>
      </c>
    </row>
    <row r="1363" spans="1:10">
      <c r="A1363" s="6" t="s">
        <v>139</v>
      </c>
      <c r="B1363" s="6" t="s">
        <v>86</v>
      </c>
      <c r="C1363" s="6" t="s">
        <v>281</v>
      </c>
      <c r="D1363" s="6">
        <v>319.9489166666667</v>
      </c>
      <c r="E1363" s="6" t="s">
        <v>177</v>
      </c>
      <c r="F1363" s="6" t="s">
        <v>57</v>
      </c>
      <c r="G1363" s="7">
        <v>64904.72664042063</v>
      </c>
      <c r="H1363" s="6">
        <v>20766196.97514872</v>
      </c>
      <c r="I1363" s="6" t="s">
        <v>179</v>
      </c>
      <c r="J1363" s="15">
        <v>37.11666666666667</v>
      </c>
    </row>
    <row r="1364" spans="1:10">
      <c r="A1364" s="6" t="s">
        <v>139</v>
      </c>
      <c r="B1364" s="6" t="s">
        <v>90</v>
      </c>
      <c r="C1364" s="6" t="s">
        <v>282</v>
      </c>
      <c r="D1364" s="6">
        <v>0.8106666666666666</v>
      </c>
      <c r="E1364" s="6" t="s">
        <v>177</v>
      </c>
      <c r="F1364" s="6" t="s">
        <v>56</v>
      </c>
      <c r="G1364" s="7">
        <v>55102.56172936118</v>
      </c>
      <c r="H1364" s="6">
        <v>44669.81004193546</v>
      </c>
      <c r="I1364" s="6" t="s">
        <v>180</v>
      </c>
      <c r="J1364" s="15">
        <v>10.89572225957987</v>
      </c>
    </row>
    <row r="1365" spans="1:10">
      <c r="A1365" s="6" t="s">
        <v>139</v>
      </c>
      <c r="B1365" s="6" t="s">
        <v>90</v>
      </c>
      <c r="C1365" s="6" t="s">
        <v>283</v>
      </c>
      <c r="D1365" s="6">
        <v>431.0755833333333</v>
      </c>
      <c r="E1365" s="6" t="s">
        <v>177</v>
      </c>
      <c r="F1365" s="6" t="s">
        <v>51</v>
      </c>
      <c r="G1365" s="7">
        <v>41673.53339700109</v>
      </c>
      <c r="H1365" s="6">
        <v>17964442.71867339</v>
      </c>
      <c r="I1365" s="6" t="s">
        <v>179</v>
      </c>
      <c r="J1365" s="15">
        <v>26.5</v>
      </c>
    </row>
    <row r="1366" spans="1:10">
      <c r="A1366" s="6" t="s">
        <v>139</v>
      </c>
      <c r="B1366" s="6" t="s">
        <v>92</v>
      </c>
      <c r="C1366" s="6" t="s">
        <v>284</v>
      </c>
      <c r="D1366" s="6">
        <v>177.6829166666667</v>
      </c>
      <c r="E1366" s="6" t="s">
        <v>177</v>
      </c>
      <c r="F1366" s="6" t="s">
        <v>55</v>
      </c>
      <c r="G1366" s="7">
        <v>36138.38846146646</v>
      </c>
      <c r="H1366" s="6">
        <v>6421174.265466374</v>
      </c>
      <c r="I1366" s="6" t="s">
        <v>179</v>
      </c>
      <c r="J1366" s="15">
        <v>40.2</v>
      </c>
    </row>
    <row r="1367" spans="1:10">
      <c r="A1367" s="6" t="s">
        <v>139</v>
      </c>
      <c r="B1367" s="6" t="s">
        <v>92</v>
      </c>
      <c r="C1367" s="6" t="s">
        <v>286</v>
      </c>
      <c r="D1367" s="6">
        <v>42.39833333333334</v>
      </c>
      <c r="E1367" s="6" t="s">
        <v>177</v>
      </c>
      <c r="F1367" s="6" t="s">
        <v>59</v>
      </c>
      <c r="G1367" s="7">
        <v>51919.2206470298</v>
      </c>
      <c r="H1367" s="6">
        <v>2201288.423399652</v>
      </c>
      <c r="I1367" s="6" t="s">
        <v>180</v>
      </c>
      <c r="J1367" s="15">
        <v>12.67933971949008</v>
      </c>
    </row>
    <row r="1368" spans="1:10">
      <c r="A1368" s="6" t="s">
        <v>139</v>
      </c>
      <c r="B1368" s="6" t="s">
        <v>90</v>
      </c>
      <c r="C1368" s="6" t="s">
        <v>287</v>
      </c>
      <c r="D1368" s="6">
        <v>1.790166666666667</v>
      </c>
      <c r="E1368" s="6" t="s">
        <v>177</v>
      </c>
      <c r="F1368" s="6" t="s">
        <v>53</v>
      </c>
      <c r="G1368" s="7">
        <v>25443.86066146324</v>
      </c>
      <c r="H1368" s="6">
        <v>45548.75122746277</v>
      </c>
      <c r="I1368" s="6" t="s">
        <v>179</v>
      </c>
      <c r="J1368" s="15">
        <v>16</v>
      </c>
    </row>
    <row r="1369" spans="1:10">
      <c r="A1369" s="6" t="s">
        <v>139</v>
      </c>
      <c r="B1369" s="6" t="s">
        <v>90</v>
      </c>
      <c r="C1369" s="6" t="s">
        <v>376</v>
      </c>
      <c r="D1369" s="6">
        <v>1.009583333333333</v>
      </c>
      <c r="E1369" s="6" t="s">
        <v>177</v>
      </c>
      <c r="F1369" s="6" t="s">
        <v>54</v>
      </c>
      <c r="G1369" s="7">
        <v>76892.37004653887</v>
      </c>
      <c r="H1369" s="6">
        <v>77629.25525948487</v>
      </c>
      <c r="I1369" s="6" t="s">
        <v>180</v>
      </c>
      <c r="J1369" s="15">
        <v>17.87768111188072</v>
      </c>
    </row>
    <row r="1370" spans="1:10">
      <c r="A1370" s="6" t="s">
        <v>139</v>
      </c>
      <c r="B1370" s="6" t="s">
        <v>44</v>
      </c>
      <c r="C1370" s="6" t="s">
        <v>288</v>
      </c>
      <c r="D1370" s="6">
        <v>0.242</v>
      </c>
      <c r="E1370" s="6" t="s">
        <v>177</v>
      </c>
      <c r="F1370" s="6" t="s">
        <v>58</v>
      </c>
      <c r="G1370" s="7">
        <v>43931.19520815281</v>
      </c>
      <c r="H1370" s="6">
        <v>10631.34924037298</v>
      </c>
      <c r="I1370" s="6" t="s">
        <v>180</v>
      </c>
      <c r="J1370" s="15">
        <v>17</v>
      </c>
    </row>
    <row r="1371" spans="1:10">
      <c r="A1371" s="6" t="s">
        <v>139</v>
      </c>
      <c r="B1371" s="6" t="s">
        <v>90</v>
      </c>
      <c r="C1371" s="6" t="s">
        <v>370</v>
      </c>
      <c r="D1371" s="6">
        <v>2.79625</v>
      </c>
      <c r="E1371" s="6" t="s">
        <v>177</v>
      </c>
      <c r="F1371" s="6" t="s">
        <v>55</v>
      </c>
      <c r="G1371" s="7">
        <v>63543.31246850626</v>
      </c>
      <c r="H1371" s="6">
        <v>177682.9874900607</v>
      </c>
      <c r="I1371" s="6" t="s">
        <v>180</v>
      </c>
      <c r="J1371" s="15">
        <v>13.60033413525112</v>
      </c>
    </row>
    <row r="1372" spans="1:10">
      <c r="A1372" s="6" t="s">
        <v>139</v>
      </c>
      <c r="B1372" s="6" t="s">
        <v>90</v>
      </c>
      <c r="C1372" s="6" t="s">
        <v>359</v>
      </c>
      <c r="D1372" s="6">
        <v>72.64175</v>
      </c>
      <c r="E1372" s="6" t="s">
        <v>177</v>
      </c>
      <c r="F1372" s="6" t="s">
        <v>60</v>
      </c>
      <c r="G1372" s="7">
        <v>44402.32112778664</v>
      </c>
      <c r="H1372" s="6">
        <v>3225462.310784395</v>
      </c>
      <c r="I1372" s="6" t="s">
        <v>180</v>
      </c>
      <c r="J1372" s="15">
        <v>7.467117542069946</v>
      </c>
    </row>
    <row r="1373" spans="1:10">
      <c r="A1373" s="6" t="s">
        <v>139</v>
      </c>
      <c r="B1373" s="6" t="s">
        <v>86</v>
      </c>
      <c r="C1373" s="6" t="s">
        <v>289</v>
      </c>
      <c r="D1373" s="6">
        <v>159.1619166666667</v>
      </c>
      <c r="E1373" s="6" t="s">
        <v>177</v>
      </c>
      <c r="F1373" s="6" t="s">
        <v>52</v>
      </c>
      <c r="G1373" s="7">
        <v>59342.46197897197</v>
      </c>
      <c r="H1373" s="6">
        <v>9445059.98829197</v>
      </c>
      <c r="I1373" s="6" t="s">
        <v>179</v>
      </c>
      <c r="J1373" s="15">
        <v>65</v>
      </c>
    </row>
    <row r="1374" spans="1:10">
      <c r="A1374" s="6" t="s">
        <v>139</v>
      </c>
      <c r="B1374" s="6" t="s">
        <v>90</v>
      </c>
      <c r="C1374" s="6" t="s">
        <v>290</v>
      </c>
      <c r="D1374" s="6">
        <v>0.08066666666666666</v>
      </c>
      <c r="E1374" s="6" t="s">
        <v>177</v>
      </c>
      <c r="F1374" s="6" t="s">
        <v>53</v>
      </c>
      <c r="G1374" s="7">
        <v>33776.0793312915</v>
      </c>
      <c r="H1374" s="6">
        <v>2724.603732724181</v>
      </c>
      <c r="I1374" s="6" t="s">
        <v>180</v>
      </c>
      <c r="J1374" s="15">
        <v>4.062223754214076</v>
      </c>
    </row>
    <row r="1375" spans="1:10">
      <c r="A1375" s="6" t="s">
        <v>139</v>
      </c>
      <c r="B1375" s="6" t="s">
        <v>90</v>
      </c>
      <c r="C1375" s="6" t="s">
        <v>291</v>
      </c>
      <c r="D1375" s="6">
        <v>0.0003333333333333333</v>
      </c>
      <c r="E1375" s="6" t="s">
        <v>177</v>
      </c>
      <c r="F1375" s="6" t="s">
        <v>51</v>
      </c>
      <c r="G1375" s="7">
        <v>52631.38079889913</v>
      </c>
      <c r="H1375" s="6">
        <v>17.54379359963304</v>
      </c>
      <c r="I1375" s="6" t="s">
        <v>180</v>
      </c>
      <c r="J1375" s="15">
        <v>10.10389870051373</v>
      </c>
    </row>
    <row r="1376" spans="1:10">
      <c r="A1376" s="6" t="s">
        <v>139</v>
      </c>
      <c r="B1376" s="6" t="s">
        <v>177</v>
      </c>
      <c r="C1376" s="6" t="s">
        <v>292</v>
      </c>
      <c r="D1376" s="6">
        <v>125.1815</v>
      </c>
      <c r="E1376" s="6" t="s">
        <v>177</v>
      </c>
      <c r="F1376" s="6" t="s">
        <v>54</v>
      </c>
      <c r="G1376" s="7">
        <v>67376.3465873798</v>
      </c>
      <c r="H1376" s="6">
        <v>8434272.130328083</v>
      </c>
      <c r="I1376" s="6" t="s">
        <v>180</v>
      </c>
      <c r="J1376" s="15">
        <v>22.14015307357512</v>
      </c>
    </row>
    <row r="1377" spans="1:10">
      <c r="A1377" s="6" t="s">
        <v>139</v>
      </c>
      <c r="B1377" s="6" t="s">
        <v>90</v>
      </c>
      <c r="C1377" s="6" t="s">
        <v>293</v>
      </c>
      <c r="D1377" s="6">
        <v>85.25375</v>
      </c>
      <c r="E1377" s="6" t="s">
        <v>177</v>
      </c>
      <c r="F1377" s="6" t="s">
        <v>53</v>
      </c>
      <c r="G1377" s="7">
        <v>41041.87189365314</v>
      </c>
      <c r="H1377" s="6">
        <v>3498973.485953531</v>
      </c>
      <c r="I1377" s="6" t="s">
        <v>179</v>
      </c>
      <c r="J1377" s="15">
        <v>18</v>
      </c>
    </row>
    <row r="1378" spans="1:10">
      <c r="A1378" s="6" t="s">
        <v>139</v>
      </c>
      <c r="B1378" s="6" t="s">
        <v>90</v>
      </c>
      <c r="C1378" s="6" t="s">
        <v>371</v>
      </c>
      <c r="D1378" s="6">
        <v>3.441083333333333</v>
      </c>
      <c r="E1378" s="6" t="s">
        <v>177</v>
      </c>
      <c r="F1378" s="6" t="s">
        <v>55</v>
      </c>
      <c r="G1378" s="7">
        <v>51459.79003816719</v>
      </c>
      <c r="H1378" s="6">
        <v>177077.4258371698</v>
      </c>
      <c r="I1378" s="6" t="s">
        <v>180</v>
      </c>
      <c r="J1378" s="15">
        <v>9.72849390740604</v>
      </c>
    </row>
    <row r="1379" spans="1:10">
      <c r="A1379" s="6" t="s">
        <v>139</v>
      </c>
      <c r="B1379" s="6" t="s">
        <v>90</v>
      </c>
      <c r="C1379" s="6" t="s">
        <v>294</v>
      </c>
      <c r="D1379" s="6">
        <v>0.5369166666666667</v>
      </c>
      <c r="E1379" s="6" t="s">
        <v>177</v>
      </c>
      <c r="F1379" s="6" t="s">
        <v>54</v>
      </c>
      <c r="G1379" s="7">
        <v>73336.4313640656</v>
      </c>
      <c r="H1379" s="6">
        <v>39375.55227322289</v>
      </c>
      <c r="I1379" s="6" t="s">
        <v>180</v>
      </c>
      <c r="J1379" s="15">
        <v>16.73827606522132</v>
      </c>
    </row>
    <row r="1380" spans="1:10">
      <c r="A1380" s="6" t="s">
        <v>139</v>
      </c>
      <c r="B1380" s="6" t="s">
        <v>90</v>
      </c>
      <c r="C1380" s="6" t="s">
        <v>295</v>
      </c>
      <c r="D1380" s="6">
        <v>41.57633333333334</v>
      </c>
      <c r="E1380" s="6" t="s">
        <v>177</v>
      </c>
      <c r="F1380" s="6" t="s">
        <v>53</v>
      </c>
      <c r="G1380" s="7">
        <v>29529.16394109224</v>
      </c>
      <c r="H1380" s="6">
        <v>1227714.363069498</v>
      </c>
      <c r="I1380" s="6" t="s">
        <v>179</v>
      </c>
      <c r="J1380" s="15">
        <v>15</v>
      </c>
    </row>
    <row r="1381" spans="1:10">
      <c r="A1381" s="6" t="s">
        <v>139</v>
      </c>
      <c r="B1381" s="6" t="s">
        <v>90</v>
      </c>
      <c r="C1381" s="6" t="s">
        <v>296</v>
      </c>
      <c r="D1381" s="6">
        <v>227.1400833333333</v>
      </c>
      <c r="E1381" s="6" t="s">
        <v>177</v>
      </c>
      <c r="F1381" s="6" t="s">
        <v>61</v>
      </c>
      <c r="G1381" s="7">
        <v>58003.92647416519</v>
      </c>
      <c r="H1381" s="6">
        <v>13175016.69300242</v>
      </c>
      <c r="I1381" s="6" t="s">
        <v>179</v>
      </c>
      <c r="J1381" s="15">
        <v>13</v>
      </c>
    </row>
    <row r="1382" spans="1:10">
      <c r="A1382" s="6" t="s">
        <v>139</v>
      </c>
      <c r="B1382" s="6" t="s">
        <v>177</v>
      </c>
      <c r="C1382" s="6" t="s">
        <v>297</v>
      </c>
      <c r="D1382" s="6">
        <v>0.07466666666666667</v>
      </c>
      <c r="E1382" s="6" t="s">
        <v>177</v>
      </c>
      <c r="F1382" s="6" t="s">
        <v>52</v>
      </c>
      <c r="G1382" s="7">
        <v>46330.61773444634</v>
      </c>
      <c r="H1382" s="6">
        <v>3459.35279083866</v>
      </c>
      <c r="I1382" s="6" t="s">
        <v>180</v>
      </c>
      <c r="J1382" s="15">
        <v>13.11274919560723</v>
      </c>
    </row>
    <row r="1383" spans="1:10">
      <c r="A1383" s="6" t="s">
        <v>139</v>
      </c>
      <c r="B1383" s="6" t="s">
        <v>90</v>
      </c>
      <c r="C1383" s="6" t="s">
        <v>298</v>
      </c>
      <c r="D1383" s="6">
        <v>121.4045</v>
      </c>
      <c r="E1383" s="6" t="s">
        <v>177</v>
      </c>
      <c r="F1383" s="6" t="s">
        <v>56</v>
      </c>
      <c r="G1383" s="7">
        <v>48595.16583801468</v>
      </c>
      <c r="H1383" s="6">
        <v>5899671.810981254</v>
      </c>
      <c r="I1383" s="6" t="s">
        <v>179</v>
      </c>
      <c r="J1383" s="15">
        <v>63.75</v>
      </c>
    </row>
    <row r="1384" spans="1:10">
      <c r="A1384" s="6" t="s">
        <v>139</v>
      </c>
      <c r="B1384" s="6" t="s">
        <v>90</v>
      </c>
      <c r="C1384" s="6" t="s">
        <v>299</v>
      </c>
      <c r="D1384" s="6">
        <v>1.68525</v>
      </c>
      <c r="E1384" s="6" t="s">
        <v>177</v>
      </c>
      <c r="F1384" s="6" t="s">
        <v>53</v>
      </c>
      <c r="G1384" s="7">
        <v>25973.79370043561</v>
      </c>
      <c r="H1384" s="6">
        <v>43772.33583365911</v>
      </c>
      <c r="I1384" s="6" t="s">
        <v>179</v>
      </c>
      <c r="J1384" s="15">
        <v>14</v>
      </c>
    </row>
    <row r="1385" spans="1:10">
      <c r="A1385" s="6" t="s">
        <v>139</v>
      </c>
      <c r="B1385" s="6" t="s">
        <v>90</v>
      </c>
      <c r="C1385" s="6" t="s">
        <v>301</v>
      </c>
      <c r="D1385" s="6">
        <v>35.41558333333333</v>
      </c>
      <c r="E1385" s="6" t="s">
        <v>177</v>
      </c>
      <c r="F1385" s="6" t="s">
        <v>59</v>
      </c>
      <c r="G1385" s="7">
        <v>77898.61399430037</v>
      </c>
      <c r="H1385" s="6">
        <v>2758824.85546631</v>
      </c>
      <c r="I1385" s="6" t="s">
        <v>180</v>
      </c>
      <c r="J1385" s="15">
        <v>18.20010495959805</v>
      </c>
    </row>
    <row r="1386" spans="1:10">
      <c r="A1386" s="6" t="s">
        <v>139</v>
      </c>
      <c r="B1386" s="6" t="s">
        <v>90</v>
      </c>
      <c r="C1386" s="6" t="s">
        <v>302</v>
      </c>
      <c r="D1386" s="6">
        <v>27.76341666666667</v>
      </c>
      <c r="E1386" s="6" t="s">
        <v>177</v>
      </c>
      <c r="F1386" s="6" t="s">
        <v>52</v>
      </c>
      <c r="G1386" s="7">
        <v>75366.35678233257</v>
      </c>
      <c r="H1386" s="6">
        <v>2092427.565996559</v>
      </c>
      <c r="I1386" s="6" t="s">
        <v>179</v>
      </c>
      <c r="J1386" s="15">
        <v>59.01666666666667</v>
      </c>
    </row>
    <row r="1387" spans="1:10">
      <c r="A1387" s="6" t="s">
        <v>139</v>
      </c>
      <c r="B1387" s="6" t="s">
        <v>90</v>
      </c>
      <c r="C1387" s="6" t="s">
        <v>303</v>
      </c>
      <c r="D1387" s="6">
        <v>0.6918333333333333</v>
      </c>
      <c r="E1387" s="6" t="s">
        <v>177</v>
      </c>
      <c r="F1387" s="6" t="s">
        <v>53</v>
      </c>
      <c r="G1387" s="7">
        <v>31792.00581425614</v>
      </c>
      <c r="H1387" s="6">
        <v>21994.76935582954</v>
      </c>
      <c r="I1387" s="6" t="s">
        <v>180</v>
      </c>
      <c r="J1387" s="15">
        <v>14</v>
      </c>
    </row>
    <row r="1388" spans="1:10">
      <c r="A1388" s="6" t="s">
        <v>139</v>
      </c>
      <c r="B1388" s="6" t="s">
        <v>86</v>
      </c>
      <c r="C1388" s="6" t="s">
        <v>361</v>
      </c>
      <c r="D1388" s="6">
        <v>7.503416666666667</v>
      </c>
      <c r="E1388" s="6" t="s">
        <v>177</v>
      </c>
      <c r="F1388" s="6" t="s">
        <v>52</v>
      </c>
      <c r="G1388" s="7">
        <v>58941.63635603187</v>
      </c>
      <c r="H1388" s="6">
        <v>442263.6565944555</v>
      </c>
      <c r="I1388" s="6" t="s">
        <v>179</v>
      </c>
      <c r="J1388" s="15">
        <v>64.18333333333334</v>
      </c>
    </row>
    <row r="1389" spans="1:10">
      <c r="A1389" s="6" t="s">
        <v>139</v>
      </c>
      <c r="B1389" s="6" t="s">
        <v>177</v>
      </c>
      <c r="C1389" s="6" t="s">
        <v>305</v>
      </c>
      <c r="D1389" s="6">
        <v>357.6095</v>
      </c>
      <c r="E1389" s="6" t="s">
        <v>177</v>
      </c>
      <c r="F1389" s="6" t="s">
        <v>54</v>
      </c>
      <c r="G1389" s="7">
        <v>61867.12870237598</v>
      </c>
      <c r="H1389" s="6">
        <v>22124272.96169233</v>
      </c>
      <c r="I1389" s="6" t="s">
        <v>180</v>
      </c>
      <c r="J1389" s="15">
        <v>19.77701634178542</v>
      </c>
    </row>
    <row r="1390" spans="1:10">
      <c r="A1390" s="6" t="s">
        <v>139</v>
      </c>
      <c r="B1390" s="6" t="s">
        <v>90</v>
      </c>
      <c r="C1390" s="6" t="s">
        <v>306</v>
      </c>
      <c r="D1390" s="6">
        <v>15.00133333333333</v>
      </c>
      <c r="E1390" s="6" t="s">
        <v>177</v>
      </c>
      <c r="F1390" s="6" t="s">
        <v>57</v>
      </c>
      <c r="G1390" s="7">
        <v>50865.11911120607</v>
      </c>
      <c r="H1390" s="6">
        <v>763044.6068269061</v>
      </c>
      <c r="I1390" s="6" t="s">
        <v>179</v>
      </c>
      <c r="J1390" s="15">
        <v>39</v>
      </c>
    </row>
    <row r="1391" spans="1:10">
      <c r="A1391" s="6" t="s">
        <v>139</v>
      </c>
      <c r="B1391" s="6" t="s">
        <v>90</v>
      </c>
      <c r="C1391" s="6" t="s">
        <v>307</v>
      </c>
      <c r="D1391" s="6">
        <v>0.8316666666666666</v>
      </c>
      <c r="E1391" s="6" t="s">
        <v>177</v>
      </c>
      <c r="F1391" s="6" t="s">
        <v>53</v>
      </c>
      <c r="G1391" s="7">
        <v>34610.3479059413</v>
      </c>
      <c r="H1391" s="6">
        <v>28784.27267510784</v>
      </c>
      <c r="I1391" s="6" t="s">
        <v>180</v>
      </c>
      <c r="J1391" s="15">
        <v>13.5</v>
      </c>
    </row>
    <row r="1392" spans="1:10">
      <c r="A1392" s="6" t="s">
        <v>139</v>
      </c>
      <c r="B1392" s="6" t="s">
        <v>90</v>
      </c>
      <c r="C1392" s="6" t="s">
        <v>362</v>
      </c>
      <c r="D1392" s="6">
        <v>18.58333333333333</v>
      </c>
      <c r="E1392" s="6" t="s">
        <v>177</v>
      </c>
      <c r="F1392" s="6" t="s">
        <v>52</v>
      </c>
      <c r="G1392" s="7">
        <v>56852.15728722059</v>
      </c>
      <c r="H1392" s="6">
        <v>1056502.589587516</v>
      </c>
      <c r="I1392" s="6" t="s">
        <v>179</v>
      </c>
      <c r="J1392" s="15">
        <v>69</v>
      </c>
    </row>
    <row r="1393" spans="1:10">
      <c r="A1393" s="6" t="s">
        <v>139</v>
      </c>
      <c r="B1393" s="6" t="s">
        <v>90</v>
      </c>
      <c r="C1393" s="6" t="s">
        <v>308</v>
      </c>
      <c r="D1393" s="6">
        <v>1.026583333333333</v>
      </c>
      <c r="E1393" s="6" t="s">
        <v>177</v>
      </c>
      <c r="F1393" s="6" t="s">
        <v>54</v>
      </c>
      <c r="G1393" s="7">
        <v>61958.4525384317</v>
      </c>
      <c r="H1393" s="6">
        <v>63605.51473507835</v>
      </c>
      <c r="I1393" s="6" t="s">
        <v>180</v>
      </c>
      <c r="J1393" s="15">
        <v>13.09250833626427</v>
      </c>
    </row>
    <row r="1394" spans="1:10">
      <c r="A1394" s="6" t="s">
        <v>139</v>
      </c>
      <c r="B1394" s="6" t="s">
        <v>90</v>
      </c>
      <c r="C1394" s="6" t="s">
        <v>309</v>
      </c>
      <c r="D1394" s="6">
        <v>195.854</v>
      </c>
      <c r="E1394" s="6" t="s">
        <v>177</v>
      </c>
      <c r="F1394" s="6" t="s">
        <v>52</v>
      </c>
      <c r="G1394" s="7">
        <v>73075.41331885532</v>
      </c>
      <c r="H1394" s="6">
        <v>14312112.00015109</v>
      </c>
      <c r="I1394" s="6" t="s">
        <v>179</v>
      </c>
      <c r="J1394" s="15">
        <v>52</v>
      </c>
    </row>
    <row r="1395" spans="1:10">
      <c r="A1395" s="6" t="s">
        <v>139</v>
      </c>
      <c r="B1395" s="6" t="s">
        <v>90</v>
      </c>
      <c r="C1395" s="6" t="s">
        <v>310</v>
      </c>
      <c r="D1395" s="6">
        <v>2.59175</v>
      </c>
      <c r="E1395" s="6" t="s">
        <v>177</v>
      </c>
      <c r="F1395" s="6" t="s">
        <v>52</v>
      </c>
      <c r="G1395" s="7">
        <v>72589.43692380768</v>
      </c>
      <c r="H1395" s="6">
        <v>188133.6731472785</v>
      </c>
      <c r="I1395" s="6" t="s">
        <v>179</v>
      </c>
      <c r="J1395" s="15">
        <v>75.54166666666666</v>
      </c>
    </row>
    <row r="1396" spans="1:10">
      <c r="A1396" s="6" t="s">
        <v>139</v>
      </c>
      <c r="B1396" s="6" t="s">
        <v>86</v>
      </c>
      <c r="C1396" s="6" t="s">
        <v>312</v>
      </c>
      <c r="D1396" s="6">
        <v>222.6153333333333</v>
      </c>
      <c r="E1396" s="6" t="s">
        <v>177</v>
      </c>
      <c r="F1396" s="6" t="s">
        <v>54</v>
      </c>
      <c r="G1396" s="7">
        <v>81169.23103268788</v>
      </c>
      <c r="H1396" s="6">
        <v>18069515.42275216</v>
      </c>
      <c r="I1396" s="6" t="s">
        <v>179</v>
      </c>
      <c r="J1396" s="15">
        <v>47.825</v>
      </c>
    </row>
    <row r="1397" spans="1:10">
      <c r="A1397" s="6" t="s">
        <v>139</v>
      </c>
      <c r="B1397" s="6" t="s">
        <v>90</v>
      </c>
      <c r="C1397" s="6" t="s">
        <v>313</v>
      </c>
      <c r="D1397" s="6">
        <v>48.81175</v>
      </c>
      <c r="E1397" s="6" t="s">
        <v>177</v>
      </c>
      <c r="F1397" s="6" t="s">
        <v>51</v>
      </c>
      <c r="G1397" s="7">
        <v>52321.25291717758</v>
      </c>
      <c r="H1397" s="6">
        <v>2553891.917080043</v>
      </c>
      <c r="I1397" s="6" t="s">
        <v>180</v>
      </c>
      <c r="J1397" s="15">
        <v>10.00452655012064</v>
      </c>
    </row>
    <row r="1398" spans="1:10">
      <c r="A1398" s="6" t="s">
        <v>139</v>
      </c>
      <c r="B1398" s="6" t="s">
        <v>90</v>
      </c>
      <c r="C1398" s="6" t="s">
        <v>314</v>
      </c>
      <c r="D1398" s="6">
        <v>14.53325</v>
      </c>
      <c r="E1398" s="6" t="s">
        <v>177</v>
      </c>
      <c r="F1398" s="6" t="s">
        <v>51</v>
      </c>
      <c r="G1398" s="7">
        <v>58052.11180989485</v>
      </c>
      <c r="H1398" s="6">
        <v>843685.8539611544</v>
      </c>
      <c r="I1398" s="6" t="s">
        <v>180</v>
      </c>
      <c r="J1398" s="15">
        <v>11.84082636491759</v>
      </c>
    </row>
    <row r="1399" spans="1:10">
      <c r="A1399" s="6" t="s">
        <v>139</v>
      </c>
      <c r="B1399" s="6" t="s">
        <v>86</v>
      </c>
      <c r="C1399" s="6" t="s">
        <v>315</v>
      </c>
      <c r="D1399" s="6">
        <v>21.95508333333333</v>
      </c>
      <c r="E1399" s="6" t="s">
        <v>177</v>
      </c>
      <c r="F1399" s="6" t="s">
        <v>51</v>
      </c>
      <c r="G1399" s="7">
        <v>37464.72792440534</v>
      </c>
      <c r="H1399" s="6">
        <v>822541.2236409797</v>
      </c>
      <c r="I1399" s="6" t="s">
        <v>179</v>
      </c>
      <c r="J1399" s="15">
        <v>14</v>
      </c>
    </row>
    <row r="1400" spans="1:10">
      <c r="A1400" s="6" t="s">
        <v>139</v>
      </c>
      <c r="B1400" s="6" t="s">
        <v>86</v>
      </c>
      <c r="C1400" s="6" t="s">
        <v>316</v>
      </c>
      <c r="D1400" s="6">
        <v>5.663166666666666</v>
      </c>
      <c r="E1400" s="6" t="s">
        <v>177</v>
      </c>
      <c r="F1400" s="6" t="s">
        <v>54</v>
      </c>
      <c r="G1400" s="7">
        <v>83552.76780903985</v>
      </c>
      <c r="H1400" s="6">
        <v>473173.2495638942</v>
      </c>
      <c r="I1400" s="6" t="s">
        <v>180</v>
      </c>
      <c r="J1400" s="15">
        <v>18.34838172284276</v>
      </c>
    </row>
    <row r="1401" spans="1:10">
      <c r="A1401" s="6" t="s">
        <v>139</v>
      </c>
      <c r="B1401" s="6" t="s">
        <v>44</v>
      </c>
      <c r="C1401" s="6" t="s">
        <v>317</v>
      </c>
      <c r="D1401" s="6">
        <v>0.6977500000000001</v>
      </c>
      <c r="E1401" s="6" t="s">
        <v>177</v>
      </c>
      <c r="F1401" s="6" t="s">
        <v>51</v>
      </c>
      <c r="G1401" s="7">
        <v>21140.95965465714</v>
      </c>
      <c r="H1401" s="6">
        <v>14751.10459903702</v>
      </c>
      <c r="I1401" s="6" t="s">
        <v>179</v>
      </c>
      <c r="J1401" s="15">
        <v>17</v>
      </c>
    </row>
    <row r="1402" spans="1:10">
      <c r="A1402" s="6" t="s">
        <v>139</v>
      </c>
      <c r="B1402" s="6" t="s">
        <v>90</v>
      </c>
      <c r="C1402" s="6" t="s">
        <v>319</v>
      </c>
      <c r="D1402" s="6">
        <v>1.24575</v>
      </c>
      <c r="E1402" s="6" t="s">
        <v>177</v>
      </c>
      <c r="F1402" s="6" t="s">
        <v>52</v>
      </c>
      <c r="G1402" s="7">
        <v>59918.03179942394</v>
      </c>
      <c r="H1402" s="6">
        <v>74642.88811413238</v>
      </c>
      <c r="I1402" s="6" t="s">
        <v>180</v>
      </c>
      <c r="J1402" s="15">
        <v>12.43871031134531</v>
      </c>
    </row>
    <row r="1403" spans="1:10">
      <c r="A1403" s="6" t="s">
        <v>139</v>
      </c>
      <c r="B1403" s="6" t="s">
        <v>44</v>
      </c>
      <c r="C1403" s="6" t="s">
        <v>320</v>
      </c>
      <c r="D1403" s="6">
        <v>44.38241666666666</v>
      </c>
      <c r="E1403" s="6" t="s">
        <v>177</v>
      </c>
      <c r="F1403" s="6" t="s">
        <v>51</v>
      </c>
      <c r="G1403" s="7">
        <v>19671.04087638638</v>
      </c>
      <c r="H1403" s="6">
        <v>873048.3324428122</v>
      </c>
      <c r="I1403" s="6" t="s">
        <v>179</v>
      </c>
      <c r="J1403" s="15">
        <v>13.5</v>
      </c>
    </row>
    <row r="1404" spans="1:10">
      <c r="A1404" s="6" t="s">
        <v>139</v>
      </c>
      <c r="B1404" s="6" t="s">
        <v>90</v>
      </c>
      <c r="C1404" s="6" t="s">
        <v>321</v>
      </c>
      <c r="D1404" s="6">
        <v>22.84958333333333</v>
      </c>
      <c r="E1404" s="6" t="s">
        <v>177</v>
      </c>
      <c r="F1404" s="6" t="s">
        <v>54</v>
      </c>
      <c r="G1404" s="7">
        <v>49362.0809529337</v>
      </c>
      <c r="H1404" s="6">
        <v>1127902.982240804</v>
      </c>
      <c r="I1404" s="6" t="s">
        <v>180</v>
      </c>
      <c r="J1404" s="15">
        <v>9.05633937056912</v>
      </c>
    </row>
    <row r="1405" spans="1:10">
      <c r="A1405" s="6" t="s">
        <v>139</v>
      </c>
      <c r="B1405" s="6" t="s">
        <v>44</v>
      </c>
      <c r="C1405" s="6" t="s">
        <v>322</v>
      </c>
      <c r="D1405" s="6">
        <v>0.1026666666666667</v>
      </c>
      <c r="E1405" s="6" t="s">
        <v>177</v>
      </c>
      <c r="F1405" s="6" t="s">
        <v>51</v>
      </c>
      <c r="G1405" s="7">
        <v>17287.61454620521</v>
      </c>
      <c r="H1405" s="6">
        <v>1774.861760077068</v>
      </c>
      <c r="I1405" s="6" t="s">
        <v>179</v>
      </c>
      <c r="J1405" s="15">
        <v>34.25833333333333</v>
      </c>
    </row>
    <row r="1406" spans="1:10">
      <c r="A1406" s="6" t="s">
        <v>139</v>
      </c>
      <c r="B1406" s="6" t="s">
        <v>86</v>
      </c>
      <c r="C1406" s="6" t="s">
        <v>323</v>
      </c>
      <c r="D1406" s="6">
        <v>172.6118333333334</v>
      </c>
      <c r="E1406" s="6" t="s">
        <v>177</v>
      </c>
      <c r="F1406" s="6" t="s">
        <v>55</v>
      </c>
      <c r="G1406" s="7">
        <v>51933.23768987774</v>
      </c>
      <c r="H1406" s="6">
        <v>8964291.368585562</v>
      </c>
      <c r="I1406" s="6" t="s">
        <v>179</v>
      </c>
      <c r="J1406" s="15">
        <v>44.21666666666667</v>
      </c>
    </row>
    <row r="1407" spans="1:10">
      <c r="A1407" s="6" t="s">
        <v>139</v>
      </c>
      <c r="B1407" s="6" t="s">
        <v>44</v>
      </c>
      <c r="C1407" s="6" t="s">
        <v>324</v>
      </c>
      <c r="D1407" s="6">
        <v>105.17125</v>
      </c>
      <c r="E1407" s="6" t="s">
        <v>177</v>
      </c>
      <c r="F1407" s="6" t="s">
        <v>51</v>
      </c>
      <c r="G1407" s="7">
        <v>24363.28610429227</v>
      </c>
      <c r="H1407" s="6">
        <v>2562317.253696049</v>
      </c>
      <c r="I1407" s="6" t="s">
        <v>179</v>
      </c>
      <c r="J1407" s="15">
        <v>23</v>
      </c>
    </row>
    <row r="1408" spans="1:10">
      <c r="A1408" s="6" t="s">
        <v>139</v>
      </c>
      <c r="B1408" s="6" t="s">
        <v>90</v>
      </c>
      <c r="C1408" s="6" t="s">
        <v>372</v>
      </c>
      <c r="D1408" s="6">
        <v>3.787333333333333</v>
      </c>
      <c r="E1408" s="6" t="s">
        <v>177</v>
      </c>
      <c r="F1408" s="6" t="s">
        <v>55</v>
      </c>
      <c r="G1408" s="7">
        <v>87811.98275494319</v>
      </c>
      <c r="H1408" s="6">
        <v>332573.2493538882</v>
      </c>
      <c r="I1408" s="6" t="s">
        <v>180</v>
      </c>
      <c r="J1408" s="15">
        <v>21.37657772920605</v>
      </c>
    </row>
    <row r="1409" spans="1:10">
      <c r="A1409" s="6" t="s">
        <v>139</v>
      </c>
      <c r="B1409" s="6" t="s">
        <v>90</v>
      </c>
      <c r="C1409" s="6" t="s">
        <v>325</v>
      </c>
      <c r="D1409" s="6">
        <v>1.329083333333333</v>
      </c>
      <c r="E1409" s="6" t="s">
        <v>177</v>
      </c>
      <c r="F1409" s="6" t="s">
        <v>53</v>
      </c>
      <c r="G1409" s="7">
        <v>27183.84720656899</v>
      </c>
      <c r="H1409" s="6">
        <v>36129.59825813073</v>
      </c>
      <c r="I1409" s="6" t="s">
        <v>179</v>
      </c>
      <c r="J1409" s="15">
        <v>16</v>
      </c>
    </row>
    <row r="1410" spans="1:10">
      <c r="A1410" s="6" t="s">
        <v>139</v>
      </c>
      <c r="B1410" s="6" t="s">
        <v>90</v>
      </c>
      <c r="C1410" s="6" t="s">
        <v>364</v>
      </c>
      <c r="D1410" s="6">
        <v>69.00616666666667</v>
      </c>
      <c r="E1410" s="6" t="s">
        <v>177</v>
      </c>
      <c r="F1410" s="6" t="s">
        <v>52</v>
      </c>
      <c r="G1410" s="7">
        <v>51274.29567237874</v>
      </c>
      <c r="H1410" s="6">
        <v>3538242.592884113</v>
      </c>
      <c r="I1410" s="6" t="s">
        <v>179</v>
      </c>
      <c r="J1410" s="15">
        <v>65</v>
      </c>
    </row>
    <row r="1411" spans="1:10">
      <c r="A1411" s="6" t="s">
        <v>139</v>
      </c>
      <c r="B1411" s="6" t="s">
        <v>90</v>
      </c>
      <c r="C1411" s="6" t="s">
        <v>326</v>
      </c>
      <c r="D1411" s="6">
        <v>385.4815</v>
      </c>
      <c r="E1411" s="6" t="s">
        <v>177</v>
      </c>
      <c r="F1411" s="6" t="s">
        <v>54</v>
      </c>
      <c r="G1411" s="7">
        <v>73204.69251441542</v>
      </c>
      <c r="H1411" s="6">
        <v>28219054.67749563</v>
      </c>
      <c r="I1411" s="6" t="s">
        <v>179</v>
      </c>
      <c r="J1411" s="15">
        <v>50.55</v>
      </c>
    </row>
    <row r="1412" spans="1:10">
      <c r="A1412" s="6" t="s">
        <v>139</v>
      </c>
      <c r="B1412" s="6" t="s">
        <v>90</v>
      </c>
      <c r="C1412" s="6" t="s">
        <v>373</v>
      </c>
      <c r="D1412" s="6">
        <v>1.397666666666667</v>
      </c>
      <c r="E1412" s="6" t="s">
        <v>177</v>
      </c>
      <c r="F1412" s="6" t="s">
        <v>55</v>
      </c>
      <c r="G1412" s="7">
        <v>59139.33667023354</v>
      </c>
      <c r="H1412" s="6">
        <v>82657.07955276308</v>
      </c>
      <c r="I1412" s="6" t="s">
        <v>180</v>
      </c>
      <c r="J1412" s="15">
        <v>12.18919837111368</v>
      </c>
    </row>
    <row r="1413" spans="1:10">
      <c r="A1413" s="6" t="s">
        <v>139</v>
      </c>
      <c r="B1413" s="6" t="s">
        <v>92</v>
      </c>
      <c r="C1413" s="6" t="s">
        <v>374</v>
      </c>
      <c r="D1413" s="6">
        <v>0.1041666666666667</v>
      </c>
      <c r="E1413" s="6" t="s">
        <v>177</v>
      </c>
      <c r="F1413" s="6" t="s">
        <v>55</v>
      </c>
      <c r="G1413" s="7">
        <v>29054.37866544401</v>
      </c>
      <c r="H1413" s="6">
        <v>3026.497777650417</v>
      </c>
      <c r="I1413" s="6" t="s">
        <v>180</v>
      </c>
      <c r="J1413" s="15">
        <v>15.81666666666667</v>
      </c>
    </row>
    <row r="1414" spans="1:10">
      <c r="A1414" s="6" t="s">
        <v>139</v>
      </c>
      <c r="B1414" s="6" t="s">
        <v>90</v>
      </c>
      <c r="C1414" s="6" t="s">
        <v>327</v>
      </c>
      <c r="D1414" s="6">
        <v>206.1176666666667</v>
      </c>
      <c r="E1414" s="6" t="s">
        <v>177</v>
      </c>
      <c r="F1414" s="6" t="s">
        <v>57</v>
      </c>
      <c r="G1414" s="7">
        <v>43941.25100916271</v>
      </c>
      <c r="H1414" s="6">
        <v>9057068.128422931</v>
      </c>
      <c r="I1414" s="6" t="s">
        <v>180</v>
      </c>
      <c r="J1414" s="15">
        <v>7.319380005814523</v>
      </c>
    </row>
    <row r="1415" spans="1:10">
      <c r="A1415" s="6" t="s">
        <v>139</v>
      </c>
      <c r="B1415" s="6" t="s">
        <v>90</v>
      </c>
      <c r="C1415" s="6" t="s">
        <v>328</v>
      </c>
      <c r="D1415" s="6">
        <v>0.9720000000000001</v>
      </c>
      <c r="E1415" s="6" t="s">
        <v>177</v>
      </c>
      <c r="F1415" s="6" t="s">
        <v>58</v>
      </c>
      <c r="G1415" s="7">
        <v>61261.16637247237</v>
      </c>
      <c r="H1415" s="6">
        <v>59545.85371404315</v>
      </c>
      <c r="I1415" s="6" t="s">
        <v>180</v>
      </c>
      <c r="J1415" s="15">
        <v>12.86908171184699</v>
      </c>
    </row>
    <row r="1416" spans="1:10">
      <c r="A1416" s="6" t="s">
        <v>139</v>
      </c>
      <c r="B1416" s="6" t="s">
        <v>90</v>
      </c>
      <c r="C1416" s="6" t="s">
        <v>329</v>
      </c>
      <c r="D1416" s="6">
        <v>519.2256666666666</v>
      </c>
      <c r="E1416" s="6" t="s">
        <v>177</v>
      </c>
      <c r="F1416" s="6" t="s">
        <v>58</v>
      </c>
      <c r="G1416" s="7">
        <v>59375.40509749136</v>
      </c>
      <c r="H1416" s="6">
        <v>30829234.29534835</v>
      </c>
      <c r="I1416" s="6" t="s">
        <v>180</v>
      </c>
      <c r="J1416" s="15">
        <v>12.2648401583864</v>
      </c>
    </row>
    <row r="1417" spans="1:10">
      <c r="A1417" s="6" t="s">
        <v>139</v>
      </c>
      <c r="B1417" s="6" t="s">
        <v>90</v>
      </c>
      <c r="C1417" s="6" t="s">
        <v>330</v>
      </c>
      <c r="D1417" s="6">
        <v>17.10466666666667</v>
      </c>
      <c r="E1417" s="6" t="s">
        <v>177</v>
      </c>
      <c r="F1417" s="6" t="s">
        <v>52</v>
      </c>
      <c r="G1417" s="7">
        <v>59918.03179942394</v>
      </c>
      <c r="H1417" s="6">
        <v>1024877.96125188</v>
      </c>
      <c r="I1417" s="6" t="s">
        <v>180</v>
      </c>
      <c r="J1417" s="15">
        <v>47.43333333333333</v>
      </c>
    </row>
    <row r="1418" spans="1:10">
      <c r="A1418" s="6" t="s">
        <v>139</v>
      </c>
      <c r="B1418" s="6" t="s">
        <v>86</v>
      </c>
      <c r="C1418" s="6" t="s">
        <v>365</v>
      </c>
      <c r="D1418" s="6">
        <v>8.96025</v>
      </c>
      <c r="E1418" s="6" t="s">
        <v>177</v>
      </c>
      <c r="F1418" s="6" t="s">
        <v>53</v>
      </c>
      <c r="G1418" s="7">
        <v>49907.27415437595</v>
      </c>
      <c r="H1418" s="6">
        <v>447181.6532417472</v>
      </c>
      <c r="I1418" s="6" t="s">
        <v>179</v>
      </c>
      <c r="J1418" s="15">
        <v>8</v>
      </c>
    </row>
    <row r="1419" spans="1:10">
      <c r="A1419" s="6" t="s">
        <v>139</v>
      </c>
      <c r="B1419" s="6" t="s">
        <v>90</v>
      </c>
      <c r="C1419" s="6" t="s">
        <v>331</v>
      </c>
      <c r="D1419" s="6">
        <v>156.3806666666667</v>
      </c>
      <c r="E1419" s="6" t="s">
        <v>177</v>
      </c>
      <c r="F1419" s="6" t="s">
        <v>58</v>
      </c>
      <c r="G1419" s="7">
        <v>62490.71047845359</v>
      </c>
      <c r="H1419" s="6">
        <v>9772338.965094224</v>
      </c>
      <c r="I1419" s="6" t="s">
        <v>180</v>
      </c>
      <c r="J1419" s="15">
        <v>13.26305609794943</v>
      </c>
    </row>
    <row r="1420" spans="1:10">
      <c r="A1420" s="6" t="s">
        <v>139</v>
      </c>
      <c r="B1420" s="6" t="s">
        <v>92</v>
      </c>
      <c r="C1420" s="6" t="s">
        <v>332</v>
      </c>
      <c r="D1420" s="6">
        <v>791.0930833333334</v>
      </c>
      <c r="E1420" s="6" t="s">
        <v>177</v>
      </c>
      <c r="F1420" s="6" t="s">
        <v>55</v>
      </c>
      <c r="G1420" s="7">
        <v>18935.91078298569</v>
      </c>
      <c r="H1420" s="6">
        <v>14980068.04703706</v>
      </c>
      <c r="I1420" s="6" t="s">
        <v>179</v>
      </c>
      <c r="J1420" s="15">
        <v>13</v>
      </c>
    </row>
    <row r="1421" spans="1:10">
      <c r="A1421" s="6" t="s">
        <v>139</v>
      </c>
      <c r="B1421" s="6" t="s">
        <v>90</v>
      </c>
      <c r="C1421" s="6" t="s">
        <v>375</v>
      </c>
      <c r="D1421" s="6">
        <v>3.169333333333333</v>
      </c>
      <c r="E1421" s="6" t="s">
        <v>177</v>
      </c>
      <c r="F1421" s="6" t="s">
        <v>55</v>
      </c>
      <c r="G1421" s="7">
        <v>51398.76773903722</v>
      </c>
      <c r="H1421" s="6">
        <v>162899.8278875886</v>
      </c>
      <c r="I1421" s="6" t="s">
        <v>180</v>
      </c>
      <c r="J1421" s="15">
        <v>9.708940950565097</v>
      </c>
    </row>
    <row r="1422" spans="1:10">
      <c r="A1422" s="6" t="s">
        <v>139</v>
      </c>
      <c r="B1422" s="6" t="s">
        <v>44</v>
      </c>
      <c r="C1422" s="6" t="s">
        <v>333</v>
      </c>
      <c r="D1422" s="6">
        <v>132.6915</v>
      </c>
      <c r="E1422" s="6" t="s">
        <v>177</v>
      </c>
      <c r="F1422" s="6" t="s">
        <v>51</v>
      </c>
      <c r="G1422" s="7">
        <v>14927.02860564678</v>
      </c>
      <c r="H1422" s="6">
        <v>1980689.81622618</v>
      </c>
      <c r="I1422" s="6" t="s">
        <v>179</v>
      </c>
      <c r="J1422" s="15">
        <v>17</v>
      </c>
    </row>
    <row r="1423" spans="1:10">
      <c r="A1423" s="6" t="s">
        <v>139</v>
      </c>
      <c r="B1423" s="6" t="s">
        <v>92</v>
      </c>
      <c r="C1423" s="6" t="s">
        <v>195</v>
      </c>
      <c r="D1423" s="6">
        <v>0.042</v>
      </c>
      <c r="E1423" s="6" t="s">
        <v>92</v>
      </c>
      <c r="F1423" s="6" t="s">
        <v>54</v>
      </c>
      <c r="G1423" s="7">
        <v>74005.80825338791</v>
      </c>
      <c r="H1423" s="6">
        <v>3108.243946642292</v>
      </c>
      <c r="I1423" s="6" t="s">
        <v>180</v>
      </c>
      <c r="J1423" s="15">
        <v>20.94906742477332</v>
      </c>
    </row>
    <row r="1424" spans="1:10">
      <c r="A1424" s="6" t="s">
        <v>139</v>
      </c>
      <c r="B1424" s="6" t="s">
        <v>92</v>
      </c>
      <c r="C1424" s="6" t="s">
        <v>197</v>
      </c>
      <c r="D1424" s="6">
        <v>0.213</v>
      </c>
      <c r="E1424" s="6" t="s">
        <v>92</v>
      </c>
      <c r="F1424" s="6" t="s">
        <v>53</v>
      </c>
      <c r="G1424" s="7">
        <v>63461.32463788219</v>
      </c>
      <c r="H1424" s="6">
        <v>13517.26214786891</v>
      </c>
      <c r="I1424" s="6" t="s">
        <v>180</v>
      </c>
      <c r="J1424" s="15">
        <v>17.00096960870551</v>
      </c>
    </row>
    <row r="1425" spans="1:10">
      <c r="A1425" s="6" t="s">
        <v>139</v>
      </c>
      <c r="B1425" s="6" t="s">
        <v>92</v>
      </c>
      <c r="C1425" s="6" t="s">
        <v>199</v>
      </c>
      <c r="D1425" s="6">
        <v>0.1983333333333333</v>
      </c>
      <c r="E1425" s="6" t="s">
        <v>92</v>
      </c>
      <c r="F1425" s="6" t="s">
        <v>57</v>
      </c>
      <c r="G1425" s="7">
        <v>45943.9020712533</v>
      </c>
      <c r="H1425" s="6">
        <v>9112.207244131905</v>
      </c>
      <c r="I1425" s="6" t="s">
        <v>179</v>
      </c>
      <c r="J1425" s="15">
        <v>30.95</v>
      </c>
    </row>
    <row r="1426" spans="1:10">
      <c r="A1426" s="6" t="s">
        <v>139</v>
      </c>
      <c r="B1426" s="6" t="s">
        <v>92</v>
      </c>
      <c r="C1426" s="6" t="s">
        <v>200</v>
      </c>
      <c r="D1426" s="6">
        <v>0.426</v>
      </c>
      <c r="E1426" s="6" t="s">
        <v>92</v>
      </c>
      <c r="F1426" s="6" t="s">
        <v>52</v>
      </c>
      <c r="G1426" s="7">
        <v>77318.80490856594</v>
      </c>
      <c r="H1426" s="6">
        <v>32937.81089104909</v>
      </c>
      <c r="I1426" s="6" t="s">
        <v>180</v>
      </c>
      <c r="J1426" s="15">
        <v>22.18952976848772</v>
      </c>
    </row>
    <row r="1427" spans="1:10">
      <c r="A1427" s="6" t="s">
        <v>139</v>
      </c>
      <c r="B1427" s="6" t="s">
        <v>92</v>
      </c>
      <c r="C1427" s="6" t="s">
        <v>201</v>
      </c>
      <c r="D1427" s="6">
        <v>0.01</v>
      </c>
      <c r="E1427" s="6" t="s">
        <v>92</v>
      </c>
      <c r="F1427" s="6" t="s">
        <v>56</v>
      </c>
      <c r="G1427" s="7">
        <v>64076.14664886126</v>
      </c>
      <c r="H1427" s="6">
        <v>640.7614664886125</v>
      </c>
      <c r="I1427" s="6" t="s">
        <v>180</v>
      </c>
      <c r="J1427" s="15">
        <v>17.23117314709855</v>
      </c>
    </row>
    <row r="1428" spans="1:10">
      <c r="A1428" s="6" t="s">
        <v>139</v>
      </c>
      <c r="B1428" s="6" t="s">
        <v>88</v>
      </c>
      <c r="C1428" s="6" t="s">
        <v>202</v>
      </c>
      <c r="D1428" s="6">
        <v>1.297083333333333</v>
      </c>
      <c r="E1428" s="6" t="s">
        <v>92</v>
      </c>
      <c r="F1428" s="6" t="s">
        <v>54</v>
      </c>
      <c r="G1428" s="7">
        <v>52343.66061009689</v>
      </c>
      <c r="H1428" s="6">
        <v>67894.08978301319</v>
      </c>
      <c r="I1428" s="6" t="s">
        <v>180</v>
      </c>
      <c r="J1428" s="15">
        <v>28.47960950085214</v>
      </c>
    </row>
    <row r="1429" spans="1:10">
      <c r="A1429" s="6" t="s">
        <v>139</v>
      </c>
      <c r="B1429" s="6" t="s">
        <v>92</v>
      </c>
      <c r="C1429" s="6" t="s">
        <v>203</v>
      </c>
      <c r="D1429" s="6">
        <v>0.04533333333333334</v>
      </c>
      <c r="E1429" s="6" t="s">
        <v>92</v>
      </c>
      <c r="F1429" s="6" t="s">
        <v>53</v>
      </c>
      <c r="G1429" s="7">
        <v>53637.98510318315</v>
      </c>
      <c r="H1429" s="6">
        <v>2431.58865801097</v>
      </c>
      <c r="I1429" s="6" t="s">
        <v>179</v>
      </c>
      <c r="J1429" s="15">
        <v>51.68333333333333</v>
      </c>
    </row>
    <row r="1430" spans="1:10">
      <c r="A1430" s="6" t="s">
        <v>139</v>
      </c>
      <c r="B1430" s="6" t="s">
        <v>92</v>
      </c>
      <c r="C1430" s="6" t="s">
        <v>204</v>
      </c>
      <c r="D1430" s="6">
        <v>5.982416666666666</v>
      </c>
      <c r="E1430" s="6" t="s">
        <v>92</v>
      </c>
      <c r="F1430" s="6" t="s">
        <v>51</v>
      </c>
      <c r="G1430" s="7">
        <v>45931.03732154475</v>
      </c>
      <c r="H1430" s="6">
        <v>274778.603189698</v>
      </c>
      <c r="I1430" s="6" t="s">
        <v>179</v>
      </c>
      <c r="J1430" s="15">
        <v>41.54166666666667</v>
      </c>
    </row>
    <row r="1431" spans="1:10">
      <c r="A1431" s="6" t="s">
        <v>139</v>
      </c>
      <c r="B1431" s="6" t="s">
        <v>92</v>
      </c>
      <c r="C1431" s="6" t="s">
        <v>338</v>
      </c>
      <c r="D1431" s="6">
        <v>0.112</v>
      </c>
      <c r="E1431" s="6" t="s">
        <v>92</v>
      </c>
      <c r="F1431" s="6" t="s">
        <v>52</v>
      </c>
      <c r="G1431" s="7">
        <v>77318.80490856594</v>
      </c>
      <c r="H1431" s="6">
        <v>8659.706149759386</v>
      </c>
      <c r="I1431" s="6" t="s">
        <v>180</v>
      </c>
      <c r="J1431" s="15">
        <v>22.18952976848772</v>
      </c>
    </row>
    <row r="1432" spans="1:10">
      <c r="A1432" s="6" t="s">
        <v>139</v>
      </c>
      <c r="B1432" s="6" t="s">
        <v>92</v>
      </c>
      <c r="C1432" s="6" t="s">
        <v>205</v>
      </c>
      <c r="D1432" s="6">
        <v>1.111333333333333</v>
      </c>
      <c r="E1432" s="6" t="s">
        <v>92</v>
      </c>
      <c r="F1432" s="6" t="s">
        <v>56</v>
      </c>
      <c r="G1432" s="7">
        <v>74010.38875195781</v>
      </c>
      <c r="H1432" s="6">
        <v>82250.21203300911</v>
      </c>
      <c r="I1432" s="6" t="s">
        <v>179</v>
      </c>
      <c r="J1432" s="15">
        <v>55</v>
      </c>
    </row>
    <row r="1433" spans="1:10">
      <c r="A1433" s="6" t="s">
        <v>139</v>
      </c>
      <c r="B1433" s="6" t="s">
        <v>92</v>
      </c>
      <c r="C1433" s="6" t="s">
        <v>211</v>
      </c>
      <c r="D1433" s="6">
        <v>10.25733333333333</v>
      </c>
      <c r="E1433" s="6" t="s">
        <v>92</v>
      </c>
      <c r="F1433" s="6" t="s">
        <v>55</v>
      </c>
      <c r="G1433" s="7">
        <v>25336.04217074411</v>
      </c>
      <c r="H1433" s="6">
        <v>259880.2298927126</v>
      </c>
      <c r="I1433" s="6" t="s">
        <v>179</v>
      </c>
      <c r="J1433" s="15">
        <v>16</v>
      </c>
    </row>
    <row r="1434" spans="1:10">
      <c r="A1434" s="6" t="s">
        <v>139</v>
      </c>
      <c r="B1434" s="6" t="s">
        <v>92</v>
      </c>
      <c r="C1434" s="6" t="s">
        <v>215</v>
      </c>
      <c r="D1434" s="6">
        <v>0.3561666666666667</v>
      </c>
      <c r="E1434" s="6" t="s">
        <v>92</v>
      </c>
      <c r="F1434" s="6" t="s">
        <v>54</v>
      </c>
      <c r="G1434" s="7">
        <v>85640.90773693185</v>
      </c>
      <c r="H1434" s="6">
        <v>30502.43663897056</v>
      </c>
      <c r="I1434" s="6" t="s">
        <v>180</v>
      </c>
      <c r="J1434" s="15">
        <v>25.30551697088117</v>
      </c>
    </row>
    <row r="1435" spans="1:10">
      <c r="A1435" s="6" t="s">
        <v>139</v>
      </c>
      <c r="B1435" s="6" t="s">
        <v>92</v>
      </c>
      <c r="C1435" s="6" t="s">
        <v>217</v>
      </c>
      <c r="D1435" s="6">
        <v>0.09458333333333334</v>
      </c>
      <c r="E1435" s="6" t="s">
        <v>92</v>
      </c>
      <c r="F1435" s="6" t="s">
        <v>53</v>
      </c>
      <c r="G1435" s="7">
        <v>65939.82541874713</v>
      </c>
      <c r="H1435" s="6">
        <v>6236.808487523166</v>
      </c>
      <c r="I1435" s="6" t="s">
        <v>180</v>
      </c>
      <c r="J1435" s="15">
        <v>17.92897745402719</v>
      </c>
    </row>
    <row r="1436" spans="1:10">
      <c r="A1436" s="6" t="s">
        <v>139</v>
      </c>
      <c r="B1436" s="6" t="s">
        <v>92</v>
      </c>
      <c r="C1436" s="6" t="s">
        <v>221</v>
      </c>
      <c r="D1436" s="6">
        <v>0.03316666666666667</v>
      </c>
      <c r="E1436" s="6" t="s">
        <v>92</v>
      </c>
      <c r="F1436" s="6" t="s">
        <v>51</v>
      </c>
      <c r="G1436" s="7">
        <v>44450.04061738423</v>
      </c>
      <c r="H1436" s="6">
        <v>1474.259680476577</v>
      </c>
      <c r="I1436" s="6" t="s">
        <v>179</v>
      </c>
      <c r="J1436" s="15">
        <v>39.525</v>
      </c>
    </row>
    <row r="1437" spans="1:10">
      <c r="A1437" s="6" t="s">
        <v>139</v>
      </c>
      <c r="B1437" s="6" t="s">
        <v>92</v>
      </c>
      <c r="C1437" s="6" t="s">
        <v>342</v>
      </c>
      <c r="D1437" s="6">
        <v>0.2923333333333333</v>
      </c>
      <c r="E1437" s="6" t="s">
        <v>92</v>
      </c>
      <c r="F1437" s="6" t="s">
        <v>53</v>
      </c>
      <c r="G1437" s="7">
        <v>46480.71512957623</v>
      </c>
      <c r="H1437" s="6">
        <v>13587.86238954612</v>
      </c>
      <c r="I1437" s="6" t="s">
        <v>180</v>
      </c>
      <c r="J1437" s="15">
        <v>10.64303784458775</v>
      </c>
    </row>
    <row r="1438" spans="1:10">
      <c r="A1438" s="6" t="s">
        <v>139</v>
      </c>
      <c r="B1438" s="6" t="s">
        <v>92</v>
      </c>
      <c r="C1438" s="6" t="s">
        <v>223</v>
      </c>
      <c r="D1438" s="6">
        <v>1.0745</v>
      </c>
      <c r="E1438" s="6" t="s">
        <v>92</v>
      </c>
      <c r="F1438" s="6" t="s">
        <v>53</v>
      </c>
      <c r="G1438" s="7">
        <v>48232.87547336299</v>
      </c>
      <c r="H1438" s="6">
        <v>51826.22469612853</v>
      </c>
      <c r="I1438" s="6" t="s">
        <v>179</v>
      </c>
      <c r="J1438" s="15">
        <v>53.5</v>
      </c>
    </row>
    <row r="1439" spans="1:10">
      <c r="A1439" s="6" t="s">
        <v>139</v>
      </c>
      <c r="B1439" s="6" t="s">
        <v>92</v>
      </c>
      <c r="C1439" s="6" t="s">
        <v>224</v>
      </c>
      <c r="D1439" s="6">
        <v>2.665</v>
      </c>
      <c r="E1439" s="6" t="s">
        <v>92</v>
      </c>
      <c r="F1439" s="6" t="s">
        <v>51</v>
      </c>
      <c r="G1439" s="7">
        <v>46793.10139429578</v>
      </c>
      <c r="H1439" s="6">
        <v>124703.6152157983</v>
      </c>
      <c r="I1439" s="6" t="s">
        <v>179</v>
      </c>
      <c r="J1439" s="15">
        <v>41.85</v>
      </c>
    </row>
    <row r="1440" spans="1:10">
      <c r="A1440" s="6" t="s">
        <v>139</v>
      </c>
      <c r="B1440" s="6" t="s">
        <v>88</v>
      </c>
      <c r="C1440" s="6" t="s">
        <v>226</v>
      </c>
      <c r="D1440" s="6">
        <v>1.0315</v>
      </c>
      <c r="E1440" s="6" t="s">
        <v>92</v>
      </c>
      <c r="F1440" s="6" t="s">
        <v>56</v>
      </c>
      <c r="G1440" s="7">
        <v>43574.43033788576</v>
      </c>
      <c r="H1440" s="6">
        <v>44947.02489352916</v>
      </c>
      <c r="I1440" s="6" t="s">
        <v>180</v>
      </c>
      <c r="J1440" s="15">
        <v>22.57578323357593</v>
      </c>
    </row>
    <row r="1441" spans="1:10">
      <c r="A1441" s="6" t="s">
        <v>139</v>
      </c>
      <c r="B1441" s="6" t="s">
        <v>92</v>
      </c>
      <c r="C1441" s="6" t="s">
        <v>227</v>
      </c>
      <c r="D1441" s="6">
        <v>0.5519999999999999</v>
      </c>
      <c r="E1441" s="6" t="s">
        <v>92</v>
      </c>
      <c r="F1441" s="6" t="s">
        <v>57</v>
      </c>
      <c r="G1441" s="7">
        <v>53193.31448576911</v>
      </c>
      <c r="H1441" s="6">
        <v>29362.70959614455</v>
      </c>
      <c r="I1441" s="6" t="s">
        <v>179</v>
      </c>
      <c r="J1441" s="15">
        <v>43</v>
      </c>
    </row>
    <row r="1442" spans="1:10">
      <c r="A1442" s="6" t="s">
        <v>139</v>
      </c>
      <c r="B1442" s="6" t="s">
        <v>92</v>
      </c>
      <c r="C1442" s="6" t="s">
        <v>229</v>
      </c>
      <c r="D1442" s="6">
        <v>0.08266666666666667</v>
      </c>
      <c r="E1442" s="6" t="s">
        <v>92</v>
      </c>
      <c r="F1442" s="6" t="s">
        <v>53</v>
      </c>
      <c r="G1442" s="7">
        <v>50225.07411158284</v>
      </c>
      <c r="H1442" s="6">
        <v>4151.939459890848</v>
      </c>
      <c r="I1442" s="6" t="s">
        <v>180</v>
      </c>
      <c r="J1442" s="15">
        <v>12.04501219046236</v>
      </c>
    </row>
    <row r="1443" spans="1:10">
      <c r="A1443" s="6" t="s">
        <v>139</v>
      </c>
      <c r="B1443" s="6" t="s">
        <v>92</v>
      </c>
      <c r="C1443" s="6" t="s">
        <v>230</v>
      </c>
      <c r="D1443" s="6">
        <v>0.003</v>
      </c>
      <c r="E1443" s="6" t="s">
        <v>92</v>
      </c>
      <c r="F1443" s="6" t="s">
        <v>53</v>
      </c>
      <c r="G1443" s="7">
        <v>50127.30283720783</v>
      </c>
      <c r="H1443" s="6">
        <v>150.3819085116235</v>
      </c>
      <c r="I1443" s="6" t="s">
        <v>180</v>
      </c>
      <c r="J1443" s="15">
        <v>42.83333333333334</v>
      </c>
    </row>
    <row r="1444" spans="1:10">
      <c r="A1444" s="6" t="s">
        <v>139</v>
      </c>
      <c r="B1444" s="6" t="s">
        <v>92</v>
      </c>
      <c r="C1444" s="6" t="s">
        <v>236</v>
      </c>
      <c r="D1444" s="6">
        <v>2.0955</v>
      </c>
      <c r="E1444" s="6" t="s">
        <v>92</v>
      </c>
      <c r="F1444" s="6" t="s">
        <v>51</v>
      </c>
      <c r="G1444" s="7">
        <v>44660.20742498994</v>
      </c>
      <c r="H1444" s="6">
        <v>93585.46465906641</v>
      </c>
      <c r="I1444" s="6" t="s">
        <v>179</v>
      </c>
      <c r="J1444" s="15">
        <v>46.28333333333333</v>
      </c>
    </row>
    <row r="1445" spans="1:10">
      <c r="A1445" s="6" t="s">
        <v>139</v>
      </c>
      <c r="B1445" s="6" t="s">
        <v>92</v>
      </c>
      <c r="C1445" s="6" t="s">
        <v>237</v>
      </c>
      <c r="D1445" s="6">
        <v>0.06</v>
      </c>
      <c r="E1445" s="6" t="s">
        <v>92</v>
      </c>
      <c r="F1445" s="6" t="s">
        <v>51</v>
      </c>
      <c r="G1445" s="7">
        <v>45814.12048649801</v>
      </c>
      <c r="H1445" s="6">
        <v>2748.847229189881</v>
      </c>
      <c r="I1445" s="6" t="s">
        <v>180</v>
      </c>
      <c r="J1445" s="15">
        <v>10.39344943888626</v>
      </c>
    </row>
    <row r="1446" spans="1:10">
      <c r="A1446" s="6" t="s">
        <v>139</v>
      </c>
      <c r="B1446" s="6" t="s">
        <v>92</v>
      </c>
      <c r="C1446" s="6" t="s">
        <v>245</v>
      </c>
      <c r="D1446" s="6">
        <v>0.1956666666666667</v>
      </c>
      <c r="E1446" s="6" t="s">
        <v>92</v>
      </c>
      <c r="F1446" s="6" t="s">
        <v>53</v>
      </c>
      <c r="G1446" s="7">
        <v>55652.01866398296</v>
      </c>
      <c r="H1446" s="6">
        <v>10889.24498525267</v>
      </c>
      <c r="I1446" s="6" t="s">
        <v>179</v>
      </c>
      <c r="J1446" s="15">
        <v>39</v>
      </c>
    </row>
    <row r="1447" spans="1:10">
      <c r="A1447" s="6" t="s">
        <v>139</v>
      </c>
      <c r="B1447" s="6" t="s">
        <v>92</v>
      </c>
      <c r="C1447" s="6" t="s">
        <v>247</v>
      </c>
      <c r="D1447" s="6">
        <v>0.1738333333333334</v>
      </c>
      <c r="E1447" s="6" t="s">
        <v>92</v>
      </c>
      <c r="F1447" s="6" t="s">
        <v>51</v>
      </c>
      <c r="G1447" s="7">
        <v>46237.23227272295</v>
      </c>
      <c r="H1447" s="6">
        <v>8037.572210075007</v>
      </c>
      <c r="I1447" s="6" t="s">
        <v>179</v>
      </c>
      <c r="J1447" s="15">
        <v>29.3</v>
      </c>
    </row>
    <row r="1448" spans="1:10">
      <c r="A1448" s="6" t="s">
        <v>139</v>
      </c>
      <c r="B1448" s="6" t="s">
        <v>92</v>
      </c>
      <c r="C1448" s="6" t="s">
        <v>249</v>
      </c>
      <c r="D1448" s="6">
        <v>1.7325</v>
      </c>
      <c r="E1448" s="6" t="s">
        <v>92</v>
      </c>
      <c r="F1448" s="6" t="s">
        <v>53</v>
      </c>
      <c r="G1448" s="7">
        <v>38542.7817237839</v>
      </c>
      <c r="H1448" s="6">
        <v>66775.36933645559</v>
      </c>
      <c r="I1448" s="6" t="s">
        <v>179</v>
      </c>
      <c r="J1448" s="15">
        <v>47.575</v>
      </c>
    </row>
    <row r="1449" spans="1:10">
      <c r="A1449" s="6" t="s">
        <v>139</v>
      </c>
      <c r="B1449" s="6" t="s">
        <v>92</v>
      </c>
      <c r="C1449" s="6" t="s">
        <v>253</v>
      </c>
      <c r="D1449" s="6">
        <v>0.04266666666666667</v>
      </c>
      <c r="E1449" s="6" t="s">
        <v>92</v>
      </c>
      <c r="F1449" s="6" t="s">
        <v>53</v>
      </c>
      <c r="G1449" s="7">
        <v>49900.32874056988</v>
      </c>
      <c r="H1449" s="6">
        <v>2129.080692930982</v>
      </c>
      <c r="I1449" s="6" t="s">
        <v>180</v>
      </c>
      <c r="J1449" s="15">
        <v>11.92342003509223</v>
      </c>
    </row>
    <row r="1450" spans="1:10">
      <c r="A1450" s="6" t="s">
        <v>139</v>
      </c>
      <c r="B1450" s="6" t="s">
        <v>92</v>
      </c>
      <c r="C1450" s="6" t="s">
        <v>260</v>
      </c>
      <c r="D1450" s="6">
        <v>7.769833333333334</v>
      </c>
      <c r="E1450" s="6" t="s">
        <v>92</v>
      </c>
      <c r="F1450" s="6" t="s">
        <v>52</v>
      </c>
      <c r="G1450" s="7">
        <v>77318.80490856594</v>
      </c>
      <c r="H1450" s="6">
        <v>600754.2276720726</v>
      </c>
      <c r="I1450" s="6" t="s">
        <v>180</v>
      </c>
      <c r="J1450" s="15">
        <v>22.18952976848772</v>
      </c>
    </row>
    <row r="1451" spans="1:10">
      <c r="A1451" s="6" t="s">
        <v>139</v>
      </c>
      <c r="B1451" s="6" t="s">
        <v>92</v>
      </c>
      <c r="C1451" s="6" t="s">
        <v>266</v>
      </c>
      <c r="D1451" s="6">
        <v>0.2189166666666666</v>
      </c>
      <c r="E1451" s="6" t="s">
        <v>92</v>
      </c>
      <c r="F1451" s="6" t="s">
        <v>57</v>
      </c>
      <c r="G1451" s="7">
        <v>66010.94055680964</v>
      </c>
      <c r="H1451" s="6">
        <v>14450.89507022824</v>
      </c>
      <c r="I1451" s="6" t="s">
        <v>179</v>
      </c>
      <c r="J1451" s="15">
        <v>90.49166666666667</v>
      </c>
    </row>
    <row r="1452" spans="1:10">
      <c r="A1452" s="6" t="s">
        <v>139</v>
      </c>
      <c r="B1452" s="6" t="s">
        <v>92</v>
      </c>
      <c r="C1452" s="6" t="s">
        <v>267</v>
      </c>
      <c r="D1452" s="6">
        <v>0.2386666666666667</v>
      </c>
      <c r="E1452" s="6" t="s">
        <v>92</v>
      </c>
      <c r="F1452" s="6" t="s">
        <v>53</v>
      </c>
      <c r="G1452" s="7">
        <v>48956.37381074637</v>
      </c>
      <c r="H1452" s="6">
        <v>11684.25454949814</v>
      </c>
      <c r="I1452" s="6" t="s">
        <v>179</v>
      </c>
      <c r="J1452" s="15">
        <v>31.05</v>
      </c>
    </row>
    <row r="1453" spans="1:10">
      <c r="A1453" s="6" t="s">
        <v>139</v>
      </c>
      <c r="B1453" s="6" t="s">
        <v>88</v>
      </c>
      <c r="C1453" s="6" t="s">
        <v>271</v>
      </c>
      <c r="D1453" s="6">
        <v>0.3376666666666666</v>
      </c>
      <c r="E1453" s="6" t="s">
        <v>92</v>
      </c>
      <c r="F1453" s="6" t="s">
        <v>54</v>
      </c>
      <c r="G1453" s="7">
        <v>41071.74894263604</v>
      </c>
      <c r="H1453" s="6">
        <v>13868.5605596301</v>
      </c>
      <c r="I1453" s="6" t="s">
        <v>180</v>
      </c>
      <c r="J1453" s="15">
        <v>20.89086954089749</v>
      </c>
    </row>
    <row r="1454" spans="1:10">
      <c r="A1454" s="6" t="s">
        <v>139</v>
      </c>
      <c r="B1454" s="6" t="s">
        <v>92</v>
      </c>
      <c r="C1454" s="6" t="s">
        <v>273</v>
      </c>
      <c r="D1454" s="6">
        <v>1.252333333333333</v>
      </c>
      <c r="E1454" s="6" t="s">
        <v>92</v>
      </c>
      <c r="F1454" s="6" t="s">
        <v>51</v>
      </c>
      <c r="G1454" s="7">
        <v>39415.32644745876</v>
      </c>
      <c r="H1454" s="6">
        <v>49361.12715436752</v>
      </c>
      <c r="I1454" s="6" t="s">
        <v>179</v>
      </c>
      <c r="J1454" s="15">
        <v>27</v>
      </c>
    </row>
    <row r="1455" spans="1:10">
      <c r="A1455" s="6" t="s">
        <v>139</v>
      </c>
      <c r="B1455" s="6" t="s">
        <v>92</v>
      </c>
      <c r="C1455" s="6" t="s">
        <v>280</v>
      </c>
      <c r="D1455" s="6">
        <v>0.7324999999999999</v>
      </c>
      <c r="E1455" s="6" t="s">
        <v>92</v>
      </c>
      <c r="F1455" s="6" t="s">
        <v>55</v>
      </c>
      <c r="G1455" s="7">
        <v>58368.69681371454</v>
      </c>
      <c r="H1455" s="6">
        <v>42755.0704160459</v>
      </c>
      <c r="I1455" s="6" t="s">
        <v>179</v>
      </c>
      <c r="J1455" s="15">
        <v>52.875</v>
      </c>
    </row>
    <row r="1456" spans="1:10">
      <c r="A1456" s="6" t="s">
        <v>139</v>
      </c>
      <c r="B1456" s="6" t="s">
        <v>92</v>
      </c>
      <c r="C1456" s="6" t="s">
        <v>281</v>
      </c>
      <c r="D1456" s="6">
        <v>0.1154166666666667</v>
      </c>
      <c r="E1456" s="6" t="s">
        <v>92</v>
      </c>
      <c r="F1456" s="6" t="s">
        <v>57</v>
      </c>
      <c r="G1456" s="7">
        <v>47725.16793448776</v>
      </c>
      <c r="H1456" s="6">
        <v>5508.279799105463</v>
      </c>
      <c r="I1456" s="6" t="s">
        <v>179</v>
      </c>
      <c r="J1456" s="15">
        <v>36</v>
      </c>
    </row>
    <row r="1457" spans="1:10">
      <c r="A1457" s="6" t="s">
        <v>139</v>
      </c>
      <c r="B1457" s="6" t="s">
        <v>92</v>
      </c>
      <c r="C1457" s="6" t="s">
        <v>284</v>
      </c>
      <c r="D1457" s="6">
        <v>1.217416666666667</v>
      </c>
      <c r="E1457" s="6" t="s">
        <v>92</v>
      </c>
      <c r="F1457" s="6" t="s">
        <v>55</v>
      </c>
      <c r="G1457" s="7">
        <v>36138.38846146646</v>
      </c>
      <c r="H1457" s="6">
        <v>43995.47641946364</v>
      </c>
      <c r="I1457" s="6" t="s">
        <v>179</v>
      </c>
      <c r="J1457" s="15">
        <v>40.2</v>
      </c>
    </row>
    <row r="1458" spans="1:10">
      <c r="A1458" s="6" t="s">
        <v>139</v>
      </c>
      <c r="B1458" s="6" t="s">
        <v>92</v>
      </c>
      <c r="C1458" s="6" t="s">
        <v>289</v>
      </c>
      <c r="D1458" s="6">
        <v>19.85166666666667</v>
      </c>
      <c r="E1458" s="6" t="s">
        <v>92</v>
      </c>
      <c r="F1458" s="6" t="s">
        <v>52</v>
      </c>
      <c r="G1458" s="7">
        <v>77318.80490856594</v>
      </c>
      <c r="H1458" s="6">
        <v>1534907.142109882</v>
      </c>
      <c r="I1458" s="6" t="s">
        <v>180</v>
      </c>
      <c r="J1458" s="15">
        <v>22.18952976848772</v>
      </c>
    </row>
    <row r="1459" spans="1:10">
      <c r="A1459" s="6" t="s">
        <v>139</v>
      </c>
      <c r="B1459" s="6" t="s">
        <v>92</v>
      </c>
      <c r="C1459" s="6" t="s">
        <v>293</v>
      </c>
      <c r="D1459" s="6">
        <v>0.01916666666666667</v>
      </c>
      <c r="E1459" s="6" t="s">
        <v>92</v>
      </c>
      <c r="F1459" s="6" t="s">
        <v>53</v>
      </c>
      <c r="G1459" s="7">
        <v>67567.57931334202</v>
      </c>
      <c r="H1459" s="6">
        <v>1295.045270172389</v>
      </c>
      <c r="I1459" s="6" t="s">
        <v>179</v>
      </c>
      <c r="J1459" s="15">
        <v>26.71666666666667</v>
      </c>
    </row>
    <row r="1460" spans="1:10">
      <c r="A1460" s="6" t="s">
        <v>139</v>
      </c>
      <c r="B1460" s="6" t="s">
        <v>92</v>
      </c>
      <c r="C1460" s="6" t="s">
        <v>295</v>
      </c>
      <c r="D1460" s="6">
        <v>0.2248333333333333</v>
      </c>
      <c r="E1460" s="6" t="s">
        <v>92</v>
      </c>
      <c r="F1460" s="6" t="s">
        <v>53</v>
      </c>
      <c r="G1460" s="7">
        <v>43665.47276142767</v>
      </c>
      <c r="H1460" s="6">
        <v>9817.453792527655</v>
      </c>
      <c r="I1460" s="6" t="s">
        <v>179</v>
      </c>
      <c r="J1460" s="15">
        <v>37</v>
      </c>
    </row>
    <row r="1461" spans="1:10">
      <c r="A1461" s="6" t="s">
        <v>139</v>
      </c>
      <c r="B1461" s="6" t="s">
        <v>92</v>
      </c>
      <c r="C1461" s="6" t="s">
        <v>296</v>
      </c>
      <c r="D1461" s="6">
        <v>15.75533333333333</v>
      </c>
      <c r="E1461" s="6" t="s">
        <v>92</v>
      </c>
      <c r="F1461" s="6" t="s">
        <v>61</v>
      </c>
      <c r="G1461" s="7">
        <v>53088.58925206317</v>
      </c>
      <c r="H1461" s="6">
        <v>836428.4198626726</v>
      </c>
      <c r="I1461" s="6" t="s">
        <v>179</v>
      </c>
      <c r="J1461" s="15">
        <v>21</v>
      </c>
    </row>
    <row r="1462" spans="1:10">
      <c r="A1462" s="6" t="s">
        <v>139</v>
      </c>
      <c r="B1462" s="6" t="s">
        <v>92</v>
      </c>
      <c r="C1462" s="6" t="s">
        <v>298</v>
      </c>
      <c r="D1462" s="6">
        <v>0.02333333333333333</v>
      </c>
      <c r="E1462" s="6" t="s">
        <v>92</v>
      </c>
      <c r="F1462" s="6" t="s">
        <v>56</v>
      </c>
      <c r="G1462" s="7">
        <v>64956.33439155623</v>
      </c>
      <c r="H1462" s="6">
        <v>1515.647802469646</v>
      </c>
      <c r="I1462" s="6" t="s">
        <v>180</v>
      </c>
      <c r="J1462" s="15">
        <v>17.56073573464467</v>
      </c>
    </row>
    <row r="1463" spans="1:10">
      <c r="A1463" s="6" t="s">
        <v>139</v>
      </c>
      <c r="B1463" s="6" t="s">
        <v>92</v>
      </c>
      <c r="C1463" s="6" t="s">
        <v>361</v>
      </c>
      <c r="D1463" s="6">
        <v>0.021</v>
      </c>
      <c r="E1463" s="6" t="s">
        <v>92</v>
      </c>
      <c r="F1463" s="6" t="s">
        <v>52</v>
      </c>
      <c r="G1463" s="7">
        <v>77318.80490856594</v>
      </c>
      <c r="H1463" s="6">
        <v>1623.694903079885</v>
      </c>
      <c r="I1463" s="6" t="s">
        <v>180</v>
      </c>
      <c r="J1463" s="15">
        <v>22.18952976848772</v>
      </c>
    </row>
    <row r="1464" spans="1:10">
      <c r="A1464" s="6" t="s">
        <v>139</v>
      </c>
      <c r="B1464" s="6" t="s">
        <v>92</v>
      </c>
      <c r="C1464" s="6" t="s">
        <v>305</v>
      </c>
      <c r="D1464" s="6">
        <v>0.1513333333333333</v>
      </c>
      <c r="E1464" s="6" t="s">
        <v>92</v>
      </c>
      <c r="F1464" s="6" t="s">
        <v>54</v>
      </c>
      <c r="G1464" s="7">
        <v>95146.87757960078</v>
      </c>
      <c r="H1464" s="6">
        <v>14398.89414037958</v>
      </c>
      <c r="I1464" s="6" t="s">
        <v>180</v>
      </c>
      <c r="J1464" s="15">
        <v>28.86477128280014</v>
      </c>
    </row>
    <row r="1465" spans="1:10">
      <c r="A1465" s="6" t="s">
        <v>139</v>
      </c>
      <c r="B1465" s="6" t="s">
        <v>92</v>
      </c>
      <c r="C1465" s="6" t="s">
        <v>362</v>
      </c>
      <c r="D1465" s="6">
        <v>0.4080000000000001</v>
      </c>
      <c r="E1465" s="6" t="s">
        <v>92</v>
      </c>
      <c r="F1465" s="6" t="s">
        <v>52</v>
      </c>
      <c r="G1465" s="7">
        <v>77318.80490856594</v>
      </c>
      <c r="H1465" s="6">
        <v>31546.07240269491</v>
      </c>
      <c r="I1465" s="6" t="s">
        <v>180</v>
      </c>
      <c r="J1465" s="15">
        <v>22.18952976848772</v>
      </c>
    </row>
    <row r="1466" spans="1:10">
      <c r="A1466" s="6" t="s">
        <v>139</v>
      </c>
      <c r="B1466" s="6" t="s">
        <v>92</v>
      </c>
      <c r="C1466" s="6" t="s">
        <v>309</v>
      </c>
      <c r="D1466" s="6">
        <v>8.154</v>
      </c>
      <c r="E1466" s="6" t="s">
        <v>92</v>
      </c>
      <c r="F1466" s="6" t="s">
        <v>52</v>
      </c>
      <c r="G1466" s="7">
        <v>77318.80490856594</v>
      </c>
      <c r="H1466" s="6">
        <v>630457.5352244467</v>
      </c>
      <c r="I1466" s="6" t="s">
        <v>180</v>
      </c>
      <c r="J1466" s="15">
        <v>22.18952976848772</v>
      </c>
    </row>
    <row r="1467" spans="1:10">
      <c r="A1467" s="6" t="s">
        <v>139</v>
      </c>
      <c r="B1467" s="6" t="s">
        <v>92</v>
      </c>
      <c r="C1467" s="6" t="s">
        <v>312</v>
      </c>
      <c r="D1467" s="6">
        <v>0.2688333333333333</v>
      </c>
      <c r="E1467" s="6" t="s">
        <v>92</v>
      </c>
      <c r="F1467" s="6" t="s">
        <v>54</v>
      </c>
      <c r="G1467" s="7">
        <v>76542.49786788689</v>
      </c>
      <c r="H1467" s="6">
        <v>20577.17484348359</v>
      </c>
      <c r="I1467" s="6" t="s">
        <v>180</v>
      </c>
      <c r="J1467" s="15">
        <v>21.89886251121246</v>
      </c>
    </row>
    <row r="1468" spans="1:10">
      <c r="A1468" s="6" t="s">
        <v>139</v>
      </c>
      <c r="B1468" s="6" t="s">
        <v>92</v>
      </c>
      <c r="C1468" s="6" t="s">
        <v>318</v>
      </c>
      <c r="D1468" s="6">
        <v>0.1245</v>
      </c>
      <c r="E1468" s="6" t="s">
        <v>92</v>
      </c>
      <c r="F1468" s="6" t="s">
        <v>52</v>
      </c>
      <c r="G1468" s="7">
        <v>77318.80490856594</v>
      </c>
      <c r="H1468" s="6">
        <v>9626.19121111646</v>
      </c>
      <c r="I1468" s="6" t="s">
        <v>180</v>
      </c>
      <c r="J1468" s="15">
        <v>22.18952976848772</v>
      </c>
    </row>
    <row r="1469" spans="1:10">
      <c r="A1469" s="6" t="s">
        <v>139</v>
      </c>
      <c r="B1469" s="6" t="s">
        <v>92</v>
      </c>
      <c r="C1469" s="6" t="s">
        <v>319</v>
      </c>
      <c r="D1469" s="6">
        <v>0.5333333333333333</v>
      </c>
      <c r="E1469" s="6" t="s">
        <v>92</v>
      </c>
      <c r="F1469" s="6" t="s">
        <v>52</v>
      </c>
      <c r="G1469" s="7">
        <v>77318.80490856594</v>
      </c>
      <c r="H1469" s="6">
        <v>41236.69595123517</v>
      </c>
      <c r="I1469" s="6" t="s">
        <v>180</v>
      </c>
      <c r="J1469" s="15">
        <v>22.18952976848772</v>
      </c>
    </row>
    <row r="1470" spans="1:10">
      <c r="A1470" s="6" t="s">
        <v>139</v>
      </c>
      <c r="B1470" s="6" t="s">
        <v>92</v>
      </c>
      <c r="C1470" s="6" t="s">
        <v>320</v>
      </c>
      <c r="D1470" s="6">
        <v>0.6767500000000001</v>
      </c>
      <c r="E1470" s="6" t="s">
        <v>92</v>
      </c>
      <c r="F1470" s="6" t="s">
        <v>51</v>
      </c>
      <c r="G1470" s="7">
        <v>42399.1324717879</v>
      </c>
      <c r="H1470" s="6">
        <v>28693.61290028247</v>
      </c>
      <c r="I1470" s="6" t="s">
        <v>179</v>
      </c>
      <c r="J1470" s="15">
        <v>45</v>
      </c>
    </row>
    <row r="1471" spans="1:10">
      <c r="A1471" s="6" t="s">
        <v>139</v>
      </c>
      <c r="B1471" s="6" t="s">
        <v>92</v>
      </c>
      <c r="C1471" s="6" t="s">
        <v>323</v>
      </c>
      <c r="D1471" s="6">
        <v>0.7031666666666667</v>
      </c>
      <c r="E1471" s="6" t="s">
        <v>92</v>
      </c>
      <c r="F1471" s="6" t="s">
        <v>55</v>
      </c>
      <c r="G1471" s="7">
        <v>37901.84707720344</v>
      </c>
      <c r="H1471" s="6">
        <v>26651.31546978689</v>
      </c>
      <c r="I1471" s="6" t="s">
        <v>179</v>
      </c>
      <c r="J1471" s="15">
        <v>17</v>
      </c>
    </row>
    <row r="1472" spans="1:10">
      <c r="A1472" s="6" t="s">
        <v>139</v>
      </c>
      <c r="B1472" s="6" t="s">
        <v>92</v>
      </c>
      <c r="C1472" s="6" t="s">
        <v>324</v>
      </c>
      <c r="D1472" s="6">
        <v>0.2281666666666667</v>
      </c>
      <c r="E1472" s="6" t="s">
        <v>92</v>
      </c>
      <c r="F1472" s="6" t="s">
        <v>51</v>
      </c>
      <c r="G1472" s="7">
        <v>59286.87997138536</v>
      </c>
      <c r="H1472" s="6">
        <v>13527.28978013776</v>
      </c>
      <c r="I1472" s="6" t="s">
        <v>179</v>
      </c>
      <c r="J1472" s="15">
        <v>44</v>
      </c>
    </row>
    <row r="1473" spans="1:10">
      <c r="A1473" s="6" t="s">
        <v>139</v>
      </c>
      <c r="B1473" s="6" t="s">
        <v>92</v>
      </c>
      <c r="C1473" s="6" t="s">
        <v>326</v>
      </c>
      <c r="D1473" s="6">
        <v>0.1458333333333333</v>
      </c>
      <c r="E1473" s="6" t="s">
        <v>92</v>
      </c>
      <c r="F1473" s="6" t="s">
        <v>54</v>
      </c>
      <c r="G1473" s="7">
        <v>91760.91506579834</v>
      </c>
      <c r="H1473" s="6">
        <v>13381.80011376226</v>
      </c>
      <c r="I1473" s="6" t="s">
        <v>180</v>
      </c>
      <c r="J1473" s="15">
        <v>27.59698883906121</v>
      </c>
    </row>
    <row r="1474" spans="1:10">
      <c r="A1474" s="6" t="s">
        <v>139</v>
      </c>
      <c r="B1474" s="6" t="s">
        <v>92</v>
      </c>
      <c r="C1474" s="6" t="s">
        <v>329</v>
      </c>
      <c r="D1474" s="6">
        <v>0.5755</v>
      </c>
      <c r="E1474" s="6" t="s">
        <v>92</v>
      </c>
      <c r="F1474" s="6" t="s">
        <v>58</v>
      </c>
      <c r="G1474" s="7">
        <v>67115.81850755938</v>
      </c>
      <c r="H1474" s="6">
        <v>38625.15355110043</v>
      </c>
      <c r="I1474" s="6" t="s">
        <v>179</v>
      </c>
      <c r="J1474" s="15">
        <v>43.45833333333333</v>
      </c>
    </row>
    <row r="1475" spans="1:10">
      <c r="A1475" s="6" t="s">
        <v>139</v>
      </c>
      <c r="B1475" s="6" t="s">
        <v>92</v>
      </c>
      <c r="C1475" s="6" t="s">
        <v>330</v>
      </c>
      <c r="D1475" s="6">
        <v>0.0375</v>
      </c>
      <c r="E1475" s="6" t="s">
        <v>92</v>
      </c>
      <c r="F1475" s="6" t="s">
        <v>52</v>
      </c>
      <c r="G1475" s="7">
        <v>77318.80490856594</v>
      </c>
      <c r="H1475" s="6">
        <v>2899.455184071223</v>
      </c>
      <c r="I1475" s="6" t="s">
        <v>180</v>
      </c>
      <c r="J1475" s="15">
        <v>22.18952976848772</v>
      </c>
    </row>
    <row r="1476" spans="1:10">
      <c r="A1476" s="6" t="s">
        <v>139</v>
      </c>
      <c r="B1476" s="6" t="s">
        <v>92</v>
      </c>
      <c r="C1476" s="6" t="s">
        <v>331</v>
      </c>
      <c r="D1476" s="6">
        <v>0.56225</v>
      </c>
      <c r="E1476" s="6" t="s">
        <v>92</v>
      </c>
      <c r="F1476" s="6" t="s">
        <v>58</v>
      </c>
      <c r="G1476" s="7">
        <v>52490.82308035896</v>
      </c>
      <c r="H1476" s="6">
        <v>29512.96527693183</v>
      </c>
      <c r="I1476" s="6" t="s">
        <v>179</v>
      </c>
      <c r="J1476" s="15">
        <v>17.40719355741339</v>
      </c>
    </row>
    <row r="1477" spans="1:10">
      <c r="A1477" s="6" t="s">
        <v>139</v>
      </c>
      <c r="B1477" s="6" t="s">
        <v>92</v>
      </c>
      <c r="C1477" s="6" t="s">
        <v>332</v>
      </c>
      <c r="D1477" s="6">
        <v>1.032916666666667</v>
      </c>
      <c r="E1477" s="6" t="s">
        <v>92</v>
      </c>
      <c r="F1477" s="6" t="s">
        <v>55</v>
      </c>
      <c r="G1477" s="7">
        <v>18935.91078298569</v>
      </c>
      <c r="H1477" s="6">
        <v>19559.21784625897</v>
      </c>
      <c r="I1477" s="6" t="s">
        <v>179</v>
      </c>
      <c r="J1477" s="15">
        <v>13</v>
      </c>
    </row>
    <row r="1478" spans="1:10">
      <c r="A1478" s="6" t="s">
        <v>139</v>
      </c>
      <c r="B1478" s="6" t="s">
        <v>92</v>
      </c>
      <c r="C1478" s="6" t="s">
        <v>333</v>
      </c>
      <c r="D1478" s="6">
        <v>0.3538333333333334</v>
      </c>
      <c r="E1478" s="6" t="s">
        <v>92</v>
      </c>
      <c r="F1478" s="6" t="s">
        <v>51</v>
      </c>
      <c r="G1478" s="7">
        <v>51151.59012928524</v>
      </c>
      <c r="H1478" s="6">
        <v>18099.13764074543</v>
      </c>
      <c r="I1478" s="6" t="s">
        <v>180</v>
      </c>
      <c r="J1478" s="15">
        <v>12.39192115247769</v>
      </c>
    </row>
    <row r="1479" spans="1:10">
      <c r="A1479" s="6" t="s">
        <v>141</v>
      </c>
      <c r="B1479" s="6" t="s">
        <v>44</v>
      </c>
      <c r="C1479" s="6" t="s">
        <v>194</v>
      </c>
      <c r="D1479" s="6">
        <v>2.275834485478333</v>
      </c>
      <c r="E1479" s="6" t="s">
        <v>44</v>
      </c>
      <c r="F1479" s="6" t="s">
        <v>58</v>
      </c>
      <c r="G1479" s="7">
        <v>20829.42392802728</v>
      </c>
      <c r="H1479" s="6">
        <v>47404.32128805205</v>
      </c>
      <c r="I1479" s="6" t="s">
        <v>179</v>
      </c>
      <c r="J1479" s="15">
        <v>14.33333333333333</v>
      </c>
    </row>
    <row r="1480" spans="1:10">
      <c r="A1480" s="6" t="s">
        <v>141</v>
      </c>
      <c r="B1480" s="6" t="s">
        <v>44</v>
      </c>
      <c r="C1480" s="6" t="s">
        <v>194</v>
      </c>
      <c r="D1480" s="6">
        <v>0.3456652825461631</v>
      </c>
      <c r="E1480" s="6" t="s">
        <v>86</v>
      </c>
      <c r="F1480" s="6" t="s">
        <v>58</v>
      </c>
      <c r="G1480" s="7">
        <v>20829.42392802728</v>
      </c>
      <c r="H1480" s="6">
        <v>7200.008707355361</v>
      </c>
      <c r="I1480" s="6" t="s">
        <v>179</v>
      </c>
      <c r="J1480" s="15">
        <v>14.33333333333333</v>
      </c>
    </row>
    <row r="1481" spans="1:10">
      <c r="A1481" s="6" t="s">
        <v>141</v>
      </c>
      <c r="B1481" s="6" t="s">
        <v>44</v>
      </c>
      <c r="C1481" s="6" t="s">
        <v>194</v>
      </c>
      <c r="D1481" s="6">
        <v>0.1955</v>
      </c>
      <c r="E1481" s="6" t="s">
        <v>88</v>
      </c>
      <c r="F1481" s="6" t="s">
        <v>58</v>
      </c>
      <c r="G1481" s="7">
        <v>20829.42392802728</v>
      </c>
      <c r="H1481" s="6">
        <v>4072.152377929334</v>
      </c>
      <c r="I1481" s="6" t="s">
        <v>179</v>
      </c>
      <c r="J1481" s="15">
        <v>14.33333333333333</v>
      </c>
    </row>
    <row r="1482" spans="1:10">
      <c r="A1482" s="6" t="s">
        <v>141</v>
      </c>
      <c r="B1482" s="6" t="s">
        <v>44</v>
      </c>
      <c r="C1482" s="6" t="s">
        <v>194</v>
      </c>
      <c r="D1482" s="6">
        <v>0.2246489745323417</v>
      </c>
      <c r="E1482" s="6" t="s">
        <v>90</v>
      </c>
      <c r="F1482" s="6" t="s">
        <v>58</v>
      </c>
      <c r="G1482" s="7">
        <v>20829.42392802728</v>
      </c>
      <c r="H1482" s="6">
        <v>4679.308725530749</v>
      </c>
      <c r="I1482" s="6" t="s">
        <v>179</v>
      </c>
      <c r="J1482" s="15">
        <v>14.33333333333333</v>
      </c>
    </row>
    <row r="1483" spans="1:10">
      <c r="A1483" s="6" t="s">
        <v>141</v>
      </c>
      <c r="B1483" s="6" t="s">
        <v>44</v>
      </c>
      <c r="C1483" s="6" t="s">
        <v>195</v>
      </c>
      <c r="D1483" s="6">
        <v>66.86774306803864</v>
      </c>
      <c r="E1483" s="6" t="s">
        <v>44</v>
      </c>
      <c r="F1483" s="6" t="s">
        <v>54</v>
      </c>
      <c r="G1483" s="7">
        <v>84052.83905275936</v>
      </c>
      <c r="H1483" s="6">
        <v>5620423.645919116</v>
      </c>
      <c r="I1483" s="6" t="s">
        <v>179</v>
      </c>
      <c r="J1483" s="15">
        <v>47.38333333333333</v>
      </c>
    </row>
    <row r="1484" spans="1:10">
      <c r="A1484" s="6" t="s">
        <v>141</v>
      </c>
      <c r="B1484" s="6" t="s">
        <v>44</v>
      </c>
      <c r="C1484" s="6" t="s">
        <v>195</v>
      </c>
      <c r="D1484" s="6">
        <v>2.669329975049586</v>
      </c>
      <c r="E1484" s="6" t="s">
        <v>86</v>
      </c>
      <c r="F1484" s="6" t="s">
        <v>54</v>
      </c>
      <c r="G1484" s="7">
        <v>84052.83905275936</v>
      </c>
      <c r="H1484" s="6">
        <v>224364.762771549</v>
      </c>
      <c r="I1484" s="6" t="s">
        <v>179</v>
      </c>
      <c r="J1484" s="15">
        <v>47.38333333333333</v>
      </c>
    </row>
    <row r="1485" spans="1:10">
      <c r="A1485" s="6" t="s">
        <v>141</v>
      </c>
      <c r="B1485" s="6" t="s">
        <v>44</v>
      </c>
      <c r="C1485" s="6" t="s">
        <v>195</v>
      </c>
      <c r="D1485" s="6">
        <v>0.4456666666666668</v>
      </c>
      <c r="E1485" s="6" t="s">
        <v>88</v>
      </c>
      <c r="F1485" s="6" t="s">
        <v>54</v>
      </c>
      <c r="G1485" s="7">
        <v>84052.83905275936</v>
      </c>
      <c r="H1485" s="6">
        <v>37459.5486045131</v>
      </c>
      <c r="I1485" s="6" t="s">
        <v>179</v>
      </c>
      <c r="J1485" s="15">
        <v>47.38333333333333</v>
      </c>
    </row>
    <row r="1486" spans="1:10">
      <c r="A1486" s="6" t="s">
        <v>141</v>
      </c>
      <c r="B1486" s="6" t="s">
        <v>44</v>
      </c>
      <c r="C1486" s="6" t="s">
        <v>195</v>
      </c>
      <c r="D1486" s="6">
        <v>1.092554319071638</v>
      </c>
      <c r="E1486" s="6" t="s">
        <v>90</v>
      </c>
      <c r="F1486" s="6" t="s">
        <v>54</v>
      </c>
      <c r="G1486" s="7">
        <v>84052.83905275936</v>
      </c>
      <c r="H1486" s="6">
        <v>91832.29233732545</v>
      </c>
      <c r="I1486" s="6" t="s">
        <v>179</v>
      </c>
      <c r="J1486" s="15">
        <v>47.38333333333333</v>
      </c>
    </row>
    <row r="1487" spans="1:10">
      <c r="A1487" s="6" t="s">
        <v>141</v>
      </c>
      <c r="B1487" s="6" t="s">
        <v>44</v>
      </c>
      <c r="C1487" s="6" t="s">
        <v>196</v>
      </c>
      <c r="D1487" s="6">
        <v>10.6975</v>
      </c>
      <c r="E1487" s="6" t="s">
        <v>44</v>
      </c>
      <c r="F1487" s="6" t="s">
        <v>52</v>
      </c>
      <c r="G1487" s="7">
        <v>69869.94547012541</v>
      </c>
      <c r="H1487" s="6">
        <v>747433.7416666666</v>
      </c>
      <c r="I1487" s="6" t="s">
        <v>179</v>
      </c>
      <c r="J1487" s="15">
        <v>67.825</v>
      </c>
    </row>
    <row r="1488" spans="1:10">
      <c r="A1488" s="6" t="s">
        <v>141</v>
      </c>
      <c r="B1488" s="6" t="s">
        <v>44</v>
      </c>
      <c r="C1488" s="6" t="s">
        <v>197</v>
      </c>
      <c r="D1488" s="6">
        <v>1.6115</v>
      </c>
      <c r="E1488" s="6" t="s">
        <v>44</v>
      </c>
      <c r="F1488" s="6" t="s">
        <v>53</v>
      </c>
      <c r="G1488" s="7">
        <v>60160.27030168513</v>
      </c>
      <c r="H1488" s="6">
        <v>96948.27559116558</v>
      </c>
      <c r="I1488" s="6" t="s">
        <v>180</v>
      </c>
      <c r="J1488" s="15">
        <v>15.52622330228389</v>
      </c>
    </row>
    <row r="1489" spans="1:10">
      <c r="A1489" s="6" t="s">
        <v>141</v>
      </c>
      <c r="B1489" s="6" t="s">
        <v>44</v>
      </c>
      <c r="C1489" s="6" t="s">
        <v>198</v>
      </c>
      <c r="D1489" s="6">
        <v>330.1125833333334</v>
      </c>
      <c r="E1489" s="6" t="s">
        <v>44</v>
      </c>
      <c r="F1489" s="6" t="s">
        <v>58</v>
      </c>
      <c r="G1489" s="7">
        <v>87192.31842895708</v>
      </c>
      <c r="H1489" s="6">
        <v>28783281.48340563</v>
      </c>
      <c r="I1489" s="6" t="s">
        <v>179</v>
      </c>
      <c r="J1489" s="15">
        <v>38</v>
      </c>
    </row>
    <row r="1490" spans="1:10">
      <c r="A1490" s="6" t="s">
        <v>141</v>
      </c>
      <c r="B1490" s="6" t="s">
        <v>44</v>
      </c>
      <c r="C1490" s="6" t="s">
        <v>198</v>
      </c>
      <c r="D1490" s="6">
        <v>39.99608333333334</v>
      </c>
      <c r="E1490" s="6" t="s">
        <v>86</v>
      </c>
      <c r="F1490" s="6" t="s">
        <v>58</v>
      </c>
      <c r="G1490" s="7">
        <v>87192.31842895708</v>
      </c>
      <c r="H1490" s="6">
        <v>3487351.233911104</v>
      </c>
      <c r="I1490" s="6" t="s">
        <v>179</v>
      </c>
      <c r="J1490" s="15">
        <v>38</v>
      </c>
    </row>
    <row r="1491" spans="1:10">
      <c r="A1491" s="6" t="s">
        <v>141</v>
      </c>
      <c r="B1491" s="6" t="s">
        <v>44</v>
      </c>
      <c r="C1491" s="6" t="s">
        <v>198</v>
      </c>
      <c r="D1491" s="6">
        <v>15.88875</v>
      </c>
      <c r="E1491" s="6" t="s">
        <v>88</v>
      </c>
      <c r="F1491" s="6" t="s">
        <v>58</v>
      </c>
      <c r="G1491" s="7">
        <v>87192.31842895708</v>
      </c>
      <c r="H1491" s="6">
        <v>1385376.949438092</v>
      </c>
      <c r="I1491" s="6" t="s">
        <v>179</v>
      </c>
      <c r="J1491" s="15">
        <v>38</v>
      </c>
    </row>
    <row r="1492" spans="1:10">
      <c r="A1492" s="6" t="s">
        <v>141</v>
      </c>
      <c r="B1492" s="6" t="s">
        <v>44</v>
      </c>
      <c r="C1492" s="6" t="s">
        <v>198</v>
      </c>
      <c r="D1492" s="6">
        <v>9.533250000000001</v>
      </c>
      <c r="E1492" s="6" t="s">
        <v>90</v>
      </c>
      <c r="F1492" s="6" t="s">
        <v>58</v>
      </c>
      <c r="G1492" s="7">
        <v>87192.31842895708</v>
      </c>
      <c r="H1492" s="6">
        <v>831226.1696628551</v>
      </c>
      <c r="I1492" s="6" t="s">
        <v>179</v>
      </c>
      <c r="J1492" s="15">
        <v>38</v>
      </c>
    </row>
    <row r="1493" spans="1:10">
      <c r="A1493" s="6" t="s">
        <v>141</v>
      </c>
      <c r="B1493" s="6" t="s">
        <v>44</v>
      </c>
      <c r="C1493" s="6" t="s">
        <v>199</v>
      </c>
      <c r="D1493" s="6">
        <v>305.8719382536122</v>
      </c>
      <c r="E1493" s="6" t="s">
        <v>44</v>
      </c>
      <c r="F1493" s="6" t="s">
        <v>57</v>
      </c>
      <c r="G1493" s="7">
        <v>42727.16197460723</v>
      </c>
      <c r="H1493" s="6">
        <v>13069039.84924915</v>
      </c>
      <c r="I1493" s="6" t="s">
        <v>179</v>
      </c>
      <c r="J1493" s="15">
        <v>44.83333333333334</v>
      </c>
    </row>
    <row r="1494" spans="1:10">
      <c r="A1494" s="6" t="s">
        <v>141</v>
      </c>
      <c r="B1494" s="6" t="s">
        <v>44</v>
      </c>
      <c r="C1494" s="6" t="s">
        <v>199</v>
      </c>
      <c r="D1494" s="6">
        <v>9.006932689465353</v>
      </c>
      <c r="E1494" s="6" t="s">
        <v>86</v>
      </c>
      <c r="F1494" s="6" t="s">
        <v>57</v>
      </c>
      <c r="G1494" s="7">
        <v>42727.16197460723</v>
      </c>
      <c r="H1494" s="6">
        <v>384840.6719171709</v>
      </c>
      <c r="I1494" s="6" t="s">
        <v>179</v>
      </c>
      <c r="J1494" s="15">
        <v>44.83333333333334</v>
      </c>
    </row>
    <row r="1495" spans="1:10">
      <c r="A1495" s="6" t="s">
        <v>141</v>
      </c>
      <c r="B1495" s="6" t="s">
        <v>44</v>
      </c>
      <c r="C1495" s="6" t="s">
        <v>199</v>
      </c>
      <c r="D1495" s="6">
        <v>9.270583333333333</v>
      </c>
      <c r="E1495" s="6" t="s">
        <v>88</v>
      </c>
      <c r="F1495" s="6" t="s">
        <v>57</v>
      </c>
      <c r="G1495" s="7">
        <v>42727.16197460723</v>
      </c>
      <c r="H1495" s="6">
        <v>396105.7156824275</v>
      </c>
      <c r="I1495" s="6" t="s">
        <v>179</v>
      </c>
      <c r="J1495" s="15">
        <v>44.83333333333334</v>
      </c>
    </row>
    <row r="1496" spans="1:10">
      <c r="A1496" s="6" t="s">
        <v>141</v>
      </c>
      <c r="B1496" s="6" t="s">
        <v>44</v>
      </c>
      <c r="C1496" s="6" t="s">
        <v>199</v>
      </c>
      <c r="D1496" s="6">
        <v>7.0559811555002</v>
      </c>
      <c r="E1496" s="6" t="s">
        <v>90</v>
      </c>
      <c r="F1496" s="6" t="s">
        <v>57</v>
      </c>
      <c r="G1496" s="7">
        <v>42727.16197460723</v>
      </c>
      <c r="H1496" s="6">
        <v>301482.0497208334</v>
      </c>
      <c r="I1496" s="6" t="s">
        <v>179</v>
      </c>
      <c r="J1496" s="15">
        <v>44.83333333333334</v>
      </c>
    </row>
    <row r="1497" spans="1:10">
      <c r="A1497" s="6" t="s">
        <v>141</v>
      </c>
      <c r="B1497" s="6" t="s">
        <v>44</v>
      </c>
      <c r="C1497" s="6" t="s">
        <v>199</v>
      </c>
      <c r="D1497" s="6">
        <v>0.0365</v>
      </c>
      <c r="E1497" s="6" t="s">
        <v>92</v>
      </c>
      <c r="F1497" s="6" t="s">
        <v>57</v>
      </c>
      <c r="G1497" s="7">
        <v>42727.16197460723</v>
      </c>
      <c r="H1497" s="6">
        <v>1559.541412073164</v>
      </c>
      <c r="I1497" s="6" t="s">
        <v>179</v>
      </c>
      <c r="J1497" s="15">
        <v>44.83333333333334</v>
      </c>
    </row>
    <row r="1498" spans="1:10">
      <c r="A1498" s="6" t="s">
        <v>141</v>
      </c>
      <c r="B1498" s="6" t="s">
        <v>44</v>
      </c>
      <c r="C1498" s="6" t="s">
        <v>200</v>
      </c>
      <c r="D1498" s="6">
        <v>5.533333333333334</v>
      </c>
      <c r="E1498" s="6" t="s">
        <v>44</v>
      </c>
      <c r="F1498" s="6" t="s">
        <v>52</v>
      </c>
      <c r="G1498" s="7">
        <v>79455.19213558563</v>
      </c>
      <c r="H1498" s="6">
        <v>439652.0631502406</v>
      </c>
      <c r="I1498" s="6" t="s">
        <v>179</v>
      </c>
      <c r="J1498" s="15">
        <v>83.38333333333334</v>
      </c>
    </row>
    <row r="1499" spans="1:10">
      <c r="A1499" s="6" t="s">
        <v>141</v>
      </c>
      <c r="B1499" s="6" t="s">
        <v>44</v>
      </c>
      <c r="C1499" s="6" t="s">
        <v>200</v>
      </c>
      <c r="D1499" s="6">
        <v>0.426</v>
      </c>
      <c r="E1499" s="6" t="s">
        <v>92</v>
      </c>
      <c r="F1499" s="6" t="s">
        <v>52</v>
      </c>
      <c r="G1499" s="7">
        <v>79455.19213558563</v>
      </c>
      <c r="H1499" s="6">
        <v>33847.91184975948</v>
      </c>
      <c r="I1499" s="6" t="s">
        <v>179</v>
      </c>
      <c r="J1499" s="15">
        <v>83.38333333333334</v>
      </c>
    </row>
    <row r="1500" spans="1:10">
      <c r="A1500" s="6" t="s">
        <v>141</v>
      </c>
      <c r="B1500" s="6" t="s">
        <v>44</v>
      </c>
      <c r="C1500" s="6" t="s">
        <v>201</v>
      </c>
      <c r="D1500" s="6">
        <v>209.8490657225475</v>
      </c>
      <c r="E1500" s="6" t="s">
        <v>44</v>
      </c>
      <c r="F1500" s="6" t="s">
        <v>56</v>
      </c>
      <c r="G1500" s="7">
        <v>55387.37653085204</v>
      </c>
      <c r="H1500" s="6">
        <v>11622989.21782226</v>
      </c>
      <c r="I1500" s="6" t="s">
        <v>179</v>
      </c>
      <c r="J1500" s="15">
        <v>24</v>
      </c>
    </row>
    <row r="1501" spans="1:10">
      <c r="A1501" s="6" t="s">
        <v>141</v>
      </c>
      <c r="B1501" s="6" t="s">
        <v>44</v>
      </c>
      <c r="C1501" s="6" t="s">
        <v>201</v>
      </c>
      <c r="D1501" s="6">
        <v>21.09656460381884</v>
      </c>
      <c r="E1501" s="6" t="s">
        <v>86</v>
      </c>
      <c r="F1501" s="6" t="s">
        <v>56</v>
      </c>
      <c r="G1501" s="7">
        <v>55387.37653085204</v>
      </c>
      <c r="H1501" s="6">
        <v>1168483.367219159</v>
      </c>
      <c r="I1501" s="6" t="s">
        <v>179</v>
      </c>
      <c r="J1501" s="15">
        <v>24</v>
      </c>
    </row>
    <row r="1502" spans="1:10">
      <c r="A1502" s="6" t="s">
        <v>141</v>
      </c>
      <c r="B1502" s="6" t="s">
        <v>44</v>
      </c>
      <c r="C1502" s="6" t="s">
        <v>201</v>
      </c>
      <c r="D1502" s="6">
        <v>8.842833333333331</v>
      </c>
      <c r="E1502" s="6" t="s">
        <v>88</v>
      </c>
      <c r="F1502" s="6" t="s">
        <v>56</v>
      </c>
      <c r="G1502" s="7">
        <v>55387.37653085204</v>
      </c>
      <c r="H1502" s="6">
        <v>489781.3394329026</v>
      </c>
      <c r="I1502" s="6" t="s">
        <v>179</v>
      </c>
      <c r="J1502" s="15">
        <v>24</v>
      </c>
    </row>
    <row r="1503" spans="1:10">
      <c r="A1503" s="6" t="s">
        <v>141</v>
      </c>
      <c r="B1503" s="6" t="s">
        <v>44</v>
      </c>
      <c r="C1503" s="6" t="s">
        <v>201</v>
      </c>
      <c r="D1503" s="6">
        <v>12.54442910062741</v>
      </c>
      <c r="E1503" s="6" t="s">
        <v>90</v>
      </c>
      <c r="F1503" s="6" t="s">
        <v>56</v>
      </c>
      <c r="G1503" s="7">
        <v>55387.37653085204</v>
      </c>
      <c r="H1503" s="6">
        <v>694803.0179610277</v>
      </c>
      <c r="I1503" s="6" t="s">
        <v>179</v>
      </c>
      <c r="J1503" s="15">
        <v>24</v>
      </c>
    </row>
    <row r="1504" spans="1:10">
      <c r="A1504" s="6" t="s">
        <v>141</v>
      </c>
      <c r="B1504" s="6" t="s">
        <v>44</v>
      </c>
      <c r="C1504" s="6" t="s">
        <v>201</v>
      </c>
      <c r="D1504" s="6">
        <v>0.01</v>
      </c>
      <c r="E1504" s="6" t="s">
        <v>92</v>
      </c>
      <c r="F1504" s="6" t="s">
        <v>56</v>
      </c>
      <c r="G1504" s="7">
        <v>55387.37653085204</v>
      </c>
      <c r="H1504" s="6">
        <v>553.8737653085204</v>
      </c>
      <c r="I1504" s="6" t="s">
        <v>179</v>
      </c>
      <c r="J1504" s="15">
        <v>24</v>
      </c>
    </row>
    <row r="1505" spans="1:10">
      <c r="A1505" s="6" t="s">
        <v>141</v>
      </c>
      <c r="B1505" s="6" t="s">
        <v>44</v>
      </c>
      <c r="C1505" s="6" t="s">
        <v>202</v>
      </c>
      <c r="D1505" s="6">
        <v>643.2572379473669</v>
      </c>
      <c r="E1505" s="6" t="s">
        <v>44</v>
      </c>
      <c r="F1505" s="6" t="s">
        <v>54</v>
      </c>
      <c r="G1505" s="7">
        <v>97582.35964345603</v>
      </c>
      <c r="H1505" s="6">
        <v>62770559.13663613</v>
      </c>
      <c r="I1505" s="6" t="s">
        <v>179</v>
      </c>
      <c r="J1505" s="15">
        <v>68</v>
      </c>
    </row>
    <row r="1506" spans="1:10">
      <c r="A1506" s="6" t="s">
        <v>141</v>
      </c>
      <c r="B1506" s="6" t="s">
        <v>44</v>
      </c>
      <c r="C1506" s="6" t="s">
        <v>202</v>
      </c>
      <c r="D1506" s="6">
        <v>80.19582736368713</v>
      </c>
      <c r="E1506" s="6" t="s">
        <v>86</v>
      </c>
      <c r="F1506" s="6" t="s">
        <v>54</v>
      </c>
      <c r="G1506" s="7">
        <v>97582.35964345603</v>
      </c>
      <c r="H1506" s="6">
        <v>7825698.06770783</v>
      </c>
      <c r="I1506" s="6" t="s">
        <v>179</v>
      </c>
      <c r="J1506" s="15">
        <v>68</v>
      </c>
    </row>
    <row r="1507" spans="1:10">
      <c r="A1507" s="6" t="s">
        <v>141</v>
      </c>
      <c r="B1507" s="6" t="s">
        <v>44</v>
      </c>
      <c r="C1507" s="6" t="s">
        <v>202</v>
      </c>
      <c r="D1507" s="6">
        <v>90.41575</v>
      </c>
      <c r="E1507" s="6" t="s">
        <v>88</v>
      </c>
      <c r="F1507" s="6" t="s">
        <v>54</v>
      </c>
      <c r="G1507" s="7">
        <v>97582.35964345603</v>
      </c>
      <c r="H1507" s="6">
        <v>8822982.23393281</v>
      </c>
      <c r="I1507" s="6" t="s">
        <v>179</v>
      </c>
      <c r="J1507" s="15">
        <v>68</v>
      </c>
    </row>
    <row r="1508" spans="1:10">
      <c r="A1508" s="6" t="s">
        <v>141</v>
      </c>
      <c r="B1508" s="6" t="s">
        <v>44</v>
      </c>
      <c r="C1508" s="6" t="s">
        <v>202</v>
      </c>
      <c r="D1508" s="6">
        <v>20.58163854206295</v>
      </c>
      <c r="E1508" s="6" t="s">
        <v>90</v>
      </c>
      <c r="F1508" s="6" t="s">
        <v>54</v>
      </c>
      <c r="G1508" s="7">
        <v>97582.35964345603</v>
      </c>
      <c r="H1508" s="6">
        <v>2008404.854263203</v>
      </c>
      <c r="I1508" s="6" t="s">
        <v>179</v>
      </c>
      <c r="J1508" s="15">
        <v>68</v>
      </c>
    </row>
    <row r="1509" spans="1:10">
      <c r="A1509" s="6" t="s">
        <v>141</v>
      </c>
      <c r="B1509" s="6" t="s">
        <v>44</v>
      </c>
      <c r="C1509" s="6" t="s">
        <v>202</v>
      </c>
      <c r="D1509" s="6">
        <v>0.3394166666666666</v>
      </c>
      <c r="E1509" s="6" t="s">
        <v>92</v>
      </c>
      <c r="F1509" s="6" t="s">
        <v>54</v>
      </c>
      <c r="G1509" s="7">
        <v>97582.35964345603</v>
      </c>
      <c r="H1509" s="6">
        <v>33121.0792356497</v>
      </c>
      <c r="I1509" s="6" t="s">
        <v>179</v>
      </c>
      <c r="J1509" s="15">
        <v>68</v>
      </c>
    </row>
    <row r="1510" spans="1:10">
      <c r="A1510" s="6" t="s">
        <v>141</v>
      </c>
      <c r="B1510" s="6" t="s">
        <v>44</v>
      </c>
      <c r="C1510" s="6" t="s">
        <v>203</v>
      </c>
      <c r="D1510" s="6">
        <v>505.8700805934968</v>
      </c>
      <c r="E1510" s="6" t="s">
        <v>44</v>
      </c>
      <c r="F1510" s="6" t="s">
        <v>53</v>
      </c>
      <c r="G1510" s="7">
        <v>40461.29080326468</v>
      </c>
      <c r="H1510" s="6">
        <v>20468156.43956441</v>
      </c>
      <c r="I1510" s="6" t="s">
        <v>179</v>
      </c>
      <c r="J1510" s="15">
        <v>44.11666666666667</v>
      </c>
    </row>
    <row r="1511" spans="1:10">
      <c r="A1511" s="6" t="s">
        <v>141</v>
      </c>
      <c r="B1511" s="6" t="s">
        <v>44</v>
      </c>
      <c r="C1511" s="6" t="s">
        <v>203</v>
      </c>
      <c r="D1511" s="6">
        <v>1.558019002489286</v>
      </c>
      <c r="E1511" s="6" t="s">
        <v>86</v>
      </c>
      <c r="F1511" s="6" t="s">
        <v>53</v>
      </c>
      <c r="G1511" s="7">
        <v>40461.29080326468</v>
      </c>
      <c r="H1511" s="6">
        <v>63039.45993673136</v>
      </c>
      <c r="I1511" s="6" t="s">
        <v>179</v>
      </c>
      <c r="J1511" s="15">
        <v>44.11666666666667</v>
      </c>
    </row>
    <row r="1512" spans="1:10">
      <c r="A1512" s="6" t="s">
        <v>141</v>
      </c>
      <c r="B1512" s="6" t="s">
        <v>44</v>
      </c>
      <c r="C1512" s="6" t="s">
        <v>203</v>
      </c>
      <c r="D1512" s="6">
        <v>1.54725</v>
      </c>
      <c r="E1512" s="6" t="s">
        <v>88</v>
      </c>
      <c r="F1512" s="6" t="s">
        <v>53</v>
      </c>
      <c r="G1512" s="7">
        <v>40461.29080326468</v>
      </c>
      <c r="H1512" s="6">
        <v>62603.73219535128</v>
      </c>
      <c r="I1512" s="6" t="s">
        <v>179</v>
      </c>
      <c r="J1512" s="15">
        <v>44.11666666666667</v>
      </c>
    </row>
    <row r="1513" spans="1:10">
      <c r="A1513" s="6" t="s">
        <v>141</v>
      </c>
      <c r="B1513" s="6" t="s">
        <v>44</v>
      </c>
      <c r="C1513" s="6" t="s">
        <v>203</v>
      </c>
      <c r="D1513" s="6">
        <v>0.1435215786388514</v>
      </c>
      <c r="E1513" s="6" t="s">
        <v>90</v>
      </c>
      <c r="F1513" s="6" t="s">
        <v>53</v>
      </c>
      <c r="G1513" s="7">
        <v>40461.29080326468</v>
      </c>
      <c r="H1513" s="6">
        <v>5807.068329850185</v>
      </c>
      <c r="I1513" s="6" t="s">
        <v>179</v>
      </c>
      <c r="J1513" s="15">
        <v>44.11666666666667</v>
      </c>
    </row>
    <row r="1514" spans="1:10">
      <c r="A1514" s="6" t="s">
        <v>141</v>
      </c>
      <c r="B1514" s="6" t="s">
        <v>44</v>
      </c>
      <c r="C1514" s="6" t="s">
        <v>204</v>
      </c>
      <c r="D1514" s="6">
        <v>6703.537126673896</v>
      </c>
      <c r="E1514" s="6" t="s">
        <v>44</v>
      </c>
      <c r="F1514" s="6" t="s">
        <v>51</v>
      </c>
      <c r="G1514" s="7">
        <v>22075.51100893869</v>
      </c>
      <c r="H1514" s="6">
        <v>147984007.6387188</v>
      </c>
      <c r="I1514" s="6" t="s">
        <v>179</v>
      </c>
      <c r="J1514" s="15">
        <v>17.73333333333333</v>
      </c>
    </row>
    <row r="1515" spans="1:10">
      <c r="A1515" s="6" t="s">
        <v>141</v>
      </c>
      <c r="B1515" s="6" t="s">
        <v>44</v>
      </c>
      <c r="C1515" s="6" t="s">
        <v>204</v>
      </c>
      <c r="D1515" s="6">
        <v>820.1152926716181</v>
      </c>
      <c r="E1515" s="6" t="s">
        <v>86</v>
      </c>
      <c r="F1515" s="6" t="s">
        <v>51</v>
      </c>
      <c r="G1515" s="7">
        <v>22075.51100893869</v>
      </c>
      <c r="H1515" s="6">
        <v>18104464.17197128</v>
      </c>
      <c r="I1515" s="6" t="s">
        <v>179</v>
      </c>
      <c r="J1515" s="15">
        <v>17.73333333333333</v>
      </c>
    </row>
    <row r="1516" spans="1:10">
      <c r="A1516" s="6" t="s">
        <v>141</v>
      </c>
      <c r="B1516" s="6" t="s">
        <v>44</v>
      </c>
      <c r="C1516" s="6" t="s">
        <v>204</v>
      </c>
      <c r="D1516" s="6">
        <v>832.2144166666667</v>
      </c>
      <c r="E1516" s="6" t="s">
        <v>88</v>
      </c>
      <c r="F1516" s="6" t="s">
        <v>51</v>
      </c>
      <c r="G1516" s="7">
        <v>22075.51100893869</v>
      </c>
      <c r="H1516" s="6">
        <v>18371558.51692249</v>
      </c>
      <c r="I1516" s="6" t="s">
        <v>179</v>
      </c>
      <c r="J1516" s="15">
        <v>17.73333333333333</v>
      </c>
    </row>
    <row r="1517" spans="1:10">
      <c r="A1517" s="6" t="s">
        <v>141</v>
      </c>
      <c r="B1517" s="6" t="s">
        <v>44</v>
      </c>
      <c r="C1517" s="6" t="s">
        <v>204</v>
      </c>
      <c r="D1517" s="6">
        <v>563.3450439390137</v>
      </c>
      <c r="E1517" s="6" t="s">
        <v>90</v>
      </c>
      <c r="F1517" s="6" t="s">
        <v>51</v>
      </c>
      <c r="G1517" s="7">
        <v>22075.51100893869</v>
      </c>
      <c r="H1517" s="6">
        <v>12436129.71930675</v>
      </c>
      <c r="I1517" s="6" t="s">
        <v>179</v>
      </c>
      <c r="J1517" s="15">
        <v>17.73333333333333</v>
      </c>
    </row>
    <row r="1518" spans="1:10">
      <c r="A1518" s="6" t="s">
        <v>141</v>
      </c>
      <c r="B1518" s="6" t="s">
        <v>44</v>
      </c>
      <c r="C1518" s="6" t="s">
        <v>204</v>
      </c>
      <c r="D1518" s="6">
        <v>5.884083333333333</v>
      </c>
      <c r="E1518" s="6" t="s">
        <v>92</v>
      </c>
      <c r="F1518" s="6" t="s">
        <v>51</v>
      </c>
      <c r="G1518" s="7">
        <v>22075.51100893869</v>
      </c>
      <c r="H1518" s="6">
        <v>129894.1464025127</v>
      </c>
      <c r="I1518" s="6" t="s">
        <v>179</v>
      </c>
      <c r="J1518" s="15">
        <v>17.73333333333333</v>
      </c>
    </row>
    <row r="1519" spans="1:10">
      <c r="A1519" s="6" t="s">
        <v>141</v>
      </c>
      <c r="B1519" s="6" t="s">
        <v>44</v>
      </c>
      <c r="C1519" s="6" t="s">
        <v>205</v>
      </c>
      <c r="D1519" s="6">
        <v>649.1076453432167</v>
      </c>
      <c r="E1519" s="6" t="s">
        <v>44</v>
      </c>
      <c r="F1519" s="6" t="s">
        <v>56</v>
      </c>
      <c r="G1519" s="7">
        <v>54049.79733429672</v>
      </c>
      <c r="H1519" s="6">
        <v>35084136.67894342</v>
      </c>
      <c r="I1519" s="6" t="s">
        <v>179</v>
      </c>
      <c r="J1519" s="15">
        <v>22.35</v>
      </c>
    </row>
    <row r="1520" spans="1:10">
      <c r="A1520" s="6" t="s">
        <v>141</v>
      </c>
      <c r="B1520" s="6" t="s">
        <v>44</v>
      </c>
      <c r="C1520" s="6" t="s">
        <v>205</v>
      </c>
      <c r="D1520" s="6">
        <v>88.87495370665216</v>
      </c>
      <c r="E1520" s="6" t="s">
        <v>86</v>
      </c>
      <c r="F1520" s="6" t="s">
        <v>56</v>
      </c>
      <c r="G1520" s="7">
        <v>54049.79733429672</v>
      </c>
      <c r="H1520" s="6">
        <v>4803673.235939552</v>
      </c>
      <c r="I1520" s="6" t="s">
        <v>179</v>
      </c>
      <c r="J1520" s="15">
        <v>22.35</v>
      </c>
    </row>
    <row r="1521" spans="1:10">
      <c r="A1521" s="6" t="s">
        <v>141</v>
      </c>
      <c r="B1521" s="6" t="s">
        <v>44</v>
      </c>
      <c r="C1521" s="6" t="s">
        <v>205</v>
      </c>
      <c r="D1521" s="6">
        <v>154.0454166666667</v>
      </c>
      <c r="E1521" s="6" t="s">
        <v>88</v>
      </c>
      <c r="F1521" s="6" t="s">
        <v>56</v>
      </c>
      <c r="G1521" s="7">
        <v>54049.79733429672</v>
      </c>
      <c r="H1521" s="6">
        <v>8326123.551110626</v>
      </c>
      <c r="I1521" s="6" t="s">
        <v>179</v>
      </c>
      <c r="J1521" s="15">
        <v>22.35</v>
      </c>
    </row>
    <row r="1522" spans="1:10">
      <c r="A1522" s="6" t="s">
        <v>141</v>
      </c>
      <c r="B1522" s="6" t="s">
        <v>44</v>
      </c>
      <c r="C1522" s="6" t="s">
        <v>205</v>
      </c>
      <c r="D1522" s="6">
        <v>37.8910467589543</v>
      </c>
      <c r="E1522" s="6" t="s">
        <v>90</v>
      </c>
      <c r="F1522" s="6" t="s">
        <v>56</v>
      </c>
      <c r="G1522" s="7">
        <v>54049.79733429672</v>
      </c>
      <c r="H1522" s="6">
        <v>2048003.39810584</v>
      </c>
      <c r="I1522" s="6" t="s">
        <v>179</v>
      </c>
      <c r="J1522" s="15">
        <v>22.35</v>
      </c>
    </row>
    <row r="1523" spans="1:10">
      <c r="A1523" s="6" t="s">
        <v>141</v>
      </c>
      <c r="B1523" s="6" t="s">
        <v>44</v>
      </c>
      <c r="C1523" s="6" t="s">
        <v>205</v>
      </c>
      <c r="D1523" s="6">
        <v>0.9313333333333333</v>
      </c>
      <c r="E1523" s="6" t="s">
        <v>92</v>
      </c>
      <c r="F1523" s="6" t="s">
        <v>56</v>
      </c>
      <c r="G1523" s="7">
        <v>54049.79733429672</v>
      </c>
      <c r="H1523" s="6">
        <v>50338.37791734168</v>
      </c>
      <c r="I1523" s="6" t="s">
        <v>179</v>
      </c>
      <c r="J1523" s="15">
        <v>22.35</v>
      </c>
    </row>
    <row r="1524" spans="1:10">
      <c r="A1524" s="6" t="s">
        <v>141</v>
      </c>
      <c r="B1524" s="6" t="s">
        <v>44</v>
      </c>
      <c r="C1524" s="6" t="s">
        <v>206</v>
      </c>
      <c r="D1524" s="6">
        <v>78.56559781717098</v>
      </c>
      <c r="E1524" s="6" t="s">
        <v>44</v>
      </c>
      <c r="F1524" s="6" t="s">
        <v>55</v>
      </c>
      <c r="G1524" s="7">
        <v>52787.66629507686</v>
      </c>
      <c r="H1524" s="6">
        <v>4147294.559846041</v>
      </c>
      <c r="I1524" s="6" t="s">
        <v>179</v>
      </c>
      <c r="J1524" s="15">
        <v>47</v>
      </c>
    </row>
    <row r="1525" spans="1:10">
      <c r="A1525" s="6" t="s">
        <v>141</v>
      </c>
      <c r="B1525" s="6" t="s">
        <v>44</v>
      </c>
      <c r="C1525" s="6" t="s">
        <v>206</v>
      </c>
      <c r="D1525" s="6">
        <v>2.176576551127192</v>
      </c>
      <c r="E1525" s="6" t="s">
        <v>86</v>
      </c>
      <c r="F1525" s="6" t="s">
        <v>55</v>
      </c>
      <c r="G1525" s="7">
        <v>52787.66629507686</v>
      </c>
      <c r="H1525" s="6">
        <v>114896.3966465915</v>
      </c>
      <c r="I1525" s="6" t="s">
        <v>179</v>
      </c>
      <c r="J1525" s="15">
        <v>47</v>
      </c>
    </row>
    <row r="1526" spans="1:10">
      <c r="A1526" s="6" t="s">
        <v>141</v>
      </c>
      <c r="B1526" s="6" t="s">
        <v>44</v>
      </c>
      <c r="C1526" s="6" t="s">
        <v>206</v>
      </c>
      <c r="D1526" s="6">
        <v>0.03441666666666666</v>
      </c>
      <c r="E1526" s="6" t="s">
        <v>88</v>
      </c>
      <c r="F1526" s="6" t="s">
        <v>55</v>
      </c>
      <c r="G1526" s="7">
        <v>52787.66629507686</v>
      </c>
      <c r="H1526" s="6">
        <v>1816.775514988895</v>
      </c>
      <c r="I1526" s="6" t="s">
        <v>179</v>
      </c>
      <c r="J1526" s="15">
        <v>47</v>
      </c>
    </row>
    <row r="1527" spans="1:10">
      <c r="A1527" s="6" t="s">
        <v>141</v>
      </c>
      <c r="B1527" s="6" t="s">
        <v>44</v>
      </c>
      <c r="C1527" s="6" t="s">
        <v>206</v>
      </c>
      <c r="D1527" s="6">
        <v>0.1488534645669291</v>
      </c>
      <c r="E1527" s="6" t="s">
        <v>90</v>
      </c>
      <c r="F1527" s="6" t="s">
        <v>55</v>
      </c>
      <c r="G1527" s="7">
        <v>52787.66629507686</v>
      </c>
      <c r="H1527" s="6">
        <v>7857.627014425102</v>
      </c>
      <c r="I1527" s="6" t="s">
        <v>179</v>
      </c>
      <c r="J1527" s="15">
        <v>47</v>
      </c>
    </row>
    <row r="1528" spans="1:10">
      <c r="A1528" s="6" t="s">
        <v>141</v>
      </c>
      <c r="B1528" s="6" t="s">
        <v>44</v>
      </c>
      <c r="C1528" s="6" t="s">
        <v>207</v>
      </c>
      <c r="D1528" s="6">
        <v>0.8287976255807996</v>
      </c>
      <c r="E1528" s="6" t="s">
        <v>44</v>
      </c>
      <c r="F1528" s="6" t="s">
        <v>55</v>
      </c>
      <c r="G1528" s="7">
        <v>43102.17610390013</v>
      </c>
      <c r="H1528" s="6">
        <v>35722.9812122779</v>
      </c>
      <c r="I1528" s="6" t="s">
        <v>180</v>
      </c>
      <c r="J1528" s="15">
        <v>106.2666666666667</v>
      </c>
    </row>
    <row r="1529" spans="1:10">
      <c r="A1529" s="6" t="s">
        <v>141</v>
      </c>
      <c r="B1529" s="6" t="s">
        <v>44</v>
      </c>
      <c r="C1529" s="6" t="s">
        <v>207</v>
      </c>
      <c r="D1529" s="6">
        <v>0.00470892327955219</v>
      </c>
      <c r="E1529" s="6" t="s">
        <v>86</v>
      </c>
      <c r="F1529" s="6" t="s">
        <v>55</v>
      </c>
      <c r="G1529" s="7">
        <v>43102.17610390013</v>
      </c>
      <c r="H1529" s="6">
        <v>202.9648404550134</v>
      </c>
      <c r="I1529" s="6" t="s">
        <v>180</v>
      </c>
      <c r="J1529" s="15">
        <v>106.2666666666667</v>
      </c>
    </row>
    <row r="1530" spans="1:10">
      <c r="A1530" s="6" t="s">
        <v>141</v>
      </c>
      <c r="B1530" s="6" t="s">
        <v>44</v>
      </c>
      <c r="C1530" s="6" t="s">
        <v>208</v>
      </c>
      <c r="D1530" s="6">
        <v>45.76651004546305</v>
      </c>
      <c r="E1530" s="6" t="s">
        <v>44</v>
      </c>
      <c r="F1530" s="6" t="s">
        <v>51</v>
      </c>
      <c r="G1530" s="7">
        <v>21097.10902947491</v>
      </c>
      <c r="H1530" s="6">
        <v>965541.0523276927</v>
      </c>
      <c r="I1530" s="6" t="s">
        <v>179</v>
      </c>
      <c r="J1530" s="15">
        <v>30</v>
      </c>
    </row>
    <row r="1531" spans="1:10">
      <c r="A1531" s="6" t="s">
        <v>141</v>
      </c>
      <c r="B1531" s="6" t="s">
        <v>44</v>
      </c>
      <c r="C1531" s="6" t="s">
        <v>208</v>
      </c>
      <c r="D1531" s="6">
        <v>2.224601678070676</v>
      </c>
      <c r="E1531" s="6" t="s">
        <v>86</v>
      </c>
      <c r="F1531" s="6" t="s">
        <v>51</v>
      </c>
      <c r="G1531" s="7">
        <v>21097.10902947491</v>
      </c>
      <c r="H1531" s="6">
        <v>46932.66414940991</v>
      </c>
      <c r="I1531" s="6" t="s">
        <v>179</v>
      </c>
      <c r="J1531" s="15">
        <v>30</v>
      </c>
    </row>
    <row r="1532" spans="1:10">
      <c r="A1532" s="6" t="s">
        <v>141</v>
      </c>
      <c r="B1532" s="6" t="s">
        <v>44</v>
      </c>
      <c r="C1532" s="6" t="s">
        <v>208</v>
      </c>
      <c r="D1532" s="6">
        <v>2.17875</v>
      </c>
      <c r="E1532" s="6" t="s">
        <v>88</v>
      </c>
      <c r="F1532" s="6" t="s">
        <v>51</v>
      </c>
      <c r="G1532" s="7">
        <v>21097.10902947491</v>
      </c>
      <c r="H1532" s="6">
        <v>45965.32629796847</v>
      </c>
      <c r="I1532" s="6" t="s">
        <v>179</v>
      </c>
      <c r="J1532" s="15">
        <v>30</v>
      </c>
    </row>
    <row r="1533" spans="1:10">
      <c r="A1533" s="6" t="s">
        <v>141</v>
      </c>
      <c r="B1533" s="6" t="s">
        <v>44</v>
      </c>
      <c r="C1533" s="6" t="s">
        <v>208</v>
      </c>
      <c r="D1533" s="6">
        <v>3.40676247554644</v>
      </c>
      <c r="E1533" s="6" t="s">
        <v>90</v>
      </c>
      <c r="F1533" s="6" t="s">
        <v>51</v>
      </c>
      <c r="G1533" s="7">
        <v>21097.10902947491</v>
      </c>
      <c r="H1533" s="6">
        <v>71872.8393841271</v>
      </c>
      <c r="I1533" s="6" t="s">
        <v>179</v>
      </c>
      <c r="J1533" s="15">
        <v>30</v>
      </c>
    </row>
    <row r="1534" spans="1:10">
      <c r="A1534" s="6" t="s">
        <v>141</v>
      </c>
      <c r="B1534" s="6" t="s">
        <v>44</v>
      </c>
      <c r="C1534" s="6" t="s">
        <v>209</v>
      </c>
      <c r="D1534" s="6">
        <v>1.446575765789207</v>
      </c>
      <c r="E1534" s="6" t="s">
        <v>44</v>
      </c>
      <c r="F1534" s="6" t="s">
        <v>57</v>
      </c>
      <c r="G1534" s="7">
        <v>41050.93445745452</v>
      </c>
      <c r="H1534" s="6">
        <v>59383.28694915483</v>
      </c>
      <c r="I1534" s="6" t="s">
        <v>180</v>
      </c>
      <c r="J1534" s="15">
        <v>8.447085698826186</v>
      </c>
    </row>
    <row r="1535" spans="1:10">
      <c r="A1535" s="6" t="s">
        <v>141</v>
      </c>
      <c r="B1535" s="6" t="s">
        <v>44</v>
      </c>
      <c r="C1535" s="6" t="s">
        <v>209</v>
      </c>
      <c r="D1535" s="6">
        <v>0.003034809257412146</v>
      </c>
      <c r="E1535" s="6" t="s">
        <v>86</v>
      </c>
      <c r="F1535" s="6" t="s">
        <v>57</v>
      </c>
      <c r="G1535" s="7">
        <v>41050.93445745452</v>
      </c>
      <c r="H1535" s="6">
        <v>124.5817559169022</v>
      </c>
      <c r="I1535" s="6" t="s">
        <v>180</v>
      </c>
      <c r="J1535" s="15">
        <v>8.447085698826186</v>
      </c>
    </row>
    <row r="1536" spans="1:10">
      <c r="A1536" s="6" t="s">
        <v>141</v>
      </c>
      <c r="B1536" s="6" t="s">
        <v>44</v>
      </c>
      <c r="C1536" s="6" t="s">
        <v>209</v>
      </c>
      <c r="D1536" s="6">
        <v>0.001833333333333334</v>
      </c>
      <c r="E1536" s="6" t="s">
        <v>88</v>
      </c>
      <c r="F1536" s="6" t="s">
        <v>57</v>
      </c>
      <c r="G1536" s="7">
        <v>41050.93445745452</v>
      </c>
      <c r="H1536" s="6">
        <v>75.26004650533329</v>
      </c>
      <c r="I1536" s="6" t="s">
        <v>180</v>
      </c>
      <c r="J1536" s="15">
        <v>8.447085698826186</v>
      </c>
    </row>
    <row r="1537" spans="1:10">
      <c r="A1537" s="6" t="s">
        <v>141</v>
      </c>
      <c r="B1537" s="6" t="s">
        <v>44</v>
      </c>
      <c r="C1537" s="6" t="s">
        <v>210</v>
      </c>
      <c r="D1537" s="6">
        <v>0.6090833333333333</v>
      </c>
      <c r="E1537" s="6" t="s">
        <v>44</v>
      </c>
      <c r="F1537" s="6" t="s">
        <v>53</v>
      </c>
      <c r="G1537" s="7">
        <v>43419.65361451151</v>
      </c>
      <c r="H1537" s="6">
        <v>26446.18735570538</v>
      </c>
      <c r="I1537" s="6" t="s">
        <v>180</v>
      </c>
      <c r="J1537" s="15">
        <v>9.324588140221366</v>
      </c>
    </row>
    <row r="1538" spans="1:10">
      <c r="A1538" s="6" t="s">
        <v>141</v>
      </c>
      <c r="B1538" s="6" t="s">
        <v>44</v>
      </c>
      <c r="C1538" s="6" t="s">
        <v>211</v>
      </c>
      <c r="D1538" s="6">
        <v>1127.012800520681</v>
      </c>
      <c r="E1538" s="6" t="s">
        <v>44</v>
      </c>
      <c r="F1538" s="6" t="s">
        <v>55</v>
      </c>
      <c r="G1538" s="7">
        <v>51366.3962792253</v>
      </c>
      <c r="H1538" s="6">
        <v>57890586.1233048</v>
      </c>
      <c r="I1538" s="6" t="s">
        <v>179</v>
      </c>
      <c r="J1538" s="15">
        <v>40.03333333333333</v>
      </c>
    </row>
    <row r="1539" spans="1:10">
      <c r="A1539" s="6" t="s">
        <v>141</v>
      </c>
      <c r="B1539" s="6" t="s">
        <v>44</v>
      </c>
      <c r="C1539" s="6" t="s">
        <v>211</v>
      </c>
      <c r="D1539" s="6">
        <v>10.30193150462501</v>
      </c>
      <c r="E1539" s="6" t="s">
        <v>86</v>
      </c>
      <c r="F1539" s="6" t="s">
        <v>55</v>
      </c>
      <c r="G1539" s="7">
        <v>51366.3962792253</v>
      </c>
      <c r="H1539" s="6">
        <v>529173.0961080042</v>
      </c>
      <c r="I1539" s="6" t="s">
        <v>179</v>
      </c>
      <c r="J1539" s="15">
        <v>40.03333333333333</v>
      </c>
    </row>
    <row r="1540" spans="1:10">
      <c r="A1540" s="6" t="s">
        <v>141</v>
      </c>
      <c r="B1540" s="6" t="s">
        <v>44</v>
      </c>
      <c r="C1540" s="6" t="s">
        <v>211</v>
      </c>
      <c r="D1540" s="6">
        <v>3.289333333333334</v>
      </c>
      <c r="E1540" s="6" t="s">
        <v>88</v>
      </c>
      <c r="F1540" s="6" t="s">
        <v>55</v>
      </c>
      <c r="G1540" s="7">
        <v>51366.3962792253</v>
      </c>
      <c r="H1540" s="6">
        <v>168961.1994944651</v>
      </c>
      <c r="I1540" s="6" t="s">
        <v>179</v>
      </c>
      <c r="J1540" s="15">
        <v>40.03333333333333</v>
      </c>
    </row>
    <row r="1541" spans="1:10">
      <c r="A1541" s="6" t="s">
        <v>141</v>
      </c>
      <c r="B1541" s="6" t="s">
        <v>44</v>
      </c>
      <c r="C1541" s="6" t="s">
        <v>211</v>
      </c>
      <c r="D1541" s="6">
        <v>14.07649962063082</v>
      </c>
      <c r="E1541" s="6" t="s">
        <v>90</v>
      </c>
      <c r="F1541" s="6" t="s">
        <v>55</v>
      </c>
      <c r="G1541" s="7">
        <v>51366.3962792253</v>
      </c>
      <c r="H1541" s="6">
        <v>723059.0577376873</v>
      </c>
      <c r="I1541" s="6" t="s">
        <v>179</v>
      </c>
      <c r="J1541" s="15">
        <v>40.03333333333333</v>
      </c>
    </row>
    <row r="1542" spans="1:10">
      <c r="A1542" s="6" t="s">
        <v>141</v>
      </c>
      <c r="B1542" s="6" t="s">
        <v>44</v>
      </c>
      <c r="C1542" s="6" t="s">
        <v>211</v>
      </c>
      <c r="D1542" s="6">
        <v>0.5938333333333333</v>
      </c>
      <c r="E1542" s="6" t="s">
        <v>92</v>
      </c>
      <c r="F1542" s="6" t="s">
        <v>55</v>
      </c>
      <c r="G1542" s="7">
        <v>51366.3962792253</v>
      </c>
      <c r="H1542" s="6">
        <v>30503.07832381329</v>
      </c>
      <c r="I1542" s="6" t="s">
        <v>179</v>
      </c>
      <c r="J1542" s="15">
        <v>40.03333333333333</v>
      </c>
    </row>
    <row r="1543" spans="1:10">
      <c r="A1543" s="6" t="s">
        <v>141</v>
      </c>
      <c r="B1543" s="6" t="s">
        <v>44</v>
      </c>
      <c r="C1543" s="6" t="s">
        <v>212</v>
      </c>
      <c r="D1543" s="6">
        <v>322.9787810055409</v>
      </c>
      <c r="E1543" s="6" t="s">
        <v>44</v>
      </c>
      <c r="F1543" s="6" t="s">
        <v>55</v>
      </c>
      <c r="G1543" s="7">
        <v>42485.0021579509</v>
      </c>
      <c r="H1543" s="6">
        <v>13721754.20799275</v>
      </c>
      <c r="I1543" s="6" t="s">
        <v>179</v>
      </c>
      <c r="J1543" s="15">
        <v>39.03333333333333</v>
      </c>
    </row>
    <row r="1544" spans="1:10">
      <c r="A1544" s="6" t="s">
        <v>141</v>
      </c>
      <c r="B1544" s="6" t="s">
        <v>44</v>
      </c>
      <c r="C1544" s="6" t="s">
        <v>212</v>
      </c>
      <c r="D1544" s="6">
        <v>3.802820876686536</v>
      </c>
      <c r="E1544" s="6" t="s">
        <v>86</v>
      </c>
      <c r="F1544" s="6" t="s">
        <v>55</v>
      </c>
      <c r="G1544" s="7">
        <v>42485.0021579509</v>
      </c>
      <c r="H1544" s="6">
        <v>161562.8531523282</v>
      </c>
      <c r="I1544" s="6" t="s">
        <v>179</v>
      </c>
      <c r="J1544" s="15">
        <v>39.03333333333333</v>
      </c>
    </row>
    <row r="1545" spans="1:10">
      <c r="A1545" s="6" t="s">
        <v>141</v>
      </c>
      <c r="B1545" s="6" t="s">
        <v>44</v>
      </c>
      <c r="C1545" s="6" t="s">
        <v>212</v>
      </c>
      <c r="D1545" s="6">
        <v>1.980166666666667</v>
      </c>
      <c r="E1545" s="6" t="s">
        <v>88</v>
      </c>
      <c r="F1545" s="6" t="s">
        <v>55</v>
      </c>
      <c r="G1545" s="7">
        <v>42485.0021579509</v>
      </c>
      <c r="H1545" s="6">
        <v>84127.38510643577</v>
      </c>
      <c r="I1545" s="6" t="s">
        <v>179</v>
      </c>
      <c r="J1545" s="15">
        <v>39.03333333333333</v>
      </c>
    </row>
    <row r="1546" spans="1:10">
      <c r="A1546" s="6" t="s">
        <v>141</v>
      </c>
      <c r="B1546" s="6" t="s">
        <v>44</v>
      </c>
      <c r="C1546" s="6" t="s">
        <v>212</v>
      </c>
      <c r="D1546" s="6">
        <v>4.076166407127753</v>
      </c>
      <c r="E1546" s="6" t="s">
        <v>90</v>
      </c>
      <c r="F1546" s="6" t="s">
        <v>55</v>
      </c>
      <c r="G1546" s="7">
        <v>42485.0021579509</v>
      </c>
      <c r="H1546" s="6">
        <v>173175.9386029895</v>
      </c>
      <c r="I1546" s="6" t="s">
        <v>179</v>
      </c>
      <c r="J1546" s="15">
        <v>39.03333333333333</v>
      </c>
    </row>
    <row r="1547" spans="1:10">
      <c r="A1547" s="6" t="s">
        <v>141</v>
      </c>
      <c r="B1547" s="6" t="s">
        <v>44</v>
      </c>
      <c r="C1547" s="6" t="s">
        <v>213</v>
      </c>
      <c r="D1547" s="6">
        <v>4.931751765462624</v>
      </c>
      <c r="E1547" s="6" t="s">
        <v>44</v>
      </c>
      <c r="F1547" s="6" t="s">
        <v>52</v>
      </c>
      <c r="G1547" s="7">
        <v>64169.74384104699</v>
      </c>
      <c r="H1547" s="6">
        <v>316469.2474773679</v>
      </c>
      <c r="I1547" s="6" t="s">
        <v>180</v>
      </c>
      <c r="J1547" s="15">
        <v>68</v>
      </c>
    </row>
    <row r="1548" spans="1:10">
      <c r="A1548" s="6" t="s">
        <v>141</v>
      </c>
      <c r="B1548" s="6" t="s">
        <v>44</v>
      </c>
      <c r="C1548" s="6" t="s">
        <v>214</v>
      </c>
      <c r="D1548" s="6">
        <v>0.7641666666666667</v>
      </c>
      <c r="E1548" s="6" t="s">
        <v>44</v>
      </c>
      <c r="F1548" s="6" t="s">
        <v>53</v>
      </c>
      <c r="G1548" s="7">
        <v>59521.22119718234</v>
      </c>
      <c r="H1548" s="6">
        <v>45484.13319818017</v>
      </c>
      <c r="I1548" s="6" t="s">
        <v>180</v>
      </c>
      <c r="J1548" s="15">
        <v>15.28948474773556</v>
      </c>
    </row>
    <row r="1549" spans="1:10">
      <c r="A1549" s="6" t="s">
        <v>141</v>
      </c>
      <c r="B1549" s="6" t="s">
        <v>44</v>
      </c>
      <c r="C1549" s="6" t="s">
        <v>215</v>
      </c>
      <c r="D1549" s="6">
        <v>656.4588039460843</v>
      </c>
      <c r="E1549" s="6" t="s">
        <v>44</v>
      </c>
      <c r="F1549" s="6" t="s">
        <v>54</v>
      </c>
      <c r="G1549" s="7">
        <v>99644.87381086698</v>
      </c>
      <c r="H1549" s="6">
        <v>65412754.68124024</v>
      </c>
      <c r="I1549" s="6" t="s">
        <v>179</v>
      </c>
      <c r="J1549" s="15">
        <v>65.5</v>
      </c>
    </row>
    <row r="1550" spans="1:10">
      <c r="A1550" s="6" t="s">
        <v>141</v>
      </c>
      <c r="B1550" s="6" t="s">
        <v>44</v>
      </c>
      <c r="C1550" s="6" t="s">
        <v>215</v>
      </c>
      <c r="D1550" s="6">
        <v>10.32338854700098</v>
      </c>
      <c r="E1550" s="6" t="s">
        <v>86</v>
      </c>
      <c r="F1550" s="6" t="s">
        <v>54</v>
      </c>
      <c r="G1550" s="7">
        <v>99644.87381086698</v>
      </c>
      <c r="H1550" s="6">
        <v>1028672.749066463</v>
      </c>
      <c r="I1550" s="6" t="s">
        <v>179</v>
      </c>
      <c r="J1550" s="15">
        <v>65.5</v>
      </c>
    </row>
    <row r="1551" spans="1:10">
      <c r="A1551" s="6" t="s">
        <v>141</v>
      </c>
      <c r="B1551" s="6" t="s">
        <v>44</v>
      </c>
      <c r="C1551" s="6" t="s">
        <v>215</v>
      </c>
      <c r="D1551" s="6">
        <v>9.763166666666667</v>
      </c>
      <c r="E1551" s="6" t="s">
        <v>88</v>
      </c>
      <c r="F1551" s="6" t="s">
        <v>54</v>
      </c>
      <c r="G1551" s="7">
        <v>99644.87381086698</v>
      </c>
      <c r="H1551" s="6">
        <v>972849.5104944628</v>
      </c>
      <c r="I1551" s="6" t="s">
        <v>179</v>
      </c>
      <c r="J1551" s="15">
        <v>65.5</v>
      </c>
    </row>
    <row r="1552" spans="1:10">
      <c r="A1552" s="6" t="s">
        <v>141</v>
      </c>
      <c r="B1552" s="6" t="s">
        <v>44</v>
      </c>
      <c r="C1552" s="6" t="s">
        <v>215</v>
      </c>
      <c r="D1552" s="6">
        <v>8.859698431849008</v>
      </c>
      <c r="E1552" s="6" t="s">
        <v>90</v>
      </c>
      <c r="F1552" s="6" t="s">
        <v>54</v>
      </c>
      <c r="G1552" s="7">
        <v>99644.87381086698</v>
      </c>
      <c r="H1552" s="6">
        <v>882823.5322439305</v>
      </c>
      <c r="I1552" s="6" t="s">
        <v>179</v>
      </c>
      <c r="J1552" s="15">
        <v>65.5</v>
      </c>
    </row>
    <row r="1553" spans="1:10">
      <c r="A1553" s="6" t="s">
        <v>141</v>
      </c>
      <c r="B1553" s="6" t="s">
        <v>44</v>
      </c>
      <c r="C1553" s="6" t="s">
        <v>215</v>
      </c>
      <c r="D1553" s="6">
        <v>0.09616666666666666</v>
      </c>
      <c r="E1553" s="6" t="s">
        <v>92</v>
      </c>
      <c r="F1553" s="6" t="s">
        <v>54</v>
      </c>
      <c r="G1553" s="7">
        <v>99644.87381086698</v>
      </c>
      <c r="H1553" s="6">
        <v>9582.515364811708</v>
      </c>
      <c r="I1553" s="6" t="s">
        <v>179</v>
      </c>
      <c r="J1553" s="15">
        <v>65.5</v>
      </c>
    </row>
    <row r="1554" spans="1:10">
      <c r="A1554" s="6" t="s">
        <v>141</v>
      </c>
      <c r="B1554" s="6" t="s">
        <v>44</v>
      </c>
      <c r="C1554" s="6" t="s">
        <v>216</v>
      </c>
      <c r="D1554" s="6">
        <v>3.350803153618778</v>
      </c>
      <c r="E1554" s="6" t="s">
        <v>44</v>
      </c>
      <c r="F1554" s="6" t="s">
        <v>55</v>
      </c>
      <c r="G1554" s="7">
        <v>42969.13562366418</v>
      </c>
      <c r="H1554" s="6">
        <v>143981.1151560469</v>
      </c>
      <c r="I1554" s="6" t="s">
        <v>180</v>
      </c>
      <c r="J1554" s="15">
        <v>9.157691766844557</v>
      </c>
    </row>
    <row r="1555" spans="1:10">
      <c r="A1555" s="6" t="s">
        <v>141</v>
      </c>
      <c r="B1555" s="6" t="s">
        <v>44</v>
      </c>
      <c r="C1555" s="6" t="s">
        <v>216</v>
      </c>
      <c r="D1555" s="6">
        <v>0.006183136468078599</v>
      </c>
      <c r="E1555" s="6" t="s">
        <v>86</v>
      </c>
      <c r="F1555" s="6" t="s">
        <v>55</v>
      </c>
      <c r="G1555" s="7">
        <v>42969.13562366418</v>
      </c>
      <c r="H1555" s="6">
        <v>265.6840294764933</v>
      </c>
      <c r="I1555" s="6" t="s">
        <v>180</v>
      </c>
      <c r="J1555" s="15">
        <v>9.157691766844557</v>
      </c>
    </row>
    <row r="1556" spans="1:10">
      <c r="A1556" s="6" t="s">
        <v>141</v>
      </c>
      <c r="B1556" s="6" t="s">
        <v>44</v>
      </c>
      <c r="C1556" s="6" t="s">
        <v>216</v>
      </c>
      <c r="D1556" s="6">
        <v>0.002333333333333333</v>
      </c>
      <c r="E1556" s="6" t="s">
        <v>88</v>
      </c>
      <c r="F1556" s="6" t="s">
        <v>55</v>
      </c>
      <c r="G1556" s="7">
        <v>42969.13562366418</v>
      </c>
      <c r="H1556" s="6">
        <v>100.2613164552164</v>
      </c>
      <c r="I1556" s="6" t="s">
        <v>180</v>
      </c>
      <c r="J1556" s="15">
        <v>9.157691766844557</v>
      </c>
    </row>
    <row r="1557" spans="1:10">
      <c r="A1557" s="6" t="s">
        <v>141</v>
      </c>
      <c r="B1557" s="6" t="s">
        <v>44</v>
      </c>
      <c r="C1557" s="6" t="s">
        <v>217</v>
      </c>
      <c r="D1557" s="6">
        <v>41.11038553198971</v>
      </c>
      <c r="E1557" s="6" t="s">
        <v>44</v>
      </c>
      <c r="F1557" s="6" t="s">
        <v>53</v>
      </c>
      <c r="G1557" s="7">
        <v>100828.4673920946</v>
      </c>
      <c r="H1557" s="6">
        <v>4145097.167088662</v>
      </c>
      <c r="I1557" s="6" t="s">
        <v>179</v>
      </c>
      <c r="J1557" s="15">
        <v>85</v>
      </c>
    </row>
    <row r="1558" spans="1:10">
      <c r="A1558" s="6" t="s">
        <v>141</v>
      </c>
      <c r="B1558" s="6" t="s">
        <v>44</v>
      </c>
      <c r="C1558" s="6" t="s">
        <v>217</v>
      </c>
      <c r="D1558" s="6">
        <v>0.5791434505234235</v>
      </c>
      <c r="E1558" s="6" t="s">
        <v>86</v>
      </c>
      <c r="F1558" s="6" t="s">
        <v>53</v>
      </c>
      <c r="G1558" s="7">
        <v>100828.4673920946</v>
      </c>
      <c r="H1558" s="6">
        <v>58394.14651644617</v>
      </c>
      <c r="I1558" s="6" t="s">
        <v>179</v>
      </c>
      <c r="J1558" s="15">
        <v>85</v>
      </c>
    </row>
    <row r="1559" spans="1:10">
      <c r="A1559" s="6" t="s">
        <v>141</v>
      </c>
      <c r="B1559" s="6" t="s">
        <v>44</v>
      </c>
      <c r="C1559" s="6" t="s">
        <v>217</v>
      </c>
      <c r="D1559" s="6">
        <v>0.0975</v>
      </c>
      <c r="E1559" s="6" t="s">
        <v>88</v>
      </c>
      <c r="F1559" s="6" t="s">
        <v>53</v>
      </c>
      <c r="G1559" s="7">
        <v>100828.4673920946</v>
      </c>
      <c r="H1559" s="6">
        <v>9830.775570729225</v>
      </c>
      <c r="I1559" s="6" t="s">
        <v>179</v>
      </c>
      <c r="J1559" s="15">
        <v>85</v>
      </c>
    </row>
    <row r="1560" spans="1:10">
      <c r="A1560" s="6" t="s">
        <v>141</v>
      </c>
      <c r="B1560" s="6" t="s">
        <v>44</v>
      </c>
      <c r="C1560" s="6" t="s">
        <v>217</v>
      </c>
      <c r="D1560" s="6">
        <v>0.04240484773770165</v>
      </c>
      <c r="E1560" s="6" t="s">
        <v>90</v>
      </c>
      <c r="F1560" s="6" t="s">
        <v>53</v>
      </c>
      <c r="G1560" s="7">
        <v>100828.4673920946</v>
      </c>
      <c r="H1560" s="6">
        <v>4275.615807387588</v>
      </c>
      <c r="I1560" s="6" t="s">
        <v>179</v>
      </c>
      <c r="J1560" s="15">
        <v>85</v>
      </c>
    </row>
    <row r="1561" spans="1:10">
      <c r="A1561" s="6" t="s">
        <v>141</v>
      </c>
      <c r="B1561" s="6" t="s">
        <v>44</v>
      </c>
      <c r="C1561" s="6" t="s">
        <v>218</v>
      </c>
      <c r="D1561" s="6">
        <v>2.133333333333334</v>
      </c>
      <c r="E1561" s="6" t="s">
        <v>44</v>
      </c>
      <c r="F1561" s="6" t="s">
        <v>54</v>
      </c>
      <c r="G1561" s="7">
        <v>108296.875</v>
      </c>
      <c r="H1561" s="6">
        <v>231033.3333333334</v>
      </c>
      <c r="I1561" s="6" t="s">
        <v>179</v>
      </c>
      <c r="J1561" s="15">
        <v>16.78160863022069</v>
      </c>
    </row>
    <row r="1562" spans="1:10">
      <c r="A1562" s="6" t="s">
        <v>141</v>
      </c>
      <c r="B1562" s="6" t="s">
        <v>44</v>
      </c>
      <c r="C1562" s="6" t="s">
        <v>219</v>
      </c>
      <c r="D1562" s="6">
        <v>176.5604243802789</v>
      </c>
      <c r="E1562" s="6" t="s">
        <v>44</v>
      </c>
      <c r="F1562" s="6" t="s">
        <v>51</v>
      </c>
      <c r="G1562" s="7">
        <v>24699.68371704026</v>
      </c>
      <c r="H1562" s="6">
        <v>4360986.639139292</v>
      </c>
      <c r="I1562" s="6" t="s">
        <v>179</v>
      </c>
      <c r="J1562" s="15">
        <v>13.96666666666667</v>
      </c>
    </row>
    <row r="1563" spans="1:10">
      <c r="A1563" s="6" t="s">
        <v>141</v>
      </c>
      <c r="B1563" s="6" t="s">
        <v>44</v>
      </c>
      <c r="C1563" s="6" t="s">
        <v>219</v>
      </c>
      <c r="D1563" s="6">
        <v>11.56362329885449</v>
      </c>
      <c r="E1563" s="6" t="s">
        <v>86</v>
      </c>
      <c r="F1563" s="6" t="s">
        <v>51</v>
      </c>
      <c r="G1563" s="7">
        <v>24699.68371704026</v>
      </c>
      <c r="H1563" s="6">
        <v>285617.8381047037</v>
      </c>
      <c r="I1563" s="6" t="s">
        <v>179</v>
      </c>
      <c r="J1563" s="15">
        <v>13.96666666666667</v>
      </c>
    </row>
    <row r="1564" spans="1:10">
      <c r="A1564" s="6" t="s">
        <v>141</v>
      </c>
      <c r="B1564" s="6" t="s">
        <v>44</v>
      </c>
      <c r="C1564" s="6" t="s">
        <v>219</v>
      </c>
      <c r="D1564" s="6">
        <v>7.622</v>
      </c>
      <c r="E1564" s="6" t="s">
        <v>88</v>
      </c>
      <c r="F1564" s="6" t="s">
        <v>51</v>
      </c>
      <c r="G1564" s="7">
        <v>24699.68371704026</v>
      </c>
      <c r="H1564" s="6">
        <v>188260.9892912808</v>
      </c>
      <c r="I1564" s="6" t="s">
        <v>179</v>
      </c>
      <c r="J1564" s="15">
        <v>13.96666666666667</v>
      </c>
    </row>
    <row r="1565" spans="1:10">
      <c r="A1565" s="6" t="s">
        <v>141</v>
      </c>
      <c r="B1565" s="6" t="s">
        <v>44</v>
      </c>
      <c r="C1565" s="6" t="s">
        <v>219</v>
      </c>
      <c r="D1565" s="6">
        <v>43.70977677721743</v>
      </c>
      <c r="E1565" s="6" t="s">
        <v>90</v>
      </c>
      <c r="F1565" s="6" t="s">
        <v>51</v>
      </c>
      <c r="G1565" s="7">
        <v>24699.68371704026</v>
      </c>
      <c r="H1565" s="6">
        <v>1079617.661739702</v>
      </c>
      <c r="I1565" s="6" t="s">
        <v>179</v>
      </c>
      <c r="J1565" s="15">
        <v>13.96666666666667</v>
      </c>
    </row>
    <row r="1566" spans="1:10">
      <c r="A1566" s="6" t="s">
        <v>141</v>
      </c>
      <c r="B1566" s="6" t="s">
        <v>44</v>
      </c>
      <c r="C1566" s="6" t="s">
        <v>220</v>
      </c>
      <c r="D1566" s="6">
        <v>0.9386157970595252</v>
      </c>
      <c r="E1566" s="6" t="s">
        <v>44</v>
      </c>
      <c r="F1566" s="6" t="s">
        <v>57</v>
      </c>
      <c r="G1566" s="7">
        <v>40154.70104495549</v>
      </c>
      <c r="H1566" s="6">
        <v>37689.83672699786</v>
      </c>
      <c r="I1566" s="6" t="s">
        <v>180</v>
      </c>
      <c r="J1566" s="15">
        <v>8.115072084977196</v>
      </c>
    </row>
    <row r="1567" spans="1:10">
      <c r="A1567" s="6" t="s">
        <v>141</v>
      </c>
      <c r="B1567" s="6" t="s">
        <v>44</v>
      </c>
      <c r="C1567" s="6" t="s">
        <v>220</v>
      </c>
      <c r="D1567" s="6">
        <v>0.3002579033900437</v>
      </c>
      <c r="E1567" s="6" t="s">
        <v>86</v>
      </c>
      <c r="F1567" s="6" t="s">
        <v>57</v>
      </c>
      <c r="G1567" s="7">
        <v>40154.70104495549</v>
      </c>
      <c r="H1567" s="6">
        <v>12056.76634701233</v>
      </c>
      <c r="I1567" s="6" t="s">
        <v>180</v>
      </c>
      <c r="J1567" s="15">
        <v>8.115072084977196</v>
      </c>
    </row>
    <row r="1568" spans="1:10">
      <c r="A1568" s="6" t="s">
        <v>141</v>
      </c>
      <c r="B1568" s="6" t="s">
        <v>44</v>
      </c>
      <c r="C1568" s="6" t="s">
        <v>220</v>
      </c>
      <c r="D1568" s="6">
        <v>0.148</v>
      </c>
      <c r="E1568" s="6" t="s">
        <v>88</v>
      </c>
      <c r="F1568" s="6" t="s">
        <v>57</v>
      </c>
      <c r="G1568" s="7">
        <v>40154.70104495549</v>
      </c>
      <c r="H1568" s="6">
        <v>5942.895754653414</v>
      </c>
      <c r="I1568" s="6" t="s">
        <v>180</v>
      </c>
      <c r="J1568" s="15">
        <v>8.115072084977196</v>
      </c>
    </row>
    <row r="1569" spans="1:10">
      <c r="A1569" s="6" t="s">
        <v>141</v>
      </c>
      <c r="B1569" s="6" t="s">
        <v>44</v>
      </c>
      <c r="C1569" s="6" t="s">
        <v>220</v>
      </c>
      <c r="D1569" s="6">
        <v>0.1081459894150801</v>
      </c>
      <c r="E1569" s="6" t="s">
        <v>90</v>
      </c>
      <c r="F1569" s="6" t="s">
        <v>57</v>
      </c>
      <c r="G1569" s="7">
        <v>40154.70104495549</v>
      </c>
      <c r="H1569" s="6">
        <v>4342.569874173462</v>
      </c>
      <c r="I1569" s="6" t="s">
        <v>180</v>
      </c>
      <c r="J1569" s="15">
        <v>8.115072084977196</v>
      </c>
    </row>
    <row r="1570" spans="1:10">
      <c r="A1570" s="6" t="s">
        <v>141</v>
      </c>
      <c r="B1570" s="6" t="s">
        <v>44</v>
      </c>
      <c r="C1570" s="6" t="s">
        <v>221</v>
      </c>
      <c r="D1570" s="6">
        <v>234.8427550263541</v>
      </c>
      <c r="E1570" s="6" t="s">
        <v>44</v>
      </c>
      <c r="F1570" s="6" t="s">
        <v>51</v>
      </c>
      <c r="G1570" s="7">
        <v>26492.73446871235</v>
      </c>
      <c r="H1570" s="6">
        <v>6221626.750814062</v>
      </c>
      <c r="I1570" s="6" t="s">
        <v>179</v>
      </c>
      <c r="J1570" s="15">
        <v>21.28333333333333</v>
      </c>
    </row>
    <row r="1571" spans="1:10">
      <c r="A1571" s="6" t="s">
        <v>141</v>
      </c>
      <c r="B1571" s="6" t="s">
        <v>44</v>
      </c>
      <c r="C1571" s="6" t="s">
        <v>221</v>
      </c>
      <c r="D1571" s="6">
        <v>43.65835104433043</v>
      </c>
      <c r="E1571" s="6" t="s">
        <v>86</v>
      </c>
      <c r="F1571" s="6" t="s">
        <v>51</v>
      </c>
      <c r="G1571" s="7">
        <v>26492.73446871235</v>
      </c>
      <c r="H1571" s="6">
        <v>1156629.101559277</v>
      </c>
      <c r="I1571" s="6" t="s">
        <v>179</v>
      </c>
      <c r="J1571" s="15">
        <v>21.28333333333333</v>
      </c>
    </row>
    <row r="1572" spans="1:10">
      <c r="A1572" s="6" t="s">
        <v>141</v>
      </c>
      <c r="B1572" s="6" t="s">
        <v>44</v>
      </c>
      <c r="C1572" s="6" t="s">
        <v>221</v>
      </c>
      <c r="D1572" s="6">
        <v>35.81233333333333</v>
      </c>
      <c r="E1572" s="6" t="s">
        <v>88</v>
      </c>
      <c r="F1572" s="6" t="s">
        <v>51</v>
      </c>
      <c r="G1572" s="7">
        <v>26492.73446871235</v>
      </c>
      <c r="H1572" s="6">
        <v>948766.6377050163</v>
      </c>
      <c r="I1572" s="6" t="s">
        <v>179</v>
      </c>
      <c r="J1572" s="15">
        <v>21.28333333333333</v>
      </c>
    </row>
    <row r="1573" spans="1:10">
      <c r="A1573" s="6" t="s">
        <v>141</v>
      </c>
      <c r="B1573" s="6" t="s">
        <v>44</v>
      </c>
      <c r="C1573" s="6" t="s">
        <v>221</v>
      </c>
      <c r="D1573" s="6">
        <v>13.41125139962418</v>
      </c>
      <c r="E1573" s="6" t="s">
        <v>90</v>
      </c>
      <c r="F1573" s="6" t="s">
        <v>51</v>
      </c>
      <c r="G1573" s="7">
        <v>26492.73446871235</v>
      </c>
      <c r="H1573" s="6">
        <v>355300.7222233904</v>
      </c>
      <c r="I1573" s="6" t="s">
        <v>179</v>
      </c>
      <c r="J1573" s="15">
        <v>21.28333333333333</v>
      </c>
    </row>
    <row r="1574" spans="1:10">
      <c r="A1574" s="6" t="s">
        <v>141</v>
      </c>
      <c r="B1574" s="6" t="s">
        <v>44</v>
      </c>
      <c r="C1574" s="6" t="s">
        <v>221</v>
      </c>
      <c r="D1574" s="6">
        <v>0.03316666666666667</v>
      </c>
      <c r="E1574" s="6" t="s">
        <v>92</v>
      </c>
      <c r="F1574" s="6" t="s">
        <v>51</v>
      </c>
      <c r="G1574" s="7">
        <v>26492.73446871235</v>
      </c>
      <c r="H1574" s="6">
        <v>878.6756932122931</v>
      </c>
      <c r="I1574" s="6" t="s">
        <v>179</v>
      </c>
      <c r="J1574" s="15">
        <v>21.28333333333333</v>
      </c>
    </row>
    <row r="1575" spans="1:10">
      <c r="A1575" s="6" t="s">
        <v>141</v>
      </c>
      <c r="B1575" s="6" t="s">
        <v>44</v>
      </c>
      <c r="C1575" s="6" t="s">
        <v>222</v>
      </c>
      <c r="D1575" s="6">
        <v>1.24539870030581</v>
      </c>
      <c r="E1575" s="6" t="s">
        <v>44</v>
      </c>
      <c r="F1575" s="6" t="s">
        <v>57</v>
      </c>
      <c r="G1575" s="7">
        <v>40818.44055788575</v>
      </c>
      <c r="H1575" s="6">
        <v>50835.23281930089</v>
      </c>
      <c r="I1575" s="6" t="s">
        <v>180</v>
      </c>
      <c r="J1575" s="15">
        <v>8.360957310041353</v>
      </c>
    </row>
    <row r="1576" spans="1:10">
      <c r="A1576" s="6" t="s">
        <v>141</v>
      </c>
      <c r="B1576" s="6" t="s">
        <v>44</v>
      </c>
      <c r="C1576" s="6" t="s">
        <v>222</v>
      </c>
      <c r="D1576" s="6">
        <v>0.0007820251444104654</v>
      </c>
      <c r="E1576" s="6" t="s">
        <v>86</v>
      </c>
      <c r="F1576" s="6" t="s">
        <v>57</v>
      </c>
      <c r="G1576" s="7">
        <v>40818.44055788575</v>
      </c>
      <c r="H1576" s="6">
        <v>31.9210468718906</v>
      </c>
      <c r="I1576" s="6" t="s">
        <v>180</v>
      </c>
      <c r="J1576" s="15">
        <v>8.360957310041353</v>
      </c>
    </row>
    <row r="1577" spans="1:10">
      <c r="A1577" s="6" t="s">
        <v>141</v>
      </c>
      <c r="B1577" s="6" t="s">
        <v>44</v>
      </c>
      <c r="C1577" s="6" t="s">
        <v>222</v>
      </c>
      <c r="D1577" s="6">
        <v>0.0015</v>
      </c>
      <c r="E1577" s="6" t="s">
        <v>88</v>
      </c>
      <c r="F1577" s="6" t="s">
        <v>57</v>
      </c>
      <c r="G1577" s="7">
        <v>40818.44055788575</v>
      </c>
      <c r="H1577" s="6">
        <v>61.22766083682863</v>
      </c>
      <c r="I1577" s="6" t="s">
        <v>180</v>
      </c>
      <c r="J1577" s="15">
        <v>8.360957310041353</v>
      </c>
    </row>
    <row r="1578" spans="1:10">
      <c r="A1578" s="6" t="s">
        <v>141</v>
      </c>
      <c r="B1578" s="6" t="s">
        <v>44</v>
      </c>
      <c r="C1578" s="6" t="s">
        <v>223</v>
      </c>
      <c r="D1578" s="6">
        <v>305.0477450055792</v>
      </c>
      <c r="E1578" s="6" t="s">
        <v>44</v>
      </c>
      <c r="F1578" s="6" t="s">
        <v>53</v>
      </c>
      <c r="G1578" s="7">
        <v>50716.83334368051</v>
      </c>
      <c r="H1578" s="6">
        <v>15471055.64531351</v>
      </c>
      <c r="I1578" s="6" t="s">
        <v>179</v>
      </c>
      <c r="J1578" s="15">
        <v>42.04166666666667</v>
      </c>
    </row>
    <row r="1579" spans="1:10">
      <c r="A1579" s="6" t="s">
        <v>141</v>
      </c>
      <c r="B1579" s="6" t="s">
        <v>44</v>
      </c>
      <c r="C1579" s="6" t="s">
        <v>223</v>
      </c>
      <c r="D1579" s="6">
        <v>0.6454258574247554</v>
      </c>
      <c r="E1579" s="6" t="s">
        <v>86</v>
      </c>
      <c r="F1579" s="6" t="s">
        <v>53</v>
      </c>
      <c r="G1579" s="7">
        <v>50716.83334368051</v>
      </c>
      <c r="H1579" s="6">
        <v>32733.95564671342</v>
      </c>
      <c r="I1579" s="6" t="s">
        <v>179</v>
      </c>
      <c r="J1579" s="15">
        <v>42.04166666666667</v>
      </c>
    </row>
    <row r="1580" spans="1:10">
      <c r="A1580" s="6" t="s">
        <v>141</v>
      </c>
      <c r="B1580" s="6" t="s">
        <v>44</v>
      </c>
      <c r="C1580" s="6" t="s">
        <v>223</v>
      </c>
      <c r="D1580" s="6">
        <v>0.02166666666666667</v>
      </c>
      <c r="E1580" s="6" t="s">
        <v>88</v>
      </c>
      <c r="F1580" s="6" t="s">
        <v>53</v>
      </c>
      <c r="G1580" s="7">
        <v>50716.83334368051</v>
      </c>
      <c r="H1580" s="6">
        <v>1098.864722446411</v>
      </c>
      <c r="I1580" s="6" t="s">
        <v>179</v>
      </c>
      <c r="J1580" s="15">
        <v>42.04166666666667</v>
      </c>
    </row>
    <row r="1581" spans="1:10">
      <c r="A1581" s="6" t="s">
        <v>141</v>
      </c>
      <c r="B1581" s="6" t="s">
        <v>44</v>
      </c>
      <c r="C1581" s="6" t="s">
        <v>223</v>
      </c>
      <c r="D1581" s="6">
        <v>2.545620847538845</v>
      </c>
      <c r="E1581" s="6" t="s">
        <v>90</v>
      </c>
      <c r="F1581" s="6" t="s">
        <v>53</v>
      </c>
      <c r="G1581" s="7">
        <v>50716.83334368051</v>
      </c>
      <c r="H1581" s="6">
        <v>129105.8282808264</v>
      </c>
      <c r="I1581" s="6" t="s">
        <v>179</v>
      </c>
      <c r="J1581" s="15">
        <v>42.04166666666667</v>
      </c>
    </row>
    <row r="1582" spans="1:10">
      <c r="A1582" s="6" t="s">
        <v>141</v>
      </c>
      <c r="B1582" s="6" t="s">
        <v>44</v>
      </c>
      <c r="C1582" s="6" t="s">
        <v>223</v>
      </c>
      <c r="D1582" s="6">
        <v>0.3635</v>
      </c>
      <c r="E1582" s="6" t="s">
        <v>92</v>
      </c>
      <c r="F1582" s="6" t="s">
        <v>53</v>
      </c>
      <c r="G1582" s="7">
        <v>50716.83334368051</v>
      </c>
      <c r="H1582" s="6">
        <v>18435.56892042787</v>
      </c>
      <c r="I1582" s="6" t="s">
        <v>179</v>
      </c>
      <c r="J1582" s="15">
        <v>42.04166666666667</v>
      </c>
    </row>
    <row r="1583" spans="1:10">
      <c r="A1583" s="6" t="s">
        <v>141</v>
      </c>
      <c r="B1583" s="6" t="s">
        <v>44</v>
      </c>
      <c r="C1583" s="6" t="s">
        <v>224</v>
      </c>
      <c r="D1583" s="6">
        <v>1666.663264469628</v>
      </c>
      <c r="E1583" s="6" t="s">
        <v>44</v>
      </c>
      <c r="F1583" s="6" t="s">
        <v>51</v>
      </c>
      <c r="G1583" s="7">
        <v>20842.13163725611</v>
      </c>
      <c r="H1583" s="6">
        <v>34736815.15305499</v>
      </c>
      <c r="I1583" s="6" t="s">
        <v>179</v>
      </c>
      <c r="J1583" s="15">
        <v>11</v>
      </c>
    </row>
    <row r="1584" spans="1:10">
      <c r="A1584" s="6" t="s">
        <v>141</v>
      </c>
      <c r="B1584" s="6" t="s">
        <v>44</v>
      </c>
      <c r="C1584" s="6" t="s">
        <v>224</v>
      </c>
      <c r="D1584" s="6">
        <v>249.7144048302303</v>
      </c>
      <c r="E1584" s="6" t="s">
        <v>86</v>
      </c>
      <c r="F1584" s="6" t="s">
        <v>51</v>
      </c>
      <c r="G1584" s="7">
        <v>20842.13163725611</v>
      </c>
      <c r="H1584" s="6">
        <v>5204580.497190723</v>
      </c>
      <c r="I1584" s="6" t="s">
        <v>179</v>
      </c>
      <c r="J1584" s="15">
        <v>11</v>
      </c>
    </row>
    <row r="1585" spans="1:10">
      <c r="A1585" s="6" t="s">
        <v>141</v>
      </c>
      <c r="B1585" s="6" t="s">
        <v>44</v>
      </c>
      <c r="C1585" s="6" t="s">
        <v>224</v>
      </c>
      <c r="D1585" s="6">
        <v>153.2098333333333</v>
      </c>
      <c r="E1585" s="6" t="s">
        <v>88</v>
      </c>
      <c r="F1585" s="6" t="s">
        <v>51</v>
      </c>
      <c r="G1585" s="7">
        <v>20842.13163725611</v>
      </c>
      <c r="H1585" s="6">
        <v>3193219.514455403</v>
      </c>
      <c r="I1585" s="6" t="s">
        <v>179</v>
      </c>
      <c r="J1585" s="15">
        <v>11</v>
      </c>
    </row>
    <row r="1586" spans="1:10">
      <c r="A1586" s="6" t="s">
        <v>141</v>
      </c>
      <c r="B1586" s="6" t="s">
        <v>44</v>
      </c>
      <c r="C1586" s="6" t="s">
        <v>224</v>
      </c>
      <c r="D1586" s="6">
        <v>63.74679309631637</v>
      </c>
      <c r="E1586" s="6" t="s">
        <v>90</v>
      </c>
      <c r="F1586" s="6" t="s">
        <v>51</v>
      </c>
      <c r="G1586" s="7">
        <v>20842.13163725611</v>
      </c>
      <c r="H1586" s="6">
        <v>1328619.053166355</v>
      </c>
      <c r="I1586" s="6" t="s">
        <v>179</v>
      </c>
      <c r="J1586" s="15">
        <v>11</v>
      </c>
    </row>
    <row r="1587" spans="1:10">
      <c r="A1587" s="6" t="s">
        <v>141</v>
      </c>
      <c r="B1587" s="6" t="s">
        <v>44</v>
      </c>
      <c r="C1587" s="6" t="s">
        <v>224</v>
      </c>
      <c r="D1587" s="6">
        <v>2.289333333333333</v>
      </c>
      <c r="E1587" s="6" t="s">
        <v>92</v>
      </c>
      <c r="F1587" s="6" t="s">
        <v>51</v>
      </c>
      <c r="G1587" s="7">
        <v>20842.13163725611</v>
      </c>
      <c r="H1587" s="6">
        <v>47714.58669489166</v>
      </c>
      <c r="I1587" s="6" t="s">
        <v>179</v>
      </c>
      <c r="J1587" s="15">
        <v>11</v>
      </c>
    </row>
    <row r="1588" spans="1:10">
      <c r="A1588" s="6" t="s">
        <v>141</v>
      </c>
      <c r="B1588" s="6" t="s">
        <v>44</v>
      </c>
      <c r="C1588" s="6" t="s">
        <v>225</v>
      </c>
      <c r="D1588" s="6">
        <v>0.0185</v>
      </c>
      <c r="E1588" s="6" t="s">
        <v>44</v>
      </c>
      <c r="F1588" s="6" t="s">
        <v>54</v>
      </c>
      <c r="G1588" s="7">
        <v>67290.20302962229</v>
      </c>
      <c r="H1588" s="6">
        <v>1244.868756048012</v>
      </c>
      <c r="I1588" s="6" t="s">
        <v>180</v>
      </c>
      <c r="J1588" s="15">
        <v>18.16753827502286</v>
      </c>
    </row>
    <row r="1589" spans="1:10">
      <c r="A1589" s="6" t="s">
        <v>141</v>
      </c>
      <c r="B1589" s="6" t="s">
        <v>44</v>
      </c>
      <c r="C1589" s="6" t="s">
        <v>226</v>
      </c>
      <c r="D1589" s="6">
        <v>1173.815410537813</v>
      </c>
      <c r="E1589" s="6" t="s">
        <v>44</v>
      </c>
      <c r="F1589" s="6" t="s">
        <v>56</v>
      </c>
      <c r="G1589" s="7">
        <v>59921.09743873261</v>
      </c>
      <c r="H1589" s="6">
        <v>70336307.58992222</v>
      </c>
      <c r="I1589" s="6" t="s">
        <v>179</v>
      </c>
      <c r="J1589" s="15">
        <v>47.875</v>
      </c>
    </row>
    <row r="1590" spans="1:10">
      <c r="A1590" s="6" t="s">
        <v>141</v>
      </c>
      <c r="B1590" s="6" t="s">
        <v>44</v>
      </c>
      <c r="C1590" s="6" t="s">
        <v>226</v>
      </c>
      <c r="D1590" s="6">
        <v>84.17967346395712</v>
      </c>
      <c r="E1590" s="6" t="s">
        <v>86</v>
      </c>
      <c r="F1590" s="6" t="s">
        <v>56</v>
      </c>
      <c r="G1590" s="7">
        <v>59921.09743873261</v>
      </c>
      <c r="H1590" s="6">
        <v>5044138.415994468</v>
      </c>
      <c r="I1590" s="6" t="s">
        <v>179</v>
      </c>
      <c r="J1590" s="15">
        <v>47.875</v>
      </c>
    </row>
    <row r="1591" spans="1:10">
      <c r="A1591" s="6" t="s">
        <v>141</v>
      </c>
      <c r="B1591" s="6" t="s">
        <v>44</v>
      </c>
      <c r="C1591" s="6" t="s">
        <v>226</v>
      </c>
      <c r="D1591" s="6">
        <v>101.83275</v>
      </c>
      <c r="E1591" s="6" t="s">
        <v>88</v>
      </c>
      <c r="F1591" s="6" t="s">
        <v>56</v>
      </c>
      <c r="G1591" s="7">
        <v>59921.09743873261</v>
      </c>
      <c r="H1591" s="6">
        <v>6101930.135204097</v>
      </c>
      <c r="I1591" s="6" t="s">
        <v>179</v>
      </c>
      <c r="J1591" s="15">
        <v>47.875</v>
      </c>
    </row>
    <row r="1592" spans="1:10">
      <c r="A1592" s="6" t="s">
        <v>141</v>
      </c>
      <c r="B1592" s="6" t="s">
        <v>44</v>
      </c>
      <c r="C1592" s="6" t="s">
        <v>226</v>
      </c>
      <c r="D1592" s="6">
        <v>32.00428273102106</v>
      </c>
      <c r="E1592" s="6" t="s">
        <v>90</v>
      </c>
      <c r="F1592" s="6" t="s">
        <v>56</v>
      </c>
      <c r="G1592" s="7">
        <v>59921.09743873261</v>
      </c>
      <c r="H1592" s="6">
        <v>1917731.74398226</v>
      </c>
      <c r="I1592" s="6" t="s">
        <v>179</v>
      </c>
      <c r="J1592" s="15">
        <v>47.875</v>
      </c>
    </row>
    <row r="1593" spans="1:10">
      <c r="A1593" s="6" t="s">
        <v>141</v>
      </c>
      <c r="B1593" s="6" t="s">
        <v>44</v>
      </c>
      <c r="C1593" s="6" t="s">
        <v>226</v>
      </c>
      <c r="D1593" s="6">
        <v>0.7823333333333333</v>
      </c>
      <c r="E1593" s="6" t="s">
        <v>92</v>
      </c>
      <c r="F1593" s="6" t="s">
        <v>56</v>
      </c>
      <c r="G1593" s="7">
        <v>59921.09743873261</v>
      </c>
      <c r="H1593" s="6">
        <v>46878.27189623514</v>
      </c>
      <c r="I1593" s="6" t="s">
        <v>179</v>
      </c>
      <c r="J1593" s="15">
        <v>47.875</v>
      </c>
    </row>
    <row r="1594" spans="1:10">
      <c r="A1594" s="6" t="s">
        <v>141</v>
      </c>
      <c r="B1594" s="6" t="s">
        <v>44</v>
      </c>
      <c r="C1594" s="6" t="s">
        <v>227</v>
      </c>
      <c r="D1594" s="6">
        <v>127.6507974560221</v>
      </c>
      <c r="E1594" s="6" t="s">
        <v>44</v>
      </c>
      <c r="F1594" s="6" t="s">
        <v>57</v>
      </c>
      <c r="G1594" s="7">
        <v>47608.30251275475</v>
      </c>
      <c r="H1594" s="6">
        <v>6077237.781280683</v>
      </c>
      <c r="I1594" s="6" t="s">
        <v>179</v>
      </c>
      <c r="J1594" s="15">
        <v>51.93333333333333</v>
      </c>
    </row>
    <row r="1595" spans="1:10">
      <c r="A1595" s="6" t="s">
        <v>141</v>
      </c>
      <c r="B1595" s="6" t="s">
        <v>44</v>
      </c>
      <c r="C1595" s="6" t="s">
        <v>227</v>
      </c>
      <c r="D1595" s="6">
        <v>6.311075916391055</v>
      </c>
      <c r="E1595" s="6" t="s">
        <v>86</v>
      </c>
      <c r="F1595" s="6" t="s">
        <v>57</v>
      </c>
      <c r="G1595" s="7">
        <v>47608.30251275475</v>
      </c>
      <c r="H1595" s="6">
        <v>300459.6114085063</v>
      </c>
      <c r="I1595" s="6" t="s">
        <v>179</v>
      </c>
      <c r="J1595" s="15">
        <v>51.93333333333333</v>
      </c>
    </row>
    <row r="1596" spans="1:10">
      <c r="A1596" s="6" t="s">
        <v>141</v>
      </c>
      <c r="B1596" s="6" t="s">
        <v>44</v>
      </c>
      <c r="C1596" s="6" t="s">
        <v>227</v>
      </c>
      <c r="D1596" s="6">
        <v>4.786916666666667</v>
      </c>
      <c r="E1596" s="6" t="s">
        <v>88</v>
      </c>
      <c r="F1596" s="6" t="s">
        <v>57</v>
      </c>
      <c r="G1596" s="7">
        <v>47608.30251275475</v>
      </c>
      <c r="H1596" s="6">
        <v>227896.9767700143</v>
      </c>
      <c r="I1596" s="6" t="s">
        <v>179</v>
      </c>
      <c r="J1596" s="15">
        <v>51.93333333333333</v>
      </c>
    </row>
    <row r="1597" spans="1:10">
      <c r="A1597" s="6" t="s">
        <v>141</v>
      </c>
      <c r="B1597" s="6" t="s">
        <v>44</v>
      </c>
      <c r="C1597" s="6" t="s">
        <v>227</v>
      </c>
      <c r="D1597" s="6">
        <v>3.094519407171557</v>
      </c>
      <c r="E1597" s="6" t="s">
        <v>90</v>
      </c>
      <c r="F1597" s="6" t="s">
        <v>57</v>
      </c>
      <c r="G1597" s="7">
        <v>47608.30251275475</v>
      </c>
      <c r="H1597" s="6">
        <v>147324.816068214</v>
      </c>
      <c r="I1597" s="6" t="s">
        <v>179</v>
      </c>
      <c r="J1597" s="15">
        <v>51.93333333333333</v>
      </c>
    </row>
    <row r="1598" spans="1:10">
      <c r="A1598" s="6" t="s">
        <v>141</v>
      </c>
      <c r="B1598" s="6" t="s">
        <v>44</v>
      </c>
      <c r="C1598" s="6" t="s">
        <v>227</v>
      </c>
      <c r="D1598" s="6">
        <v>0.1218333333333333</v>
      </c>
      <c r="E1598" s="6" t="s">
        <v>92</v>
      </c>
      <c r="F1598" s="6" t="s">
        <v>57</v>
      </c>
      <c r="G1598" s="7">
        <v>47608.30251275475</v>
      </c>
      <c r="H1598" s="6">
        <v>5800.27818947062</v>
      </c>
      <c r="I1598" s="6" t="s">
        <v>179</v>
      </c>
      <c r="J1598" s="15">
        <v>51.93333333333333</v>
      </c>
    </row>
    <row r="1599" spans="1:10">
      <c r="A1599" s="6" t="s">
        <v>141</v>
      </c>
      <c r="B1599" s="6" t="s">
        <v>44</v>
      </c>
      <c r="C1599" s="6" t="s">
        <v>228</v>
      </c>
      <c r="D1599" s="6">
        <v>350.9999164680571</v>
      </c>
      <c r="E1599" s="6" t="s">
        <v>44</v>
      </c>
      <c r="F1599" s="6" t="s">
        <v>51</v>
      </c>
      <c r="G1599" s="7">
        <v>36404.73502976458</v>
      </c>
      <c r="H1599" s="6">
        <v>12778058.95448912</v>
      </c>
      <c r="I1599" s="6" t="s">
        <v>179</v>
      </c>
      <c r="J1599" s="15">
        <v>21</v>
      </c>
    </row>
    <row r="1600" spans="1:10">
      <c r="A1600" s="6" t="s">
        <v>141</v>
      </c>
      <c r="B1600" s="6" t="s">
        <v>44</v>
      </c>
      <c r="C1600" s="6" t="s">
        <v>228</v>
      </c>
      <c r="D1600" s="6">
        <v>81.30213696711519</v>
      </c>
      <c r="E1600" s="6" t="s">
        <v>86</v>
      </c>
      <c r="F1600" s="6" t="s">
        <v>51</v>
      </c>
      <c r="G1600" s="7">
        <v>36404.73502976458</v>
      </c>
      <c r="H1600" s="6">
        <v>2959782.753641456</v>
      </c>
      <c r="I1600" s="6" t="s">
        <v>179</v>
      </c>
      <c r="J1600" s="15">
        <v>21</v>
      </c>
    </row>
    <row r="1601" spans="1:10">
      <c r="A1601" s="6" t="s">
        <v>141</v>
      </c>
      <c r="B1601" s="6" t="s">
        <v>44</v>
      </c>
      <c r="C1601" s="6" t="s">
        <v>228</v>
      </c>
      <c r="D1601" s="6">
        <v>33.7755</v>
      </c>
      <c r="E1601" s="6" t="s">
        <v>88</v>
      </c>
      <c r="F1601" s="6" t="s">
        <v>51</v>
      </c>
      <c r="G1601" s="7">
        <v>36404.73502976458</v>
      </c>
      <c r="H1601" s="6">
        <v>1229588.127997814</v>
      </c>
      <c r="I1601" s="6" t="s">
        <v>179</v>
      </c>
      <c r="J1601" s="15">
        <v>21</v>
      </c>
    </row>
    <row r="1602" spans="1:10">
      <c r="A1602" s="6" t="s">
        <v>141</v>
      </c>
      <c r="B1602" s="6" t="s">
        <v>44</v>
      </c>
      <c r="C1602" s="6" t="s">
        <v>228</v>
      </c>
      <c r="D1602" s="6">
        <v>25.39749384922852</v>
      </c>
      <c r="E1602" s="6" t="s">
        <v>90</v>
      </c>
      <c r="F1602" s="6" t="s">
        <v>51</v>
      </c>
      <c r="G1602" s="7">
        <v>36404.73502976458</v>
      </c>
      <c r="H1602" s="6">
        <v>924589.03400124</v>
      </c>
      <c r="I1602" s="6" t="s">
        <v>179</v>
      </c>
      <c r="J1602" s="15">
        <v>21</v>
      </c>
    </row>
    <row r="1603" spans="1:10">
      <c r="A1603" s="6" t="s">
        <v>141</v>
      </c>
      <c r="B1603" s="6" t="s">
        <v>44</v>
      </c>
      <c r="C1603" s="6" t="s">
        <v>229</v>
      </c>
      <c r="D1603" s="6">
        <v>0.00525</v>
      </c>
      <c r="E1603" s="6" t="s">
        <v>44</v>
      </c>
      <c r="F1603" s="6" t="s">
        <v>53</v>
      </c>
      <c r="G1603" s="7">
        <v>41295.07283256564</v>
      </c>
      <c r="H1603" s="6">
        <v>216.7991323709696</v>
      </c>
      <c r="I1603" s="6" t="s">
        <v>180</v>
      </c>
      <c r="J1603" s="15">
        <v>8.537527834847253</v>
      </c>
    </row>
    <row r="1604" spans="1:10">
      <c r="A1604" s="6" t="s">
        <v>141</v>
      </c>
      <c r="B1604" s="6" t="s">
        <v>44</v>
      </c>
      <c r="C1604" s="6" t="s">
        <v>230</v>
      </c>
      <c r="D1604" s="6">
        <v>56.50325000000001</v>
      </c>
      <c r="E1604" s="6" t="s">
        <v>44</v>
      </c>
      <c r="F1604" s="6" t="s">
        <v>53</v>
      </c>
      <c r="G1604" s="7">
        <v>40526.99807878413</v>
      </c>
      <c r="H1604" s="6">
        <v>2289907.10419506</v>
      </c>
      <c r="I1604" s="6" t="s">
        <v>179</v>
      </c>
      <c r="J1604" s="15">
        <v>43.54166666666667</v>
      </c>
    </row>
    <row r="1605" spans="1:10">
      <c r="A1605" s="6" t="s">
        <v>141</v>
      </c>
      <c r="B1605" s="6" t="s">
        <v>44</v>
      </c>
      <c r="C1605" s="6" t="s">
        <v>231</v>
      </c>
      <c r="D1605" s="6">
        <v>3.816553654503672</v>
      </c>
      <c r="E1605" s="6" t="s">
        <v>44</v>
      </c>
      <c r="F1605" s="6" t="s">
        <v>52</v>
      </c>
      <c r="G1605" s="7">
        <v>106696.4944389694</v>
      </c>
      <c r="H1605" s="6">
        <v>407212.8957737795</v>
      </c>
      <c r="I1605" s="6" t="s">
        <v>179</v>
      </c>
      <c r="J1605" s="15">
        <v>75</v>
      </c>
    </row>
    <row r="1606" spans="1:10">
      <c r="A1606" s="6" t="s">
        <v>141</v>
      </c>
      <c r="B1606" s="6" t="s">
        <v>44</v>
      </c>
      <c r="C1606" s="6" t="s">
        <v>232</v>
      </c>
      <c r="D1606" s="6">
        <v>38.20034277717726</v>
      </c>
      <c r="E1606" s="6" t="s">
        <v>44</v>
      </c>
      <c r="F1606" s="6" t="s">
        <v>51</v>
      </c>
      <c r="G1606" s="7">
        <v>28201.41411980885</v>
      </c>
      <c r="H1606" s="6">
        <v>1077303.686177825</v>
      </c>
      <c r="I1606" s="6" t="s">
        <v>179</v>
      </c>
      <c r="J1606" s="15">
        <v>20</v>
      </c>
    </row>
    <row r="1607" spans="1:10">
      <c r="A1607" s="6" t="s">
        <v>141</v>
      </c>
      <c r="B1607" s="6" t="s">
        <v>44</v>
      </c>
      <c r="C1607" s="6" t="s">
        <v>232</v>
      </c>
      <c r="D1607" s="6">
        <v>13.16854383802144</v>
      </c>
      <c r="E1607" s="6" t="s">
        <v>86</v>
      </c>
      <c r="F1607" s="6" t="s">
        <v>51</v>
      </c>
      <c r="G1607" s="7">
        <v>28201.41411980885</v>
      </c>
      <c r="H1607" s="6">
        <v>371371.5581308997</v>
      </c>
      <c r="I1607" s="6" t="s">
        <v>179</v>
      </c>
      <c r="J1607" s="15">
        <v>20</v>
      </c>
    </row>
    <row r="1608" spans="1:10">
      <c r="A1608" s="6" t="s">
        <v>141</v>
      </c>
      <c r="B1608" s="6" t="s">
        <v>44</v>
      </c>
      <c r="C1608" s="6" t="s">
        <v>232</v>
      </c>
      <c r="D1608" s="6">
        <v>12.83108333333333</v>
      </c>
      <c r="E1608" s="6" t="s">
        <v>88</v>
      </c>
      <c r="F1608" s="6" t="s">
        <v>51</v>
      </c>
      <c r="G1608" s="7">
        <v>28201.41411980885</v>
      </c>
      <c r="H1608" s="6">
        <v>361854.6946891107</v>
      </c>
      <c r="I1608" s="6" t="s">
        <v>179</v>
      </c>
      <c r="J1608" s="15">
        <v>20</v>
      </c>
    </row>
    <row r="1609" spans="1:10">
      <c r="A1609" s="6" t="s">
        <v>141</v>
      </c>
      <c r="B1609" s="6" t="s">
        <v>44</v>
      </c>
      <c r="C1609" s="6" t="s">
        <v>232</v>
      </c>
      <c r="D1609" s="6">
        <v>5.891829158472909</v>
      </c>
      <c r="E1609" s="6" t="s">
        <v>90</v>
      </c>
      <c r="F1609" s="6" t="s">
        <v>51</v>
      </c>
      <c r="G1609" s="7">
        <v>28201.41411980885</v>
      </c>
      <c r="H1609" s="6">
        <v>166157.9140212594</v>
      </c>
      <c r="I1609" s="6" t="s">
        <v>179</v>
      </c>
      <c r="J1609" s="15">
        <v>20</v>
      </c>
    </row>
    <row r="1610" spans="1:10">
      <c r="A1610" s="6" t="s">
        <v>141</v>
      </c>
      <c r="B1610" s="6" t="s">
        <v>44</v>
      </c>
      <c r="C1610" s="6" t="s">
        <v>233</v>
      </c>
      <c r="D1610" s="6">
        <v>269.5498248296498</v>
      </c>
      <c r="E1610" s="6" t="s">
        <v>44</v>
      </c>
      <c r="F1610" s="6" t="s">
        <v>59</v>
      </c>
      <c r="G1610" s="7">
        <v>60259.27520860936</v>
      </c>
      <c r="H1610" s="6">
        <v>16242877.07684231</v>
      </c>
      <c r="I1610" s="6" t="s">
        <v>179</v>
      </c>
      <c r="J1610" s="15">
        <v>40.40833333333333</v>
      </c>
    </row>
    <row r="1611" spans="1:10">
      <c r="A1611" s="6" t="s">
        <v>141</v>
      </c>
      <c r="B1611" s="6" t="s">
        <v>44</v>
      </c>
      <c r="C1611" s="6" t="s">
        <v>233</v>
      </c>
      <c r="D1611" s="6">
        <v>14.75568717475955</v>
      </c>
      <c r="E1611" s="6" t="s">
        <v>86</v>
      </c>
      <c r="F1611" s="6" t="s">
        <v>59</v>
      </c>
      <c r="G1611" s="7">
        <v>60259.27520860936</v>
      </c>
      <c r="H1611" s="6">
        <v>889167.014355983</v>
      </c>
      <c r="I1611" s="6" t="s">
        <v>179</v>
      </c>
      <c r="J1611" s="15">
        <v>40.40833333333333</v>
      </c>
    </row>
    <row r="1612" spans="1:10">
      <c r="A1612" s="6" t="s">
        <v>141</v>
      </c>
      <c r="B1612" s="6" t="s">
        <v>44</v>
      </c>
      <c r="C1612" s="6" t="s">
        <v>233</v>
      </c>
      <c r="D1612" s="6">
        <v>10.81841666666667</v>
      </c>
      <c r="E1612" s="6" t="s">
        <v>88</v>
      </c>
      <c r="F1612" s="6" t="s">
        <v>59</v>
      </c>
      <c r="G1612" s="7">
        <v>60259.27520860936</v>
      </c>
      <c r="H1612" s="6">
        <v>651909.9472380731</v>
      </c>
      <c r="I1612" s="6" t="s">
        <v>179</v>
      </c>
      <c r="J1612" s="15">
        <v>40.40833333333333</v>
      </c>
    </row>
    <row r="1613" spans="1:10">
      <c r="A1613" s="6" t="s">
        <v>141</v>
      </c>
      <c r="B1613" s="6" t="s">
        <v>44</v>
      </c>
      <c r="C1613" s="6" t="s">
        <v>233</v>
      </c>
      <c r="D1613" s="6">
        <v>4.43726246703558</v>
      </c>
      <c r="E1613" s="6" t="s">
        <v>90</v>
      </c>
      <c r="F1613" s="6" t="s">
        <v>59</v>
      </c>
      <c r="G1613" s="7">
        <v>60259.27520860936</v>
      </c>
      <c r="H1613" s="6">
        <v>267386.2201739299</v>
      </c>
      <c r="I1613" s="6" t="s">
        <v>179</v>
      </c>
      <c r="J1613" s="15">
        <v>40.40833333333333</v>
      </c>
    </row>
    <row r="1614" spans="1:10">
      <c r="A1614" s="6" t="s">
        <v>141</v>
      </c>
      <c r="B1614" s="6" t="s">
        <v>44</v>
      </c>
      <c r="C1614" s="6" t="s">
        <v>234</v>
      </c>
      <c r="D1614" s="6">
        <v>72.10890761467101</v>
      </c>
      <c r="E1614" s="6" t="s">
        <v>44</v>
      </c>
      <c r="F1614" s="6" t="s">
        <v>56</v>
      </c>
      <c r="G1614" s="7">
        <v>60675.69596540061</v>
      </c>
      <c r="H1614" s="6">
        <v>4375258.154824939</v>
      </c>
      <c r="I1614" s="6" t="s">
        <v>179</v>
      </c>
      <c r="J1614" s="15">
        <v>37.40833333333333</v>
      </c>
    </row>
    <row r="1615" spans="1:10">
      <c r="A1615" s="6" t="s">
        <v>141</v>
      </c>
      <c r="B1615" s="6" t="s">
        <v>44</v>
      </c>
      <c r="C1615" s="6" t="s">
        <v>234</v>
      </c>
      <c r="D1615" s="6">
        <v>53.03258962080331</v>
      </c>
      <c r="E1615" s="6" t="s">
        <v>86</v>
      </c>
      <c r="F1615" s="6" t="s">
        <v>56</v>
      </c>
      <c r="G1615" s="7">
        <v>60675.69596540061</v>
      </c>
      <c r="H1615" s="6">
        <v>3217789.284089722</v>
      </c>
      <c r="I1615" s="6" t="s">
        <v>179</v>
      </c>
      <c r="J1615" s="15">
        <v>37.40833333333333</v>
      </c>
    </row>
    <row r="1616" spans="1:10">
      <c r="A1616" s="6" t="s">
        <v>141</v>
      </c>
      <c r="B1616" s="6" t="s">
        <v>44</v>
      </c>
      <c r="C1616" s="6" t="s">
        <v>234</v>
      </c>
      <c r="D1616" s="6">
        <v>82.17933333333333</v>
      </c>
      <c r="E1616" s="6" t="s">
        <v>88</v>
      </c>
      <c r="F1616" s="6" t="s">
        <v>56</v>
      </c>
      <c r="G1616" s="7">
        <v>60675.69596540061</v>
      </c>
      <c r="H1616" s="6">
        <v>4986288.243972645</v>
      </c>
      <c r="I1616" s="6" t="s">
        <v>179</v>
      </c>
      <c r="J1616" s="15">
        <v>37.40833333333333</v>
      </c>
    </row>
    <row r="1617" spans="1:10">
      <c r="A1617" s="6" t="s">
        <v>141</v>
      </c>
      <c r="B1617" s="6" t="s">
        <v>44</v>
      </c>
      <c r="C1617" s="6" t="s">
        <v>234</v>
      </c>
      <c r="D1617" s="6">
        <v>25.93434529008148</v>
      </c>
      <c r="E1617" s="6" t="s">
        <v>90</v>
      </c>
      <c r="F1617" s="6" t="s">
        <v>56</v>
      </c>
      <c r="G1617" s="7">
        <v>60675.69596540061</v>
      </c>
      <c r="H1617" s="6">
        <v>1573584.449882703</v>
      </c>
      <c r="I1617" s="6" t="s">
        <v>179</v>
      </c>
      <c r="J1617" s="15">
        <v>37.40833333333333</v>
      </c>
    </row>
    <row r="1618" spans="1:10">
      <c r="A1618" s="6" t="s">
        <v>141</v>
      </c>
      <c r="B1618" s="6" t="s">
        <v>44</v>
      </c>
      <c r="C1618" s="6" t="s">
        <v>235</v>
      </c>
      <c r="D1618" s="6">
        <v>0.4598333333333334</v>
      </c>
      <c r="E1618" s="6" t="s">
        <v>44</v>
      </c>
      <c r="F1618" s="6" t="s">
        <v>53</v>
      </c>
      <c r="G1618" s="7">
        <v>42906.76971531406</v>
      </c>
      <c r="H1618" s="6">
        <v>19729.96294075859</v>
      </c>
      <c r="I1618" s="6" t="s">
        <v>180</v>
      </c>
      <c r="J1618" s="15">
        <v>9.134588041494082</v>
      </c>
    </row>
    <row r="1619" spans="1:10">
      <c r="A1619" s="6" t="s">
        <v>141</v>
      </c>
      <c r="B1619" s="6" t="s">
        <v>44</v>
      </c>
      <c r="C1619" s="6" t="s">
        <v>236</v>
      </c>
      <c r="D1619" s="6">
        <v>1614.211796536909</v>
      </c>
      <c r="E1619" s="6" t="s">
        <v>44</v>
      </c>
      <c r="F1619" s="6" t="s">
        <v>51</v>
      </c>
      <c r="G1619" s="7">
        <v>16875.52434086435</v>
      </c>
      <c r="H1619" s="6">
        <v>27240670.46376899</v>
      </c>
      <c r="I1619" s="6" t="s">
        <v>179</v>
      </c>
      <c r="J1619" s="15">
        <v>16.31666666666667</v>
      </c>
    </row>
    <row r="1620" spans="1:10">
      <c r="A1620" s="6" t="s">
        <v>141</v>
      </c>
      <c r="B1620" s="6" t="s">
        <v>44</v>
      </c>
      <c r="C1620" s="6" t="s">
        <v>236</v>
      </c>
      <c r="D1620" s="6">
        <v>211.6204455974402</v>
      </c>
      <c r="E1620" s="6" t="s">
        <v>86</v>
      </c>
      <c r="F1620" s="6" t="s">
        <v>51</v>
      </c>
      <c r="G1620" s="7">
        <v>16875.52434086435</v>
      </c>
      <c r="H1620" s="6">
        <v>3571205.980704164</v>
      </c>
      <c r="I1620" s="6" t="s">
        <v>179</v>
      </c>
      <c r="J1620" s="15">
        <v>16.31666666666667</v>
      </c>
    </row>
    <row r="1621" spans="1:10">
      <c r="A1621" s="6" t="s">
        <v>141</v>
      </c>
      <c r="B1621" s="6" t="s">
        <v>44</v>
      </c>
      <c r="C1621" s="6" t="s">
        <v>236</v>
      </c>
      <c r="D1621" s="6">
        <v>190.0565</v>
      </c>
      <c r="E1621" s="6" t="s">
        <v>88</v>
      </c>
      <c r="F1621" s="6" t="s">
        <v>51</v>
      </c>
      <c r="G1621" s="7">
        <v>16875.52434086435</v>
      </c>
      <c r="H1621" s="6">
        <v>3207303.091889486</v>
      </c>
      <c r="I1621" s="6" t="s">
        <v>179</v>
      </c>
      <c r="J1621" s="15">
        <v>16.31666666666667</v>
      </c>
    </row>
    <row r="1622" spans="1:10">
      <c r="A1622" s="6" t="s">
        <v>141</v>
      </c>
      <c r="B1622" s="6" t="s">
        <v>44</v>
      </c>
      <c r="C1622" s="6" t="s">
        <v>236</v>
      </c>
      <c r="D1622" s="6">
        <v>69.12103321750924</v>
      </c>
      <c r="E1622" s="6" t="s">
        <v>90</v>
      </c>
      <c r="F1622" s="6" t="s">
        <v>51</v>
      </c>
      <c r="G1622" s="7">
        <v>16875.52434086435</v>
      </c>
      <c r="H1622" s="6">
        <v>1166453.678527771</v>
      </c>
      <c r="I1622" s="6" t="s">
        <v>179</v>
      </c>
      <c r="J1622" s="15">
        <v>16.31666666666667</v>
      </c>
    </row>
    <row r="1623" spans="1:10">
      <c r="A1623" s="6" t="s">
        <v>141</v>
      </c>
      <c r="B1623" s="6" t="s">
        <v>44</v>
      </c>
      <c r="C1623" s="6" t="s">
        <v>236</v>
      </c>
      <c r="D1623" s="6">
        <v>2.0955</v>
      </c>
      <c r="E1623" s="6" t="s">
        <v>92</v>
      </c>
      <c r="F1623" s="6" t="s">
        <v>51</v>
      </c>
      <c r="G1623" s="7">
        <v>16875.52434086435</v>
      </c>
      <c r="H1623" s="6">
        <v>35362.66125628125</v>
      </c>
      <c r="I1623" s="6" t="s">
        <v>179</v>
      </c>
      <c r="J1623" s="15">
        <v>16.31666666666667</v>
      </c>
    </row>
    <row r="1624" spans="1:10">
      <c r="A1624" s="6" t="s">
        <v>141</v>
      </c>
      <c r="B1624" s="6" t="s">
        <v>44</v>
      </c>
      <c r="C1624" s="6" t="s">
        <v>237</v>
      </c>
      <c r="D1624" s="6">
        <v>215.0049718315247</v>
      </c>
      <c r="E1624" s="6" t="s">
        <v>44</v>
      </c>
      <c r="F1624" s="6" t="s">
        <v>51</v>
      </c>
      <c r="G1624" s="7">
        <v>25931.08338799715</v>
      </c>
      <c r="H1624" s="6">
        <v>5575311.853397246</v>
      </c>
      <c r="I1624" s="6" t="s">
        <v>179</v>
      </c>
      <c r="J1624" s="15">
        <v>20</v>
      </c>
    </row>
    <row r="1625" spans="1:10">
      <c r="A1625" s="6" t="s">
        <v>141</v>
      </c>
      <c r="B1625" s="6" t="s">
        <v>44</v>
      </c>
      <c r="C1625" s="6" t="s">
        <v>237</v>
      </c>
      <c r="D1625" s="6">
        <v>28.99220715112982</v>
      </c>
      <c r="E1625" s="6" t="s">
        <v>86</v>
      </c>
      <c r="F1625" s="6" t="s">
        <v>51</v>
      </c>
      <c r="G1625" s="7">
        <v>25931.08338799715</v>
      </c>
      <c r="H1625" s="6">
        <v>751799.3412380348</v>
      </c>
      <c r="I1625" s="6" t="s">
        <v>179</v>
      </c>
      <c r="J1625" s="15">
        <v>20</v>
      </c>
    </row>
    <row r="1626" spans="1:10">
      <c r="A1626" s="6" t="s">
        <v>141</v>
      </c>
      <c r="B1626" s="6" t="s">
        <v>44</v>
      </c>
      <c r="C1626" s="6" t="s">
        <v>237</v>
      </c>
      <c r="D1626" s="6">
        <v>18.55433333333333</v>
      </c>
      <c r="E1626" s="6" t="s">
        <v>88</v>
      </c>
      <c r="F1626" s="6" t="s">
        <v>51</v>
      </c>
      <c r="G1626" s="7">
        <v>25931.08338799715</v>
      </c>
      <c r="H1626" s="6">
        <v>481133.9648753618</v>
      </c>
      <c r="I1626" s="6" t="s">
        <v>179</v>
      </c>
      <c r="J1626" s="15">
        <v>20</v>
      </c>
    </row>
    <row r="1627" spans="1:10">
      <c r="A1627" s="6" t="s">
        <v>141</v>
      </c>
      <c r="B1627" s="6" t="s">
        <v>44</v>
      </c>
      <c r="C1627" s="6" t="s">
        <v>237</v>
      </c>
      <c r="D1627" s="6">
        <v>10.78419881559664</v>
      </c>
      <c r="E1627" s="6" t="s">
        <v>90</v>
      </c>
      <c r="F1627" s="6" t="s">
        <v>51</v>
      </c>
      <c r="G1627" s="7">
        <v>25931.08338799715</v>
      </c>
      <c r="H1627" s="6">
        <v>279645.9587599766</v>
      </c>
      <c r="I1627" s="6" t="s">
        <v>179</v>
      </c>
      <c r="J1627" s="15">
        <v>20</v>
      </c>
    </row>
    <row r="1628" spans="1:10">
      <c r="A1628" s="6" t="s">
        <v>141</v>
      </c>
      <c r="B1628" s="6" t="s">
        <v>44</v>
      </c>
      <c r="C1628" s="6" t="s">
        <v>237</v>
      </c>
      <c r="D1628" s="6">
        <v>0.06</v>
      </c>
      <c r="E1628" s="6" t="s">
        <v>92</v>
      </c>
      <c r="F1628" s="6" t="s">
        <v>51</v>
      </c>
      <c r="G1628" s="7">
        <v>25931.08338799715</v>
      </c>
      <c r="H1628" s="6">
        <v>1555.865003279829</v>
      </c>
      <c r="I1628" s="6" t="s">
        <v>179</v>
      </c>
      <c r="J1628" s="15">
        <v>20</v>
      </c>
    </row>
    <row r="1629" spans="1:10">
      <c r="A1629" s="6" t="s">
        <v>141</v>
      </c>
      <c r="B1629" s="6" t="s">
        <v>44</v>
      </c>
      <c r="C1629" s="6" t="s">
        <v>238</v>
      </c>
      <c r="D1629" s="6">
        <v>530.4375229002</v>
      </c>
      <c r="E1629" s="6" t="s">
        <v>44</v>
      </c>
      <c r="F1629" s="6" t="s">
        <v>51</v>
      </c>
      <c r="G1629" s="7">
        <v>21509.06685400382</v>
      </c>
      <c r="H1629" s="6">
        <v>11409216.14193258</v>
      </c>
      <c r="I1629" s="6" t="s">
        <v>179</v>
      </c>
      <c r="J1629" s="15">
        <v>11</v>
      </c>
    </row>
    <row r="1630" spans="1:10">
      <c r="A1630" s="6" t="s">
        <v>141</v>
      </c>
      <c r="B1630" s="6" t="s">
        <v>44</v>
      </c>
      <c r="C1630" s="6" t="s">
        <v>238</v>
      </c>
      <c r="D1630" s="6">
        <v>120.2067396030705</v>
      </c>
      <c r="E1630" s="6" t="s">
        <v>86</v>
      </c>
      <c r="F1630" s="6" t="s">
        <v>51</v>
      </c>
      <c r="G1630" s="7">
        <v>21509.06685400382</v>
      </c>
      <c r="H1630" s="6">
        <v>2585534.798424273</v>
      </c>
      <c r="I1630" s="6" t="s">
        <v>179</v>
      </c>
      <c r="J1630" s="15">
        <v>11</v>
      </c>
    </row>
    <row r="1631" spans="1:10">
      <c r="A1631" s="6" t="s">
        <v>141</v>
      </c>
      <c r="B1631" s="6" t="s">
        <v>44</v>
      </c>
      <c r="C1631" s="6" t="s">
        <v>238</v>
      </c>
      <c r="D1631" s="6">
        <v>73.16608333333333</v>
      </c>
      <c r="E1631" s="6" t="s">
        <v>88</v>
      </c>
      <c r="F1631" s="6" t="s">
        <v>51</v>
      </c>
      <c r="G1631" s="7">
        <v>21509.06685400382</v>
      </c>
      <c r="H1631" s="6">
        <v>1573734.177862281</v>
      </c>
      <c r="I1631" s="6" t="s">
        <v>179</v>
      </c>
      <c r="J1631" s="15">
        <v>11</v>
      </c>
    </row>
    <row r="1632" spans="1:10">
      <c r="A1632" s="6" t="s">
        <v>141</v>
      </c>
      <c r="B1632" s="6" t="s">
        <v>44</v>
      </c>
      <c r="C1632" s="6" t="s">
        <v>238</v>
      </c>
      <c r="D1632" s="6">
        <v>10.26575069144234</v>
      </c>
      <c r="E1632" s="6" t="s">
        <v>90</v>
      </c>
      <c r="F1632" s="6" t="s">
        <v>51</v>
      </c>
      <c r="G1632" s="7">
        <v>21509.06685400382</v>
      </c>
      <c r="H1632" s="6">
        <v>220806.7179287691</v>
      </c>
      <c r="I1632" s="6" t="s">
        <v>179</v>
      </c>
      <c r="J1632" s="15">
        <v>11</v>
      </c>
    </row>
    <row r="1633" spans="1:10">
      <c r="A1633" s="6" t="s">
        <v>141</v>
      </c>
      <c r="B1633" s="6" t="s">
        <v>44</v>
      </c>
      <c r="C1633" s="6" t="s">
        <v>239</v>
      </c>
      <c r="D1633" s="6">
        <v>240.1214991837992</v>
      </c>
      <c r="E1633" s="6" t="s">
        <v>44</v>
      </c>
      <c r="F1633" s="6" t="s">
        <v>54</v>
      </c>
      <c r="G1633" s="7">
        <v>91141.09901653728</v>
      </c>
      <c r="H1633" s="6">
        <v>21884937.33311002</v>
      </c>
      <c r="I1633" s="6" t="s">
        <v>179</v>
      </c>
      <c r="J1633" s="15">
        <v>62</v>
      </c>
    </row>
    <row r="1634" spans="1:10">
      <c r="A1634" s="6" t="s">
        <v>141</v>
      </c>
      <c r="B1634" s="6" t="s">
        <v>44</v>
      </c>
      <c r="C1634" s="6" t="s">
        <v>239</v>
      </c>
      <c r="D1634" s="6">
        <v>13.48460451350812</v>
      </c>
      <c r="E1634" s="6" t="s">
        <v>86</v>
      </c>
      <c r="F1634" s="6" t="s">
        <v>54</v>
      </c>
      <c r="G1634" s="7">
        <v>91141.09901653728</v>
      </c>
      <c r="H1634" s="6">
        <v>1229001.67516449</v>
      </c>
      <c r="I1634" s="6" t="s">
        <v>179</v>
      </c>
      <c r="J1634" s="15">
        <v>62</v>
      </c>
    </row>
    <row r="1635" spans="1:10">
      <c r="A1635" s="6" t="s">
        <v>141</v>
      </c>
      <c r="B1635" s="6" t="s">
        <v>44</v>
      </c>
      <c r="C1635" s="6" t="s">
        <v>239</v>
      </c>
      <c r="D1635" s="6">
        <v>16.93625</v>
      </c>
      <c r="E1635" s="6" t="s">
        <v>88</v>
      </c>
      <c r="F1635" s="6" t="s">
        <v>54</v>
      </c>
      <c r="G1635" s="7">
        <v>91141.09901653728</v>
      </c>
      <c r="H1635" s="6">
        <v>1543588.438218829</v>
      </c>
      <c r="I1635" s="6" t="s">
        <v>179</v>
      </c>
      <c r="J1635" s="15">
        <v>62</v>
      </c>
    </row>
    <row r="1636" spans="1:10">
      <c r="A1636" s="6" t="s">
        <v>141</v>
      </c>
      <c r="B1636" s="6" t="s">
        <v>44</v>
      </c>
      <c r="C1636" s="6" t="s">
        <v>239</v>
      </c>
      <c r="D1636" s="6">
        <v>5.667856751169697</v>
      </c>
      <c r="E1636" s="6" t="s">
        <v>90</v>
      </c>
      <c r="F1636" s="6" t="s">
        <v>54</v>
      </c>
      <c r="G1636" s="7">
        <v>91141.09901653728</v>
      </c>
      <c r="H1636" s="6">
        <v>516574.6933699066</v>
      </c>
      <c r="I1636" s="6" t="s">
        <v>179</v>
      </c>
      <c r="J1636" s="15">
        <v>62</v>
      </c>
    </row>
    <row r="1637" spans="1:10">
      <c r="A1637" s="6" t="s">
        <v>141</v>
      </c>
      <c r="B1637" s="6" t="s">
        <v>44</v>
      </c>
      <c r="C1637" s="6" t="s">
        <v>240</v>
      </c>
      <c r="D1637" s="6">
        <v>14.50678076919654</v>
      </c>
      <c r="E1637" s="6" t="s">
        <v>44</v>
      </c>
      <c r="F1637" s="6" t="s">
        <v>51</v>
      </c>
      <c r="G1637" s="7">
        <v>18174.39388396715</v>
      </c>
      <c r="H1637" s="6">
        <v>263651.9476877379</v>
      </c>
      <c r="I1637" s="6" t="s">
        <v>179</v>
      </c>
      <c r="J1637" s="15">
        <v>18</v>
      </c>
    </row>
    <row r="1638" spans="1:10">
      <c r="A1638" s="6" t="s">
        <v>141</v>
      </c>
      <c r="B1638" s="6" t="s">
        <v>44</v>
      </c>
      <c r="C1638" s="6" t="s">
        <v>240</v>
      </c>
      <c r="D1638" s="6">
        <v>2.632015367785006</v>
      </c>
      <c r="E1638" s="6" t="s">
        <v>86</v>
      </c>
      <c r="F1638" s="6" t="s">
        <v>51</v>
      </c>
      <c r="G1638" s="7">
        <v>18174.39388396715</v>
      </c>
      <c r="H1638" s="6">
        <v>47835.28400277937</v>
      </c>
      <c r="I1638" s="6" t="s">
        <v>179</v>
      </c>
      <c r="J1638" s="15">
        <v>18</v>
      </c>
    </row>
    <row r="1639" spans="1:10">
      <c r="A1639" s="6" t="s">
        <v>141</v>
      </c>
      <c r="B1639" s="6" t="s">
        <v>44</v>
      </c>
      <c r="C1639" s="6" t="s">
        <v>240</v>
      </c>
      <c r="D1639" s="6">
        <v>1.696166666666667</v>
      </c>
      <c r="E1639" s="6" t="s">
        <v>88</v>
      </c>
      <c r="F1639" s="6" t="s">
        <v>51</v>
      </c>
      <c r="G1639" s="7">
        <v>18174.39388396715</v>
      </c>
      <c r="H1639" s="6">
        <v>30826.80109285561</v>
      </c>
      <c r="I1639" s="6" t="s">
        <v>179</v>
      </c>
      <c r="J1639" s="15">
        <v>18</v>
      </c>
    </row>
    <row r="1640" spans="1:10">
      <c r="A1640" s="6" t="s">
        <v>141</v>
      </c>
      <c r="B1640" s="6" t="s">
        <v>44</v>
      </c>
      <c r="C1640" s="6" t="s">
        <v>240</v>
      </c>
      <c r="D1640" s="6">
        <v>1.2728018195486</v>
      </c>
      <c r="E1640" s="6" t="s">
        <v>90</v>
      </c>
      <c r="F1640" s="6" t="s">
        <v>51</v>
      </c>
      <c r="G1640" s="7">
        <v>18174.39388396715</v>
      </c>
      <c r="H1640" s="6">
        <v>23132.40160470633</v>
      </c>
      <c r="I1640" s="6" t="s">
        <v>179</v>
      </c>
      <c r="J1640" s="15">
        <v>18</v>
      </c>
    </row>
    <row r="1641" spans="1:10">
      <c r="A1641" s="6" t="s">
        <v>141</v>
      </c>
      <c r="B1641" s="6" t="s">
        <v>44</v>
      </c>
      <c r="C1641" s="6" t="s">
        <v>241</v>
      </c>
      <c r="D1641" s="6">
        <v>117.3164457351689</v>
      </c>
      <c r="E1641" s="6" t="s">
        <v>44</v>
      </c>
      <c r="F1641" s="6" t="s">
        <v>53</v>
      </c>
      <c r="G1641" s="7">
        <v>99604.76839742137</v>
      </c>
      <c r="H1641" s="6">
        <v>11685277.40666015</v>
      </c>
      <c r="I1641" s="6" t="s">
        <v>179</v>
      </c>
      <c r="J1641" s="15">
        <v>49.08333333333333</v>
      </c>
    </row>
    <row r="1642" spans="1:10">
      <c r="A1642" s="6" t="s">
        <v>141</v>
      </c>
      <c r="B1642" s="6" t="s">
        <v>44</v>
      </c>
      <c r="C1642" s="6" t="s">
        <v>241</v>
      </c>
      <c r="D1642" s="6">
        <v>0.005628290154530271</v>
      </c>
      <c r="E1642" s="6" t="s">
        <v>86</v>
      </c>
      <c r="F1642" s="6" t="s">
        <v>53</v>
      </c>
      <c r="G1642" s="7">
        <v>99604.76839742137</v>
      </c>
      <c r="H1642" s="6">
        <v>560.6045373154745</v>
      </c>
      <c r="I1642" s="6" t="s">
        <v>179</v>
      </c>
      <c r="J1642" s="15">
        <v>49.08333333333333</v>
      </c>
    </row>
    <row r="1643" spans="1:10">
      <c r="A1643" s="6" t="s">
        <v>141</v>
      </c>
      <c r="B1643" s="6" t="s">
        <v>44</v>
      </c>
      <c r="C1643" s="6" t="s">
        <v>241</v>
      </c>
      <c r="D1643" s="6">
        <v>0.2860613371323205</v>
      </c>
      <c r="E1643" s="6" t="s">
        <v>90</v>
      </c>
      <c r="F1643" s="6" t="s">
        <v>53</v>
      </c>
      <c r="G1643" s="7">
        <v>99604.76839742137</v>
      </c>
      <c r="H1643" s="6">
        <v>28493.07323252146</v>
      </c>
      <c r="I1643" s="6" t="s">
        <v>179</v>
      </c>
      <c r="J1643" s="15">
        <v>49.08333333333333</v>
      </c>
    </row>
    <row r="1644" spans="1:10">
      <c r="A1644" s="6" t="s">
        <v>141</v>
      </c>
      <c r="B1644" s="6" t="s">
        <v>44</v>
      </c>
      <c r="C1644" s="6" t="s">
        <v>242</v>
      </c>
      <c r="D1644" s="6">
        <v>964.4986123418506</v>
      </c>
      <c r="E1644" s="6" t="s">
        <v>44</v>
      </c>
      <c r="F1644" s="6" t="s">
        <v>56</v>
      </c>
      <c r="G1644" s="7">
        <v>41454.84700212286</v>
      </c>
      <c r="H1644" s="6">
        <v>39983142.40839123</v>
      </c>
      <c r="I1644" s="6" t="s">
        <v>179</v>
      </c>
      <c r="J1644" s="15">
        <v>28.81666666666667</v>
      </c>
    </row>
    <row r="1645" spans="1:10">
      <c r="A1645" s="6" t="s">
        <v>141</v>
      </c>
      <c r="B1645" s="6" t="s">
        <v>44</v>
      </c>
      <c r="C1645" s="6" t="s">
        <v>242</v>
      </c>
      <c r="D1645" s="6">
        <v>14.8626405901221</v>
      </c>
      <c r="E1645" s="6" t="s">
        <v>86</v>
      </c>
      <c r="F1645" s="6" t="s">
        <v>56</v>
      </c>
      <c r="G1645" s="7">
        <v>41454.84700212286</v>
      </c>
      <c r="H1645" s="6">
        <v>616128.4917110526</v>
      </c>
      <c r="I1645" s="6" t="s">
        <v>179</v>
      </c>
      <c r="J1645" s="15">
        <v>28.81666666666667</v>
      </c>
    </row>
    <row r="1646" spans="1:10">
      <c r="A1646" s="6" t="s">
        <v>141</v>
      </c>
      <c r="B1646" s="6" t="s">
        <v>44</v>
      </c>
      <c r="C1646" s="6" t="s">
        <v>242</v>
      </c>
      <c r="D1646" s="6">
        <v>13.48733333333333</v>
      </c>
      <c r="E1646" s="6" t="s">
        <v>88</v>
      </c>
      <c r="F1646" s="6" t="s">
        <v>56</v>
      </c>
      <c r="G1646" s="7">
        <v>41454.84700212286</v>
      </c>
      <c r="H1646" s="6">
        <v>559115.3397999651</v>
      </c>
      <c r="I1646" s="6" t="s">
        <v>179</v>
      </c>
      <c r="J1646" s="15">
        <v>28.81666666666667</v>
      </c>
    </row>
    <row r="1647" spans="1:10">
      <c r="A1647" s="6" t="s">
        <v>141</v>
      </c>
      <c r="B1647" s="6" t="s">
        <v>44</v>
      </c>
      <c r="C1647" s="6" t="s">
        <v>242</v>
      </c>
      <c r="D1647" s="6">
        <v>14.27231227058445</v>
      </c>
      <c r="E1647" s="6" t="s">
        <v>90</v>
      </c>
      <c r="F1647" s="6" t="s">
        <v>56</v>
      </c>
      <c r="G1647" s="7">
        <v>41454.84700212286</v>
      </c>
      <c r="H1647" s="6">
        <v>591656.5215435992</v>
      </c>
      <c r="I1647" s="6" t="s">
        <v>179</v>
      </c>
      <c r="J1647" s="15">
        <v>28.81666666666667</v>
      </c>
    </row>
    <row r="1648" spans="1:10">
      <c r="A1648" s="6" t="s">
        <v>141</v>
      </c>
      <c r="B1648" s="6" t="s">
        <v>44</v>
      </c>
      <c r="C1648" s="6" t="s">
        <v>243</v>
      </c>
      <c r="D1648" s="6">
        <v>1.527356024062985</v>
      </c>
      <c r="E1648" s="6" t="s">
        <v>44</v>
      </c>
      <c r="F1648" s="6" t="s">
        <v>58</v>
      </c>
      <c r="G1648" s="7">
        <v>39072.48177856206</v>
      </c>
      <c r="H1648" s="6">
        <v>59677.59041957798</v>
      </c>
      <c r="I1648" s="6" t="s">
        <v>180</v>
      </c>
      <c r="J1648" s="15">
        <v>7.714159192642155</v>
      </c>
    </row>
    <row r="1649" spans="1:10">
      <c r="A1649" s="6" t="s">
        <v>141</v>
      </c>
      <c r="B1649" s="6" t="s">
        <v>44</v>
      </c>
      <c r="C1649" s="6" t="s">
        <v>243</v>
      </c>
      <c r="D1649" s="6">
        <v>0.1657144876912841</v>
      </c>
      <c r="E1649" s="6" t="s">
        <v>86</v>
      </c>
      <c r="F1649" s="6" t="s">
        <v>58</v>
      </c>
      <c r="G1649" s="7">
        <v>39072.48177856206</v>
      </c>
      <c r="H1649" s="6">
        <v>6474.876300761445</v>
      </c>
      <c r="I1649" s="6" t="s">
        <v>180</v>
      </c>
      <c r="J1649" s="15">
        <v>7.714159192642155</v>
      </c>
    </row>
    <row r="1650" spans="1:10">
      <c r="A1650" s="6" t="s">
        <v>141</v>
      </c>
      <c r="B1650" s="6" t="s">
        <v>44</v>
      </c>
      <c r="C1650" s="6" t="s">
        <v>243</v>
      </c>
      <c r="D1650" s="6">
        <v>0.1223333333333333</v>
      </c>
      <c r="E1650" s="6" t="s">
        <v>88</v>
      </c>
      <c r="F1650" s="6" t="s">
        <v>58</v>
      </c>
      <c r="G1650" s="7">
        <v>39072.48177856206</v>
      </c>
      <c r="H1650" s="6">
        <v>4779.866937577425</v>
      </c>
      <c r="I1650" s="6" t="s">
        <v>180</v>
      </c>
      <c r="J1650" s="15">
        <v>7.714159192642155</v>
      </c>
    </row>
    <row r="1651" spans="1:10">
      <c r="A1651" s="6" t="s">
        <v>141</v>
      </c>
      <c r="B1651" s="6" t="s">
        <v>44</v>
      </c>
      <c r="C1651" s="6" t="s">
        <v>243</v>
      </c>
      <c r="D1651" s="6">
        <v>0.12825</v>
      </c>
      <c r="E1651" s="6" t="s">
        <v>90</v>
      </c>
      <c r="F1651" s="6" t="s">
        <v>58</v>
      </c>
      <c r="G1651" s="7">
        <v>39072.48177856206</v>
      </c>
      <c r="H1651" s="6">
        <v>5011.045788100584</v>
      </c>
      <c r="I1651" s="6" t="s">
        <v>180</v>
      </c>
      <c r="J1651" s="15">
        <v>7.714159192642155</v>
      </c>
    </row>
    <row r="1652" spans="1:10">
      <c r="A1652" s="6" t="s">
        <v>141</v>
      </c>
      <c r="B1652" s="6" t="s">
        <v>44</v>
      </c>
      <c r="C1652" s="6" t="s">
        <v>244</v>
      </c>
      <c r="D1652" s="6">
        <v>0.7251666666666666</v>
      </c>
      <c r="E1652" s="6" t="s">
        <v>44</v>
      </c>
      <c r="F1652" s="6" t="s">
        <v>55</v>
      </c>
      <c r="G1652" s="7">
        <v>48324.15434814322</v>
      </c>
      <c r="H1652" s="6">
        <v>35043.06592812852</v>
      </c>
      <c r="I1652" s="6" t="s">
        <v>180</v>
      </c>
      <c r="J1652" s="15">
        <v>25.75</v>
      </c>
    </row>
    <row r="1653" spans="1:10">
      <c r="A1653" s="6" t="s">
        <v>141</v>
      </c>
      <c r="B1653" s="6" t="s">
        <v>44</v>
      </c>
      <c r="C1653" s="6" t="s">
        <v>245</v>
      </c>
      <c r="D1653" s="6">
        <v>98.16825274421201</v>
      </c>
      <c r="E1653" s="6" t="s">
        <v>44</v>
      </c>
      <c r="F1653" s="6" t="s">
        <v>53</v>
      </c>
      <c r="G1653" s="7">
        <v>62850.67711465339</v>
      </c>
      <c r="H1653" s="6">
        <v>6169941.156136156</v>
      </c>
      <c r="I1653" s="6" t="s">
        <v>179</v>
      </c>
      <c r="J1653" s="15">
        <v>35.45833333333333</v>
      </c>
    </row>
    <row r="1654" spans="1:10">
      <c r="A1654" s="6" t="s">
        <v>141</v>
      </c>
      <c r="B1654" s="6" t="s">
        <v>44</v>
      </c>
      <c r="C1654" s="6" t="s">
        <v>245</v>
      </c>
      <c r="D1654" s="6">
        <v>1.60389872168021</v>
      </c>
      <c r="E1654" s="6" t="s">
        <v>86</v>
      </c>
      <c r="F1654" s="6" t="s">
        <v>53</v>
      </c>
      <c r="G1654" s="7">
        <v>62850.67711465339</v>
      </c>
      <c r="H1654" s="6">
        <v>100806.1206809282</v>
      </c>
      <c r="I1654" s="6" t="s">
        <v>179</v>
      </c>
      <c r="J1654" s="15">
        <v>35.45833333333333</v>
      </c>
    </row>
    <row r="1655" spans="1:10">
      <c r="A1655" s="6" t="s">
        <v>141</v>
      </c>
      <c r="B1655" s="6" t="s">
        <v>44</v>
      </c>
      <c r="C1655" s="6" t="s">
        <v>245</v>
      </c>
      <c r="D1655" s="6">
        <v>2.616</v>
      </c>
      <c r="E1655" s="6" t="s">
        <v>88</v>
      </c>
      <c r="F1655" s="6" t="s">
        <v>53</v>
      </c>
      <c r="G1655" s="7">
        <v>62850.67711465339</v>
      </c>
      <c r="H1655" s="6">
        <v>164417.3713319333</v>
      </c>
      <c r="I1655" s="6" t="s">
        <v>179</v>
      </c>
      <c r="J1655" s="15">
        <v>35.45833333333333</v>
      </c>
    </row>
    <row r="1656" spans="1:10">
      <c r="A1656" s="6" t="s">
        <v>141</v>
      </c>
      <c r="B1656" s="6" t="s">
        <v>44</v>
      </c>
      <c r="C1656" s="6" t="s">
        <v>246</v>
      </c>
      <c r="D1656" s="6">
        <v>0.2948333333333333</v>
      </c>
      <c r="E1656" s="6" t="s">
        <v>44</v>
      </c>
      <c r="F1656" s="6" t="s">
        <v>53</v>
      </c>
      <c r="G1656" s="7">
        <v>41073.70877033749</v>
      </c>
      <c r="H1656" s="6">
        <v>12109.89846912117</v>
      </c>
      <c r="I1656" s="6" t="s">
        <v>180</v>
      </c>
      <c r="J1656" s="15">
        <v>8.45552254331084</v>
      </c>
    </row>
    <row r="1657" spans="1:10">
      <c r="A1657" s="6" t="s">
        <v>141</v>
      </c>
      <c r="B1657" s="6" t="s">
        <v>44</v>
      </c>
      <c r="C1657" s="6" t="s">
        <v>247</v>
      </c>
      <c r="D1657" s="6">
        <v>657.1490204644576</v>
      </c>
      <c r="E1657" s="6" t="s">
        <v>44</v>
      </c>
      <c r="F1657" s="6" t="s">
        <v>51</v>
      </c>
      <c r="G1657" s="7">
        <v>30572.38239922268</v>
      </c>
      <c r="H1657" s="6">
        <v>20090611.14691401</v>
      </c>
      <c r="I1657" s="6" t="s">
        <v>179</v>
      </c>
      <c r="J1657" s="15">
        <v>25.55</v>
      </c>
    </row>
    <row r="1658" spans="1:10">
      <c r="A1658" s="6" t="s">
        <v>141</v>
      </c>
      <c r="B1658" s="6" t="s">
        <v>44</v>
      </c>
      <c r="C1658" s="6" t="s">
        <v>247</v>
      </c>
      <c r="D1658" s="6">
        <v>20.47709503127708</v>
      </c>
      <c r="E1658" s="6" t="s">
        <v>86</v>
      </c>
      <c r="F1658" s="6" t="s">
        <v>51</v>
      </c>
      <c r="G1658" s="7">
        <v>30572.38239922268</v>
      </c>
      <c r="H1658" s="6">
        <v>626033.5797214257</v>
      </c>
      <c r="I1658" s="6" t="s">
        <v>179</v>
      </c>
      <c r="J1658" s="15">
        <v>25.55</v>
      </c>
    </row>
    <row r="1659" spans="1:10">
      <c r="A1659" s="6" t="s">
        <v>141</v>
      </c>
      <c r="B1659" s="6" t="s">
        <v>44</v>
      </c>
      <c r="C1659" s="6" t="s">
        <v>247</v>
      </c>
      <c r="D1659" s="6">
        <v>39.05883333333334</v>
      </c>
      <c r="E1659" s="6" t="s">
        <v>88</v>
      </c>
      <c r="F1659" s="6" t="s">
        <v>51</v>
      </c>
      <c r="G1659" s="7">
        <v>30572.38239922268</v>
      </c>
      <c r="H1659" s="6">
        <v>1194121.588734173</v>
      </c>
      <c r="I1659" s="6" t="s">
        <v>179</v>
      </c>
      <c r="J1659" s="15">
        <v>25.55</v>
      </c>
    </row>
    <row r="1660" spans="1:10">
      <c r="A1660" s="6" t="s">
        <v>141</v>
      </c>
      <c r="B1660" s="6" t="s">
        <v>44</v>
      </c>
      <c r="C1660" s="6" t="s">
        <v>247</v>
      </c>
      <c r="D1660" s="6">
        <v>8.075947554945254</v>
      </c>
      <c r="E1660" s="6" t="s">
        <v>90</v>
      </c>
      <c r="F1660" s="6" t="s">
        <v>51</v>
      </c>
      <c r="G1660" s="7">
        <v>30572.38239922268</v>
      </c>
      <c r="H1660" s="6">
        <v>246900.9568858537</v>
      </c>
      <c r="I1660" s="6" t="s">
        <v>179</v>
      </c>
      <c r="J1660" s="15">
        <v>25.55</v>
      </c>
    </row>
    <row r="1661" spans="1:10">
      <c r="A1661" s="6" t="s">
        <v>141</v>
      </c>
      <c r="B1661" s="6" t="s">
        <v>44</v>
      </c>
      <c r="C1661" s="6" t="s">
        <v>248</v>
      </c>
      <c r="D1661" s="6">
        <v>5.003495958072484</v>
      </c>
      <c r="E1661" s="6" t="s">
        <v>44</v>
      </c>
      <c r="F1661" s="6" t="s">
        <v>55</v>
      </c>
      <c r="G1661" s="7">
        <v>87415.63794531897</v>
      </c>
      <c r="H1661" s="6">
        <v>437383.7911317311</v>
      </c>
      <c r="I1661" s="6" t="s">
        <v>179</v>
      </c>
      <c r="J1661" s="15">
        <v>48.6</v>
      </c>
    </row>
    <row r="1662" spans="1:10">
      <c r="A1662" s="6" t="s">
        <v>141</v>
      </c>
      <c r="B1662" s="6" t="s">
        <v>44</v>
      </c>
      <c r="C1662" s="6" t="s">
        <v>248</v>
      </c>
      <c r="D1662" s="6">
        <v>0.0003677971018977595</v>
      </c>
      <c r="E1662" s="6" t="s">
        <v>86</v>
      </c>
      <c r="F1662" s="6" t="s">
        <v>55</v>
      </c>
      <c r="G1662" s="7">
        <v>87415.63794531897</v>
      </c>
      <c r="H1662" s="6">
        <v>32.15121829683213</v>
      </c>
      <c r="I1662" s="6" t="s">
        <v>179</v>
      </c>
      <c r="J1662" s="15">
        <v>48.6</v>
      </c>
    </row>
    <row r="1663" spans="1:10">
      <c r="A1663" s="6" t="s">
        <v>141</v>
      </c>
      <c r="B1663" s="6" t="s">
        <v>44</v>
      </c>
      <c r="C1663" s="6" t="s">
        <v>248</v>
      </c>
      <c r="D1663" s="6">
        <v>0.1133333333333333</v>
      </c>
      <c r="E1663" s="6" t="s">
        <v>88</v>
      </c>
      <c r="F1663" s="6" t="s">
        <v>55</v>
      </c>
      <c r="G1663" s="7">
        <v>87415.63794531897</v>
      </c>
      <c r="H1663" s="6">
        <v>9907.105633802817</v>
      </c>
      <c r="I1663" s="6" t="s">
        <v>179</v>
      </c>
      <c r="J1663" s="15">
        <v>48.6</v>
      </c>
    </row>
    <row r="1664" spans="1:10">
      <c r="A1664" s="6" t="s">
        <v>141</v>
      </c>
      <c r="B1664" s="6" t="s">
        <v>44</v>
      </c>
      <c r="C1664" s="6" t="s">
        <v>248</v>
      </c>
      <c r="D1664" s="6">
        <v>0.01804775857763826</v>
      </c>
      <c r="E1664" s="6" t="s">
        <v>90</v>
      </c>
      <c r="F1664" s="6" t="s">
        <v>55</v>
      </c>
      <c r="G1664" s="7">
        <v>87415.63794531897</v>
      </c>
      <c r="H1664" s="6">
        <v>1577.656329547351</v>
      </c>
      <c r="I1664" s="6" t="s">
        <v>179</v>
      </c>
      <c r="J1664" s="15">
        <v>48.6</v>
      </c>
    </row>
    <row r="1665" spans="1:10">
      <c r="A1665" s="6" t="s">
        <v>141</v>
      </c>
      <c r="B1665" s="6" t="s">
        <v>44</v>
      </c>
      <c r="C1665" s="6" t="s">
        <v>249</v>
      </c>
      <c r="D1665" s="6">
        <v>590.9476940364433</v>
      </c>
      <c r="E1665" s="6" t="s">
        <v>44</v>
      </c>
      <c r="F1665" s="6" t="s">
        <v>53</v>
      </c>
      <c r="G1665" s="7">
        <v>42005.85786023017</v>
      </c>
      <c r="H1665" s="6">
        <v>24823264.83852563</v>
      </c>
      <c r="I1665" s="6" t="s">
        <v>179</v>
      </c>
      <c r="J1665" s="15">
        <v>39.98333333333333</v>
      </c>
    </row>
    <row r="1666" spans="1:10">
      <c r="A1666" s="6" t="s">
        <v>141</v>
      </c>
      <c r="B1666" s="6" t="s">
        <v>44</v>
      </c>
      <c r="C1666" s="6" t="s">
        <v>249</v>
      </c>
      <c r="D1666" s="6">
        <v>2.462014380337058</v>
      </c>
      <c r="E1666" s="6" t="s">
        <v>86</v>
      </c>
      <c r="F1666" s="6" t="s">
        <v>53</v>
      </c>
      <c r="G1666" s="7">
        <v>42005.85786023017</v>
      </c>
      <c r="H1666" s="6">
        <v>103419.0261102811</v>
      </c>
      <c r="I1666" s="6" t="s">
        <v>179</v>
      </c>
      <c r="J1666" s="15">
        <v>39.98333333333333</v>
      </c>
    </row>
    <row r="1667" spans="1:10">
      <c r="A1667" s="6" t="s">
        <v>141</v>
      </c>
      <c r="B1667" s="6" t="s">
        <v>44</v>
      </c>
      <c r="C1667" s="6" t="s">
        <v>249</v>
      </c>
      <c r="D1667" s="6">
        <v>3.309666666666667</v>
      </c>
      <c r="E1667" s="6" t="s">
        <v>88</v>
      </c>
      <c r="F1667" s="6" t="s">
        <v>53</v>
      </c>
      <c r="G1667" s="7">
        <v>42005.85786023017</v>
      </c>
      <c r="H1667" s="6">
        <v>139025.3875647418</v>
      </c>
      <c r="I1667" s="6" t="s">
        <v>179</v>
      </c>
      <c r="J1667" s="15">
        <v>39.98333333333333</v>
      </c>
    </row>
    <row r="1668" spans="1:10">
      <c r="A1668" s="6" t="s">
        <v>141</v>
      </c>
      <c r="B1668" s="6" t="s">
        <v>44</v>
      </c>
      <c r="C1668" s="6" t="s">
        <v>249</v>
      </c>
      <c r="D1668" s="6">
        <v>0.01918074450195485</v>
      </c>
      <c r="E1668" s="6" t="s">
        <v>90</v>
      </c>
      <c r="F1668" s="6" t="s">
        <v>53</v>
      </c>
      <c r="G1668" s="7">
        <v>42005.85786023017</v>
      </c>
      <c r="H1668" s="6">
        <v>805.7036272025067</v>
      </c>
      <c r="I1668" s="6" t="s">
        <v>179</v>
      </c>
      <c r="J1668" s="15">
        <v>39.98333333333333</v>
      </c>
    </row>
    <row r="1669" spans="1:10">
      <c r="A1669" s="6" t="s">
        <v>141</v>
      </c>
      <c r="B1669" s="6" t="s">
        <v>44</v>
      </c>
      <c r="C1669" s="6" t="s">
        <v>250</v>
      </c>
      <c r="D1669" s="6">
        <v>2.00775</v>
      </c>
      <c r="E1669" s="6" t="s">
        <v>44</v>
      </c>
      <c r="F1669" s="6" t="s">
        <v>55</v>
      </c>
      <c r="G1669" s="7">
        <v>52905.45321842405</v>
      </c>
      <c r="H1669" s="6">
        <v>106220.9236992909</v>
      </c>
      <c r="I1669" s="6" t="s">
        <v>180</v>
      </c>
      <c r="J1669" s="15">
        <v>29</v>
      </c>
    </row>
    <row r="1670" spans="1:10">
      <c r="A1670" s="6" t="s">
        <v>141</v>
      </c>
      <c r="B1670" s="6" t="s">
        <v>44</v>
      </c>
      <c r="C1670" s="6" t="s">
        <v>251</v>
      </c>
      <c r="D1670" s="6">
        <v>4.317833333333333</v>
      </c>
      <c r="E1670" s="6" t="s">
        <v>44</v>
      </c>
      <c r="F1670" s="6" t="s">
        <v>53</v>
      </c>
      <c r="G1670" s="7">
        <v>35076.47747982296</v>
      </c>
      <c r="H1670" s="6">
        <v>151454.3836782956</v>
      </c>
      <c r="I1670" s="6" t="s">
        <v>179</v>
      </c>
      <c r="J1670" s="15">
        <v>8.671570765153875</v>
      </c>
    </row>
    <row r="1671" spans="1:10">
      <c r="A1671" s="6" t="s">
        <v>141</v>
      </c>
      <c r="B1671" s="6" t="s">
        <v>44</v>
      </c>
      <c r="C1671" s="6" t="s">
        <v>252</v>
      </c>
      <c r="D1671" s="6">
        <v>52.97847476653477</v>
      </c>
      <c r="E1671" s="6" t="s">
        <v>44</v>
      </c>
      <c r="F1671" s="6" t="s">
        <v>57</v>
      </c>
      <c r="G1671" s="7">
        <v>29402.0465874927</v>
      </c>
      <c r="H1671" s="6">
        <v>1557675.583219962</v>
      </c>
      <c r="I1671" s="6" t="s">
        <v>179</v>
      </c>
      <c r="J1671" s="15">
        <v>20</v>
      </c>
    </row>
    <row r="1672" spans="1:10">
      <c r="A1672" s="6" t="s">
        <v>141</v>
      </c>
      <c r="B1672" s="6" t="s">
        <v>44</v>
      </c>
      <c r="C1672" s="6" t="s">
        <v>252</v>
      </c>
      <c r="D1672" s="6">
        <v>1.245470931684229</v>
      </c>
      <c r="E1672" s="6" t="s">
        <v>86</v>
      </c>
      <c r="F1672" s="6" t="s">
        <v>57</v>
      </c>
      <c r="G1672" s="7">
        <v>29402.0465874927</v>
      </c>
      <c r="H1672" s="6">
        <v>36619.39435674763</v>
      </c>
      <c r="I1672" s="6" t="s">
        <v>179</v>
      </c>
      <c r="J1672" s="15">
        <v>20</v>
      </c>
    </row>
    <row r="1673" spans="1:10">
      <c r="A1673" s="6" t="s">
        <v>141</v>
      </c>
      <c r="B1673" s="6" t="s">
        <v>44</v>
      </c>
      <c r="C1673" s="6" t="s">
        <v>252</v>
      </c>
      <c r="D1673" s="6">
        <v>0.8992500000000001</v>
      </c>
      <c r="E1673" s="6" t="s">
        <v>88</v>
      </c>
      <c r="F1673" s="6" t="s">
        <v>57</v>
      </c>
      <c r="G1673" s="7">
        <v>29402.0465874927</v>
      </c>
      <c r="H1673" s="6">
        <v>26439.79039380281</v>
      </c>
      <c r="I1673" s="6" t="s">
        <v>179</v>
      </c>
      <c r="J1673" s="15">
        <v>20</v>
      </c>
    </row>
    <row r="1674" spans="1:10">
      <c r="A1674" s="6" t="s">
        <v>141</v>
      </c>
      <c r="B1674" s="6" t="s">
        <v>44</v>
      </c>
      <c r="C1674" s="6" t="s">
        <v>252</v>
      </c>
      <c r="D1674" s="6">
        <v>0.8830487146829487</v>
      </c>
      <c r="E1674" s="6" t="s">
        <v>90</v>
      </c>
      <c r="F1674" s="6" t="s">
        <v>57</v>
      </c>
      <c r="G1674" s="7">
        <v>29402.0465874927</v>
      </c>
      <c r="H1674" s="6">
        <v>25963.43944813361</v>
      </c>
      <c r="I1674" s="6" t="s">
        <v>179</v>
      </c>
      <c r="J1674" s="15">
        <v>20</v>
      </c>
    </row>
    <row r="1675" spans="1:10">
      <c r="A1675" s="6" t="s">
        <v>141</v>
      </c>
      <c r="B1675" s="6" t="s">
        <v>44</v>
      </c>
      <c r="C1675" s="6" t="s">
        <v>253</v>
      </c>
      <c r="D1675" s="6">
        <v>212.1963806947886</v>
      </c>
      <c r="E1675" s="6" t="s">
        <v>44</v>
      </c>
      <c r="F1675" s="6" t="s">
        <v>53</v>
      </c>
      <c r="G1675" s="7">
        <v>86249.99505382849</v>
      </c>
      <c r="H1675" s="6">
        <v>18301936.78536583</v>
      </c>
      <c r="I1675" s="6" t="s">
        <v>179</v>
      </c>
      <c r="J1675" s="15">
        <v>45.35</v>
      </c>
    </row>
    <row r="1676" spans="1:10">
      <c r="A1676" s="6" t="s">
        <v>141</v>
      </c>
      <c r="B1676" s="6" t="s">
        <v>44</v>
      </c>
      <c r="C1676" s="6" t="s">
        <v>253</v>
      </c>
      <c r="D1676" s="6">
        <v>0.002651053155079486</v>
      </c>
      <c r="E1676" s="6" t="s">
        <v>86</v>
      </c>
      <c r="F1676" s="6" t="s">
        <v>53</v>
      </c>
      <c r="G1676" s="7">
        <v>86249.99505382849</v>
      </c>
      <c r="H1676" s="6">
        <v>228.6533215130421</v>
      </c>
      <c r="I1676" s="6" t="s">
        <v>179</v>
      </c>
      <c r="J1676" s="15">
        <v>45.35</v>
      </c>
    </row>
    <row r="1677" spans="1:10">
      <c r="A1677" s="6" t="s">
        <v>141</v>
      </c>
      <c r="B1677" s="6" t="s">
        <v>44</v>
      </c>
      <c r="C1677" s="6" t="s">
        <v>253</v>
      </c>
      <c r="D1677" s="6">
        <v>0.1451108663066838</v>
      </c>
      <c r="E1677" s="6" t="s">
        <v>90</v>
      </c>
      <c r="F1677" s="6" t="s">
        <v>53</v>
      </c>
      <c r="G1677" s="7">
        <v>86249.99505382849</v>
      </c>
      <c r="H1677" s="6">
        <v>12515.81150120824</v>
      </c>
      <c r="I1677" s="6" t="s">
        <v>179</v>
      </c>
      <c r="J1677" s="15">
        <v>45.35</v>
      </c>
    </row>
    <row r="1678" spans="1:10">
      <c r="A1678" s="6" t="s">
        <v>141</v>
      </c>
      <c r="B1678" s="6" t="s">
        <v>44</v>
      </c>
      <c r="C1678" s="6" t="s">
        <v>254</v>
      </c>
      <c r="D1678" s="6">
        <v>6.357165058798202</v>
      </c>
      <c r="E1678" s="6" t="s">
        <v>44</v>
      </c>
      <c r="F1678" s="6" t="s">
        <v>51</v>
      </c>
      <c r="G1678" s="7">
        <v>67100.46594067648</v>
      </c>
      <c r="H1678" s="6">
        <v>426568.7375071474</v>
      </c>
      <c r="I1678" s="6" t="s">
        <v>179</v>
      </c>
      <c r="J1678" s="15">
        <v>18.5</v>
      </c>
    </row>
    <row r="1679" spans="1:10">
      <c r="A1679" s="6" t="s">
        <v>141</v>
      </c>
      <c r="B1679" s="6" t="s">
        <v>44</v>
      </c>
      <c r="C1679" s="6" t="s">
        <v>254</v>
      </c>
      <c r="D1679" s="6">
        <v>1.021199507372152</v>
      </c>
      <c r="E1679" s="6" t="s">
        <v>86</v>
      </c>
      <c r="F1679" s="6" t="s">
        <v>51</v>
      </c>
      <c r="G1679" s="7">
        <v>67100.46594067648</v>
      </c>
      <c r="H1679" s="6">
        <v>68522.96276306066</v>
      </c>
      <c r="I1679" s="6" t="s">
        <v>179</v>
      </c>
      <c r="J1679" s="15">
        <v>18.5</v>
      </c>
    </row>
    <row r="1680" spans="1:10">
      <c r="A1680" s="6" t="s">
        <v>141</v>
      </c>
      <c r="B1680" s="6" t="s">
        <v>44</v>
      </c>
      <c r="C1680" s="6" t="s">
        <v>254</v>
      </c>
      <c r="D1680" s="6">
        <v>0.482</v>
      </c>
      <c r="E1680" s="6" t="s">
        <v>88</v>
      </c>
      <c r="F1680" s="6" t="s">
        <v>51</v>
      </c>
      <c r="G1680" s="7">
        <v>67100.46594067648</v>
      </c>
      <c r="H1680" s="6">
        <v>32342.42458340607</v>
      </c>
      <c r="I1680" s="6" t="s">
        <v>179</v>
      </c>
      <c r="J1680" s="15">
        <v>18.5</v>
      </c>
    </row>
    <row r="1681" spans="1:10">
      <c r="A1681" s="6" t="s">
        <v>141</v>
      </c>
      <c r="B1681" s="6" t="s">
        <v>44</v>
      </c>
      <c r="C1681" s="6" t="s">
        <v>254</v>
      </c>
      <c r="D1681" s="6">
        <v>0.4440574956207268</v>
      </c>
      <c r="E1681" s="6" t="s">
        <v>90</v>
      </c>
      <c r="F1681" s="6" t="s">
        <v>51</v>
      </c>
      <c r="G1681" s="7">
        <v>67100.46594067648</v>
      </c>
      <c r="H1681" s="6">
        <v>29796.46486060067</v>
      </c>
      <c r="I1681" s="6" t="s">
        <v>179</v>
      </c>
      <c r="J1681" s="15">
        <v>18.5</v>
      </c>
    </row>
    <row r="1682" spans="1:10">
      <c r="A1682" s="6" t="s">
        <v>141</v>
      </c>
      <c r="B1682" s="6" t="s">
        <v>44</v>
      </c>
      <c r="C1682" s="6" t="s">
        <v>255</v>
      </c>
      <c r="D1682" s="6">
        <v>23.47000004757652</v>
      </c>
      <c r="E1682" s="6" t="s">
        <v>44</v>
      </c>
      <c r="F1682" s="6" t="s">
        <v>51</v>
      </c>
      <c r="G1682" s="7">
        <v>32463.72189421727</v>
      </c>
      <c r="H1682" s="6">
        <v>761923.55440179</v>
      </c>
      <c r="I1682" s="6" t="s">
        <v>179</v>
      </c>
      <c r="J1682" s="15">
        <v>13.29939623747558</v>
      </c>
    </row>
    <row r="1683" spans="1:10">
      <c r="A1683" s="6" t="s">
        <v>141</v>
      </c>
      <c r="B1683" s="6" t="s">
        <v>44</v>
      </c>
      <c r="C1683" s="6" t="s">
        <v>255</v>
      </c>
      <c r="D1683" s="6">
        <v>0.9387573851332355</v>
      </c>
      <c r="E1683" s="6" t="s">
        <v>86</v>
      </c>
      <c r="F1683" s="6" t="s">
        <v>51</v>
      </c>
      <c r="G1683" s="7">
        <v>32463.72189421727</v>
      </c>
      <c r="H1683" s="6">
        <v>30475.55867710797</v>
      </c>
      <c r="I1683" s="6" t="s">
        <v>179</v>
      </c>
      <c r="J1683" s="15">
        <v>13.29939623747558</v>
      </c>
    </row>
    <row r="1684" spans="1:10">
      <c r="A1684" s="6" t="s">
        <v>141</v>
      </c>
      <c r="B1684" s="6" t="s">
        <v>44</v>
      </c>
      <c r="C1684" s="6" t="s">
        <v>255</v>
      </c>
      <c r="D1684" s="6">
        <v>0.1225</v>
      </c>
      <c r="E1684" s="6" t="s">
        <v>88</v>
      </c>
      <c r="F1684" s="6" t="s">
        <v>51</v>
      </c>
      <c r="G1684" s="7">
        <v>32463.72189421727</v>
      </c>
      <c r="H1684" s="6">
        <v>3976.805932041615</v>
      </c>
      <c r="I1684" s="6" t="s">
        <v>179</v>
      </c>
      <c r="J1684" s="15">
        <v>13.29939623747558</v>
      </c>
    </row>
    <row r="1685" spans="1:10">
      <c r="A1685" s="6" t="s">
        <v>141</v>
      </c>
      <c r="B1685" s="6" t="s">
        <v>44</v>
      </c>
      <c r="C1685" s="6" t="s">
        <v>255</v>
      </c>
      <c r="D1685" s="6">
        <v>0.05737686796158213</v>
      </c>
      <c r="E1685" s="6" t="s">
        <v>90</v>
      </c>
      <c r="F1685" s="6" t="s">
        <v>51</v>
      </c>
      <c r="G1685" s="7">
        <v>32463.72189421727</v>
      </c>
      <c r="H1685" s="6">
        <v>1862.666684666027</v>
      </c>
      <c r="I1685" s="6" t="s">
        <v>179</v>
      </c>
      <c r="J1685" s="15">
        <v>13.29939623747558</v>
      </c>
    </row>
    <row r="1686" spans="1:10">
      <c r="A1686" s="6" t="s">
        <v>141</v>
      </c>
      <c r="B1686" s="6" t="s">
        <v>44</v>
      </c>
      <c r="C1686" s="6" t="s">
        <v>256</v>
      </c>
      <c r="D1686" s="6">
        <v>0.8118452670888132</v>
      </c>
      <c r="E1686" s="6" t="s">
        <v>44</v>
      </c>
      <c r="F1686" s="6" t="s">
        <v>57</v>
      </c>
      <c r="G1686" s="7">
        <v>42467.27080588165</v>
      </c>
      <c r="H1686" s="6">
        <v>34476.85280993395</v>
      </c>
      <c r="I1686" s="6" t="s">
        <v>180</v>
      </c>
      <c r="J1686" s="15">
        <v>25.26666666666667</v>
      </c>
    </row>
    <row r="1687" spans="1:10">
      <c r="A1687" s="6" t="s">
        <v>141</v>
      </c>
      <c r="B1687" s="6" t="s">
        <v>44</v>
      </c>
      <c r="C1687" s="6" t="s">
        <v>256</v>
      </c>
      <c r="D1687" s="6">
        <v>0.0009207907127780485</v>
      </c>
      <c r="E1687" s="6" t="s">
        <v>86</v>
      </c>
      <c r="F1687" s="6" t="s">
        <v>57</v>
      </c>
      <c r="G1687" s="7">
        <v>42467.27080588165</v>
      </c>
      <c r="H1687" s="6">
        <v>39.10346855508617</v>
      </c>
      <c r="I1687" s="6" t="s">
        <v>180</v>
      </c>
      <c r="J1687" s="15">
        <v>25.26666666666667</v>
      </c>
    </row>
    <row r="1688" spans="1:10">
      <c r="A1688" s="6" t="s">
        <v>141</v>
      </c>
      <c r="B1688" s="6" t="s">
        <v>44</v>
      </c>
      <c r="C1688" s="6" t="s">
        <v>257</v>
      </c>
      <c r="D1688" s="6">
        <v>4.403401093975146</v>
      </c>
      <c r="E1688" s="6" t="s">
        <v>44</v>
      </c>
      <c r="F1688" s="6" t="s">
        <v>52</v>
      </c>
      <c r="G1688" s="7">
        <v>107450.6744285106</v>
      </c>
      <c r="H1688" s="6">
        <v>473148.4173268707</v>
      </c>
      <c r="I1688" s="6" t="s">
        <v>179</v>
      </c>
      <c r="J1688" s="15">
        <v>29</v>
      </c>
    </row>
    <row r="1689" spans="1:10">
      <c r="A1689" s="6" t="s">
        <v>141</v>
      </c>
      <c r="B1689" s="6" t="s">
        <v>44</v>
      </c>
      <c r="C1689" s="6" t="s">
        <v>258</v>
      </c>
      <c r="D1689" s="6">
        <v>5.202894771961432</v>
      </c>
      <c r="E1689" s="6" t="s">
        <v>44</v>
      </c>
      <c r="F1689" s="6" t="s">
        <v>52</v>
      </c>
      <c r="G1689" s="7">
        <v>106696.4944389694</v>
      </c>
      <c r="H1689" s="6">
        <v>555130.6331031262</v>
      </c>
      <c r="I1689" s="6" t="s">
        <v>179</v>
      </c>
      <c r="J1689" s="15">
        <v>74</v>
      </c>
    </row>
    <row r="1690" spans="1:10">
      <c r="A1690" s="6" t="s">
        <v>141</v>
      </c>
      <c r="B1690" s="6" t="s">
        <v>44</v>
      </c>
      <c r="C1690" s="6" t="s">
        <v>259</v>
      </c>
      <c r="D1690" s="6">
        <v>105.746208475717</v>
      </c>
      <c r="E1690" s="6" t="s">
        <v>44</v>
      </c>
      <c r="F1690" s="6" t="s">
        <v>56</v>
      </c>
      <c r="G1690" s="7">
        <v>42233.6310286505</v>
      </c>
      <c r="H1690" s="6">
        <v>4466046.351442187</v>
      </c>
      <c r="I1690" s="6" t="s">
        <v>179</v>
      </c>
      <c r="J1690" s="15">
        <v>38.91666666666667</v>
      </c>
    </row>
    <row r="1691" spans="1:10">
      <c r="A1691" s="6" t="s">
        <v>141</v>
      </c>
      <c r="B1691" s="6" t="s">
        <v>44</v>
      </c>
      <c r="C1691" s="6" t="s">
        <v>259</v>
      </c>
      <c r="D1691" s="6">
        <v>19.37108333333334</v>
      </c>
      <c r="E1691" s="6" t="s">
        <v>86</v>
      </c>
      <c r="F1691" s="6" t="s">
        <v>56</v>
      </c>
      <c r="G1691" s="7">
        <v>42233.6310286505</v>
      </c>
      <c r="H1691" s="6">
        <v>818111.1861252415</v>
      </c>
      <c r="I1691" s="6" t="s">
        <v>179</v>
      </c>
      <c r="J1691" s="15">
        <v>38.91666666666667</v>
      </c>
    </row>
    <row r="1692" spans="1:10">
      <c r="A1692" s="6" t="s">
        <v>141</v>
      </c>
      <c r="B1692" s="6" t="s">
        <v>44</v>
      </c>
      <c r="C1692" s="6" t="s">
        <v>259</v>
      </c>
      <c r="D1692" s="6">
        <v>52.47941666666667</v>
      </c>
      <c r="E1692" s="6" t="s">
        <v>88</v>
      </c>
      <c r="F1692" s="6" t="s">
        <v>56</v>
      </c>
      <c r="G1692" s="7">
        <v>42233.6310286505</v>
      </c>
      <c r="H1692" s="6">
        <v>2216396.320098812</v>
      </c>
      <c r="I1692" s="6" t="s">
        <v>179</v>
      </c>
      <c r="J1692" s="15">
        <v>38.91666666666667</v>
      </c>
    </row>
    <row r="1693" spans="1:10">
      <c r="A1693" s="6" t="s">
        <v>141</v>
      </c>
      <c r="B1693" s="6" t="s">
        <v>44</v>
      </c>
      <c r="C1693" s="6" t="s">
        <v>260</v>
      </c>
      <c r="D1693" s="6">
        <v>756.3085833333333</v>
      </c>
      <c r="E1693" s="6" t="s">
        <v>44</v>
      </c>
      <c r="F1693" s="6" t="s">
        <v>52</v>
      </c>
      <c r="G1693" s="7">
        <v>54560.56274648917</v>
      </c>
      <c r="H1693" s="6">
        <v>41264621.91666667</v>
      </c>
      <c r="I1693" s="6" t="s">
        <v>179</v>
      </c>
      <c r="J1693" s="15">
        <v>53</v>
      </c>
    </row>
    <row r="1694" spans="1:10">
      <c r="A1694" s="6" t="s">
        <v>141</v>
      </c>
      <c r="B1694" s="6" t="s">
        <v>44</v>
      </c>
      <c r="C1694" s="6" t="s">
        <v>261</v>
      </c>
      <c r="D1694" s="6">
        <v>0.7307834027846678</v>
      </c>
      <c r="E1694" s="6" t="s">
        <v>44</v>
      </c>
      <c r="F1694" s="6" t="s">
        <v>54</v>
      </c>
      <c r="G1694" s="7">
        <v>66379.62434043601</v>
      </c>
      <c r="H1694" s="6">
        <v>48509.12775107179</v>
      </c>
      <c r="I1694" s="6" t="s">
        <v>180</v>
      </c>
      <c r="J1694" s="15">
        <v>17.83021039026165</v>
      </c>
    </row>
    <row r="1695" spans="1:10">
      <c r="A1695" s="6" t="s">
        <v>141</v>
      </c>
      <c r="B1695" s="6" t="s">
        <v>44</v>
      </c>
      <c r="C1695" s="6" t="s">
        <v>261</v>
      </c>
      <c r="D1695" s="6">
        <v>0.002188444620828786</v>
      </c>
      <c r="E1695" s="6" t="s">
        <v>86</v>
      </c>
      <c r="F1695" s="6" t="s">
        <v>54</v>
      </c>
      <c r="G1695" s="7">
        <v>66379.62434043601</v>
      </c>
      <c r="H1695" s="6">
        <v>145.2681318204627</v>
      </c>
      <c r="I1695" s="6" t="s">
        <v>180</v>
      </c>
      <c r="J1695" s="15">
        <v>17.83021039026165</v>
      </c>
    </row>
    <row r="1696" spans="1:10">
      <c r="A1696" s="6" t="s">
        <v>141</v>
      </c>
      <c r="B1696" s="6" t="s">
        <v>44</v>
      </c>
      <c r="C1696" s="6" t="s">
        <v>262</v>
      </c>
      <c r="D1696" s="6">
        <v>393.2072824011942</v>
      </c>
      <c r="E1696" s="6" t="s">
        <v>44</v>
      </c>
      <c r="F1696" s="6" t="s">
        <v>51</v>
      </c>
      <c r="G1696" s="7">
        <v>21698.35157241016</v>
      </c>
      <c r="H1696" s="6">
        <v>8531949.854373077</v>
      </c>
      <c r="I1696" s="6" t="s">
        <v>179</v>
      </c>
      <c r="J1696" s="15">
        <v>22.96666666666667</v>
      </c>
    </row>
    <row r="1697" spans="1:10">
      <c r="A1697" s="6" t="s">
        <v>141</v>
      </c>
      <c r="B1697" s="6" t="s">
        <v>44</v>
      </c>
      <c r="C1697" s="6" t="s">
        <v>262</v>
      </c>
      <c r="D1697" s="6">
        <v>69.83059618049667</v>
      </c>
      <c r="E1697" s="6" t="s">
        <v>86</v>
      </c>
      <c r="F1697" s="6" t="s">
        <v>51</v>
      </c>
      <c r="G1697" s="7">
        <v>21698.35157241016</v>
      </c>
      <c r="H1697" s="6">
        <v>1515208.826435419</v>
      </c>
      <c r="I1697" s="6" t="s">
        <v>179</v>
      </c>
      <c r="J1697" s="15">
        <v>22.96666666666667</v>
      </c>
    </row>
    <row r="1698" spans="1:10">
      <c r="A1698" s="6" t="s">
        <v>141</v>
      </c>
      <c r="B1698" s="6" t="s">
        <v>44</v>
      </c>
      <c r="C1698" s="6" t="s">
        <v>262</v>
      </c>
      <c r="D1698" s="6">
        <v>42.57966666666667</v>
      </c>
      <c r="E1698" s="6" t="s">
        <v>88</v>
      </c>
      <c r="F1698" s="6" t="s">
        <v>51</v>
      </c>
      <c r="G1698" s="7">
        <v>21698.35157241016</v>
      </c>
      <c r="H1698" s="6">
        <v>923908.577169367</v>
      </c>
      <c r="I1698" s="6" t="s">
        <v>179</v>
      </c>
      <c r="J1698" s="15">
        <v>22.96666666666667</v>
      </c>
    </row>
    <row r="1699" spans="1:10">
      <c r="A1699" s="6" t="s">
        <v>141</v>
      </c>
      <c r="B1699" s="6" t="s">
        <v>44</v>
      </c>
      <c r="C1699" s="6" t="s">
        <v>262</v>
      </c>
      <c r="D1699" s="6">
        <v>23.43805044562141</v>
      </c>
      <c r="E1699" s="6" t="s">
        <v>90</v>
      </c>
      <c r="F1699" s="6" t="s">
        <v>51</v>
      </c>
      <c r="G1699" s="7">
        <v>21698.35157241016</v>
      </c>
      <c r="H1699" s="6">
        <v>508567.0587409778</v>
      </c>
      <c r="I1699" s="6" t="s">
        <v>179</v>
      </c>
      <c r="J1699" s="15">
        <v>22.96666666666667</v>
      </c>
    </row>
    <row r="1700" spans="1:10">
      <c r="A1700" s="6" t="s">
        <v>141</v>
      </c>
      <c r="B1700" s="6" t="s">
        <v>44</v>
      </c>
      <c r="C1700" s="6" t="s">
        <v>263</v>
      </c>
      <c r="D1700" s="6">
        <v>92.63962203659527</v>
      </c>
      <c r="E1700" s="6" t="s">
        <v>44</v>
      </c>
      <c r="F1700" s="6" t="s">
        <v>54</v>
      </c>
      <c r="G1700" s="7">
        <v>94947.43860056643</v>
      </c>
      <c r="H1700" s="6">
        <v>8795894.82529931</v>
      </c>
      <c r="I1700" s="6" t="s">
        <v>179</v>
      </c>
      <c r="J1700" s="15">
        <v>48.44166666666666</v>
      </c>
    </row>
    <row r="1701" spans="1:10">
      <c r="A1701" s="6" t="s">
        <v>141</v>
      </c>
      <c r="B1701" s="6" t="s">
        <v>44</v>
      </c>
      <c r="C1701" s="6" t="s">
        <v>263</v>
      </c>
      <c r="D1701" s="6">
        <v>0.00101901408733694</v>
      </c>
      <c r="E1701" s="6" t="s">
        <v>86</v>
      </c>
      <c r="F1701" s="6" t="s">
        <v>54</v>
      </c>
      <c r="G1701" s="7">
        <v>94947.43860056643</v>
      </c>
      <c r="H1701" s="6">
        <v>96.75277749053637</v>
      </c>
      <c r="I1701" s="6" t="s">
        <v>179</v>
      </c>
      <c r="J1701" s="15">
        <v>48.44166666666666</v>
      </c>
    </row>
    <row r="1702" spans="1:10">
      <c r="A1702" s="6" t="s">
        <v>141</v>
      </c>
      <c r="B1702" s="6" t="s">
        <v>44</v>
      </c>
      <c r="C1702" s="6" t="s">
        <v>263</v>
      </c>
      <c r="D1702" s="6">
        <v>0.1966666666666667</v>
      </c>
      <c r="E1702" s="6" t="s">
        <v>88</v>
      </c>
      <c r="F1702" s="6" t="s">
        <v>54</v>
      </c>
      <c r="G1702" s="7">
        <v>94947.43860056643</v>
      </c>
      <c r="H1702" s="6">
        <v>18672.9962581114</v>
      </c>
      <c r="I1702" s="6" t="s">
        <v>179</v>
      </c>
      <c r="J1702" s="15">
        <v>48.44166666666666</v>
      </c>
    </row>
    <row r="1703" spans="1:10">
      <c r="A1703" s="6" t="s">
        <v>141</v>
      </c>
      <c r="B1703" s="6" t="s">
        <v>44</v>
      </c>
      <c r="C1703" s="6" t="s">
        <v>263</v>
      </c>
      <c r="D1703" s="6">
        <v>0.4749173556428654</v>
      </c>
      <c r="E1703" s="6" t="s">
        <v>90</v>
      </c>
      <c r="F1703" s="6" t="s">
        <v>54</v>
      </c>
      <c r="G1703" s="7">
        <v>94947.43860056643</v>
      </c>
      <c r="H1703" s="6">
        <v>45092.18646524433</v>
      </c>
      <c r="I1703" s="6" t="s">
        <v>179</v>
      </c>
      <c r="J1703" s="15">
        <v>48.44166666666666</v>
      </c>
    </row>
    <row r="1704" spans="1:10">
      <c r="A1704" s="6" t="s">
        <v>141</v>
      </c>
      <c r="B1704" s="6" t="s">
        <v>44</v>
      </c>
      <c r="C1704" s="6" t="s">
        <v>264</v>
      </c>
      <c r="D1704" s="6">
        <v>26.67609480067402</v>
      </c>
      <c r="E1704" s="6" t="s">
        <v>44</v>
      </c>
      <c r="F1704" s="6" t="s">
        <v>54</v>
      </c>
      <c r="G1704" s="7">
        <v>119405.935407702</v>
      </c>
      <c r="H1704" s="6">
        <v>3185284.052699016</v>
      </c>
      <c r="I1704" s="6" t="s">
        <v>179</v>
      </c>
      <c r="J1704" s="15">
        <v>91.11666666666667</v>
      </c>
    </row>
    <row r="1705" spans="1:10">
      <c r="A1705" s="6" t="s">
        <v>141</v>
      </c>
      <c r="B1705" s="6" t="s">
        <v>44</v>
      </c>
      <c r="C1705" s="6" t="s">
        <v>264</v>
      </c>
      <c r="D1705" s="6">
        <v>0.01823295609030255</v>
      </c>
      <c r="E1705" s="6" t="s">
        <v>86</v>
      </c>
      <c r="F1705" s="6" t="s">
        <v>54</v>
      </c>
      <c r="G1705" s="7">
        <v>119405.935407702</v>
      </c>
      <c r="H1705" s="6">
        <v>2177.123177210133</v>
      </c>
      <c r="I1705" s="6" t="s">
        <v>179</v>
      </c>
      <c r="J1705" s="15">
        <v>91.11666666666667</v>
      </c>
    </row>
    <row r="1706" spans="1:10">
      <c r="A1706" s="6" t="s">
        <v>141</v>
      </c>
      <c r="B1706" s="6" t="s">
        <v>44</v>
      </c>
      <c r="C1706" s="6" t="s">
        <v>264</v>
      </c>
      <c r="D1706" s="6">
        <v>0.1169166666666667</v>
      </c>
      <c r="E1706" s="6" t="s">
        <v>88</v>
      </c>
      <c r="F1706" s="6" t="s">
        <v>54</v>
      </c>
      <c r="G1706" s="7">
        <v>119405.935407702</v>
      </c>
      <c r="H1706" s="6">
        <v>13960.54394808383</v>
      </c>
      <c r="I1706" s="6" t="s">
        <v>179</v>
      </c>
      <c r="J1706" s="15">
        <v>91.11666666666667</v>
      </c>
    </row>
    <row r="1707" spans="1:10">
      <c r="A1707" s="6" t="s">
        <v>141</v>
      </c>
      <c r="B1707" s="6" t="s">
        <v>44</v>
      </c>
      <c r="C1707" s="6" t="s">
        <v>264</v>
      </c>
      <c r="D1707" s="6">
        <v>0.04606170660256891</v>
      </c>
      <c r="E1707" s="6" t="s">
        <v>90</v>
      </c>
      <c r="F1707" s="6" t="s">
        <v>54</v>
      </c>
      <c r="G1707" s="7">
        <v>119405.935407702</v>
      </c>
      <c r="H1707" s="6">
        <v>5500.041163354863</v>
      </c>
      <c r="I1707" s="6" t="s">
        <v>179</v>
      </c>
      <c r="J1707" s="15">
        <v>91.11666666666667</v>
      </c>
    </row>
    <row r="1708" spans="1:10">
      <c r="A1708" s="6" t="s">
        <v>141</v>
      </c>
      <c r="B1708" s="6" t="s">
        <v>44</v>
      </c>
      <c r="C1708" s="6" t="s">
        <v>265</v>
      </c>
      <c r="D1708" s="6">
        <v>237.8495026516367</v>
      </c>
      <c r="E1708" s="6" t="s">
        <v>44</v>
      </c>
      <c r="F1708" s="6" t="s">
        <v>54</v>
      </c>
      <c r="G1708" s="7">
        <v>99228.92218252944</v>
      </c>
      <c r="H1708" s="6">
        <v>23601549.78977259</v>
      </c>
      <c r="I1708" s="6" t="s">
        <v>179</v>
      </c>
      <c r="J1708" s="15">
        <v>72.81666666666666</v>
      </c>
    </row>
    <row r="1709" spans="1:10">
      <c r="A1709" s="6" t="s">
        <v>141</v>
      </c>
      <c r="B1709" s="6" t="s">
        <v>44</v>
      </c>
      <c r="C1709" s="6" t="s">
        <v>265</v>
      </c>
      <c r="D1709" s="6">
        <v>6.765868718699384</v>
      </c>
      <c r="E1709" s="6" t="s">
        <v>86</v>
      </c>
      <c r="F1709" s="6" t="s">
        <v>54</v>
      </c>
      <c r="G1709" s="7">
        <v>99228.92218252944</v>
      </c>
      <c r="H1709" s="6">
        <v>671369.8605850313</v>
      </c>
      <c r="I1709" s="6" t="s">
        <v>179</v>
      </c>
      <c r="J1709" s="15">
        <v>72.81666666666666</v>
      </c>
    </row>
    <row r="1710" spans="1:10">
      <c r="A1710" s="6" t="s">
        <v>141</v>
      </c>
      <c r="B1710" s="6" t="s">
        <v>44</v>
      </c>
      <c r="C1710" s="6" t="s">
        <v>265</v>
      </c>
      <c r="D1710" s="6">
        <v>34.82583333333334</v>
      </c>
      <c r="E1710" s="6" t="s">
        <v>88</v>
      </c>
      <c r="F1710" s="6" t="s">
        <v>54</v>
      </c>
      <c r="G1710" s="7">
        <v>99228.92218252944</v>
      </c>
      <c r="H1710" s="6">
        <v>3455729.905775073</v>
      </c>
      <c r="I1710" s="6" t="s">
        <v>179</v>
      </c>
      <c r="J1710" s="15">
        <v>72.81666666666666</v>
      </c>
    </row>
    <row r="1711" spans="1:10">
      <c r="A1711" s="6" t="s">
        <v>141</v>
      </c>
      <c r="B1711" s="6" t="s">
        <v>44</v>
      </c>
      <c r="C1711" s="6" t="s">
        <v>265</v>
      </c>
      <c r="D1711" s="6">
        <v>8.399639927519106</v>
      </c>
      <c r="E1711" s="6" t="s">
        <v>90</v>
      </c>
      <c r="F1711" s="6" t="s">
        <v>54</v>
      </c>
      <c r="G1711" s="7">
        <v>99228.92218252944</v>
      </c>
      <c r="H1711" s="6">
        <v>833487.2167290605</v>
      </c>
      <c r="I1711" s="6" t="s">
        <v>179</v>
      </c>
      <c r="J1711" s="15">
        <v>72.81666666666666</v>
      </c>
    </row>
    <row r="1712" spans="1:10">
      <c r="A1712" s="6" t="s">
        <v>141</v>
      </c>
      <c r="B1712" s="6" t="s">
        <v>44</v>
      </c>
      <c r="C1712" s="6" t="s">
        <v>266</v>
      </c>
      <c r="D1712" s="6">
        <v>84.11192940833787</v>
      </c>
      <c r="E1712" s="6" t="s">
        <v>44</v>
      </c>
      <c r="F1712" s="6" t="s">
        <v>57</v>
      </c>
      <c r="G1712" s="7">
        <v>50415.37206732162</v>
      </c>
      <c r="H1712" s="6">
        <v>4240534.216421645</v>
      </c>
      <c r="I1712" s="6" t="s">
        <v>179</v>
      </c>
      <c r="J1712" s="15">
        <v>51.35</v>
      </c>
    </row>
    <row r="1713" spans="1:10">
      <c r="A1713" s="6" t="s">
        <v>141</v>
      </c>
      <c r="B1713" s="6" t="s">
        <v>44</v>
      </c>
      <c r="C1713" s="6" t="s">
        <v>266</v>
      </c>
      <c r="D1713" s="6">
        <v>0.6641682595388589</v>
      </c>
      <c r="E1713" s="6" t="s">
        <v>86</v>
      </c>
      <c r="F1713" s="6" t="s">
        <v>57</v>
      </c>
      <c r="G1713" s="7">
        <v>50415.37206732162</v>
      </c>
      <c r="H1713" s="6">
        <v>33484.289919957</v>
      </c>
      <c r="I1713" s="6" t="s">
        <v>179</v>
      </c>
      <c r="J1713" s="15">
        <v>51.35</v>
      </c>
    </row>
    <row r="1714" spans="1:10">
      <c r="A1714" s="6" t="s">
        <v>141</v>
      </c>
      <c r="B1714" s="6" t="s">
        <v>44</v>
      </c>
      <c r="C1714" s="6" t="s">
        <v>266</v>
      </c>
      <c r="D1714" s="6">
        <v>0.3442500000000001</v>
      </c>
      <c r="E1714" s="6" t="s">
        <v>88</v>
      </c>
      <c r="F1714" s="6" t="s">
        <v>57</v>
      </c>
      <c r="G1714" s="7">
        <v>50415.37206732162</v>
      </c>
      <c r="H1714" s="6">
        <v>17355.49183417547</v>
      </c>
      <c r="I1714" s="6" t="s">
        <v>179</v>
      </c>
      <c r="J1714" s="15">
        <v>51.35</v>
      </c>
    </row>
    <row r="1715" spans="1:10">
      <c r="A1715" s="6" t="s">
        <v>141</v>
      </c>
      <c r="B1715" s="6" t="s">
        <v>44</v>
      </c>
      <c r="C1715" s="6" t="s">
        <v>266</v>
      </c>
      <c r="D1715" s="6">
        <v>0.7341456306075366</v>
      </c>
      <c r="E1715" s="6" t="s">
        <v>90</v>
      </c>
      <c r="F1715" s="6" t="s">
        <v>57</v>
      </c>
      <c r="G1715" s="7">
        <v>50415.37206732162</v>
      </c>
      <c r="H1715" s="6">
        <v>37012.22511867742</v>
      </c>
      <c r="I1715" s="6" t="s">
        <v>179</v>
      </c>
      <c r="J1715" s="15">
        <v>51.35</v>
      </c>
    </row>
    <row r="1716" spans="1:10">
      <c r="A1716" s="6" t="s">
        <v>141</v>
      </c>
      <c r="B1716" s="6" t="s">
        <v>44</v>
      </c>
      <c r="C1716" s="6" t="s">
        <v>266</v>
      </c>
      <c r="D1716" s="6">
        <v>0.06966666666666667</v>
      </c>
      <c r="E1716" s="6" t="s">
        <v>92</v>
      </c>
      <c r="F1716" s="6" t="s">
        <v>57</v>
      </c>
      <c r="G1716" s="7">
        <v>50415.37206732162</v>
      </c>
      <c r="H1716" s="6">
        <v>3512.270920690073</v>
      </c>
      <c r="I1716" s="6" t="s">
        <v>179</v>
      </c>
      <c r="J1716" s="15">
        <v>51.35</v>
      </c>
    </row>
    <row r="1717" spans="1:10">
      <c r="A1717" s="6" t="s">
        <v>141</v>
      </c>
      <c r="B1717" s="6" t="s">
        <v>44</v>
      </c>
      <c r="C1717" s="6" t="s">
        <v>267</v>
      </c>
      <c r="D1717" s="6">
        <v>523.0614511394051</v>
      </c>
      <c r="E1717" s="6" t="s">
        <v>44</v>
      </c>
      <c r="F1717" s="6" t="s">
        <v>53</v>
      </c>
      <c r="G1717" s="7">
        <v>48667.70261730252</v>
      </c>
      <c r="H1717" s="6">
        <v>25456199.15462728</v>
      </c>
      <c r="I1717" s="6" t="s">
        <v>179</v>
      </c>
      <c r="J1717" s="15">
        <v>37</v>
      </c>
    </row>
    <row r="1718" spans="1:10">
      <c r="A1718" s="6" t="s">
        <v>141</v>
      </c>
      <c r="B1718" s="6" t="s">
        <v>44</v>
      </c>
      <c r="C1718" s="6" t="s">
        <v>267</v>
      </c>
      <c r="D1718" s="6">
        <v>0.5725484298216661</v>
      </c>
      <c r="E1718" s="6" t="s">
        <v>86</v>
      </c>
      <c r="F1718" s="6" t="s">
        <v>53</v>
      </c>
      <c r="G1718" s="7">
        <v>48667.70261730252</v>
      </c>
      <c r="H1718" s="6">
        <v>27864.61671656435</v>
      </c>
      <c r="I1718" s="6" t="s">
        <v>179</v>
      </c>
      <c r="J1718" s="15">
        <v>37</v>
      </c>
    </row>
    <row r="1719" spans="1:10">
      <c r="A1719" s="6" t="s">
        <v>141</v>
      </c>
      <c r="B1719" s="6" t="s">
        <v>44</v>
      </c>
      <c r="C1719" s="6" t="s">
        <v>267</v>
      </c>
      <c r="D1719" s="6">
        <v>0.03175</v>
      </c>
      <c r="E1719" s="6" t="s">
        <v>88</v>
      </c>
      <c r="F1719" s="6" t="s">
        <v>53</v>
      </c>
      <c r="G1719" s="7">
        <v>48667.70261730252</v>
      </c>
      <c r="H1719" s="6">
        <v>1545.199558099355</v>
      </c>
      <c r="I1719" s="6" t="s">
        <v>179</v>
      </c>
      <c r="J1719" s="15">
        <v>37</v>
      </c>
    </row>
    <row r="1720" spans="1:10">
      <c r="A1720" s="6" t="s">
        <v>141</v>
      </c>
      <c r="B1720" s="6" t="s">
        <v>44</v>
      </c>
      <c r="C1720" s="6" t="s">
        <v>267</v>
      </c>
      <c r="D1720" s="6">
        <v>3.148391961933381</v>
      </c>
      <c r="E1720" s="6" t="s">
        <v>90</v>
      </c>
      <c r="F1720" s="6" t="s">
        <v>53</v>
      </c>
      <c r="G1720" s="7">
        <v>48667.70261730252</v>
      </c>
      <c r="H1720" s="6">
        <v>153225.0037260794</v>
      </c>
      <c r="I1720" s="6" t="s">
        <v>179</v>
      </c>
      <c r="J1720" s="15">
        <v>37</v>
      </c>
    </row>
    <row r="1721" spans="1:10">
      <c r="A1721" s="6" t="s">
        <v>141</v>
      </c>
      <c r="B1721" s="6" t="s">
        <v>44</v>
      </c>
      <c r="C1721" s="6" t="s">
        <v>268</v>
      </c>
      <c r="D1721" s="6">
        <v>3.876745898950131</v>
      </c>
      <c r="E1721" s="6" t="s">
        <v>44</v>
      </c>
      <c r="F1721" s="6" t="s">
        <v>51</v>
      </c>
      <c r="G1721" s="7">
        <v>19920.3047306236</v>
      </c>
      <c r="H1721" s="6">
        <v>77225.95967028195</v>
      </c>
      <c r="I1721" s="6" t="s">
        <v>179</v>
      </c>
      <c r="J1721" s="15">
        <v>6.233478833728606</v>
      </c>
    </row>
    <row r="1722" spans="1:10">
      <c r="A1722" s="6" t="s">
        <v>141</v>
      </c>
      <c r="B1722" s="6" t="s">
        <v>44</v>
      </c>
      <c r="C1722" s="6" t="s">
        <v>268</v>
      </c>
      <c r="D1722" s="6">
        <v>0.6637971028228322</v>
      </c>
      <c r="E1722" s="6" t="s">
        <v>86</v>
      </c>
      <c r="F1722" s="6" t="s">
        <v>51</v>
      </c>
      <c r="G1722" s="7">
        <v>19920.3047306236</v>
      </c>
      <c r="H1722" s="6">
        <v>13223.04056753591</v>
      </c>
      <c r="I1722" s="6" t="s">
        <v>179</v>
      </c>
      <c r="J1722" s="15">
        <v>6.233478833728606</v>
      </c>
    </row>
    <row r="1723" spans="1:10">
      <c r="A1723" s="6" t="s">
        <v>141</v>
      </c>
      <c r="B1723" s="6" t="s">
        <v>44</v>
      </c>
      <c r="C1723" s="6" t="s">
        <v>268</v>
      </c>
      <c r="D1723" s="6">
        <v>0.42125</v>
      </c>
      <c r="E1723" s="6" t="s">
        <v>88</v>
      </c>
      <c r="F1723" s="6" t="s">
        <v>51</v>
      </c>
      <c r="G1723" s="7">
        <v>19920.3047306236</v>
      </c>
      <c r="H1723" s="6">
        <v>8391.428367775194</v>
      </c>
      <c r="I1723" s="6" t="s">
        <v>179</v>
      </c>
      <c r="J1723" s="15">
        <v>6.233478833728606</v>
      </c>
    </row>
    <row r="1724" spans="1:10">
      <c r="A1724" s="6" t="s">
        <v>141</v>
      </c>
      <c r="B1724" s="6" t="s">
        <v>44</v>
      </c>
      <c r="C1724" s="6" t="s">
        <v>268</v>
      </c>
      <c r="D1724" s="6">
        <v>0.3032797115862754</v>
      </c>
      <c r="E1724" s="6" t="s">
        <v>90</v>
      </c>
      <c r="F1724" s="6" t="s">
        <v>51</v>
      </c>
      <c r="G1724" s="7">
        <v>19920.3047306236</v>
      </c>
      <c r="H1724" s="6">
        <v>6041.424273414244</v>
      </c>
      <c r="I1724" s="6" t="s">
        <v>179</v>
      </c>
      <c r="J1724" s="15">
        <v>6.233478833728606</v>
      </c>
    </row>
    <row r="1725" spans="1:10">
      <c r="A1725" s="6" t="s">
        <v>141</v>
      </c>
      <c r="B1725" s="6" t="s">
        <v>44</v>
      </c>
      <c r="C1725" s="6" t="s">
        <v>269</v>
      </c>
      <c r="D1725" s="6">
        <v>4.063052363917914</v>
      </c>
      <c r="E1725" s="6" t="s">
        <v>44</v>
      </c>
      <c r="F1725" s="6" t="s">
        <v>52</v>
      </c>
      <c r="G1725" s="7">
        <v>106696.4944389694</v>
      </c>
      <c r="H1725" s="6">
        <v>433513.4439520094</v>
      </c>
      <c r="I1725" s="6" t="s">
        <v>179</v>
      </c>
      <c r="J1725" s="15">
        <v>67</v>
      </c>
    </row>
    <row r="1726" spans="1:10">
      <c r="A1726" s="6" t="s">
        <v>141</v>
      </c>
      <c r="B1726" s="6" t="s">
        <v>44</v>
      </c>
      <c r="C1726" s="6" t="s">
        <v>270</v>
      </c>
      <c r="D1726" s="6">
        <v>120.1545579017844</v>
      </c>
      <c r="E1726" s="6" t="s">
        <v>44</v>
      </c>
      <c r="F1726" s="6" t="s">
        <v>59</v>
      </c>
      <c r="G1726" s="7">
        <v>65211.48255173301</v>
      </c>
      <c r="H1726" s="6">
        <v>7835456.856123409</v>
      </c>
      <c r="I1726" s="6" t="s">
        <v>179</v>
      </c>
      <c r="J1726" s="15">
        <v>52.22499999999999</v>
      </c>
    </row>
    <row r="1727" spans="1:10">
      <c r="A1727" s="6" t="s">
        <v>141</v>
      </c>
      <c r="B1727" s="6" t="s">
        <v>44</v>
      </c>
      <c r="C1727" s="6" t="s">
        <v>270</v>
      </c>
      <c r="D1727" s="6">
        <v>12.25917243205562</v>
      </c>
      <c r="E1727" s="6" t="s">
        <v>86</v>
      </c>
      <c r="F1727" s="6" t="s">
        <v>59</v>
      </c>
      <c r="G1727" s="7">
        <v>65211.48255173301</v>
      </c>
      <c r="H1727" s="6">
        <v>799438.8091516811</v>
      </c>
      <c r="I1727" s="6" t="s">
        <v>179</v>
      </c>
      <c r="J1727" s="15">
        <v>52.22499999999999</v>
      </c>
    </row>
    <row r="1728" spans="1:10">
      <c r="A1728" s="6" t="s">
        <v>141</v>
      </c>
      <c r="B1728" s="6" t="s">
        <v>44</v>
      </c>
      <c r="C1728" s="6" t="s">
        <v>270</v>
      </c>
      <c r="D1728" s="6">
        <v>8.282166666666665</v>
      </c>
      <c r="E1728" s="6" t="s">
        <v>88</v>
      </c>
      <c r="F1728" s="6" t="s">
        <v>59</v>
      </c>
      <c r="G1728" s="7">
        <v>65211.48255173301</v>
      </c>
      <c r="H1728" s="6">
        <v>540092.3670738779</v>
      </c>
      <c r="I1728" s="6" t="s">
        <v>179</v>
      </c>
      <c r="J1728" s="15">
        <v>52.22499999999999</v>
      </c>
    </row>
    <row r="1729" spans="1:10">
      <c r="A1729" s="6" t="s">
        <v>141</v>
      </c>
      <c r="B1729" s="6" t="s">
        <v>44</v>
      </c>
      <c r="C1729" s="6" t="s">
        <v>270</v>
      </c>
      <c r="D1729" s="6">
        <v>2.882689270623431</v>
      </c>
      <c r="E1729" s="6" t="s">
        <v>90</v>
      </c>
      <c r="F1729" s="6" t="s">
        <v>59</v>
      </c>
      <c r="G1729" s="7">
        <v>65211.48255173301</v>
      </c>
      <c r="H1729" s="6">
        <v>187984.4410733278</v>
      </c>
      <c r="I1729" s="6" t="s">
        <v>179</v>
      </c>
      <c r="J1729" s="15">
        <v>52.22499999999999</v>
      </c>
    </row>
    <row r="1730" spans="1:10">
      <c r="A1730" s="6" t="s">
        <v>141</v>
      </c>
      <c r="B1730" s="6" t="s">
        <v>44</v>
      </c>
      <c r="C1730" s="6" t="s">
        <v>271</v>
      </c>
      <c r="D1730" s="6">
        <v>281.7627358015299</v>
      </c>
      <c r="E1730" s="6" t="s">
        <v>44</v>
      </c>
      <c r="F1730" s="6" t="s">
        <v>54</v>
      </c>
      <c r="G1730" s="7">
        <v>106146.2380589861</v>
      </c>
      <c r="H1730" s="6">
        <v>29908054.43054039</v>
      </c>
      <c r="I1730" s="6" t="s">
        <v>179</v>
      </c>
      <c r="J1730" s="15">
        <v>62.05</v>
      </c>
    </row>
    <row r="1731" spans="1:10">
      <c r="A1731" s="6" t="s">
        <v>141</v>
      </c>
      <c r="B1731" s="6" t="s">
        <v>44</v>
      </c>
      <c r="C1731" s="6" t="s">
        <v>271</v>
      </c>
      <c r="D1731" s="6">
        <v>11.7180998153192</v>
      </c>
      <c r="E1731" s="6" t="s">
        <v>86</v>
      </c>
      <c r="F1731" s="6" t="s">
        <v>54</v>
      </c>
      <c r="G1731" s="7">
        <v>106146.2380589861</v>
      </c>
      <c r="H1731" s="6">
        <v>1243832.212595832</v>
      </c>
      <c r="I1731" s="6" t="s">
        <v>179</v>
      </c>
      <c r="J1731" s="15">
        <v>62.05</v>
      </c>
    </row>
    <row r="1732" spans="1:10">
      <c r="A1732" s="6" t="s">
        <v>141</v>
      </c>
      <c r="B1732" s="6" t="s">
        <v>44</v>
      </c>
      <c r="C1732" s="6" t="s">
        <v>271</v>
      </c>
      <c r="D1732" s="6">
        <v>39.50891666666667</v>
      </c>
      <c r="E1732" s="6" t="s">
        <v>88</v>
      </c>
      <c r="F1732" s="6" t="s">
        <v>54</v>
      </c>
      <c r="G1732" s="7">
        <v>106146.2380589861</v>
      </c>
      <c r="H1732" s="6">
        <v>4193722.873952643</v>
      </c>
      <c r="I1732" s="6" t="s">
        <v>179</v>
      </c>
      <c r="J1732" s="15">
        <v>62.05</v>
      </c>
    </row>
    <row r="1733" spans="1:10">
      <c r="A1733" s="6" t="s">
        <v>141</v>
      </c>
      <c r="B1733" s="6" t="s">
        <v>44</v>
      </c>
      <c r="C1733" s="6" t="s">
        <v>271</v>
      </c>
      <c r="D1733" s="6">
        <v>5.160205060332074</v>
      </c>
      <c r="E1733" s="6" t="s">
        <v>90</v>
      </c>
      <c r="F1733" s="6" t="s">
        <v>54</v>
      </c>
      <c r="G1733" s="7">
        <v>106146.2380589861</v>
      </c>
      <c r="H1733" s="6">
        <v>547736.3547671929</v>
      </c>
      <c r="I1733" s="6" t="s">
        <v>179</v>
      </c>
      <c r="J1733" s="15">
        <v>62.05</v>
      </c>
    </row>
    <row r="1734" spans="1:10">
      <c r="A1734" s="6" t="s">
        <v>141</v>
      </c>
      <c r="B1734" s="6" t="s">
        <v>44</v>
      </c>
      <c r="C1734" s="6" t="s">
        <v>272</v>
      </c>
      <c r="D1734" s="6">
        <v>62.44611559268578</v>
      </c>
      <c r="E1734" s="6" t="s">
        <v>44</v>
      </c>
      <c r="F1734" s="6" t="s">
        <v>51</v>
      </c>
      <c r="G1734" s="7">
        <v>25556.23235325186</v>
      </c>
      <c r="H1734" s="6">
        <v>1595887.439644702</v>
      </c>
      <c r="I1734" s="6" t="s">
        <v>179</v>
      </c>
      <c r="J1734" s="15">
        <v>19</v>
      </c>
    </row>
    <row r="1735" spans="1:10">
      <c r="A1735" s="6" t="s">
        <v>141</v>
      </c>
      <c r="B1735" s="6" t="s">
        <v>44</v>
      </c>
      <c r="C1735" s="6" t="s">
        <v>272</v>
      </c>
      <c r="D1735" s="6">
        <v>8.027658298760295</v>
      </c>
      <c r="E1735" s="6" t="s">
        <v>86</v>
      </c>
      <c r="F1735" s="6" t="s">
        <v>51</v>
      </c>
      <c r="G1735" s="7">
        <v>25556.23235325186</v>
      </c>
      <c r="H1735" s="6">
        <v>205156.7007356286</v>
      </c>
      <c r="I1735" s="6" t="s">
        <v>179</v>
      </c>
      <c r="J1735" s="15">
        <v>19</v>
      </c>
    </row>
    <row r="1736" spans="1:10">
      <c r="A1736" s="6" t="s">
        <v>141</v>
      </c>
      <c r="B1736" s="6" t="s">
        <v>44</v>
      </c>
      <c r="C1736" s="6" t="s">
        <v>272</v>
      </c>
      <c r="D1736" s="6">
        <v>9.803333333333333</v>
      </c>
      <c r="E1736" s="6" t="s">
        <v>88</v>
      </c>
      <c r="F1736" s="6" t="s">
        <v>51</v>
      </c>
      <c r="G1736" s="7">
        <v>25556.23235325186</v>
      </c>
      <c r="H1736" s="6">
        <v>250536.2645030457</v>
      </c>
      <c r="I1736" s="6" t="s">
        <v>179</v>
      </c>
      <c r="J1736" s="15">
        <v>19</v>
      </c>
    </row>
    <row r="1737" spans="1:10">
      <c r="A1737" s="6" t="s">
        <v>141</v>
      </c>
      <c r="B1737" s="6" t="s">
        <v>44</v>
      </c>
      <c r="C1737" s="6" t="s">
        <v>272</v>
      </c>
      <c r="D1737" s="6">
        <v>9.331920057928418</v>
      </c>
      <c r="E1737" s="6" t="s">
        <v>90</v>
      </c>
      <c r="F1737" s="6" t="s">
        <v>51</v>
      </c>
      <c r="G1737" s="7">
        <v>25556.23235325186</v>
      </c>
      <c r="H1737" s="6">
        <v>238488.7173023902</v>
      </c>
      <c r="I1737" s="6" t="s">
        <v>179</v>
      </c>
      <c r="J1737" s="15">
        <v>19</v>
      </c>
    </row>
    <row r="1738" spans="1:10">
      <c r="A1738" s="6" t="s">
        <v>141</v>
      </c>
      <c r="B1738" s="6" t="s">
        <v>44</v>
      </c>
      <c r="C1738" s="6" t="s">
        <v>273</v>
      </c>
      <c r="D1738" s="6">
        <v>620.919207393955</v>
      </c>
      <c r="E1738" s="6" t="s">
        <v>44</v>
      </c>
      <c r="F1738" s="6" t="s">
        <v>51</v>
      </c>
      <c r="G1738" s="7">
        <v>40826.03765706107</v>
      </c>
      <c r="H1738" s="6">
        <v>25349670.94305812</v>
      </c>
      <c r="I1738" s="6" t="s">
        <v>179</v>
      </c>
      <c r="J1738" s="15">
        <v>26.31666666666667</v>
      </c>
    </row>
    <row r="1739" spans="1:10">
      <c r="A1739" s="6" t="s">
        <v>141</v>
      </c>
      <c r="B1739" s="6" t="s">
        <v>44</v>
      </c>
      <c r="C1739" s="6" t="s">
        <v>273</v>
      </c>
      <c r="D1739" s="6">
        <v>31.24555564596212</v>
      </c>
      <c r="E1739" s="6" t="s">
        <v>86</v>
      </c>
      <c r="F1739" s="6" t="s">
        <v>51</v>
      </c>
      <c r="G1739" s="7">
        <v>40826.03765706107</v>
      </c>
      <c r="H1739" s="6">
        <v>1275632.231417847</v>
      </c>
      <c r="I1739" s="6" t="s">
        <v>179</v>
      </c>
      <c r="J1739" s="15">
        <v>26.31666666666667</v>
      </c>
    </row>
    <row r="1740" spans="1:10">
      <c r="A1740" s="6" t="s">
        <v>141</v>
      </c>
      <c r="B1740" s="6" t="s">
        <v>44</v>
      </c>
      <c r="C1740" s="6" t="s">
        <v>273</v>
      </c>
      <c r="D1740" s="6">
        <v>25.88066666666667</v>
      </c>
      <c r="E1740" s="6" t="s">
        <v>88</v>
      </c>
      <c r="F1740" s="6" t="s">
        <v>51</v>
      </c>
      <c r="G1740" s="7">
        <v>40826.03765706107</v>
      </c>
      <c r="H1740" s="6">
        <v>1056605.071923178</v>
      </c>
      <c r="I1740" s="6" t="s">
        <v>179</v>
      </c>
      <c r="J1740" s="15">
        <v>26.31666666666667</v>
      </c>
    </row>
    <row r="1741" spans="1:10">
      <c r="A1741" s="6" t="s">
        <v>141</v>
      </c>
      <c r="B1741" s="6" t="s">
        <v>44</v>
      </c>
      <c r="C1741" s="6" t="s">
        <v>273</v>
      </c>
      <c r="D1741" s="6">
        <v>10.71495924996699</v>
      </c>
      <c r="E1741" s="6" t="s">
        <v>90</v>
      </c>
      <c r="F1741" s="6" t="s">
        <v>51</v>
      </c>
      <c r="G1741" s="7">
        <v>40826.03765706107</v>
      </c>
      <c r="H1741" s="6">
        <v>437449.3298330271</v>
      </c>
      <c r="I1741" s="6" t="s">
        <v>179</v>
      </c>
      <c r="J1741" s="15">
        <v>26.31666666666667</v>
      </c>
    </row>
    <row r="1742" spans="1:10">
      <c r="A1742" s="6" t="s">
        <v>141</v>
      </c>
      <c r="B1742" s="6" t="s">
        <v>44</v>
      </c>
      <c r="C1742" s="6" t="s">
        <v>273</v>
      </c>
      <c r="D1742" s="6">
        <v>0.2688333333333333</v>
      </c>
      <c r="E1742" s="6" t="s">
        <v>92</v>
      </c>
      <c r="F1742" s="6" t="s">
        <v>51</v>
      </c>
      <c r="G1742" s="7">
        <v>40826.03765706107</v>
      </c>
      <c r="H1742" s="6">
        <v>10975.39979013992</v>
      </c>
      <c r="I1742" s="6" t="s">
        <v>179</v>
      </c>
      <c r="J1742" s="15">
        <v>26.31666666666667</v>
      </c>
    </row>
    <row r="1743" spans="1:10">
      <c r="A1743" s="6" t="s">
        <v>141</v>
      </c>
      <c r="B1743" s="6" t="s">
        <v>44</v>
      </c>
      <c r="C1743" s="6" t="s">
        <v>274</v>
      </c>
      <c r="D1743" s="6">
        <v>148.5829119201781</v>
      </c>
      <c r="E1743" s="6" t="s">
        <v>44</v>
      </c>
      <c r="F1743" s="6" t="s">
        <v>56</v>
      </c>
      <c r="G1743" s="7">
        <v>71131.25468556939</v>
      </c>
      <c r="H1743" s="6">
        <v>10568888.94971772</v>
      </c>
      <c r="I1743" s="6" t="s">
        <v>179</v>
      </c>
      <c r="J1743" s="15">
        <v>42</v>
      </c>
    </row>
    <row r="1744" spans="1:10">
      <c r="A1744" s="6" t="s">
        <v>141</v>
      </c>
      <c r="B1744" s="6" t="s">
        <v>44</v>
      </c>
      <c r="C1744" s="6" t="s">
        <v>274</v>
      </c>
      <c r="D1744" s="6">
        <v>19.15815375646264</v>
      </c>
      <c r="E1744" s="6" t="s">
        <v>86</v>
      </c>
      <c r="F1744" s="6" t="s">
        <v>56</v>
      </c>
      <c r="G1744" s="7">
        <v>71131.25468556939</v>
      </c>
      <c r="H1744" s="6">
        <v>1362743.514156242</v>
      </c>
      <c r="I1744" s="6" t="s">
        <v>179</v>
      </c>
      <c r="J1744" s="15">
        <v>42</v>
      </c>
    </row>
    <row r="1745" spans="1:10">
      <c r="A1745" s="6" t="s">
        <v>141</v>
      </c>
      <c r="B1745" s="6" t="s">
        <v>44</v>
      </c>
      <c r="C1745" s="6" t="s">
        <v>274</v>
      </c>
      <c r="D1745" s="6">
        <v>9.619083333333332</v>
      </c>
      <c r="E1745" s="6" t="s">
        <v>88</v>
      </c>
      <c r="F1745" s="6" t="s">
        <v>56</v>
      </c>
      <c r="G1745" s="7">
        <v>71131.25468556939</v>
      </c>
      <c r="H1745" s="6">
        <v>684217.4664250491</v>
      </c>
      <c r="I1745" s="6" t="s">
        <v>179</v>
      </c>
      <c r="J1745" s="15">
        <v>42</v>
      </c>
    </row>
    <row r="1746" spans="1:10">
      <c r="A1746" s="6" t="s">
        <v>141</v>
      </c>
      <c r="B1746" s="6" t="s">
        <v>44</v>
      </c>
      <c r="C1746" s="6" t="s">
        <v>274</v>
      </c>
      <c r="D1746" s="6">
        <v>8.721778691456812</v>
      </c>
      <c r="E1746" s="6" t="s">
        <v>90</v>
      </c>
      <c r="F1746" s="6" t="s">
        <v>56</v>
      </c>
      <c r="G1746" s="7">
        <v>71131.25468556939</v>
      </c>
      <c r="H1746" s="6">
        <v>620391.0614131867</v>
      </c>
      <c r="I1746" s="6" t="s">
        <v>179</v>
      </c>
      <c r="J1746" s="15">
        <v>42</v>
      </c>
    </row>
    <row r="1747" spans="1:10">
      <c r="A1747" s="6" t="s">
        <v>141</v>
      </c>
      <c r="B1747" s="6" t="s">
        <v>44</v>
      </c>
      <c r="C1747" s="6" t="s">
        <v>275</v>
      </c>
      <c r="D1747" s="6">
        <v>12.52058333333333</v>
      </c>
      <c r="E1747" s="6" t="s">
        <v>44</v>
      </c>
      <c r="F1747" s="6" t="s">
        <v>51</v>
      </c>
      <c r="G1747" s="7">
        <v>59571.48346905452</v>
      </c>
      <c r="H1747" s="6">
        <v>745869.7230645863</v>
      </c>
      <c r="I1747" s="6" t="s">
        <v>179</v>
      </c>
      <c r="J1747" s="15">
        <v>19</v>
      </c>
    </row>
    <row r="1748" spans="1:10">
      <c r="A1748" s="6" t="s">
        <v>141</v>
      </c>
      <c r="B1748" s="6" t="s">
        <v>44</v>
      </c>
      <c r="C1748" s="6" t="s">
        <v>275</v>
      </c>
      <c r="D1748" s="6">
        <v>2.776833333333333</v>
      </c>
      <c r="E1748" s="6" t="s">
        <v>86</v>
      </c>
      <c r="F1748" s="6" t="s">
        <v>51</v>
      </c>
      <c r="G1748" s="7">
        <v>59571.48346905452</v>
      </c>
      <c r="H1748" s="6">
        <v>165420.0810129862</v>
      </c>
      <c r="I1748" s="6" t="s">
        <v>179</v>
      </c>
      <c r="J1748" s="15">
        <v>19</v>
      </c>
    </row>
    <row r="1749" spans="1:10">
      <c r="A1749" s="6" t="s">
        <v>141</v>
      </c>
      <c r="B1749" s="6" t="s">
        <v>44</v>
      </c>
      <c r="C1749" s="6" t="s">
        <v>275</v>
      </c>
      <c r="D1749" s="6">
        <v>0.6556666666666666</v>
      </c>
      <c r="E1749" s="6" t="s">
        <v>88</v>
      </c>
      <c r="F1749" s="6" t="s">
        <v>51</v>
      </c>
      <c r="G1749" s="7">
        <v>59571.48346905452</v>
      </c>
      <c r="H1749" s="6">
        <v>39059.03599454341</v>
      </c>
      <c r="I1749" s="6" t="s">
        <v>179</v>
      </c>
      <c r="J1749" s="15">
        <v>19</v>
      </c>
    </row>
    <row r="1750" spans="1:10">
      <c r="A1750" s="6" t="s">
        <v>141</v>
      </c>
      <c r="B1750" s="6" t="s">
        <v>44</v>
      </c>
      <c r="C1750" s="6" t="s">
        <v>275</v>
      </c>
      <c r="D1750" s="6">
        <v>0.9153333333333334</v>
      </c>
      <c r="E1750" s="6" t="s">
        <v>90</v>
      </c>
      <c r="F1750" s="6" t="s">
        <v>51</v>
      </c>
      <c r="G1750" s="7">
        <v>59571.48346905452</v>
      </c>
      <c r="H1750" s="6">
        <v>54527.76453534124</v>
      </c>
      <c r="I1750" s="6" t="s">
        <v>179</v>
      </c>
      <c r="J1750" s="15">
        <v>19</v>
      </c>
    </row>
    <row r="1751" spans="1:10">
      <c r="A1751" s="6" t="s">
        <v>141</v>
      </c>
      <c r="B1751" s="6" t="s">
        <v>44</v>
      </c>
      <c r="C1751" s="6" t="s">
        <v>276</v>
      </c>
      <c r="D1751" s="6">
        <v>168.5160761112082</v>
      </c>
      <c r="E1751" s="6" t="s">
        <v>44</v>
      </c>
      <c r="F1751" s="6" t="s">
        <v>51</v>
      </c>
      <c r="G1751" s="7">
        <v>39632.99974164585</v>
      </c>
      <c r="H1751" s="6">
        <v>6678797.600978686</v>
      </c>
      <c r="I1751" s="6" t="s">
        <v>179</v>
      </c>
      <c r="J1751" s="15">
        <v>46</v>
      </c>
    </row>
    <row r="1752" spans="1:10">
      <c r="A1752" s="6" t="s">
        <v>141</v>
      </c>
      <c r="B1752" s="6" t="s">
        <v>44</v>
      </c>
      <c r="C1752" s="6" t="s">
        <v>276</v>
      </c>
      <c r="D1752" s="6">
        <v>8.579589009646142</v>
      </c>
      <c r="E1752" s="6" t="s">
        <v>86</v>
      </c>
      <c r="F1752" s="6" t="s">
        <v>51</v>
      </c>
      <c r="G1752" s="7">
        <v>39632.99974164585</v>
      </c>
      <c r="H1752" s="6">
        <v>340034.8490027331</v>
      </c>
      <c r="I1752" s="6" t="s">
        <v>179</v>
      </c>
      <c r="J1752" s="15">
        <v>46</v>
      </c>
    </row>
    <row r="1753" spans="1:10">
      <c r="A1753" s="6" t="s">
        <v>141</v>
      </c>
      <c r="B1753" s="6" t="s">
        <v>44</v>
      </c>
      <c r="C1753" s="6" t="s">
        <v>276</v>
      </c>
      <c r="D1753" s="6">
        <v>5.838083333333334</v>
      </c>
      <c r="E1753" s="6" t="s">
        <v>88</v>
      </c>
      <c r="F1753" s="6" t="s">
        <v>51</v>
      </c>
      <c r="G1753" s="7">
        <v>39632.99974164585</v>
      </c>
      <c r="H1753" s="6">
        <v>231380.7552417069</v>
      </c>
      <c r="I1753" s="6" t="s">
        <v>179</v>
      </c>
      <c r="J1753" s="15">
        <v>46</v>
      </c>
    </row>
    <row r="1754" spans="1:10">
      <c r="A1754" s="6" t="s">
        <v>141</v>
      </c>
      <c r="B1754" s="6" t="s">
        <v>44</v>
      </c>
      <c r="C1754" s="6" t="s">
        <v>276</v>
      </c>
      <c r="D1754" s="6">
        <v>1.969404968566214</v>
      </c>
      <c r="E1754" s="6" t="s">
        <v>90</v>
      </c>
      <c r="F1754" s="6" t="s">
        <v>51</v>
      </c>
      <c r="G1754" s="7">
        <v>39632.99974164585</v>
      </c>
      <c r="H1754" s="6">
        <v>78053.4266103808</v>
      </c>
      <c r="I1754" s="6" t="s">
        <v>179</v>
      </c>
      <c r="J1754" s="15">
        <v>46</v>
      </c>
    </row>
    <row r="1755" spans="1:10">
      <c r="A1755" s="6" t="s">
        <v>141</v>
      </c>
      <c r="B1755" s="6" t="s">
        <v>44</v>
      </c>
      <c r="C1755" s="6" t="s">
        <v>277</v>
      </c>
      <c r="D1755" s="6">
        <v>0.1505911468812877</v>
      </c>
      <c r="E1755" s="6" t="s">
        <v>44</v>
      </c>
      <c r="F1755" s="6" t="s">
        <v>57</v>
      </c>
      <c r="G1755" s="7">
        <v>40351.08108770724</v>
      </c>
      <c r="H1755" s="6">
        <v>6076.515578897673</v>
      </c>
      <c r="I1755" s="6" t="s">
        <v>180</v>
      </c>
      <c r="J1755" s="15">
        <v>8.187821936491906</v>
      </c>
    </row>
    <row r="1756" spans="1:10">
      <c r="A1756" s="6" t="s">
        <v>141</v>
      </c>
      <c r="B1756" s="6" t="s">
        <v>44</v>
      </c>
      <c r="C1756" s="6" t="s">
        <v>277</v>
      </c>
      <c r="D1756" s="6">
        <v>0.04671471811108142</v>
      </c>
      <c r="E1756" s="6" t="s">
        <v>86</v>
      </c>
      <c r="F1756" s="6" t="s">
        <v>57</v>
      </c>
      <c r="G1756" s="7">
        <v>40351.08108770724</v>
      </c>
      <c r="H1756" s="6">
        <v>1884.989378489632</v>
      </c>
      <c r="I1756" s="6" t="s">
        <v>180</v>
      </c>
      <c r="J1756" s="15">
        <v>8.187821936491906</v>
      </c>
    </row>
    <row r="1757" spans="1:10">
      <c r="A1757" s="6" t="s">
        <v>141</v>
      </c>
      <c r="B1757" s="6" t="s">
        <v>44</v>
      </c>
      <c r="C1757" s="6" t="s">
        <v>277</v>
      </c>
      <c r="D1757" s="6">
        <v>0.01866666666666667</v>
      </c>
      <c r="E1757" s="6" t="s">
        <v>88</v>
      </c>
      <c r="F1757" s="6" t="s">
        <v>57</v>
      </c>
      <c r="G1757" s="7">
        <v>40351.08108770724</v>
      </c>
      <c r="H1757" s="6">
        <v>753.2201803038686</v>
      </c>
      <c r="I1757" s="6" t="s">
        <v>180</v>
      </c>
      <c r="J1757" s="15">
        <v>8.187821936491906</v>
      </c>
    </row>
    <row r="1758" spans="1:10">
      <c r="A1758" s="6" t="s">
        <v>141</v>
      </c>
      <c r="B1758" s="6" t="s">
        <v>44</v>
      </c>
      <c r="C1758" s="6" t="s">
        <v>277</v>
      </c>
      <c r="D1758" s="6">
        <v>0.03346738931577022</v>
      </c>
      <c r="E1758" s="6" t="s">
        <v>90</v>
      </c>
      <c r="F1758" s="6" t="s">
        <v>57</v>
      </c>
      <c r="G1758" s="7">
        <v>40351.08108770724</v>
      </c>
      <c r="H1758" s="6">
        <v>1350.445340074511</v>
      </c>
      <c r="I1758" s="6" t="s">
        <v>180</v>
      </c>
      <c r="J1758" s="15">
        <v>8.187821936491906</v>
      </c>
    </row>
    <row r="1759" spans="1:10">
      <c r="A1759" s="6" t="s">
        <v>141</v>
      </c>
      <c r="B1759" s="6" t="s">
        <v>44</v>
      </c>
      <c r="C1759" s="6" t="s">
        <v>278</v>
      </c>
      <c r="D1759" s="6">
        <v>324.368893497894</v>
      </c>
      <c r="E1759" s="6" t="s">
        <v>44</v>
      </c>
      <c r="F1759" s="6" t="s">
        <v>55</v>
      </c>
      <c r="G1759" s="7">
        <v>91237.77280498153</v>
      </c>
      <c r="H1759" s="6">
        <v>29594695.40996411</v>
      </c>
      <c r="I1759" s="6" t="s">
        <v>179</v>
      </c>
      <c r="J1759" s="15">
        <v>41.00833333333333</v>
      </c>
    </row>
    <row r="1760" spans="1:10">
      <c r="A1760" s="6" t="s">
        <v>141</v>
      </c>
      <c r="B1760" s="6" t="s">
        <v>44</v>
      </c>
      <c r="C1760" s="6" t="s">
        <v>278</v>
      </c>
      <c r="D1760" s="6">
        <v>12.22798549278105</v>
      </c>
      <c r="E1760" s="6" t="s">
        <v>86</v>
      </c>
      <c r="F1760" s="6" t="s">
        <v>55</v>
      </c>
      <c r="G1760" s="7">
        <v>91237.77280498153</v>
      </c>
      <c r="H1760" s="6">
        <v>1115654.162252967</v>
      </c>
      <c r="I1760" s="6" t="s">
        <v>179</v>
      </c>
      <c r="J1760" s="15">
        <v>41.00833333333333</v>
      </c>
    </row>
    <row r="1761" spans="1:10">
      <c r="A1761" s="6" t="s">
        <v>141</v>
      </c>
      <c r="B1761" s="6" t="s">
        <v>44</v>
      </c>
      <c r="C1761" s="6" t="s">
        <v>278</v>
      </c>
      <c r="D1761" s="6">
        <v>5.576833333333333</v>
      </c>
      <c r="E1761" s="6" t="s">
        <v>88</v>
      </c>
      <c r="F1761" s="6" t="s">
        <v>55</v>
      </c>
      <c r="G1761" s="7">
        <v>91237.77280498153</v>
      </c>
      <c r="H1761" s="6">
        <v>508817.8526379145</v>
      </c>
      <c r="I1761" s="6" t="s">
        <v>179</v>
      </c>
      <c r="J1761" s="15">
        <v>41.00833333333333</v>
      </c>
    </row>
    <row r="1762" spans="1:10">
      <c r="A1762" s="6" t="s">
        <v>141</v>
      </c>
      <c r="B1762" s="6" t="s">
        <v>44</v>
      </c>
      <c r="C1762" s="6" t="s">
        <v>278</v>
      </c>
      <c r="D1762" s="6">
        <v>6.699404476839803</v>
      </c>
      <c r="E1762" s="6" t="s">
        <v>90</v>
      </c>
      <c r="F1762" s="6" t="s">
        <v>55</v>
      </c>
      <c r="G1762" s="7">
        <v>91237.77280498153</v>
      </c>
      <c r="H1762" s="6">
        <v>611238.7435865861</v>
      </c>
      <c r="I1762" s="6" t="s">
        <v>179</v>
      </c>
      <c r="J1762" s="15">
        <v>41.00833333333333</v>
      </c>
    </row>
    <row r="1763" spans="1:10">
      <c r="A1763" s="6" t="s">
        <v>141</v>
      </c>
      <c r="B1763" s="6" t="s">
        <v>44</v>
      </c>
      <c r="C1763" s="6" t="s">
        <v>279</v>
      </c>
      <c r="D1763" s="6">
        <v>128.617597497618</v>
      </c>
      <c r="E1763" s="6" t="s">
        <v>44</v>
      </c>
      <c r="F1763" s="6" t="s">
        <v>52</v>
      </c>
      <c r="G1763" s="7">
        <v>53440.82611531692</v>
      </c>
      <c r="H1763" s="6">
        <v>6873430.663240027</v>
      </c>
      <c r="I1763" s="6" t="s">
        <v>179</v>
      </c>
      <c r="J1763" s="15">
        <v>43.65</v>
      </c>
    </row>
    <row r="1764" spans="1:10">
      <c r="A1764" s="6" t="s">
        <v>141</v>
      </c>
      <c r="B1764" s="6" t="s">
        <v>44</v>
      </c>
      <c r="C1764" s="6" t="s">
        <v>280</v>
      </c>
      <c r="D1764" s="6">
        <v>508.2095294538238</v>
      </c>
      <c r="E1764" s="6" t="s">
        <v>44</v>
      </c>
      <c r="F1764" s="6" t="s">
        <v>55</v>
      </c>
      <c r="G1764" s="7">
        <v>70181.01398935323</v>
      </c>
      <c r="H1764" s="6">
        <v>35666660.09612143</v>
      </c>
      <c r="I1764" s="6" t="s">
        <v>179</v>
      </c>
      <c r="J1764" s="15">
        <v>56.09999999999999</v>
      </c>
    </row>
    <row r="1765" spans="1:10">
      <c r="A1765" s="6" t="s">
        <v>141</v>
      </c>
      <c r="B1765" s="6" t="s">
        <v>44</v>
      </c>
      <c r="C1765" s="6" t="s">
        <v>280</v>
      </c>
      <c r="D1765" s="6">
        <v>21.38801424296396</v>
      </c>
      <c r="E1765" s="6" t="s">
        <v>86</v>
      </c>
      <c r="F1765" s="6" t="s">
        <v>55</v>
      </c>
      <c r="G1765" s="7">
        <v>70181.01398935323</v>
      </c>
      <c r="H1765" s="6">
        <v>1501032.52678994</v>
      </c>
      <c r="I1765" s="6" t="s">
        <v>179</v>
      </c>
      <c r="J1765" s="15">
        <v>56.09999999999999</v>
      </c>
    </row>
    <row r="1766" spans="1:10">
      <c r="A1766" s="6" t="s">
        <v>141</v>
      </c>
      <c r="B1766" s="6" t="s">
        <v>44</v>
      </c>
      <c r="C1766" s="6" t="s">
        <v>280</v>
      </c>
      <c r="D1766" s="6">
        <v>12.62958333333333</v>
      </c>
      <c r="E1766" s="6" t="s">
        <v>88</v>
      </c>
      <c r="F1766" s="6" t="s">
        <v>55</v>
      </c>
      <c r="G1766" s="7">
        <v>70181.01398935323</v>
      </c>
      <c r="H1766" s="6">
        <v>886356.9645963691</v>
      </c>
      <c r="I1766" s="6" t="s">
        <v>179</v>
      </c>
      <c r="J1766" s="15">
        <v>56.09999999999999</v>
      </c>
    </row>
    <row r="1767" spans="1:10">
      <c r="A1767" s="6" t="s">
        <v>141</v>
      </c>
      <c r="B1767" s="6" t="s">
        <v>44</v>
      </c>
      <c r="C1767" s="6" t="s">
        <v>280</v>
      </c>
      <c r="D1767" s="6">
        <v>9.000225843451833</v>
      </c>
      <c r="E1767" s="6" t="s">
        <v>90</v>
      </c>
      <c r="F1767" s="6" t="s">
        <v>55</v>
      </c>
      <c r="G1767" s="7">
        <v>70181.01398935323</v>
      </c>
      <c r="H1767" s="6">
        <v>631644.9758266316</v>
      </c>
      <c r="I1767" s="6" t="s">
        <v>179</v>
      </c>
      <c r="J1767" s="15">
        <v>56.09999999999999</v>
      </c>
    </row>
    <row r="1768" spans="1:10">
      <c r="A1768" s="6" t="s">
        <v>141</v>
      </c>
      <c r="B1768" s="6" t="s">
        <v>44</v>
      </c>
      <c r="C1768" s="6" t="s">
        <v>280</v>
      </c>
      <c r="D1768" s="6">
        <v>0.06233333333333333</v>
      </c>
      <c r="E1768" s="6" t="s">
        <v>92</v>
      </c>
      <c r="F1768" s="6" t="s">
        <v>55</v>
      </c>
      <c r="G1768" s="7">
        <v>70181.01398935323</v>
      </c>
      <c r="H1768" s="6">
        <v>4374.616538669685</v>
      </c>
      <c r="I1768" s="6" t="s">
        <v>179</v>
      </c>
      <c r="J1768" s="15">
        <v>56.09999999999999</v>
      </c>
    </row>
    <row r="1769" spans="1:10">
      <c r="A1769" s="6" t="s">
        <v>141</v>
      </c>
      <c r="B1769" s="6" t="s">
        <v>44</v>
      </c>
      <c r="C1769" s="6" t="s">
        <v>281</v>
      </c>
      <c r="D1769" s="6">
        <v>297.629182085026</v>
      </c>
      <c r="E1769" s="6" t="s">
        <v>44</v>
      </c>
      <c r="F1769" s="6" t="s">
        <v>57</v>
      </c>
      <c r="G1769" s="7">
        <v>70012.88567894354</v>
      </c>
      <c r="H1769" s="6">
        <v>20837877.90003639</v>
      </c>
      <c r="I1769" s="6" t="s">
        <v>179</v>
      </c>
      <c r="J1769" s="15">
        <v>41.50833333333334</v>
      </c>
    </row>
    <row r="1770" spans="1:10">
      <c r="A1770" s="6" t="s">
        <v>141</v>
      </c>
      <c r="B1770" s="6" t="s">
        <v>44</v>
      </c>
      <c r="C1770" s="6" t="s">
        <v>281</v>
      </c>
      <c r="D1770" s="6">
        <v>20.11342319428201</v>
      </c>
      <c r="E1770" s="6" t="s">
        <v>86</v>
      </c>
      <c r="F1770" s="6" t="s">
        <v>57</v>
      </c>
      <c r="G1770" s="7">
        <v>70012.88567894354</v>
      </c>
      <c r="H1770" s="6">
        <v>1408198.798713478</v>
      </c>
      <c r="I1770" s="6" t="s">
        <v>179</v>
      </c>
      <c r="J1770" s="15">
        <v>41.50833333333334</v>
      </c>
    </row>
    <row r="1771" spans="1:10">
      <c r="A1771" s="6" t="s">
        <v>141</v>
      </c>
      <c r="B1771" s="6" t="s">
        <v>44</v>
      </c>
      <c r="C1771" s="6" t="s">
        <v>281</v>
      </c>
      <c r="D1771" s="6">
        <v>10.89033333333333</v>
      </c>
      <c r="E1771" s="6" t="s">
        <v>88</v>
      </c>
      <c r="F1771" s="6" t="s">
        <v>57</v>
      </c>
      <c r="G1771" s="7">
        <v>70012.88567894354</v>
      </c>
      <c r="H1771" s="6">
        <v>762463.6626722546</v>
      </c>
      <c r="I1771" s="6" t="s">
        <v>179</v>
      </c>
      <c r="J1771" s="15">
        <v>41.50833333333334</v>
      </c>
    </row>
    <row r="1772" spans="1:10">
      <c r="A1772" s="6" t="s">
        <v>141</v>
      </c>
      <c r="B1772" s="6" t="s">
        <v>44</v>
      </c>
      <c r="C1772" s="6" t="s">
        <v>281</v>
      </c>
      <c r="D1772" s="6">
        <v>6.174609792898106</v>
      </c>
      <c r="E1772" s="6" t="s">
        <v>90</v>
      </c>
      <c r="F1772" s="6" t="s">
        <v>57</v>
      </c>
      <c r="G1772" s="7">
        <v>70012.88567894354</v>
      </c>
      <c r="H1772" s="6">
        <v>432302.2495422603</v>
      </c>
      <c r="I1772" s="6" t="s">
        <v>179</v>
      </c>
      <c r="J1772" s="15">
        <v>41.50833333333334</v>
      </c>
    </row>
    <row r="1773" spans="1:10">
      <c r="A1773" s="6" t="s">
        <v>141</v>
      </c>
      <c r="B1773" s="6" t="s">
        <v>44</v>
      </c>
      <c r="C1773" s="6" t="s">
        <v>282</v>
      </c>
      <c r="D1773" s="6">
        <v>3.042083333333333</v>
      </c>
      <c r="E1773" s="6" t="s">
        <v>44</v>
      </c>
      <c r="F1773" s="6" t="s">
        <v>56</v>
      </c>
      <c r="G1773" s="7">
        <v>62372.04989791066</v>
      </c>
      <c r="H1773" s="6">
        <v>189740.973460269</v>
      </c>
      <c r="I1773" s="6" t="s">
        <v>179</v>
      </c>
      <c r="J1773" s="15">
        <v>43.03333333333333</v>
      </c>
    </row>
    <row r="1774" spans="1:10">
      <c r="A1774" s="6" t="s">
        <v>141</v>
      </c>
      <c r="B1774" s="6" t="s">
        <v>44</v>
      </c>
      <c r="C1774" s="6" t="s">
        <v>282</v>
      </c>
      <c r="D1774" s="6">
        <v>0.4995833333333333</v>
      </c>
      <c r="E1774" s="6" t="s">
        <v>86</v>
      </c>
      <c r="F1774" s="6" t="s">
        <v>56</v>
      </c>
      <c r="G1774" s="7">
        <v>62372.04989791066</v>
      </c>
      <c r="H1774" s="6">
        <v>31160.0365948312</v>
      </c>
      <c r="I1774" s="6" t="s">
        <v>179</v>
      </c>
      <c r="J1774" s="15">
        <v>43.03333333333333</v>
      </c>
    </row>
    <row r="1775" spans="1:10">
      <c r="A1775" s="6" t="s">
        <v>141</v>
      </c>
      <c r="B1775" s="6" t="s">
        <v>44</v>
      </c>
      <c r="C1775" s="6" t="s">
        <v>282</v>
      </c>
      <c r="D1775" s="6">
        <v>0.2808333333333333</v>
      </c>
      <c r="E1775" s="6" t="s">
        <v>88</v>
      </c>
      <c r="F1775" s="6" t="s">
        <v>56</v>
      </c>
      <c r="G1775" s="7">
        <v>62372.04989791066</v>
      </c>
      <c r="H1775" s="6">
        <v>17516.15067966325</v>
      </c>
      <c r="I1775" s="6" t="s">
        <v>179</v>
      </c>
      <c r="J1775" s="15">
        <v>43.03333333333333</v>
      </c>
    </row>
    <row r="1776" spans="1:10">
      <c r="A1776" s="6" t="s">
        <v>141</v>
      </c>
      <c r="B1776" s="6" t="s">
        <v>44</v>
      </c>
      <c r="C1776" s="6" t="s">
        <v>282</v>
      </c>
      <c r="D1776" s="6">
        <v>0.228</v>
      </c>
      <c r="E1776" s="6" t="s">
        <v>90</v>
      </c>
      <c r="F1776" s="6" t="s">
        <v>56</v>
      </c>
      <c r="G1776" s="7">
        <v>62372.04989791066</v>
      </c>
      <c r="H1776" s="6">
        <v>14220.82737672363</v>
      </c>
      <c r="I1776" s="6" t="s">
        <v>179</v>
      </c>
      <c r="J1776" s="15">
        <v>43.03333333333333</v>
      </c>
    </row>
    <row r="1777" spans="1:10">
      <c r="A1777" s="6" t="s">
        <v>141</v>
      </c>
      <c r="B1777" s="6" t="s">
        <v>44</v>
      </c>
      <c r="C1777" s="6" t="s">
        <v>283</v>
      </c>
      <c r="D1777" s="6">
        <v>446.7845569105856</v>
      </c>
      <c r="E1777" s="6" t="s">
        <v>44</v>
      </c>
      <c r="F1777" s="6" t="s">
        <v>51</v>
      </c>
      <c r="G1777" s="7">
        <v>51675.72551452865</v>
      </c>
      <c r="H1777" s="6">
        <v>23087916.12704173</v>
      </c>
      <c r="I1777" s="6" t="s">
        <v>179</v>
      </c>
      <c r="J1777" s="15">
        <v>42.25</v>
      </c>
    </row>
    <row r="1778" spans="1:10">
      <c r="A1778" s="6" t="s">
        <v>141</v>
      </c>
      <c r="B1778" s="6" t="s">
        <v>44</v>
      </c>
      <c r="C1778" s="6" t="s">
        <v>283</v>
      </c>
      <c r="D1778" s="6">
        <v>16.82895268561562</v>
      </c>
      <c r="E1778" s="6" t="s">
        <v>86</v>
      </c>
      <c r="F1778" s="6" t="s">
        <v>51</v>
      </c>
      <c r="G1778" s="7">
        <v>51675.72551452865</v>
      </c>
      <c r="H1778" s="6">
        <v>869648.3396788626</v>
      </c>
      <c r="I1778" s="6" t="s">
        <v>179</v>
      </c>
      <c r="J1778" s="15">
        <v>42.25</v>
      </c>
    </row>
    <row r="1779" spans="1:10">
      <c r="A1779" s="6" t="s">
        <v>141</v>
      </c>
      <c r="B1779" s="6" t="s">
        <v>44</v>
      </c>
      <c r="C1779" s="6" t="s">
        <v>283</v>
      </c>
      <c r="D1779" s="6">
        <v>17.64241666666666</v>
      </c>
      <c r="E1779" s="6" t="s">
        <v>88</v>
      </c>
      <c r="F1779" s="6" t="s">
        <v>51</v>
      </c>
      <c r="G1779" s="7">
        <v>51675.72551452865</v>
      </c>
      <c r="H1779" s="6">
        <v>911684.6810796119</v>
      </c>
      <c r="I1779" s="6" t="s">
        <v>179</v>
      </c>
      <c r="J1779" s="15">
        <v>42.25</v>
      </c>
    </row>
    <row r="1780" spans="1:10">
      <c r="A1780" s="6" t="s">
        <v>141</v>
      </c>
      <c r="B1780" s="6" t="s">
        <v>44</v>
      </c>
      <c r="C1780" s="6" t="s">
        <v>283</v>
      </c>
      <c r="D1780" s="6">
        <v>5.712605758520201</v>
      </c>
      <c r="E1780" s="6" t="s">
        <v>90</v>
      </c>
      <c r="F1780" s="6" t="s">
        <v>51</v>
      </c>
      <c r="G1780" s="7">
        <v>51675.72551452865</v>
      </c>
      <c r="H1780" s="6">
        <v>295203.0471500056</v>
      </c>
      <c r="I1780" s="6" t="s">
        <v>179</v>
      </c>
      <c r="J1780" s="15">
        <v>42.25</v>
      </c>
    </row>
    <row r="1781" spans="1:10">
      <c r="A1781" s="6" t="s">
        <v>141</v>
      </c>
      <c r="B1781" s="6" t="s">
        <v>44</v>
      </c>
      <c r="C1781" s="6" t="s">
        <v>284</v>
      </c>
      <c r="D1781" s="6">
        <v>262.788231730236</v>
      </c>
      <c r="E1781" s="6" t="s">
        <v>44</v>
      </c>
      <c r="F1781" s="6" t="s">
        <v>55</v>
      </c>
      <c r="G1781" s="7">
        <v>52691.68338907469</v>
      </c>
      <c r="H1781" s="6">
        <v>13846754.30470439</v>
      </c>
      <c r="I1781" s="6" t="s">
        <v>179</v>
      </c>
      <c r="J1781" s="15">
        <v>61</v>
      </c>
    </row>
    <row r="1782" spans="1:10">
      <c r="A1782" s="6" t="s">
        <v>141</v>
      </c>
      <c r="B1782" s="6" t="s">
        <v>44</v>
      </c>
      <c r="C1782" s="6" t="s">
        <v>284</v>
      </c>
      <c r="D1782" s="6">
        <v>5.706214310939742</v>
      </c>
      <c r="E1782" s="6" t="s">
        <v>86</v>
      </c>
      <c r="F1782" s="6" t="s">
        <v>55</v>
      </c>
      <c r="G1782" s="7">
        <v>52691.68338907469</v>
      </c>
      <c r="H1782" s="6">
        <v>300670.0378222439</v>
      </c>
      <c r="I1782" s="6" t="s">
        <v>179</v>
      </c>
      <c r="J1782" s="15">
        <v>61</v>
      </c>
    </row>
    <row r="1783" spans="1:10">
      <c r="A1783" s="6" t="s">
        <v>141</v>
      </c>
      <c r="B1783" s="6" t="s">
        <v>44</v>
      </c>
      <c r="C1783" s="6" t="s">
        <v>284</v>
      </c>
      <c r="D1783" s="6">
        <v>5.485166666666667</v>
      </c>
      <c r="E1783" s="6" t="s">
        <v>88</v>
      </c>
      <c r="F1783" s="6" t="s">
        <v>55</v>
      </c>
      <c r="G1783" s="7">
        <v>52691.68338907469</v>
      </c>
      <c r="H1783" s="6">
        <v>289022.6653363062</v>
      </c>
      <c r="I1783" s="6" t="s">
        <v>179</v>
      </c>
      <c r="J1783" s="15">
        <v>61</v>
      </c>
    </row>
    <row r="1784" spans="1:10">
      <c r="A1784" s="6" t="s">
        <v>141</v>
      </c>
      <c r="B1784" s="6" t="s">
        <v>44</v>
      </c>
      <c r="C1784" s="6" t="s">
        <v>284</v>
      </c>
      <c r="D1784" s="6">
        <v>3.457055048293691</v>
      </c>
      <c r="E1784" s="6" t="s">
        <v>90</v>
      </c>
      <c r="F1784" s="6" t="s">
        <v>55</v>
      </c>
      <c r="G1784" s="7">
        <v>52691.68338907469</v>
      </c>
      <c r="H1784" s="6">
        <v>182158.0500632935</v>
      </c>
      <c r="I1784" s="6" t="s">
        <v>179</v>
      </c>
      <c r="J1784" s="15">
        <v>61</v>
      </c>
    </row>
    <row r="1785" spans="1:10">
      <c r="A1785" s="6" t="s">
        <v>141</v>
      </c>
      <c r="B1785" s="6" t="s">
        <v>44</v>
      </c>
      <c r="C1785" s="6" t="s">
        <v>285</v>
      </c>
      <c r="D1785" s="6">
        <v>6.047333333333333</v>
      </c>
      <c r="E1785" s="6" t="s">
        <v>44</v>
      </c>
      <c r="F1785" s="6" t="s">
        <v>52</v>
      </c>
      <c r="G1785" s="7">
        <v>109530.9227207585</v>
      </c>
      <c r="H1785" s="6">
        <v>662370</v>
      </c>
      <c r="I1785" s="6" t="s">
        <v>179</v>
      </c>
      <c r="J1785" s="15">
        <v>68.40000000000001</v>
      </c>
    </row>
    <row r="1786" spans="1:10">
      <c r="A1786" s="6" t="s">
        <v>141</v>
      </c>
      <c r="B1786" s="6" t="s">
        <v>44</v>
      </c>
      <c r="C1786" s="6" t="s">
        <v>286</v>
      </c>
      <c r="D1786" s="6">
        <v>92.97233333333334</v>
      </c>
      <c r="E1786" s="6" t="s">
        <v>44</v>
      </c>
      <c r="F1786" s="6" t="s">
        <v>59</v>
      </c>
      <c r="G1786" s="7">
        <v>70858.2206620012</v>
      </c>
      <c r="H1786" s="6">
        <v>6587854.110794463</v>
      </c>
      <c r="I1786" s="6" t="s">
        <v>179</v>
      </c>
      <c r="J1786" s="15">
        <v>56.70833333333333</v>
      </c>
    </row>
    <row r="1787" spans="1:10">
      <c r="A1787" s="6" t="s">
        <v>141</v>
      </c>
      <c r="B1787" s="6" t="s">
        <v>44</v>
      </c>
      <c r="C1787" s="6" t="s">
        <v>286</v>
      </c>
      <c r="D1787" s="6">
        <v>17.29508333333333</v>
      </c>
      <c r="E1787" s="6" t="s">
        <v>86</v>
      </c>
      <c r="F1787" s="6" t="s">
        <v>59</v>
      </c>
      <c r="G1787" s="7">
        <v>70858.2206620012</v>
      </c>
      <c r="H1787" s="6">
        <v>1225498.831201033</v>
      </c>
      <c r="I1787" s="6" t="s">
        <v>179</v>
      </c>
      <c r="J1787" s="15">
        <v>56.70833333333333</v>
      </c>
    </row>
    <row r="1788" spans="1:10">
      <c r="A1788" s="6" t="s">
        <v>141</v>
      </c>
      <c r="B1788" s="6" t="s">
        <v>44</v>
      </c>
      <c r="C1788" s="6" t="s">
        <v>286</v>
      </c>
      <c r="D1788" s="6">
        <v>8.121666666666666</v>
      </c>
      <c r="E1788" s="6" t="s">
        <v>88</v>
      </c>
      <c r="F1788" s="6" t="s">
        <v>59</v>
      </c>
      <c r="G1788" s="7">
        <v>70858.2206620012</v>
      </c>
      <c r="H1788" s="6">
        <v>575486.8488098864</v>
      </c>
      <c r="I1788" s="6" t="s">
        <v>179</v>
      </c>
      <c r="J1788" s="15">
        <v>56.70833333333333</v>
      </c>
    </row>
    <row r="1789" spans="1:10">
      <c r="A1789" s="6" t="s">
        <v>141</v>
      </c>
      <c r="B1789" s="6" t="s">
        <v>44</v>
      </c>
      <c r="C1789" s="6" t="s">
        <v>286</v>
      </c>
      <c r="D1789" s="6">
        <v>3.237166666666667</v>
      </c>
      <c r="E1789" s="6" t="s">
        <v>90</v>
      </c>
      <c r="F1789" s="6" t="s">
        <v>59</v>
      </c>
      <c r="G1789" s="7">
        <v>70858.2206620012</v>
      </c>
      <c r="H1789" s="6">
        <v>229379.8699863416</v>
      </c>
      <c r="I1789" s="6" t="s">
        <v>179</v>
      </c>
      <c r="J1789" s="15">
        <v>56.70833333333333</v>
      </c>
    </row>
    <row r="1790" spans="1:10">
      <c r="A1790" s="6" t="s">
        <v>141</v>
      </c>
      <c r="B1790" s="6" t="s">
        <v>44</v>
      </c>
      <c r="C1790" s="6" t="s">
        <v>287</v>
      </c>
      <c r="D1790" s="6">
        <v>0.5558333333333335</v>
      </c>
      <c r="E1790" s="6" t="s">
        <v>44</v>
      </c>
      <c r="F1790" s="6" t="s">
        <v>53</v>
      </c>
      <c r="G1790" s="7">
        <v>39870.55547829608</v>
      </c>
      <c r="H1790" s="6">
        <v>22161.38375335291</v>
      </c>
      <c r="I1790" s="6" t="s">
        <v>180</v>
      </c>
      <c r="J1790" s="15">
        <v>70</v>
      </c>
    </row>
    <row r="1791" spans="1:10">
      <c r="A1791" s="6" t="s">
        <v>141</v>
      </c>
      <c r="B1791" s="6" t="s">
        <v>44</v>
      </c>
      <c r="C1791" s="6" t="s">
        <v>288</v>
      </c>
      <c r="D1791" s="6">
        <v>1.065743926764978</v>
      </c>
      <c r="E1791" s="6" t="s">
        <v>44</v>
      </c>
      <c r="F1791" s="6" t="s">
        <v>58</v>
      </c>
      <c r="G1791" s="7">
        <v>43931.19520815281</v>
      </c>
      <c r="H1791" s="6">
        <v>46819.40448861557</v>
      </c>
      <c r="I1791" s="6" t="s">
        <v>180</v>
      </c>
      <c r="J1791" s="15">
        <v>17</v>
      </c>
    </row>
    <row r="1792" spans="1:10">
      <c r="A1792" s="6" t="s">
        <v>141</v>
      </c>
      <c r="B1792" s="6" t="s">
        <v>44</v>
      </c>
      <c r="C1792" s="6" t="s">
        <v>288</v>
      </c>
      <c r="D1792" s="6">
        <v>0.2665198765075121</v>
      </c>
      <c r="E1792" s="6" t="s">
        <v>86</v>
      </c>
      <c r="F1792" s="6" t="s">
        <v>58</v>
      </c>
      <c r="G1792" s="7">
        <v>43931.19520815281</v>
      </c>
      <c r="H1792" s="6">
        <v>11708.53672170429</v>
      </c>
      <c r="I1792" s="6" t="s">
        <v>180</v>
      </c>
      <c r="J1792" s="15">
        <v>17</v>
      </c>
    </row>
    <row r="1793" spans="1:10">
      <c r="A1793" s="6" t="s">
        <v>141</v>
      </c>
      <c r="B1793" s="6" t="s">
        <v>44</v>
      </c>
      <c r="C1793" s="6" t="s">
        <v>288</v>
      </c>
      <c r="D1793" s="6">
        <v>0.1896666666666667</v>
      </c>
      <c r="E1793" s="6" t="s">
        <v>88</v>
      </c>
      <c r="F1793" s="6" t="s">
        <v>58</v>
      </c>
      <c r="G1793" s="7">
        <v>43931.19520815281</v>
      </c>
      <c r="H1793" s="6">
        <v>8332.283357812981</v>
      </c>
      <c r="I1793" s="6" t="s">
        <v>180</v>
      </c>
      <c r="J1793" s="15">
        <v>17</v>
      </c>
    </row>
    <row r="1794" spans="1:10">
      <c r="A1794" s="6" t="s">
        <v>141</v>
      </c>
      <c r="B1794" s="6" t="s">
        <v>44</v>
      </c>
      <c r="C1794" s="6" t="s">
        <v>288</v>
      </c>
      <c r="D1794" s="6">
        <v>0.1437031590413943</v>
      </c>
      <c r="E1794" s="6" t="s">
        <v>90</v>
      </c>
      <c r="F1794" s="6" t="s">
        <v>58</v>
      </c>
      <c r="G1794" s="7">
        <v>43931.19520815281</v>
      </c>
      <c r="H1794" s="6">
        <v>6313.051531875723</v>
      </c>
      <c r="I1794" s="6" t="s">
        <v>180</v>
      </c>
      <c r="J1794" s="15">
        <v>17</v>
      </c>
    </row>
    <row r="1795" spans="1:10">
      <c r="A1795" s="6" t="s">
        <v>141</v>
      </c>
      <c r="B1795" s="6" t="s">
        <v>44</v>
      </c>
      <c r="C1795" s="6" t="s">
        <v>289</v>
      </c>
      <c r="D1795" s="6">
        <v>737.9249745500703</v>
      </c>
      <c r="E1795" s="6" t="s">
        <v>44</v>
      </c>
      <c r="F1795" s="6" t="s">
        <v>52</v>
      </c>
      <c r="G1795" s="7">
        <v>53667.82982646869</v>
      </c>
      <c r="H1795" s="6">
        <v>39602831.95885441</v>
      </c>
      <c r="I1795" s="6" t="s">
        <v>179</v>
      </c>
      <c r="J1795" s="15">
        <v>70</v>
      </c>
    </row>
    <row r="1796" spans="1:10">
      <c r="A1796" s="6" t="s">
        <v>141</v>
      </c>
      <c r="B1796" s="6" t="s">
        <v>44</v>
      </c>
      <c r="C1796" s="6" t="s">
        <v>289</v>
      </c>
      <c r="D1796" s="6">
        <v>0.9030660512910753</v>
      </c>
      <c r="E1796" s="6" t="s">
        <v>86</v>
      </c>
      <c r="F1796" s="6" t="s">
        <v>52</v>
      </c>
      <c r="G1796" s="7">
        <v>53667.82982646869</v>
      </c>
      <c r="H1796" s="6">
        <v>48465.59516275048</v>
      </c>
      <c r="I1796" s="6" t="s">
        <v>179</v>
      </c>
      <c r="J1796" s="15">
        <v>70</v>
      </c>
    </row>
    <row r="1797" spans="1:10">
      <c r="A1797" s="6" t="s">
        <v>141</v>
      </c>
      <c r="B1797" s="6" t="s">
        <v>44</v>
      </c>
      <c r="C1797" s="6" t="s">
        <v>289</v>
      </c>
      <c r="D1797" s="6">
        <v>2.53875</v>
      </c>
      <c r="E1797" s="6" t="s">
        <v>88</v>
      </c>
      <c r="F1797" s="6" t="s">
        <v>52</v>
      </c>
      <c r="G1797" s="7">
        <v>53667.82982646869</v>
      </c>
      <c r="H1797" s="6">
        <v>136249.2029719474</v>
      </c>
      <c r="I1797" s="6" t="s">
        <v>179</v>
      </c>
      <c r="J1797" s="15">
        <v>70</v>
      </c>
    </row>
    <row r="1798" spans="1:10">
      <c r="A1798" s="6" t="s">
        <v>141</v>
      </c>
      <c r="B1798" s="6" t="s">
        <v>44</v>
      </c>
      <c r="C1798" s="6" t="s">
        <v>290</v>
      </c>
      <c r="D1798" s="6">
        <v>0.1425</v>
      </c>
      <c r="E1798" s="6" t="s">
        <v>44</v>
      </c>
      <c r="F1798" s="6" t="s">
        <v>53</v>
      </c>
      <c r="G1798" s="7">
        <v>42307.93424836712</v>
      </c>
      <c r="H1798" s="6">
        <v>6028.880630392316</v>
      </c>
      <c r="I1798" s="6" t="s">
        <v>180</v>
      </c>
      <c r="J1798" s="15">
        <v>8.912746806042239</v>
      </c>
    </row>
    <row r="1799" spans="1:10">
      <c r="A1799" s="6" t="s">
        <v>141</v>
      </c>
      <c r="B1799" s="6" t="s">
        <v>44</v>
      </c>
      <c r="C1799" s="6" t="s">
        <v>291</v>
      </c>
      <c r="D1799" s="6">
        <v>0.04799999999999999</v>
      </c>
      <c r="E1799" s="6" t="s">
        <v>44</v>
      </c>
      <c r="F1799" s="6" t="s">
        <v>51</v>
      </c>
      <c r="G1799" s="7">
        <v>35329.77696152869</v>
      </c>
      <c r="H1799" s="6">
        <v>1695.829294153377</v>
      </c>
      <c r="I1799" s="6" t="s">
        <v>180</v>
      </c>
      <c r="J1799" s="15">
        <v>6.327657713737932</v>
      </c>
    </row>
    <row r="1800" spans="1:10">
      <c r="A1800" s="6" t="s">
        <v>141</v>
      </c>
      <c r="B1800" s="6" t="s">
        <v>44</v>
      </c>
      <c r="C1800" s="6" t="s">
        <v>291</v>
      </c>
      <c r="D1800" s="6">
        <v>0.01175</v>
      </c>
      <c r="E1800" s="6" t="s">
        <v>86</v>
      </c>
      <c r="F1800" s="6" t="s">
        <v>51</v>
      </c>
      <c r="G1800" s="7">
        <v>35329.77696152869</v>
      </c>
      <c r="H1800" s="6">
        <v>415.1248792979621</v>
      </c>
      <c r="I1800" s="6" t="s">
        <v>180</v>
      </c>
      <c r="J1800" s="15">
        <v>6.327657713737932</v>
      </c>
    </row>
    <row r="1801" spans="1:10">
      <c r="A1801" s="6" t="s">
        <v>141</v>
      </c>
      <c r="B1801" s="6" t="s">
        <v>44</v>
      </c>
      <c r="C1801" s="6" t="s">
        <v>291</v>
      </c>
      <c r="D1801" s="6">
        <v>0.0015</v>
      </c>
      <c r="E1801" s="6" t="s">
        <v>88</v>
      </c>
      <c r="F1801" s="6" t="s">
        <v>51</v>
      </c>
      <c r="G1801" s="7">
        <v>35329.77696152869</v>
      </c>
      <c r="H1801" s="6">
        <v>52.99466544229304</v>
      </c>
      <c r="I1801" s="6" t="s">
        <v>180</v>
      </c>
      <c r="J1801" s="15">
        <v>6.327657713737932</v>
      </c>
    </row>
    <row r="1802" spans="1:10">
      <c r="A1802" s="6" t="s">
        <v>141</v>
      </c>
      <c r="B1802" s="6" t="s">
        <v>44</v>
      </c>
      <c r="C1802" s="6" t="s">
        <v>291</v>
      </c>
      <c r="D1802" s="6">
        <v>0.004333333333333333</v>
      </c>
      <c r="E1802" s="6" t="s">
        <v>90</v>
      </c>
      <c r="F1802" s="6" t="s">
        <v>51</v>
      </c>
      <c r="G1802" s="7">
        <v>35329.77696152869</v>
      </c>
      <c r="H1802" s="6">
        <v>153.0957001666243</v>
      </c>
      <c r="I1802" s="6" t="s">
        <v>180</v>
      </c>
      <c r="J1802" s="15">
        <v>6.327657713737932</v>
      </c>
    </row>
    <row r="1803" spans="1:10">
      <c r="A1803" s="6" t="s">
        <v>141</v>
      </c>
      <c r="B1803" s="6" t="s">
        <v>44</v>
      </c>
      <c r="C1803" s="6" t="s">
        <v>292</v>
      </c>
      <c r="D1803" s="6">
        <v>89.64549434327469</v>
      </c>
      <c r="E1803" s="6" t="s">
        <v>44</v>
      </c>
      <c r="F1803" s="6" t="s">
        <v>54</v>
      </c>
      <c r="G1803" s="7">
        <v>110583.058701143</v>
      </c>
      <c r="H1803" s="6">
        <v>9913272.963255327</v>
      </c>
      <c r="I1803" s="6" t="s">
        <v>179</v>
      </c>
      <c r="J1803" s="15">
        <v>79</v>
      </c>
    </row>
    <row r="1804" spans="1:10">
      <c r="A1804" s="6" t="s">
        <v>141</v>
      </c>
      <c r="B1804" s="6" t="s">
        <v>44</v>
      </c>
      <c r="C1804" s="6" t="s">
        <v>292</v>
      </c>
      <c r="D1804" s="6">
        <v>2.31197855676242</v>
      </c>
      <c r="E1804" s="6" t="s">
        <v>86</v>
      </c>
      <c r="F1804" s="6" t="s">
        <v>54</v>
      </c>
      <c r="G1804" s="7">
        <v>110583.058701143</v>
      </c>
      <c r="H1804" s="6">
        <v>255665.6604582425</v>
      </c>
      <c r="I1804" s="6" t="s">
        <v>179</v>
      </c>
      <c r="J1804" s="15">
        <v>79</v>
      </c>
    </row>
    <row r="1805" spans="1:10">
      <c r="A1805" s="6" t="s">
        <v>141</v>
      </c>
      <c r="B1805" s="6" t="s">
        <v>44</v>
      </c>
      <c r="C1805" s="6" t="s">
        <v>292</v>
      </c>
      <c r="D1805" s="6">
        <v>1.354416666666666</v>
      </c>
      <c r="E1805" s="6" t="s">
        <v>88</v>
      </c>
      <c r="F1805" s="6" t="s">
        <v>54</v>
      </c>
      <c r="G1805" s="7">
        <v>110583.058701143</v>
      </c>
      <c r="H1805" s="6">
        <v>149775.5377558064</v>
      </c>
      <c r="I1805" s="6" t="s">
        <v>179</v>
      </c>
      <c r="J1805" s="15">
        <v>79</v>
      </c>
    </row>
    <row r="1806" spans="1:10">
      <c r="A1806" s="6" t="s">
        <v>141</v>
      </c>
      <c r="B1806" s="6" t="s">
        <v>44</v>
      </c>
      <c r="C1806" s="6" t="s">
        <v>292</v>
      </c>
      <c r="D1806" s="6">
        <v>1.50243054854713</v>
      </c>
      <c r="E1806" s="6" t="s">
        <v>90</v>
      </c>
      <c r="F1806" s="6" t="s">
        <v>54</v>
      </c>
      <c r="G1806" s="7">
        <v>110583.058701143</v>
      </c>
      <c r="H1806" s="6">
        <v>166143.3655443777</v>
      </c>
      <c r="I1806" s="6" t="s">
        <v>179</v>
      </c>
      <c r="J1806" s="15">
        <v>79</v>
      </c>
    </row>
    <row r="1807" spans="1:10">
      <c r="A1807" s="6" t="s">
        <v>141</v>
      </c>
      <c r="B1807" s="6" t="s">
        <v>44</v>
      </c>
      <c r="C1807" s="6" t="s">
        <v>293</v>
      </c>
      <c r="D1807" s="6">
        <v>27.53628260793942</v>
      </c>
      <c r="E1807" s="6" t="s">
        <v>44</v>
      </c>
      <c r="F1807" s="6" t="s">
        <v>53</v>
      </c>
      <c r="G1807" s="7">
        <v>36013.86577983866</v>
      </c>
      <c r="H1807" s="6">
        <v>991687.9859180356</v>
      </c>
      <c r="I1807" s="6" t="s">
        <v>179</v>
      </c>
      <c r="J1807" s="15">
        <v>16</v>
      </c>
    </row>
    <row r="1808" spans="1:10">
      <c r="A1808" s="6" t="s">
        <v>141</v>
      </c>
      <c r="B1808" s="6" t="s">
        <v>44</v>
      </c>
      <c r="C1808" s="6" t="s">
        <v>293</v>
      </c>
      <c r="D1808" s="6">
        <v>3.069540814823872</v>
      </c>
      <c r="E1808" s="6" t="s">
        <v>86</v>
      </c>
      <c r="F1808" s="6" t="s">
        <v>53</v>
      </c>
      <c r="G1808" s="7">
        <v>36013.86577983866</v>
      </c>
      <c r="H1808" s="6">
        <v>110546.0309108035</v>
      </c>
      <c r="I1808" s="6" t="s">
        <v>179</v>
      </c>
      <c r="J1808" s="15">
        <v>16</v>
      </c>
    </row>
    <row r="1809" spans="1:10">
      <c r="A1809" s="6" t="s">
        <v>141</v>
      </c>
      <c r="B1809" s="6" t="s">
        <v>44</v>
      </c>
      <c r="C1809" s="6" t="s">
        <v>293</v>
      </c>
      <c r="D1809" s="6">
        <v>2.04475</v>
      </c>
      <c r="E1809" s="6" t="s">
        <v>88</v>
      </c>
      <c r="F1809" s="6" t="s">
        <v>53</v>
      </c>
      <c r="G1809" s="7">
        <v>36013.86577983866</v>
      </c>
      <c r="H1809" s="6">
        <v>73639.3520533251</v>
      </c>
      <c r="I1809" s="6" t="s">
        <v>179</v>
      </c>
      <c r="J1809" s="15">
        <v>16</v>
      </c>
    </row>
    <row r="1810" spans="1:10">
      <c r="A1810" s="6" t="s">
        <v>141</v>
      </c>
      <c r="B1810" s="6" t="s">
        <v>44</v>
      </c>
      <c r="C1810" s="6" t="s">
        <v>293</v>
      </c>
      <c r="D1810" s="6">
        <v>2.775725992594436</v>
      </c>
      <c r="E1810" s="6" t="s">
        <v>90</v>
      </c>
      <c r="F1810" s="6" t="s">
        <v>53</v>
      </c>
      <c r="G1810" s="7">
        <v>36013.86577983866</v>
      </c>
      <c r="H1810" s="6">
        <v>99964.62333890545</v>
      </c>
      <c r="I1810" s="6" t="s">
        <v>179</v>
      </c>
      <c r="J1810" s="15">
        <v>16</v>
      </c>
    </row>
    <row r="1811" spans="1:10">
      <c r="A1811" s="6" t="s">
        <v>141</v>
      </c>
      <c r="B1811" s="6" t="s">
        <v>44</v>
      </c>
      <c r="C1811" s="6" t="s">
        <v>294</v>
      </c>
      <c r="D1811" s="6">
        <v>0.4874263258103464</v>
      </c>
      <c r="E1811" s="6" t="s">
        <v>44</v>
      </c>
      <c r="F1811" s="6" t="s">
        <v>54</v>
      </c>
      <c r="G1811" s="7">
        <v>75932.54966215488</v>
      </c>
      <c r="H1811" s="6">
        <v>37011.52369123582</v>
      </c>
      <c r="I1811" s="6" t="s">
        <v>180</v>
      </c>
      <c r="J1811" s="15">
        <v>98.8</v>
      </c>
    </row>
    <row r="1812" spans="1:10">
      <c r="A1812" s="6" t="s">
        <v>141</v>
      </c>
      <c r="B1812" s="6" t="s">
        <v>44</v>
      </c>
      <c r="C1812" s="6" t="s">
        <v>294</v>
      </c>
      <c r="D1812" s="6">
        <v>0.00014302962756571</v>
      </c>
      <c r="E1812" s="6" t="s">
        <v>86</v>
      </c>
      <c r="F1812" s="6" t="s">
        <v>54</v>
      </c>
      <c r="G1812" s="7">
        <v>75932.54966215488</v>
      </c>
      <c r="H1812" s="6">
        <v>10.86060429829279</v>
      </c>
      <c r="I1812" s="6" t="s">
        <v>180</v>
      </c>
      <c r="J1812" s="15">
        <v>98.8</v>
      </c>
    </row>
    <row r="1813" spans="1:10">
      <c r="A1813" s="6" t="s">
        <v>141</v>
      </c>
      <c r="B1813" s="6" t="s">
        <v>44</v>
      </c>
      <c r="C1813" s="6" t="s">
        <v>295</v>
      </c>
      <c r="D1813" s="6">
        <v>53.57142167494862</v>
      </c>
      <c r="E1813" s="6" t="s">
        <v>44</v>
      </c>
      <c r="F1813" s="6" t="s">
        <v>53</v>
      </c>
      <c r="G1813" s="7">
        <v>59372.17808614393</v>
      </c>
      <c r="H1813" s="6">
        <v>3180651.98801296</v>
      </c>
      <c r="I1813" s="6" t="s">
        <v>179</v>
      </c>
      <c r="J1813" s="15">
        <v>65.7</v>
      </c>
    </row>
    <row r="1814" spans="1:10">
      <c r="A1814" s="6" t="s">
        <v>141</v>
      </c>
      <c r="B1814" s="6" t="s">
        <v>44</v>
      </c>
      <c r="C1814" s="6" t="s">
        <v>295</v>
      </c>
      <c r="D1814" s="6">
        <v>0.007947772007955656</v>
      </c>
      <c r="E1814" s="6" t="s">
        <v>86</v>
      </c>
      <c r="F1814" s="6" t="s">
        <v>53</v>
      </c>
      <c r="G1814" s="7">
        <v>59372.17808614393</v>
      </c>
      <c r="H1814" s="6">
        <v>471.8765350444129</v>
      </c>
      <c r="I1814" s="6" t="s">
        <v>179</v>
      </c>
      <c r="J1814" s="15">
        <v>65.7</v>
      </c>
    </row>
    <row r="1815" spans="1:10">
      <c r="A1815" s="6" t="s">
        <v>141</v>
      </c>
      <c r="B1815" s="6" t="s">
        <v>44</v>
      </c>
      <c r="C1815" s="6" t="s">
        <v>295</v>
      </c>
      <c r="D1815" s="6">
        <v>0.2405242742499611</v>
      </c>
      <c r="E1815" s="6" t="s">
        <v>90</v>
      </c>
      <c r="F1815" s="6" t="s">
        <v>53</v>
      </c>
      <c r="G1815" s="7">
        <v>59372.17808614393</v>
      </c>
      <c r="H1815" s="6">
        <v>14280.45004480921</v>
      </c>
      <c r="I1815" s="6" t="s">
        <v>179</v>
      </c>
      <c r="J1815" s="15">
        <v>65.7</v>
      </c>
    </row>
    <row r="1816" spans="1:10">
      <c r="A1816" s="6" t="s">
        <v>141</v>
      </c>
      <c r="B1816" s="6" t="s">
        <v>44</v>
      </c>
      <c r="C1816" s="6" t="s">
        <v>295</v>
      </c>
      <c r="D1816" s="6">
        <v>0.1266666666666667</v>
      </c>
      <c r="E1816" s="6" t="s">
        <v>92</v>
      </c>
      <c r="F1816" s="6" t="s">
        <v>53</v>
      </c>
      <c r="G1816" s="7">
        <v>59372.17808614393</v>
      </c>
      <c r="H1816" s="6">
        <v>7520.475890911564</v>
      </c>
      <c r="I1816" s="6" t="s">
        <v>179</v>
      </c>
      <c r="J1816" s="15">
        <v>65.7</v>
      </c>
    </row>
    <row r="1817" spans="1:10">
      <c r="A1817" s="6" t="s">
        <v>141</v>
      </c>
      <c r="B1817" s="6" t="s">
        <v>44</v>
      </c>
      <c r="C1817" s="6" t="s">
        <v>296</v>
      </c>
      <c r="D1817" s="6">
        <v>280.6523553954726</v>
      </c>
      <c r="E1817" s="6" t="s">
        <v>44</v>
      </c>
      <c r="F1817" s="6" t="s">
        <v>61</v>
      </c>
      <c r="G1817" s="7">
        <v>88892.92063005883</v>
      </c>
      <c r="H1817" s="6">
        <v>24948007.55280881</v>
      </c>
      <c r="I1817" s="6" t="s">
        <v>179</v>
      </c>
      <c r="J1817" s="15">
        <v>27</v>
      </c>
    </row>
    <row r="1818" spans="1:10">
      <c r="A1818" s="6" t="s">
        <v>141</v>
      </c>
      <c r="B1818" s="6" t="s">
        <v>44</v>
      </c>
      <c r="C1818" s="6" t="s">
        <v>296</v>
      </c>
      <c r="D1818" s="6">
        <v>1.23976740238486</v>
      </c>
      <c r="E1818" s="6" t="s">
        <v>86</v>
      </c>
      <c r="F1818" s="6" t="s">
        <v>61</v>
      </c>
      <c r="G1818" s="7">
        <v>88892.92063005883</v>
      </c>
      <c r="H1818" s="6">
        <v>110206.5452999316</v>
      </c>
      <c r="I1818" s="6" t="s">
        <v>179</v>
      </c>
      <c r="J1818" s="15">
        <v>27</v>
      </c>
    </row>
    <row r="1819" spans="1:10">
      <c r="A1819" s="6" t="s">
        <v>141</v>
      </c>
      <c r="B1819" s="6" t="s">
        <v>44</v>
      </c>
      <c r="C1819" s="6" t="s">
        <v>296</v>
      </c>
      <c r="D1819" s="6">
        <v>5.428833333333333</v>
      </c>
      <c r="E1819" s="6" t="s">
        <v>88</v>
      </c>
      <c r="F1819" s="6" t="s">
        <v>61</v>
      </c>
      <c r="G1819" s="7">
        <v>88892.92063005883</v>
      </c>
      <c r="H1819" s="6">
        <v>482584.8506138176</v>
      </c>
      <c r="I1819" s="6" t="s">
        <v>179</v>
      </c>
      <c r="J1819" s="15">
        <v>27</v>
      </c>
    </row>
    <row r="1820" spans="1:10">
      <c r="A1820" s="6" t="s">
        <v>141</v>
      </c>
      <c r="B1820" s="6" t="s">
        <v>44</v>
      </c>
      <c r="C1820" s="6" t="s">
        <v>296</v>
      </c>
      <c r="D1820" s="6">
        <v>15.79858216507365</v>
      </c>
      <c r="E1820" s="6" t="s">
        <v>90</v>
      </c>
      <c r="F1820" s="6" t="s">
        <v>61</v>
      </c>
      <c r="G1820" s="7">
        <v>88892.92063005883</v>
      </c>
      <c r="H1820" s="6">
        <v>1404382.110467355</v>
      </c>
      <c r="I1820" s="6" t="s">
        <v>179</v>
      </c>
      <c r="J1820" s="15">
        <v>27</v>
      </c>
    </row>
    <row r="1821" spans="1:10">
      <c r="A1821" s="6" t="s">
        <v>141</v>
      </c>
      <c r="B1821" s="6" t="s">
        <v>44</v>
      </c>
      <c r="C1821" s="6" t="s">
        <v>296</v>
      </c>
      <c r="D1821" s="6">
        <v>6.003000000000001</v>
      </c>
      <c r="E1821" s="6" t="s">
        <v>92</v>
      </c>
      <c r="F1821" s="6" t="s">
        <v>61</v>
      </c>
      <c r="G1821" s="7">
        <v>88892.92063005883</v>
      </c>
      <c r="H1821" s="6">
        <v>533624.2025422432</v>
      </c>
      <c r="I1821" s="6" t="s">
        <v>179</v>
      </c>
      <c r="J1821" s="15">
        <v>27</v>
      </c>
    </row>
    <row r="1822" spans="1:10">
      <c r="A1822" s="6" t="s">
        <v>141</v>
      </c>
      <c r="B1822" s="6" t="s">
        <v>44</v>
      </c>
      <c r="C1822" s="6" t="s">
        <v>297</v>
      </c>
      <c r="D1822" s="6">
        <v>4.910660261596964</v>
      </c>
      <c r="E1822" s="6" t="s">
        <v>44</v>
      </c>
      <c r="F1822" s="6" t="s">
        <v>52</v>
      </c>
      <c r="G1822" s="7">
        <v>89849.66915387864</v>
      </c>
      <c r="H1822" s="6">
        <v>441221.1998315863</v>
      </c>
      <c r="I1822" s="6" t="s">
        <v>179</v>
      </c>
      <c r="J1822" s="15">
        <v>67</v>
      </c>
    </row>
    <row r="1823" spans="1:10">
      <c r="A1823" s="6" t="s">
        <v>141</v>
      </c>
      <c r="B1823" s="6" t="s">
        <v>44</v>
      </c>
      <c r="C1823" s="6" t="s">
        <v>298</v>
      </c>
      <c r="D1823" s="6">
        <v>324.6564531208064</v>
      </c>
      <c r="E1823" s="6" t="s">
        <v>44</v>
      </c>
      <c r="F1823" s="6" t="s">
        <v>56</v>
      </c>
      <c r="G1823" s="7">
        <v>36500.00929252619</v>
      </c>
      <c r="H1823" s="6">
        <v>11849963.55578803</v>
      </c>
      <c r="I1823" s="6" t="s">
        <v>179</v>
      </c>
      <c r="J1823" s="15">
        <v>21</v>
      </c>
    </row>
    <row r="1824" spans="1:10">
      <c r="A1824" s="6" t="s">
        <v>141</v>
      </c>
      <c r="B1824" s="6" t="s">
        <v>44</v>
      </c>
      <c r="C1824" s="6" t="s">
        <v>298</v>
      </c>
      <c r="D1824" s="6">
        <v>40.9936467284155</v>
      </c>
      <c r="E1824" s="6" t="s">
        <v>86</v>
      </c>
      <c r="F1824" s="6" t="s">
        <v>56</v>
      </c>
      <c r="G1824" s="7">
        <v>36500.00929252619</v>
      </c>
      <c r="H1824" s="6">
        <v>1496268.486521701</v>
      </c>
      <c r="I1824" s="6" t="s">
        <v>179</v>
      </c>
      <c r="J1824" s="15">
        <v>21</v>
      </c>
    </row>
    <row r="1825" spans="1:10">
      <c r="A1825" s="6" t="s">
        <v>141</v>
      </c>
      <c r="B1825" s="6" t="s">
        <v>44</v>
      </c>
      <c r="C1825" s="6" t="s">
        <v>298</v>
      </c>
      <c r="D1825" s="6">
        <v>24.49525</v>
      </c>
      <c r="E1825" s="6" t="s">
        <v>88</v>
      </c>
      <c r="F1825" s="6" t="s">
        <v>56</v>
      </c>
      <c r="G1825" s="7">
        <v>36500.00929252619</v>
      </c>
      <c r="H1825" s="6">
        <v>894076.8526227521</v>
      </c>
      <c r="I1825" s="6" t="s">
        <v>179</v>
      </c>
      <c r="J1825" s="15">
        <v>21</v>
      </c>
    </row>
    <row r="1826" spans="1:10">
      <c r="A1826" s="6" t="s">
        <v>141</v>
      </c>
      <c r="B1826" s="6" t="s">
        <v>44</v>
      </c>
      <c r="C1826" s="6" t="s">
        <v>298</v>
      </c>
      <c r="D1826" s="6">
        <v>14.79892790630688</v>
      </c>
      <c r="E1826" s="6" t="s">
        <v>90</v>
      </c>
      <c r="F1826" s="6" t="s">
        <v>56</v>
      </c>
      <c r="G1826" s="7">
        <v>36500.00929252619</v>
      </c>
      <c r="H1826" s="6">
        <v>540161.0060996261</v>
      </c>
      <c r="I1826" s="6" t="s">
        <v>179</v>
      </c>
      <c r="J1826" s="15">
        <v>21</v>
      </c>
    </row>
    <row r="1827" spans="1:10">
      <c r="A1827" s="6" t="s">
        <v>141</v>
      </c>
      <c r="B1827" s="6" t="s">
        <v>44</v>
      </c>
      <c r="C1827" s="6" t="s">
        <v>298</v>
      </c>
      <c r="D1827" s="6">
        <v>0.02333333333333333</v>
      </c>
      <c r="E1827" s="6" t="s">
        <v>92</v>
      </c>
      <c r="F1827" s="6" t="s">
        <v>56</v>
      </c>
      <c r="G1827" s="7">
        <v>36500.00929252619</v>
      </c>
      <c r="H1827" s="6">
        <v>851.6668834922777</v>
      </c>
      <c r="I1827" s="6" t="s">
        <v>179</v>
      </c>
      <c r="J1827" s="15">
        <v>21</v>
      </c>
    </row>
    <row r="1828" spans="1:10">
      <c r="A1828" s="6" t="s">
        <v>141</v>
      </c>
      <c r="B1828" s="6" t="s">
        <v>44</v>
      </c>
      <c r="C1828" s="6" t="s">
        <v>299</v>
      </c>
      <c r="D1828" s="6">
        <v>0.8241666666666666</v>
      </c>
      <c r="E1828" s="6" t="s">
        <v>44</v>
      </c>
      <c r="F1828" s="6" t="s">
        <v>53</v>
      </c>
      <c r="G1828" s="7">
        <v>45885.15175897437</v>
      </c>
      <c r="H1828" s="6">
        <v>37817.01257468804</v>
      </c>
      <c r="I1828" s="6" t="s">
        <v>180</v>
      </c>
      <c r="J1828" s="15">
        <v>6.9</v>
      </c>
    </row>
    <row r="1829" spans="1:10">
      <c r="A1829" s="6" t="s">
        <v>141</v>
      </c>
      <c r="B1829" s="6" t="s">
        <v>44</v>
      </c>
      <c r="C1829" s="6" t="s">
        <v>300</v>
      </c>
      <c r="D1829" s="6">
        <v>540.0613333333333</v>
      </c>
      <c r="E1829" s="6" t="s">
        <v>44</v>
      </c>
      <c r="F1829" s="6" t="s">
        <v>52</v>
      </c>
      <c r="G1829" s="7">
        <v>79641.24563235717</v>
      </c>
      <c r="H1829" s="6">
        <v>43011157.30453832</v>
      </c>
      <c r="I1829" s="6" t="s">
        <v>179</v>
      </c>
      <c r="J1829" s="15">
        <v>66.55</v>
      </c>
    </row>
    <row r="1830" spans="1:10">
      <c r="A1830" s="6" t="s">
        <v>141</v>
      </c>
      <c r="B1830" s="6" t="s">
        <v>44</v>
      </c>
      <c r="C1830" s="6" t="s">
        <v>301</v>
      </c>
      <c r="D1830" s="6">
        <v>140.2705</v>
      </c>
      <c r="E1830" s="6" t="s">
        <v>44</v>
      </c>
      <c r="F1830" s="6" t="s">
        <v>59</v>
      </c>
      <c r="G1830" s="7">
        <v>69390.77724405598</v>
      </c>
      <c r="H1830" s="6">
        <v>9733479.019412354</v>
      </c>
      <c r="I1830" s="6" t="s">
        <v>179</v>
      </c>
      <c r="J1830" s="15">
        <v>26.65</v>
      </c>
    </row>
    <row r="1831" spans="1:10">
      <c r="A1831" s="6" t="s">
        <v>141</v>
      </c>
      <c r="B1831" s="6" t="s">
        <v>44</v>
      </c>
      <c r="C1831" s="6" t="s">
        <v>301</v>
      </c>
      <c r="D1831" s="6">
        <v>6.935</v>
      </c>
      <c r="E1831" s="6" t="s">
        <v>86</v>
      </c>
      <c r="F1831" s="6" t="s">
        <v>59</v>
      </c>
      <c r="G1831" s="7">
        <v>69390.77724405598</v>
      </c>
      <c r="H1831" s="6">
        <v>481225.0401875282</v>
      </c>
      <c r="I1831" s="6" t="s">
        <v>179</v>
      </c>
      <c r="J1831" s="15">
        <v>26.65</v>
      </c>
    </row>
    <row r="1832" spans="1:10">
      <c r="A1832" s="6" t="s">
        <v>141</v>
      </c>
      <c r="B1832" s="6" t="s">
        <v>44</v>
      </c>
      <c r="C1832" s="6" t="s">
        <v>301</v>
      </c>
      <c r="D1832" s="6">
        <v>5.4905</v>
      </c>
      <c r="E1832" s="6" t="s">
        <v>88</v>
      </c>
      <c r="F1832" s="6" t="s">
        <v>59</v>
      </c>
      <c r="G1832" s="7">
        <v>69390.77724405598</v>
      </c>
      <c r="H1832" s="6">
        <v>380990.0624584893</v>
      </c>
      <c r="I1832" s="6" t="s">
        <v>179</v>
      </c>
      <c r="J1832" s="15">
        <v>26.65</v>
      </c>
    </row>
    <row r="1833" spans="1:10">
      <c r="A1833" s="6" t="s">
        <v>141</v>
      </c>
      <c r="B1833" s="6" t="s">
        <v>44</v>
      </c>
      <c r="C1833" s="6" t="s">
        <v>301</v>
      </c>
      <c r="D1833" s="6">
        <v>2.359833333333333</v>
      </c>
      <c r="E1833" s="6" t="s">
        <v>90</v>
      </c>
      <c r="F1833" s="6" t="s">
        <v>59</v>
      </c>
      <c r="G1833" s="7">
        <v>69390.77724405598</v>
      </c>
      <c r="H1833" s="6">
        <v>163750.6691664314</v>
      </c>
      <c r="I1833" s="6" t="s">
        <v>179</v>
      </c>
      <c r="J1833" s="15">
        <v>26.65</v>
      </c>
    </row>
    <row r="1834" spans="1:10">
      <c r="A1834" s="6" t="s">
        <v>141</v>
      </c>
      <c r="B1834" s="6" t="s">
        <v>44</v>
      </c>
      <c r="C1834" s="6" t="s">
        <v>302</v>
      </c>
      <c r="D1834" s="6">
        <v>339.4758797900833</v>
      </c>
      <c r="E1834" s="6" t="s">
        <v>44</v>
      </c>
      <c r="F1834" s="6" t="s">
        <v>52</v>
      </c>
      <c r="G1834" s="7">
        <v>92343.76797362817</v>
      </c>
      <c r="H1834" s="6">
        <v>31348481.87597874</v>
      </c>
      <c r="I1834" s="6" t="s">
        <v>179</v>
      </c>
      <c r="J1834" s="15">
        <v>67.58333333333333</v>
      </c>
    </row>
    <row r="1835" spans="1:10">
      <c r="A1835" s="6" t="s">
        <v>141</v>
      </c>
      <c r="B1835" s="6" t="s">
        <v>44</v>
      </c>
      <c r="C1835" s="6" t="s">
        <v>302</v>
      </c>
      <c r="D1835" s="6">
        <v>0.01756597325277625</v>
      </c>
      <c r="E1835" s="6" t="s">
        <v>86</v>
      </c>
      <c r="F1835" s="6" t="s">
        <v>52</v>
      </c>
      <c r="G1835" s="7">
        <v>92343.76797362817</v>
      </c>
      <c r="H1835" s="6">
        <v>1622.108158285329</v>
      </c>
      <c r="I1835" s="6" t="s">
        <v>179</v>
      </c>
      <c r="J1835" s="15">
        <v>67.58333333333333</v>
      </c>
    </row>
    <row r="1836" spans="1:10">
      <c r="A1836" s="6" t="s">
        <v>141</v>
      </c>
      <c r="B1836" s="6" t="s">
        <v>44</v>
      </c>
      <c r="C1836" s="6" t="s">
        <v>303</v>
      </c>
      <c r="D1836" s="6">
        <v>0.5510833333333334</v>
      </c>
      <c r="E1836" s="6" t="s">
        <v>44</v>
      </c>
      <c r="F1836" s="6" t="s">
        <v>53</v>
      </c>
      <c r="G1836" s="7">
        <v>44904.12248503024</v>
      </c>
      <c r="H1836" s="6">
        <v>24745.91349945875</v>
      </c>
      <c r="I1836" s="6" t="s">
        <v>180</v>
      </c>
      <c r="J1836" s="15">
        <v>9.8745161695424</v>
      </c>
    </row>
    <row r="1837" spans="1:10">
      <c r="A1837" s="6" t="s">
        <v>141</v>
      </c>
      <c r="B1837" s="6" t="s">
        <v>44</v>
      </c>
      <c r="C1837" s="6" t="s">
        <v>304</v>
      </c>
      <c r="D1837" s="6">
        <v>6.078166666666665</v>
      </c>
      <c r="E1837" s="6" t="s">
        <v>44</v>
      </c>
      <c r="F1837" s="6" t="s">
        <v>52</v>
      </c>
      <c r="G1837" s="7">
        <v>50330.3901944117</v>
      </c>
      <c r="H1837" s="6">
        <v>305916.5</v>
      </c>
      <c r="I1837" s="6" t="s">
        <v>179</v>
      </c>
      <c r="J1837" s="15">
        <v>49.75</v>
      </c>
    </row>
    <row r="1838" spans="1:10">
      <c r="A1838" s="6" t="s">
        <v>141</v>
      </c>
      <c r="B1838" s="6" t="s">
        <v>44</v>
      </c>
      <c r="C1838" s="6" t="s">
        <v>305</v>
      </c>
      <c r="D1838" s="6">
        <v>315.1154261192806</v>
      </c>
      <c r="E1838" s="6" t="s">
        <v>44</v>
      </c>
      <c r="F1838" s="6" t="s">
        <v>54</v>
      </c>
      <c r="G1838" s="7">
        <v>96370.04394739907</v>
      </c>
      <c r="H1838" s="6">
        <v>30367687.46361845</v>
      </c>
      <c r="I1838" s="6" t="s">
        <v>179</v>
      </c>
      <c r="J1838" s="15">
        <v>61.86666666666667</v>
      </c>
    </row>
    <row r="1839" spans="1:10">
      <c r="A1839" s="6" t="s">
        <v>141</v>
      </c>
      <c r="B1839" s="6" t="s">
        <v>44</v>
      </c>
      <c r="C1839" s="6" t="s">
        <v>305</v>
      </c>
      <c r="D1839" s="6">
        <v>1.542633265562793</v>
      </c>
      <c r="E1839" s="6" t="s">
        <v>86</v>
      </c>
      <c r="F1839" s="6" t="s">
        <v>54</v>
      </c>
      <c r="G1839" s="7">
        <v>96370.04394739907</v>
      </c>
      <c r="H1839" s="6">
        <v>148663.6355970061</v>
      </c>
      <c r="I1839" s="6" t="s">
        <v>179</v>
      </c>
      <c r="J1839" s="15">
        <v>61.86666666666667</v>
      </c>
    </row>
    <row r="1840" spans="1:10">
      <c r="A1840" s="6" t="s">
        <v>141</v>
      </c>
      <c r="B1840" s="6" t="s">
        <v>44</v>
      </c>
      <c r="C1840" s="6" t="s">
        <v>305</v>
      </c>
      <c r="D1840" s="6">
        <v>2.787083333333333</v>
      </c>
      <c r="E1840" s="6" t="s">
        <v>88</v>
      </c>
      <c r="F1840" s="6" t="s">
        <v>54</v>
      </c>
      <c r="G1840" s="7">
        <v>96370.04394739907</v>
      </c>
      <c r="H1840" s="6">
        <v>268591.3433183968</v>
      </c>
      <c r="I1840" s="6" t="s">
        <v>179</v>
      </c>
      <c r="J1840" s="15">
        <v>61.86666666666667</v>
      </c>
    </row>
    <row r="1841" spans="1:10">
      <c r="A1841" s="6" t="s">
        <v>141</v>
      </c>
      <c r="B1841" s="6" t="s">
        <v>44</v>
      </c>
      <c r="C1841" s="6" t="s">
        <v>305</v>
      </c>
      <c r="D1841" s="6">
        <v>11.00433867081393</v>
      </c>
      <c r="E1841" s="6" t="s">
        <v>90</v>
      </c>
      <c r="F1841" s="6" t="s">
        <v>54</v>
      </c>
      <c r="G1841" s="7">
        <v>96370.04394739907</v>
      </c>
      <c r="H1841" s="6">
        <v>1060488.601318402</v>
      </c>
      <c r="I1841" s="6" t="s">
        <v>179</v>
      </c>
      <c r="J1841" s="15">
        <v>61.86666666666667</v>
      </c>
    </row>
    <row r="1842" spans="1:10">
      <c r="A1842" s="6" t="s">
        <v>141</v>
      </c>
      <c r="B1842" s="6" t="s">
        <v>44</v>
      </c>
      <c r="C1842" s="6" t="s">
        <v>305</v>
      </c>
      <c r="D1842" s="6">
        <v>0.001666666666666667</v>
      </c>
      <c r="E1842" s="6" t="s">
        <v>92</v>
      </c>
      <c r="F1842" s="6" t="s">
        <v>54</v>
      </c>
      <c r="G1842" s="7">
        <v>96370.04394739907</v>
      </c>
      <c r="H1842" s="6">
        <v>160.6167399123318</v>
      </c>
      <c r="I1842" s="6" t="s">
        <v>179</v>
      </c>
      <c r="J1842" s="15">
        <v>61.86666666666667</v>
      </c>
    </row>
    <row r="1843" spans="1:10">
      <c r="A1843" s="6" t="s">
        <v>141</v>
      </c>
      <c r="B1843" s="6" t="s">
        <v>44</v>
      </c>
      <c r="C1843" s="6" t="s">
        <v>306</v>
      </c>
      <c r="D1843" s="6">
        <v>0.5943333333333334</v>
      </c>
      <c r="E1843" s="6" t="s">
        <v>44</v>
      </c>
      <c r="F1843" s="6" t="s">
        <v>57</v>
      </c>
      <c r="G1843" s="7">
        <v>40370.17715309708</v>
      </c>
      <c r="H1843" s="6">
        <v>23993.34195465737</v>
      </c>
      <c r="I1843" s="6" t="s">
        <v>180</v>
      </c>
      <c r="J1843" s="15">
        <v>8.194896157997103</v>
      </c>
    </row>
    <row r="1844" spans="1:10">
      <c r="A1844" s="6" t="s">
        <v>141</v>
      </c>
      <c r="B1844" s="6" t="s">
        <v>44</v>
      </c>
      <c r="C1844" s="6" t="s">
        <v>307</v>
      </c>
      <c r="D1844" s="6">
        <v>0.3999166666666666</v>
      </c>
      <c r="E1844" s="6" t="s">
        <v>44</v>
      </c>
      <c r="F1844" s="6" t="s">
        <v>53</v>
      </c>
      <c r="G1844" s="7">
        <v>47182.63629472011</v>
      </c>
      <c r="H1844" s="6">
        <v>18869.12263153015</v>
      </c>
      <c r="I1844" s="6" t="s">
        <v>180</v>
      </c>
      <c r="J1844" s="15">
        <v>10.71860164282394</v>
      </c>
    </row>
    <row r="1845" spans="1:10">
      <c r="A1845" s="6" t="s">
        <v>141</v>
      </c>
      <c r="B1845" s="6" t="s">
        <v>44</v>
      </c>
      <c r="C1845" s="6" t="s">
        <v>308</v>
      </c>
      <c r="D1845" s="6">
        <v>0.5390221503479368</v>
      </c>
      <c r="E1845" s="6" t="s">
        <v>44</v>
      </c>
      <c r="F1845" s="6" t="s">
        <v>54</v>
      </c>
      <c r="G1845" s="7">
        <v>67991.01390409522</v>
      </c>
      <c r="H1845" s="6">
        <v>36648.66251892188</v>
      </c>
      <c r="I1845" s="6" t="s">
        <v>180</v>
      </c>
      <c r="J1845" s="15">
        <v>117.3083333333333</v>
      </c>
    </row>
    <row r="1846" spans="1:10">
      <c r="A1846" s="6" t="s">
        <v>141</v>
      </c>
      <c r="B1846" s="6" t="s">
        <v>44</v>
      </c>
      <c r="C1846" s="6" t="s">
        <v>308</v>
      </c>
      <c r="D1846" s="6">
        <v>0.0003775360188179947</v>
      </c>
      <c r="E1846" s="6" t="s">
        <v>86</v>
      </c>
      <c r="F1846" s="6" t="s">
        <v>54</v>
      </c>
      <c r="G1846" s="7">
        <v>67991.01390409522</v>
      </c>
      <c r="H1846" s="6">
        <v>25.66905670475104</v>
      </c>
      <c r="I1846" s="6" t="s">
        <v>180</v>
      </c>
      <c r="J1846" s="15">
        <v>117.3083333333333</v>
      </c>
    </row>
    <row r="1847" spans="1:10">
      <c r="A1847" s="6" t="s">
        <v>141</v>
      </c>
      <c r="B1847" s="6" t="s">
        <v>44</v>
      </c>
      <c r="C1847" s="6" t="s">
        <v>309</v>
      </c>
      <c r="D1847" s="6">
        <v>1189.663833333333</v>
      </c>
      <c r="E1847" s="6" t="s">
        <v>44</v>
      </c>
      <c r="F1847" s="6" t="s">
        <v>52</v>
      </c>
      <c r="G1847" s="7">
        <v>91168.45115770098</v>
      </c>
      <c r="H1847" s="6">
        <v>108459809.0833333</v>
      </c>
      <c r="I1847" s="6" t="s">
        <v>179</v>
      </c>
      <c r="J1847" s="15">
        <v>69.59999999999999</v>
      </c>
    </row>
    <row r="1848" spans="1:10">
      <c r="A1848" s="6" t="s">
        <v>141</v>
      </c>
      <c r="B1848" s="6" t="s">
        <v>44</v>
      </c>
      <c r="C1848" s="6" t="s">
        <v>310</v>
      </c>
      <c r="D1848" s="6">
        <v>253.6210833333333</v>
      </c>
      <c r="E1848" s="6" t="s">
        <v>44</v>
      </c>
      <c r="F1848" s="6" t="s">
        <v>52</v>
      </c>
      <c r="G1848" s="7">
        <v>101966.8194646016</v>
      </c>
      <c r="H1848" s="6">
        <v>25860935.21666667</v>
      </c>
      <c r="I1848" s="6" t="s">
        <v>179</v>
      </c>
      <c r="J1848" s="15">
        <v>76.95833333333333</v>
      </c>
    </row>
    <row r="1849" spans="1:10">
      <c r="A1849" s="6" t="s">
        <v>141</v>
      </c>
      <c r="B1849" s="6" t="s">
        <v>44</v>
      </c>
      <c r="C1849" s="6" t="s">
        <v>311</v>
      </c>
      <c r="D1849" s="6">
        <v>47.58000000000001</v>
      </c>
      <c r="E1849" s="6" t="s">
        <v>44</v>
      </c>
      <c r="F1849" s="6" t="s">
        <v>51</v>
      </c>
      <c r="G1849" s="7">
        <v>22378.64345356504</v>
      </c>
      <c r="H1849" s="6">
        <v>1064775.855520625</v>
      </c>
      <c r="I1849" s="6" t="s">
        <v>179</v>
      </c>
      <c r="J1849" s="15">
        <v>31</v>
      </c>
    </row>
    <row r="1850" spans="1:10">
      <c r="A1850" s="6" t="s">
        <v>141</v>
      </c>
      <c r="B1850" s="6" t="s">
        <v>44</v>
      </c>
      <c r="C1850" s="6" t="s">
        <v>311</v>
      </c>
      <c r="D1850" s="6">
        <v>94.92875000000001</v>
      </c>
      <c r="E1850" s="6" t="s">
        <v>86</v>
      </c>
      <c r="F1850" s="6" t="s">
        <v>51</v>
      </c>
      <c r="G1850" s="7">
        <v>22378.64345356504</v>
      </c>
      <c r="H1850" s="6">
        <v>2124376.649742612</v>
      </c>
      <c r="I1850" s="6" t="s">
        <v>179</v>
      </c>
      <c r="J1850" s="15">
        <v>31</v>
      </c>
    </row>
    <row r="1851" spans="1:10">
      <c r="A1851" s="6" t="s">
        <v>141</v>
      </c>
      <c r="B1851" s="6" t="s">
        <v>44</v>
      </c>
      <c r="C1851" s="6" t="s">
        <v>311</v>
      </c>
      <c r="D1851" s="6">
        <v>136.0824166666667</v>
      </c>
      <c r="E1851" s="6" t="s">
        <v>88</v>
      </c>
      <c r="F1851" s="6" t="s">
        <v>51</v>
      </c>
      <c r="G1851" s="7">
        <v>22378.64345356504</v>
      </c>
      <c r="H1851" s="6">
        <v>3045339.88288281</v>
      </c>
      <c r="I1851" s="6" t="s">
        <v>179</v>
      </c>
      <c r="J1851" s="15">
        <v>31</v>
      </c>
    </row>
    <row r="1852" spans="1:10">
      <c r="A1852" s="6" t="s">
        <v>141</v>
      </c>
      <c r="B1852" s="6" t="s">
        <v>44</v>
      </c>
      <c r="C1852" s="6" t="s">
        <v>311</v>
      </c>
      <c r="D1852" s="6">
        <v>2.040583333333333</v>
      </c>
      <c r="E1852" s="6" t="s">
        <v>90</v>
      </c>
      <c r="F1852" s="6" t="s">
        <v>51</v>
      </c>
      <c r="G1852" s="7">
        <v>22378.64345356504</v>
      </c>
      <c r="H1852" s="6">
        <v>45665.48685395392</v>
      </c>
      <c r="I1852" s="6" t="s">
        <v>179</v>
      </c>
      <c r="J1852" s="15">
        <v>31</v>
      </c>
    </row>
    <row r="1853" spans="1:10">
      <c r="A1853" s="6" t="s">
        <v>141</v>
      </c>
      <c r="B1853" s="6" t="s">
        <v>44</v>
      </c>
      <c r="C1853" s="6" t="s">
        <v>312</v>
      </c>
      <c r="D1853" s="6">
        <v>57.65968258245098</v>
      </c>
      <c r="E1853" s="6" t="s">
        <v>44</v>
      </c>
      <c r="F1853" s="6" t="s">
        <v>54</v>
      </c>
      <c r="G1853" s="7">
        <v>99103.91619886176</v>
      </c>
      <c r="H1853" s="6">
        <v>5714300.350704191</v>
      </c>
      <c r="I1853" s="6" t="s">
        <v>179</v>
      </c>
      <c r="J1853" s="15">
        <v>79.65000000000001</v>
      </c>
    </row>
    <row r="1854" spans="1:10">
      <c r="A1854" s="6" t="s">
        <v>141</v>
      </c>
      <c r="B1854" s="6" t="s">
        <v>44</v>
      </c>
      <c r="C1854" s="6" t="s">
        <v>312</v>
      </c>
      <c r="D1854" s="6">
        <v>0.375710566551527</v>
      </c>
      <c r="E1854" s="6" t="s">
        <v>86</v>
      </c>
      <c r="F1854" s="6" t="s">
        <v>54</v>
      </c>
      <c r="G1854" s="7">
        <v>99103.91619886176</v>
      </c>
      <c r="H1854" s="6">
        <v>37234.38850254941</v>
      </c>
      <c r="I1854" s="6" t="s">
        <v>179</v>
      </c>
      <c r="J1854" s="15">
        <v>79.65000000000001</v>
      </c>
    </row>
    <row r="1855" spans="1:10">
      <c r="A1855" s="6" t="s">
        <v>141</v>
      </c>
      <c r="B1855" s="6" t="s">
        <v>44</v>
      </c>
      <c r="C1855" s="6" t="s">
        <v>312</v>
      </c>
      <c r="D1855" s="6">
        <v>0.05633333333333333</v>
      </c>
      <c r="E1855" s="6" t="s">
        <v>88</v>
      </c>
      <c r="F1855" s="6" t="s">
        <v>54</v>
      </c>
      <c r="G1855" s="7">
        <v>99103.91619886176</v>
      </c>
      <c r="H1855" s="6">
        <v>5582.853945869212</v>
      </c>
      <c r="I1855" s="6" t="s">
        <v>179</v>
      </c>
      <c r="J1855" s="15">
        <v>79.65000000000001</v>
      </c>
    </row>
    <row r="1856" spans="1:10">
      <c r="A1856" s="6" t="s">
        <v>141</v>
      </c>
      <c r="B1856" s="6" t="s">
        <v>44</v>
      </c>
      <c r="C1856" s="6" t="s">
        <v>312</v>
      </c>
      <c r="D1856" s="6">
        <v>0.270086762190381</v>
      </c>
      <c r="E1856" s="6" t="s">
        <v>90</v>
      </c>
      <c r="F1856" s="6" t="s">
        <v>54</v>
      </c>
      <c r="G1856" s="7">
        <v>99103.91619886176</v>
      </c>
      <c r="H1856" s="6">
        <v>26766.65584653743</v>
      </c>
      <c r="I1856" s="6" t="s">
        <v>179</v>
      </c>
      <c r="J1856" s="15">
        <v>79.65000000000001</v>
      </c>
    </row>
    <row r="1857" spans="1:10">
      <c r="A1857" s="6" t="s">
        <v>141</v>
      </c>
      <c r="B1857" s="6" t="s">
        <v>44</v>
      </c>
      <c r="C1857" s="6" t="s">
        <v>313</v>
      </c>
      <c r="D1857" s="6">
        <v>84.34041904123754</v>
      </c>
      <c r="E1857" s="6" t="s">
        <v>44</v>
      </c>
      <c r="F1857" s="6" t="s">
        <v>51</v>
      </c>
      <c r="G1857" s="7">
        <v>28821.66810714348</v>
      </c>
      <c r="H1857" s="6">
        <v>2430831.565623953</v>
      </c>
      <c r="I1857" s="6" t="s">
        <v>179</v>
      </c>
      <c r="J1857" s="15">
        <v>17</v>
      </c>
    </row>
    <row r="1858" spans="1:10">
      <c r="A1858" s="6" t="s">
        <v>141</v>
      </c>
      <c r="B1858" s="6" t="s">
        <v>44</v>
      </c>
      <c r="C1858" s="6" t="s">
        <v>313</v>
      </c>
      <c r="D1858" s="6">
        <v>8.56819694344483</v>
      </c>
      <c r="E1858" s="6" t="s">
        <v>86</v>
      </c>
      <c r="F1858" s="6" t="s">
        <v>51</v>
      </c>
      <c r="G1858" s="7">
        <v>28821.66810714348</v>
      </c>
      <c r="H1858" s="6">
        <v>246949.7285806081</v>
      </c>
      <c r="I1858" s="6" t="s">
        <v>179</v>
      </c>
      <c r="J1858" s="15">
        <v>17</v>
      </c>
    </row>
    <row r="1859" spans="1:10">
      <c r="A1859" s="6" t="s">
        <v>141</v>
      </c>
      <c r="B1859" s="6" t="s">
        <v>44</v>
      </c>
      <c r="C1859" s="6" t="s">
        <v>313</v>
      </c>
      <c r="D1859" s="6">
        <v>7.897666666666668</v>
      </c>
      <c r="E1859" s="6" t="s">
        <v>88</v>
      </c>
      <c r="F1859" s="6" t="s">
        <v>51</v>
      </c>
      <c r="G1859" s="7">
        <v>28821.66810714348</v>
      </c>
      <c r="H1859" s="6">
        <v>227623.9274875169</v>
      </c>
      <c r="I1859" s="6" t="s">
        <v>179</v>
      </c>
      <c r="J1859" s="15">
        <v>17</v>
      </c>
    </row>
    <row r="1860" spans="1:10">
      <c r="A1860" s="6" t="s">
        <v>141</v>
      </c>
      <c r="B1860" s="6" t="s">
        <v>44</v>
      </c>
      <c r="C1860" s="6" t="s">
        <v>313</v>
      </c>
      <c r="D1860" s="6">
        <v>24.46221747417465</v>
      </c>
      <c r="E1860" s="6" t="s">
        <v>90</v>
      </c>
      <c r="F1860" s="6" t="s">
        <v>51</v>
      </c>
      <c r="G1860" s="7">
        <v>28821.66810714348</v>
      </c>
      <c r="H1860" s="6">
        <v>705041.9132054275</v>
      </c>
      <c r="I1860" s="6" t="s">
        <v>179</v>
      </c>
      <c r="J1860" s="15">
        <v>17</v>
      </c>
    </row>
    <row r="1861" spans="1:10">
      <c r="A1861" s="6" t="s">
        <v>141</v>
      </c>
      <c r="B1861" s="6" t="s">
        <v>44</v>
      </c>
      <c r="C1861" s="6" t="s">
        <v>314</v>
      </c>
      <c r="D1861" s="6">
        <v>40.17666666666667</v>
      </c>
      <c r="E1861" s="6" t="s">
        <v>44</v>
      </c>
      <c r="F1861" s="6" t="s">
        <v>51</v>
      </c>
      <c r="G1861" s="7">
        <v>57290.59885869359</v>
      </c>
      <c r="H1861" s="6">
        <v>2301745.293479446</v>
      </c>
      <c r="I1861" s="6" t="s">
        <v>179</v>
      </c>
      <c r="J1861" s="15">
        <v>17.49166666666667</v>
      </c>
    </row>
    <row r="1862" spans="1:10">
      <c r="A1862" s="6" t="s">
        <v>141</v>
      </c>
      <c r="B1862" s="6" t="s">
        <v>44</v>
      </c>
      <c r="C1862" s="6" t="s">
        <v>314</v>
      </c>
      <c r="D1862" s="6">
        <v>5.494</v>
      </c>
      <c r="E1862" s="6" t="s">
        <v>86</v>
      </c>
      <c r="F1862" s="6" t="s">
        <v>51</v>
      </c>
      <c r="G1862" s="7">
        <v>57290.59885869359</v>
      </c>
      <c r="H1862" s="6">
        <v>314754.5501296626</v>
      </c>
      <c r="I1862" s="6" t="s">
        <v>179</v>
      </c>
      <c r="J1862" s="15">
        <v>17.49166666666667</v>
      </c>
    </row>
    <row r="1863" spans="1:10">
      <c r="A1863" s="6" t="s">
        <v>141</v>
      </c>
      <c r="B1863" s="6" t="s">
        <v>44</v>
      </c>
      <c r="C1863" s="6" t="s">
        <v>314</v>
      </c>
      <c r="D1863" s="6">
        <v>2.293416666666666</v>
      </c>
      <c r="E1863" s="6" t="s">
        <v>88</v>
      </c>
      <c r="F1863" s="6" t="s">
        <v>51</v>
      </c>
      <c r="G1863" s="7">
        <v>57290.59885869359</v>
      </c>
      <c r="H1863" s="6">
        <v>131391.2142658422</v>
      </c>
      <c r="I1863" s="6" t="s">
        <v>179</v>
      </c>
      <c r="J1863" s="15">
        <v>17.49166666666667</v>
      </c>
    </row>
    <row r="1864" spans="1:10">
      <c r="A1864" s="6" t="s">
        <v>141</v>
      </c>
      <c r="B1864" s="6" t="s">
        <v>44</v>
      </c>
      <c r="C1864" s="6" t="s">
        <v>314</v>
      </c>
      <c r="D1864" s="6">
        <v>1.538583333333333</v>
      </c>
      <c r="E1864" s="6" t="s">
        <v>90</v>
      </c>
      <c r="F1864" s="6" t="s">
        <v>51</v>
      </c>
      <c r="G1864" s="7">
        <v>57290.59885869359</v>
      </c>
      <c r="H1864" s="6">
        <v>88146.36056067163</v>
      </c>
      <c r="I1864" s="6" t="s">
        <v>179</v>
      </c>
      <c r="J1864" s="15">
        <v>17.49166666666667</v>
      </c>
    </row>
    <row r="1865" spans="1:10">
      <c r="A1865" s="6" t="s">
        <v>141</v>
      </c>
      <c r="B1865" s="6" t="s">
        <v>44</v>
      </c>
      <c r="C1865" s="6" t="s">
        <v>315</v>
      </c>
      <c r="D1865" s="6">
        <v>55.80762330984607</v>
      </c>
      <c r="E1865" s="6" t="s">
        <v>44</v>
      </c>
      <c r="F1865" s="6" t="s">
        <v>51</v>
      </c>
      <c r="G1865" s="7">
        <v>47743.91064626968</v>
      </c>
      <c r="H1865" s="6">
        <v>2664474.180685968</v>
      </c>
      <c r="I1865" s="6" t="s">
        <v>179</v>
      </c>
      <c r="J1865" s="15">
        <v>21</v>
      </c>
    </row>
    <row r="1866" spans="1:10">
      <c r="A1866" s="6" t="s">
        <v>141</v>
      </c>
      <c r="B1866" s="6" t="s">
        <v>44</v>
      </c>
      <c r="C1866" s="6" t="s">
        <v>315</v>
      </c>
      <c r="D1866" s="6">
        <v>11.90001420150649</v>
      </c>
      <c r="E1866" s="6" t="s">
        <v>86</v>
      </c>
      <c r="F1866" s="6" t="s">
        <v>51</v>
      </c>
      <c r="G1866" s="7">
        <v>47743.91064626968</v>
      </c>
      <c r="H1866" s="6">
        <v>568153.214726066</v>
      </c>
      <c r="I1866" s="6" t="s">
        <v>179</v>
      </c>
      <c r="J1866" s="15">
        <v>21</v>
      </c>
    </row>
    <row r="1867" spans="1:10">
      <c r="A1867" s="6" t="s">
        <v>141</v>
      </c>
      <c r="B1867" s="6" t="s">
        <v>44</v>
      </c>
      <c r="C1867" s="6" t="s">
        <v>315</v>
      </c>
      <c r="D1867" s="6">
        <v>15.69775</v>
      </c>
      <c r="E1867" s="6" t="s">
        <v>88</v>
      </c>
      <c r="F1867" s="6" t="s">
        <v>51</v>
      </c>
      <c r="G1867" s="7">
        <v>47743.91064626968</v>
      </c>
      <c r="H1867" s="6">
        <v>749471.9733474797</v>
      </c>
      <c r="I1867" s="6" t="s">
        <v>179</v>
      </c>
      <c r="J1867" s="15">
        <v>21</v>
      </c>
    </row>
    <row r="1868" spans="1:10">
      <c r="A1868" s="6" t="s">
        <v>141</v>
      </c>
      <c r="B1868" s="6" t="s">
        <v>44</v>
      </c>
      <c r="C1868" s="6" t="s">
        <v>315</v>
      </c>
      <c r="D1868" s="6">
        <v>3.775139148221626</v>
      </c>
      <c r="E1868" s="6" t="s">
        <v>90</v>
      </c>
      <c r="F1868" s="6" t="s">
        <v>51</v>
      </c>
      <c r="G1868" s="7">
        <v>47743.91064626968</v>
      </c>
      <c r="H1868" s="6">
        <v>180239.9061699279</v>
      </c>
      <c r="I1868" s="6" t="s">
        <v>179</v>
      </c>
      <c r="J1868" s="15">
        <v>21</v>
      </c>
    </row>
    <row r="1869" spans="1:10">
      <c r="A1869" s="6" t="s">
        <v>141</v>
      </c>
      <c r="B1869" s="6" t="s">
        <v>44</v>
      </c>
      <c r="C1869" s="6" t="s">
        <v>316</v>
      </c>
      <c r="D1869" s="6">
        <v>1.030686638667777</v>
      </c>
      <c r="E1869" s="6" t="s">
        <v>44</v>
      </c>
      <c r="F1869" s="6" t="s">
        <v>54</v>
      </c>
      <c r="G1869" s="7">
        <v>78233.00759152489</v>
      </c>
      <c r="H1869" s="6">
        <v>80633.7156273795</v>
      </c>
      <c r="I1869" s="6" t="s">
        <v>180</v>
      </c>
      <c r="J1869" s="15">
        <v>22.22134840703962</v>
      </c>
    </row>
    <row r="1870" spans="1:10">
      <c r="A1870" s="6" t="s">
        <v>141</v>
      </c>
      <c r="B1870" s="6" t="s">
        <v>44</v>
      </c>
      <c r="C1870" s="6" t="s">
        <v>316</v>
      </c>
      <c r="D1870" s="6">
        <v>0.0006547369738634778</v>
      </c>
      <c r="E1870" s="6" t="s">
        <v>86</v>
      </c>
      <c r="F1870" s="6" t="s">
        <v>54</v>
      </c>
      <c r="G1870" s="7">
        <v>78233.00759152489</v>
      </c>
      <c r="H1870" s="6">
        <v>51.22204264671349</v>
      </c>
      <c r="I1870" s="6" t="s">
        <v>180</v>
      </c>
      <c r="J1870" s="15">
        <v>22.22134840703962</v>
      </c>
    </row>
    <row r="1871" spans="1:10">
      <c r="A1871" s="6" t="s">
        <v>141</v>
      </c>
      <c r="B1871" s="6" t="s">
        <v>44</v>
      </c>
      <c r="C1871" s="6" t="s">
        <v>317</v>
      </c>
      <c r="D1871" s="6">
        <v>2.565399650527386</v>
      </c>
      <c r="E1871" s="6" t="s">
        <v>44</v>
      </c>
      <c r="F1871" s="6" t="s">
        <v>51</v>
      </c>
      <c r="G1871" s="7">
        <v>21140.95965465714</v>
      </c>
      <c r="H1871" s="6">
        <v>54235.010509871</v>
      </c>
      <c r="I1871" s="6" t="s">
        <v>179</v>
      </c>
      <c r="J1871" s="15">
        <v>17</v>
      </c>
    </row>
    <row r="1872" spans="1:10">
      <c r="A1872" s="6" t="s">
        <v>141</v>
      </c>
      <c r="B1872" s="6" t="s">
        <v>44</v>
      </c>
      <c r="C1872" s="6" t="s">
        <v>317</v>
      </c>
      <c r="D1872" s="6">
        <v>0.4077694482555202</v>
      </c>
      <c r="E1872" s="6" t="s">
        <v>86</v>
      </c>
      <c r="F1872" s="6" t="s">
        <v>51</v>
      </c>
      <c r="G1872" s="7">
        <v>21140.95965465714</v>
      </c>
      <c r="H1872" s="6">
        <v>8620.637453971756</v>
      </c>
      <c r="I1872" s="6" t="s">
        <v>179</v>
      </c>
      <c r="J1872" s="15">
        <v>17</v>
      </c>
    </row>
    <row r="1873" spans="1:10">
      <c r="A1873" s="6" t="s">
        <v>141</v>
      </c>
      <c r="B1873" s="6" t="s">
        <v>44</v>
      </c>
      <c r="C1873" s="6" t="s">
        <v>317</v>
      </c>
      <c r="D1873" s="6">
        <v>0.2595833333333333</v>
      </c>
      <c r="E1873" s="6" t="s">
        <v>88</v>
      </c>
      <c r="F1873" s="6" t="s">
        <v>51</v>
      </c>
      <c r="G1873" s="7">
        <v>21140.95965465714</v>
      </c>
      <c r="H1873" s="6">
        <v>5487.840777021417</v>
      </c>
      <c r="I1873" s="6" t="s">
        <v>179</v>
      </c>
      <c r="J1873" s="15">
        <v>17</v>
      </c>
    </row>
    <row r="1874" spans="1:10">
      <c r="A1874" s="6" t="s">
        <v>141</v>
      </c>
      <c r="B1874" s="6" t="s">
        <v>44</v>
      </c>
      <c r="C1874" s="6" t="s">
        <v>317</v>
      </c>
      <c r="D1874" s="6">
        <v>0.2070799777839489</v>
      </c>
      <c r="E1874" s="6" t="s">
        <v>90</v>
      </c>
      <c r="F1874" s="6" t="s">
        <v>51</v>
      </c>
      <c r="G1874" s="7">
        <v>21140.95965465714</v>
      </c>
      <c r="H1874" s="6">
        <v>4377.869455617762</v>
      </c>
      <c r="I1874" s="6" t="s">
        <v>179</v>
      </c>
      <c r="J1874" s="15">
        <v>17</v>
      </c>
    </row>
    <row r="1875" spans="1:10">
      <c r="A1875" s="6" t="s">
        <v>141</v>
      </c>
      <c r="B1875" s="6" t="s">
        <v>44</v>
      </c>
      <c r="C1875" s="6" t="s">
        <v>318</v>
      </c>
      <c r="D1875" s="6">
        <v>5.7</v>
      </c>
      <c r="E1875" s="6" t="s">
        <v>44</v>
      </c>
      <c r="F1875" s="6" t="s">
        <v>52</v>
      </c>
      <c r="G1875" s="7">
        <v>169484.6527688963</v>
      </c>
      <c r="H1875" s="6">
        <v>966062.5207827089</v>
      </c>
      <c r="I1875" s="6" t="s">
        <v>179</v>
      </c>
      <c r="J1875" s="15">
        <v>46.16666666666666</v>
      </c>
    </row>
    <row r="1876" spans="1:10">
      <c r="A1876" s="6" t="s">
        <v>141</v>
      </c>
      <c r="B1876" s="6" t="s">
        <v>44</v>
      </c>
      <c r="C1876" s="6" t="s">
        <v>318</v>
      </c>
      <c r="D1876" s="6">
        <v>0.1245</v>
      </c>
      <c r="E1876" s="6" t="s">
        <v>92</v>
      </c>
      <c r="F1876" s="6" t="s">
        <v>52</v>
      </c>
      <c r="G1876" s="7">
        <v>169484.6527688963</v>
      </c>
      <c r="H1876" s="6">
        <v>21100.83926972759</v>
      </c>
      <c r="I1876" s="6" t="s">
        <v>179</v>
      </c>
      <c r="J1876" s="15">
        <v>46.16666666666666</v>
      </c>
    </row>
    <row r="1877" spans="1:10">
      <c r="A1877" s="6" t="s">
        <v>141</v>
      </c>
      <c r="B1877" s="6" t="s">
        <v>44</v>
      </c>
      <c r="C1877" s="6" t="s">
        <v>319</v>
      </c>
      <c r="D1877" s="6">
        <v>21.30325</v>
      </c>
      <c r="E1877" s="6" t="s">
        <v>44</v>
      </c>
      <c r="F1877" s="6" t="s">
        <v>52</v>
      </c>
      <c r="G1877" s="7">
        <v>97197.58395921369</v>
      </c>
      <c r="H1877" s="6">
        <v>2070624.430479119</v>
      </c>
      <c r="I1877" s="6" t="s">
        <v>179</v>
      </c>
      <c r="J1877" s="15">
        <v>89.88333333333334</v>
      </c>
    </row>
    <row r="1878" spans="1:10">
      <c r="A1878" s="6" t="s">
        <v>141</v>
      </c>
      <c r="B1878" s="6" t="s">
        <v>44</v>
      </c>
      <c r="C1878" s="6" t="s">
        <v>319</v>
      </c>
      <c r="D1878" s="6">
        <v>3.321083333333334</v>
      </c>
      <c r="E1878" s="6" t="s">
        <v>90</v>
      </c>
      <c r="F1878" s="6" t="s">
        <v>52</v>
      </c>
      <c r="G1878" s="7">
        <v>97197.58395921369</v>
      </c>
      <c r="H1878" s="6">
        <v>322801.276127212</v>
      </c>
      <c r="I1878" s="6" t="s">
        <v>179</v>
      </c>
      <c r="J1878" s="15">
        <v>89.88333333333334</v>
      </c>
    </row>
    <row r="1879" spans="1:10">
      <c r="A1879" s="6" t="s">
        <v>141</v>
      </c>
      <c r="B1879" s="6" t="s">
        <v>44</v>
      </c>
      <c r="C1879" s="6" t="s">
        <v>319</v>
      </c>
      <c r="D1879" s="6">
        <v>0.5333333333333333</v>
      </c>
      <c r="E1879" s="6" t="s">
        <v>92</v>
      </c>
      <c r="F1879" s="6" t="s">
        <v>52</v>
      </c>
      <c r="G1879" s="7">
        <v>97197.58395921369</v>
      </c>
      <c r="H1879" s="6">
        <v>51838.71144491397</v>
      </c>
      <c r="I1879" s="6" t="s">
        <v>179</v>
      </c>
      <c r="J1879" s="15">
        <v>89.88333333333334</v>
      </c>
    </row>
    <row r="1880" spans="1:10">
      <c r="A1880" s="6" t="s">
        <v>141</v>
      </c>
      <c r="B1880" s="6" t="s">
        <v>44</v>
      </c>
      <c r="C1880" s="6" t="s">
        <v>320</v>
      </c>
      <c r="D1880" s="6">
        <v>314.4965085561615</v>
      </c>
      <c r="E1880" s="6" t="s">
        <v>44</v>
      </c>
      <c r="F1880" s="6" t="s">
        <v>51</v>
      </c>
      <c r="G1880" s="7">
        <v>19671.04087638638</v>
      </c>
      <c r="H1880" s="6">
        <v>6186473.675289053</v>
      </c>
      <c r="I1880" s="6" t="s">
        <v>179</v>
      </c>
      <c r="J1880" s="15">
        <v>13.5</v>
      </c>
    </row>
    <row r="1881" spans="1:10">
      <c r="A1881" s="6" t="s">
        <v>141</v>
      </c>
      <c r="B1881" s="6" t="s">
        <v>44</v>
      </c>
      <c r="C1881" s="6" t="s">
        <v>320</v>
      </c>
      <c r="D1881" s="6">
        <v>7.185427611391518</v>
      </c>
      <c r="E1881" s="6" t="s">
        <v>86</v>
      </c>
      <c r="F1881" s="6" t="s">
        <v>51</v>
      </c>
      <c r="G1881" s="7">
        <v>19671.04087638638</v>
      </c>
      <c r="H1881" s="6">
        <v>141344.8402579979</v>
      </c>
      <c r="I1881" s="6" t="s">
        <v>179</v>
      </c>
      <c r="J1881" s="15">
        <v>13.5</v>
      </c>
    </row>
    <row r="1882" spans="1:10">
      <c r="A1882" s="6" t="s">
        <v>141</v>
      </c>
      <c r="B1882" s="6" t="s">
        <v>44</v>
      </c>
      <c r="C1882" s="6" t="s">
        <v>320</v>
      </c>
      <c r="D1882" s="6">
        <v>17.65741666666666</v>
      </c>
      <c r="E1882" s="6" t="s">
        <v>88</v>
      </c>
      <c r="F1882" s="6" t="s">
        <v>51</v>
      </c>
      <c r="G1882" s="7">
        <v>19671.04087638638</v>
      </c>
      <c r="H1882" s="6">
        <v>347339.7650213861</v>
      </c>
      <c r="I1882" s="6" t="s">
        <v>179</v>
      </c>
      <c r="J1882" s="15">
        <v>13.5</v>
      </c>
    </row>
    <row r="1883" spans="1:10">
      <c r="A1883" s="6" t="s">
        <v>141</v>
      </c>
      <c r="B1883" s="6" t="s">
        <v>44</v>
      </c>
      <c r="C1883" s="6" t="s">
        <v>320</v>
      </c>
      <c r="D1883" s="6">
        <v>29.95848969848546</v>
      </c>
      <c r="E1883" s="6" t="s">
        <v>90</v>
      </c>
      <c r="F1883" s="6" t="s">
        <v>51</v>
      </c>
      <c r="G1883" s="7">
        <v>19671.04087638638</v>
      </c>
      <c r="H1883" s="6">
        <v>589314.6754537078</v>
      </c>
      <c r="I1883" s="6" t="s">
        <v>179</v>
      </c>
      <c r="J1883" s="15">
        <v>13.5</v>
      </c>
    </row>
    <row r="1884" spans="1:10">
      <c r="A1884" s="6" t="s">
        <v>141</v>
      </c>
      <c r="B1884" s="6" t="s">
        <v>44</v>
      </c>
      <c r="C1884" s="6" t="s">
        <v>320</v>
      </c>
      <c r="D1884" s="6">
        <v>0.6767500000000001</v>
      </c>
      <c r="E1884" s="6" t="s">
        <v>92</v>
      </c>
      <c r="F1884" s="6" t="s">
        <v>51</v>
      </c>
      <c r="G1884" s="7">
        <v>19671.04087638638</v>
      </c>
      <c r="H1884" s="6">
        <v>13312.37691309449</v>
      </c>
      <c r="I1884" s="6" t="s">
        <v>179</v>
      </c>
      <c r="J1884" s="15">
        <v>13.5</v>
      </c>
    </row>
    <row r="1885" spans="1:10">
      <c r="A1885" s="6" t="s">
        <v>141</v>
      </c>
      <c r="B1885" s="6" t="s">
        <v>44</v>
      </c>
      <c r="C1885" s="6" t="s">
        <v>321</v>
      </c>
      <c r="D1885" s="6">
        <v>2.06625</v>
      </c>
      <c r="E1885" s="6" t="s">
        <v>44</v>
      </c>
      <c r="F1885" s="6" t="s">
        <v>54</v>
      </c>
      <c r="G1885" s="7">
        <v>89506.67473280903</v>
      </c>
      <c r="H1885" s="6">
        <v>184943.1666666667</v>
      </c>
      <c r="I1885" s="6" t="s">
        <v>179</v>
      </c>
      <c r="J1885" s="15">
        <v>65</v>
      </c>
    </row>
    <row r="1886" spans="1:10">
      <c r="A1886" s="6" t="s">
        <v>141</v>
      </c>
      <c r="B1886" s="6" t="s">
        <v>44</v>
      </c>
      <c r="C1886" s="6" t="s">
        <v>322</v>
      </c>
      <c r="D1886" s="6">
        <v>48.16107937723328</v>
      </c>
      <c r="E1886" s="6" t="s">
        <v>44</v>
      </c>
      <c r="F1886" s="6" t="s">
        <v>51</v>
      </c>
      <c r="G1886" s="7">
        <v>17287.61454620521</v>
      </c>
      <c r="H1886" s="6">
        <v>832590.1764028016</v>
      </c>
      <c r="I1886" s="6" t="s">
        <v>179</v>
      </c>
      <c r="J1886" s="15">
        <v>34.25833333333333</v>
      </c>
    </row>
    <row r="1887" spans="1:10">
      <c r="A1887" s="6" t="s">
        <v>141</v>
      </c>
      <c r="B1887" s="6" t="s">
        <v>44</v>
      </c>
      <c r="C1887" s="6" t="s">
        <v>322</v>
      </c>
      <c r="D1887" s="6">
        <v>59.86681559469116</v>
      </c>
      <c r="E1887" s="6" t="s">
        <v>86</v>
      </c>
      <c r="F1887" s="6" t="s">
        <v>51</v>
      </c>
      <c r="G1887" s="7">
        <v>17287.61454620521</v>
      </c>
      <c r="H1887" s="6">
        <v>1034954.432109768</v>
      </c>
      <c r="I1887" s="6" t="s">
        <v>179</v>
      </c>
      <c r="J1887" s="15">
        <v>34.25833333333333</v>
      </c>
    </row>
    <row r="1888" spans="1:10">
      <c r="A1888" s="6" t="s">
        <v>141</v>
      </c>
      <c r="B1888" s="6" t="s">
        <v>44</v>
      </c>
      <c r="C1888" s="6" t="s">
        <v>322</v>
      </c>
      <c r="D1888" s="6">
        <v>80.94691666666665</v>
      </c>
      <c r="E1888" s="6" t="s">
        <v>88</v>
      </c>
      <c r="F1888" s="6" t="s">
        <v>51</v>
      </c>
      <c r="G1888" s="7">
        <v>17287.61454620521</v>
      </c>
      <c r="H1888" s="6">
        <v>1399379.094037127</v>
      </c>
      <c r="I1888" s="6" t="s">
        <v>179</v>
      </c>
      <c r="J1888" s="15">
        <v>34.25833333333333</v>
      </c>
    </row>
    <row r="1889" spans="1:10">
      <c r="A1889" s="6" t="s">
        <v>141</v>
      </c>
      <c r="B1889" s="6" t="s">
        <v>44</v>
      </c>
      <c r="C1889" s="6" t="s">
        <v>322</v>
      </c>
      <c r="D1889" s="6">
        <v>0.9206276381210667</v>
      </c>
      <c r="E1889" s="6" t="s">
        <v>90</v>
      </c>
      <c r="F1889" s="6" t="s">
        <v>51</v>
      </c>
      <c r="G1889" s="7">
        <v>17287.61454620521</v>
      </c>
      <c r="H1889" s="6">
        <v>15915.4557484203</v>
      </c>
      <c r="I1889" s="6" t="s">
        <v>179</v>
      </c>
      <c r="J1889" s="15">
        <v>34.25833333333333</v>
      </c>
    </row>
    <row r="1890" spans="1:10">
      <c r="A1890" s="6" t="s">
        <v>141</v>
      </c>
      <c r="B1890" s="6" t="s">
        <v>44</v>
      </c>
      <c r="C1890" s="6" t="s">
        <v>323</v>
      </c>
      <c r="D1890" s="6">
        <v>280.5611537147094</v>
      </c>
      <c r="E1890" s="6" t="s">
        <v>44</v>
      </c>
      <c r="F1890" s="6" t="s">
        <v>55</v>
      </c>
      <c r="G1890" s="7">
        <v>44740.69956922525</v>
      </c>
      <c r="H1890" s="6">
        <v>12552502.28914504</v>
      </c>
      <c r="I1890" s="6" t="s">
        <v>179</v>
      </c>
      <c r="J1890" s="15">
        <v>49</v>
      </c>
    </row>
    <row r="1891" spans="1:10">
      <c r="A1891" s="6" t="s">
        <v>141</v>
      </c>
      <c r="B1891" s="6" t="s">
        <v>44</v>
      </c>
      <c r="C1891" s="6" t="s">
        <v>323</v>
      </c>
      <c r="D1891" s="6">
        <v>11.88240921172692</v>
      </c>
      <c r="E1891" s="6" t="s">
        <v>86</v>
      </c>
      <c r="F1891" s="6" t="s">
        <v>55</v>
      </c>
      <c r="G1891" s="7">
        <v>44740.69956922525</v>
      </c>
      <c r="H1891" s="6">
        <v>531627.3007004685</v>
      </c>
      <c r="I1891" s="6" t="s">
        <v>179</v>
      </c>
      <c r="J1891" s="15">
        <v>49</v>
      </c>
    </row>
    <row r="1892" spans="1:10">
      <c r="A1892" s="6" t="s">
        <v>141</v>
      </c>
      <c r="B1892" s="6" t="s">
        <v>44</v>
      </c>
      <c r="C1892" s="6" t="s">
        <v>323</v>
      </c>
      <c r="D1892" s="6">
        <v>5.978083333333332</v>
      </c>
      <c r="E1892" s="6" t="s">
        <v>88</v>
      </c>
      <c r="F1892" s="6" t="s">
        <v>55</v>
      </c>
      <c r="G1892" s="7">
        <v>44740.69956922525</v>
      </c>
      <c r="H1892" s="6">
        <v>267463.6304164592</v>
      </c>
      <c r="I1892" s="6" t="s">
        <v>179</v>
      </c>
      <c r="J1892" s="15">
        <v>49</v>
      </c>
    </row>
    <row r="1893" spans="1:10">
      <c r="A1893" s="6" t="s">
        <v>141</v>
      </c>
      <c r="B1893" s="6" t="s">
        <v>44</v>
      </c>
      <c r="C1893" s="6" t="s">
        <v>323</v>
      </c>
      <c r="D1893" s="6">
        <v>4.750908670761041</v>
      </c>
      <c r="E1893" s="6" t="s">
        <v>90</v>
      </c>
      <c r="F1893" s="6" t="s">
        <v>55</v>
      </c>
      <c r="G1893" s="7">
        <v>44740.69956922525</v>
      </c>
      <c r="H1893" s="6">
        <v>212558.977519347</v>
      </c>
      <c r="I1893" s="6" t="s">
        <v>179</v>
      </c>
      <c r="J1893" s="15">
        <v>49</v>
      </c>
    </row>
    <row r="1894" spans="1:10">
      <c r="A1894" s="6" t="s">
        <v>141</v>
      </c>
      <c r="B1894" s="6" t="s">
        <v>44</v>
      </c>
      <c r="C1894" s="6" t="s">
        <v>324</v>
      </c>
      <c r="D1894" s="6">
        <v>389.6771494203206</v>
      </c>
      <c r="E1894" s="6" t="s">
        <v>44</v>
      </c>
      <c r="F1894" s="6" t="s">
        <v>51</v>
      </c>
      <c r="G1894" s="7">
        <v>24363.28610429227</v>
      </c>
      <c r="H1894" s="6">
        <v>9493815.879632322</v>
      </c>
      <c r="I1894" s="6" t="s">
        <v>179</v>
      </c>
      <c r="J1894" s="15">
        <v>23</v>
      </c>
    </row>
    <row r="1895" spans="1:10">
      <c r="A1895" s="6" t="s">
        <v>141</v>
      </c>
      <c r="B1895" s="6" t="s">
        <v>44</v>
      </c>
      <c r="C1895" s="6" t="s">
        <v>324</v>
      </c>
      <c r="D1895" s="6">
        <v>107.4606154439074</v>
      </c>
      <c r="E1895" s="6" t="s">
        <v>86</v>
      </c>
      <c r="F1895" s="6" t="s">
        <v>51</v>
      </c>
      <c r="G1895" s="7">
        <v>24363.28610429227</v>
      </c>
      <c r="H1895" s="6">
        <v>2618093.719003245</v>
      </c>
      <c r="I1895" s="6" t="s">
        <v>179</v>
      </c>
      <c r="J1895" s="15">
        <v>23</v>
      </c>
    </row>
    <row r="1896" spans="1:10">
      <c r="A1896" s="6" t="s">
        <v>141</v>
      </c>
      <c r="B1896" s="6" t="s">
        <v>44</v>
      </c>
      <c r="C1896" s="6" t="s">
        <v>324</v>
      </c>
      <c r="D1896" s="6">
        <v>99.07791666666667</v>
      </c>
      <c r="E1896" s="6" t="s">
        <v>88</v>
      </c>
      <c r="F1896" s="6" t="s">
        <v>51</v>
      </c>
      <c r="G1896" s="7">
        <v>24363.28610429227</v>
      </c>
      <c r="H1896" s="6">
        <v>2413863.630367228</v>
      </c>
      <c r="I1896" s="6" t="s">
        <v>179</v>
      </c>
      <c r="J1896" s="15">
        <v>23</v>
      </c>
    </row>
    <row r="1897" spans="1:10">
      <c r="A1897" s="6" t="s">
        <v>141</v>
      </c>
      <c r="B1897" s="6" t="s">
        <v>44</v>
      </c>
      <c r="C1897" s="6" t="s">
        <v>324</v>
      </c>
      <c r="D1897" s="6">
        <v>25.34100895216578</v>
      </c>
      <c r="E1897" s="6" t="s">
        <v>90</v>
      </c>
      <c r="F1897" s="6" t="s">
        <v>51</v>
      </c>
      <c r="G1897" s="7">
        <v>24363.28610429227</v>
      </c>
      <c r="H1897" s="6">
        <v>617390.2512730466</v>
      </c>
      <c r="I1897" s="6" t="s">
        <v>179</v>
      </c>
      <c r="J1897" s="15">
        <v>23</v>
      </c>
    </row>
    <row r="1898" spans="1:10">
      <c r="A1898" s="6" t="s">
        <v>141</v>
      </c>
      <c r="B1898" s="6" t="s">
        <v>44</v>
      </c>
      <c r="C1898" s="6" t="s">
        <v>324</v>
      </c>
      <c r="D1898" s="6">
        <v>0.2281666666666667</v>
      </c>
      <c r="E1898" s="6" t="s">
        <v>92</v>
      </c>
      <c r="F1898" s="6" t="s">
        <v>51</v>
      </c>
      <c r="G1898" s="7">
        <v>24363.28610429227</v>
      </c>
      <c r="H1898" s="6">
        <v>5558.889779462687</v>
      </c>
      <c r="I1898" s="6" t="s">
        <v>179</v>
      </c>
      <c r="J1898" s="15">
        <v>23</v>
      </c>
    </row>
    <row r="1899" spans="1:10">
      <c r="A1899" s="6" t="s">
        <v>141</v>
      </c>
      <c r="B1899" s="6" t="s">
        <v>44</v>
      </c>
      <c r="C1899" s="6" t="s">
        <v>325</v>
      </c>
      <c r="D1899" s="6">
        <v>0.9048333333333334</v>
      </c>
      <c r="E1899" s="6" t="s">
        <v>44</v>
      </c>
      <c r="F1899" s="6" t="s">
        <v>53</v>
      </c>
      <c r="G1899" s="7">
        <v>62098.17040150194</v>
      </c>
      <c r="H1899" s="6">
        <v>56188.49451829234</v>
      </c>
      <c r="I1899" s="6" t="s">
        <v>180</v>
      </c>
      <c r="J1899" s="15">
        <v>16.24412692699304</v>
      </c>
    </row>
    <row r="1900" spans="1:10">
      <c r="A1900" s="6" t="s">
        <v>141</v>
      </c>
      <c r="B1900" s="6" t="s">
        <v>44</v>
      </c>
      <c r="C1900" s="6" t="s">
        <v>326</v>
      </c>
      <c r="D1900" s="6">
        <v>356.6891090022665</v>
      </c>
      <c r="E1900" s="6" t="s">
        <v>44</v>
      </c>
      <c r="F1900" s="6" t="s">
        <v>54</v>
      </c>
      <c r="G1900" s="7">
        <v>88918.54864031605</v>
      </c>
      <c r="H1900" s="6">
        <v>31716277.88828903</v>
      </c>
      <c r="I1900" s="6" t="s">
        <v>179</v>
      </c>
      <c r="J1900" s="15">
        <v>66.75833333333333</v>
      </c>
    </row>
    <row r="1901" spans="1:10">
      <c r="A1901" s="6" t="s">
        <v>141</v>
      </c>
      <c r="B1901" s="6" t="s">
        <v>44</v>
      </c>
      <c r="C1901" s="6" t="s">
        <v>326</v>
      </c>
      <c r="D1901" s="6">
        <v>19.24519503109131</v>
      </c>
      <c r="E1901" s="6" t="s">
        <v>86</v>
      </c>
      <c r="F1901" s="6" t="s">
        <v>54</v>
      </c>
      <c r="G1901" s="7">
        <v>88918.54864031605</v>
      </c>
      <c r="H1901" s="6">
        <v>1711254.810464461</v>
      </c>
      <c r="I1901" s="6" t="s">
        <v>179</v>
      </c>
      <c r="J1901" s="15">
        <v>66.75833333333333</v>
      </c>
    </row>
    <row r="1902" spans="1:10">
      <c r="A1902" s="6" t="s">
        <v>141</v>
      </c>
      <c r="B1902" s="6" t="s">
        <v>44</v>
      </c>
      <c r="C1902" s="6" t="s">
        <v>326</v>
      </c>
      <c r="D1902" s="6">
        <v>32.77033333333333</v>
      </c>
      <c r="E1902" s="6" t="s">
        <v>88</v>
      </c>
      <c r="F1902" s="6" t="s">
        <v>54</v>
      </c>
      <c r="G1902" s="7">
        <v>88918.54864031605</v>
      </c>
      <c r="H1902" s="6">
        <v>2913890.47845937</v>
      </c>
      <c r="I1902" s="6" t="s">
        <v>179</v>
      </c>
      <c r="J1902" s="15">
        <v>66.75833333333333</v>
      </c>
    </row>
    <row r="1903" spans="1:10">
      <c r="A1903" s="6" t="s">
        <v>141</v>
      </c>
      <c r="B1903" s="6" t="s">
        <v>44</v>
      </c>
      <c r="C1903" s="6" t="s">
        <v>326</v>
      </c>
      <c r="D1903" s="6">
        <v>3.258974348099374</v>
      </c>
      <c r="E1903" s="6" t="s">
        <v>90</v>
      </c>
      <c r="F1903" s="6" t="s">
        <v>54</v>
      </c>
      <c r="G1903" s="7">
        <v>88918.54864031605</v>
      </c>
      <c r="H1903" s="6">
        <v>289783.2690890164</v>
      </c>
      <c r="I1903" s="6" t="s">
        <v>179</v>
      </c>
      <c r="J1903" s="15">
        <v>66.75833333333333</v>
      </c>
    </row>
    <row r="1904" spans="1:10">
      <c r="A1904" s="6" t="s">
        <v>141</v>
      </c>
      <c r="B1904" s="6" t="s">
        <v>44</v>
      </c>
      <c r="C1904" s="6" t="s">
        <v>326</v>
      </c>
      <c r="D1904" s="6">
        <v>0.003333333333333334</v>
      </c>
      <c r="E1904" s="6" t="s">
        <v>92</v>
      </c>
      <c r="F1904" s="6" t="s">
        <v>54</v>
      </c>
      <c r="G1904" s="7">
        <v>88918.54864031605</v>
      </c>
      <c r="H1904" s="6">
        <v>296.3951621343869</v>
      </c>
      <c r="I1904" s="6" t="s">
        <v>179</v>
      </c>
      <c r="J1904" s="15">
        <v>66.75833333333333</v>
      </c>
    </row>
    <row r="1905" spans="1:10">
      <c r="A1905" s="6" t="s">
        <v>141</v>
      </c>
      <c r="B1905" s="6" t="s">
        <v>44</v>
      </c>
      <c r="C1905" s="6" t="s">
        <v>327</v>
      </c>
      <c r="D1905" s="6">
        <v>230.0179476209263</v>
      </c>
      <c r="E1905" s="6" t="s">
        <v>44</v>
      </c>
      <c r="F1905" s="6" t="s">
        <v>57</v>
      </c>
      <c r="G1905" s="7">
        <v>40979.35428179214</v>
      </c>
      <c r="H1905" s="6">
        <v>9425986.966728648</v>
      </c>
      <c r="I1905" s="6" t="s">
        <v>179</v>
      </c>
      <c r="J1905" s="15">
        <v>43.75</v>
      </c>
    </row>
    <row r="1906" spans="1:10">
      <c r="A1906" s="6" t="s">
        <v>141</v>
      </c>
      <c r="B1906" s="6" t="s">
        <v>44</v>
      </c>
      <c r="C1906" s="6" t="s">
        <v>327</v>
      </c>
      <c r="D1906" s="6">
        <v>4.633354202347941</v>
      </c>
      <c r="E1906" s="6" t="s">
        <v>86</v>
      </c>
      <c r="F1906" s="6" t="s">
        <v>57</v>
      </c>
      <c r="G1906" s="7">
        <v>40979.35428179214</v>
      </c>
      <c r="H1906" s="6">
        <v>189871.8633710467</v>
      </c>
      <c r="I1906" s="6" t="s">
        <v>179</v>
      </c>
      <c r="J1906" s="15">
        <v>43.75</v>
      </c>
    </row>
    <row r="1907" spans="1:10">
      <c r="A1907" s="6" t="s">
        <v>141</v>
      </c>
      <c r="B1907" s="6" t="s">
        <v>44</v>
      </c>
      <c r="C1907" s="6" t="s">
        <v>327</v>
      </c>
      <c r="D1907" s="6">
        <v>8.144416666666666</v>
      </c>
      <c r="E1907" s="6" t="s">
        <v>88</v>
      </c>
      <c r="F1907" s="6" t="s">
        <v>57</v>
      </c>
      <c r="G1907" s="7">
        <v>40979.35428179214</v>
      </c>
      <c r="H1907" s="6">
        <v>333752.9360018659</v>
      </c>
      <c r="I1907" s="6" t="s">
        <v>179</v>
      </c>
      <c r="J1907" s="15">
        <v>43.75</v>
      </c>
    </row>
    <row r="1908" spans="1:10">
      <c r="A1908" s="6" t="s">
        <v>141</v>
      </c>
      <c r="B1908" s="6" t="s">
        <v>44</v>
      </c>
      <c r="C1908" s="6" t="s">
        <v>327</v>
      </c>
      <c r="D1908" s="6">
        <v>5.327421111495619</v>
      </c>
      <c r="E1908" s="6" t="s">
        <v>90</v>
      </c>
      <c r="F1908" s="6" t="s">
        <v>57</v>
      </c>
      <c r="G1908" s="7">
        <v>40979.35428179214</v>
      </c>
      <c r="H1908" s="6">
        <v>218314.2771362778</v>
      </c>
      <c r="I1908" s="6" t="s">
        <v>179</v>
      </c>
      <c r="J1908" s="15">
        <v>43.75</v>
      </c>
    </row>
    <row r="1909" spans="1:10">
      <c r="A1909" s="6" t="s">
        <v>141</v>
      </c>
      <c r="B1909" s="6" t="s">
        <v>44</v>
      </c>
      <c r="C1909" s="6" t="s">
        <v>328</v>
      </c>
      <c r="D1909" s="6">
        <v>2.829916666666667</v>
      </c>
      <c r="E1909" s="6" t="s">
        <v>44</v>
      </c>
      <c r="F1909" s="6" t="s">
        <v>58</v>
      </c>
      <c r="G1909" s="7">
        <v>68315.07045437419</v>
      </c>
      <c r="H1909" s="6">
        <v>193325.9564633411</v>
      </c>
      <c r="I1909" s="6" t="s">
        <v>179</v>
      </c>
      <c r="J1909" s="15">
        <v>32.08333333333333</v>
      </c>
    </row>
    <row r="1910" spans="1:10">
      <c r="A1910" s="6" t="s">
        <v>141</v>
      </c>
      <c r="B1910" s="6" t="s">
        <v>44</v>
      </c>
      <c r="C1910" s="6" t="s">
        <v>328</v>
      </c>
      <c r="D1910" s="6">
        <v>0.435</v>
      </c>
      <c r="E1910" s="6" t="s">
        <v>86</v>
      </c>
      <c r="F1910" s="6" t="s">
        <v>58</v>
      </c>
      <c r="G1910" s="7">
        <v>68315.07045437419</v>
      </c>
      <c r="H1910" s="6">
        <v>29717.05564765277</v>
      </c>
      <c r="I1910" s="6" t="s">
        <v>179</v>
      </c>
      <c r="J1910" s="15">
        <v>32.08333333333333</v>
      </c>
    </row>
    <row r="1911" spans="1:10">
      <c r="A1911" s="6" t="s">
        <v>141</v>
      </c>
      <c r="B1911" s="6" t="s">
        <v>44</v>
      </c>
      <c r="C1911" s="6" t="s">
        <v>328</v>
      </c>
      <c r="D1911" s="6">
        <v>0.1481666666666667</v>
      </c>
      <c r="E1911" s="6" t="s">
        <v>88</v>
      </c>
      <c r="F1911" s="6" t="s">
        <v>58</v>
      </c>
      <c r="G1911" s="7">
        <v>68315.07045437419</v>
      </c>
      <c r="H1911" s="6">
        <v>10122.01627232311</v>
      </c>
      <c r="I1911" s="6" t="s">
        <v>179</v>
      </c>
      <c r="J1911" s="15">
        <v>32.08333333333333</v>
      </c>
    </row>
    <row r="1912" spans="1:10">
      <c r="A1912" s="6" t="s">
        <v>141</v>
      </c>
      <c r="B1912" s="6" t="s">
        <v>44</v>
      </c>
      <c r="C1912" s="6" t="s">
        <v>328</v>
      </c>
      <c r="D1912" s="6">
        <v>0.3508333333333333</v>
      </c>
      <c r="E1912" s="6" t="s">
        <v>90</v>
      </c>
      <c r="F1912" s="6" t="s">
        <v>58</v>
      </c>
      <c r="G1912" s="7">
        <v>68315.07045437419</v>
      </c>
      <c r="H1912" s="6">
        <v>23967.20388440961</v>
      </c>
      <c r="I1912" s="6" t="s">
        <v>179</v>
      </c>
      <c r="J1912" s="15">
        <v>32.08333333333333</v>
      </c>
    </row>
    <row r="1913" spans="1:10">
      <c r="A1913" s="6" t="s">
        <v>141</v>
      </c>
      <c r="B1913" s="6" t="s">
        <v>44</v>
      </c>
      <c r="C1913" s="6" t="s">
        <v>329</v>
      </c>
      <c r="D1913" s="6">
        <v>1782.672004671516</v>
      </c>
      <c r="E1913" s="6" t="s">
        <v>44</v>
      </c>
      <c r="F1913" s="6" t="s">
        <v>58</v>
      </c>
      <c r="G1913" s="7">
        <v>61073.72389180421</v>
      </c>
      <c r="H1913" s="6">
        <v>108874417.8029573</v>
      </c>
      <c r="I1913" s="6" t="s">
        <v>179</v>
      </c>
      <c r="J1913" s="15">
        <v>26</v>
      </c>
    </row>
    <row r="1914" spans="1:10">
      <c r="A1914" s="6" t="s">
        <v>141</v>
      </c>
      <c r="B1914" s="6" t="s">
        <v>44</v>
      </c>
      <c r="C1914" s="6" t="s">
        <v>329</v>
      </c>
      <c r="D1914" s="6">
        <v>217.7237666044414</v>
      </c>
      <c r="E1914" s="6" t="s">
        <v>86</v>
      </c>
      <c r="F1914" s="6" t="s">
        <v>58</v>
      </c>
      <c r="G1914" s="7">
        <v>61073.72389180421</v>
      </c>
      <c r="H1914" s="6">
        <v>13297201.20628328</v>
      </c>
      <c r="I1914" s="6" t="s">
        <v>179</v>
      </c>
      <c r="J1914" s="15">
        <v>26</v>
      </c>
    </row>
    <row r="1915" spans="1:10">
      <c r="A1915" s="6" t="s">
        <v>141</v>
      </c>
      <c r="B1915" s="6" t="s">
        <v>44</v>
      </c>
      <c r="C1915" s="6" t="s">
        <v>329</v>
      </c>
      <c r="D1915" s="6">
        <v>120.7171666666667</v>
      </c>
      <c r="E1915" s="6" t="s">
        <v>88</v>
      </c>
      <c r="F1915" s="6" t="s">
        <v>58</v>
      </c>
      <c r="G1915" s="7">
        <v>61073.72389180421</v>
      </c>
      <c r="H1915" s="6">
        <v>7372646.906000911</v>
      </c>
      <c r="I1915" s="6" t="s">
        <v>179</v>
      </c>
      <c r="J1915" s="15">
        <v>26</v>
      </c>
    </row>
    <row r="1916" spans="1:10">
      <c r="A1916" s="6" t="s">
        <v>141</v>
      </c>
      <c r="B1916" s="6" t="s">
        <v>44</v>
      </c>
      <c r="C1916" s="6" t="s">
        <v>329</v>
      </c>
      <c r="D1916" s="6">
        <v>71.94623159469592</v>
      </c>
      <c r="E1916" s="6" t="s">
        <v>90</v>
      </c>
      <c r="F1916" s="6" t="s">
        <v>58</v>
      </c>
      <c r="G1916" s="7">
        <v>61073.72389180421</v>
      </c>
      <c r="H1916" s="6">
        <v>4394024.283470259</v>
      </c>
      <c r="I1916" s="6" t="s">
        <v>179</v>
      </c>
      <c r="J1916" s="15">
        <v>26</v>
      </c>
    </row>
    <row r="1917" spans="1:10">
      <c r="A1917" s="6" t="s">
        <v>141</v>
      </c>
      <c r="B1917" s="6" t="s">
        <v>44</v>
      </c>
      <c r="C1917" s="6" t="s">
        <v>329</v>
      </c>
      <c r="D1917" s="6">
        <v>0.5755</v>
      </c>
      <c r="E1917" s="6" t="s">
        <v>92</v>
      </c>
      <c r="F1917" s="6" t="s">
        <v>58</v>
      </c>
      <c r="G1917" s="7">
        <v>61073.72389180421</v>
      </c>
      <c r="H1917" s="6">
        <v>35147.92809973333</v>
      </c>
      <c r="I1917" s="6" t="s">
        <v>179</v>
      </c>
      <c r="J1917" s="15">
        <v>26</v>
      </c>
    </row>
    <row r="1918" spans="1:10">
      <c r="A1918" s="6" t="s">
        <v>141</v>
      </c>
      <c r="B1918" s="6" t="s">
        <v>44</v>
      </c>
      <c r="C1918" s="6" t="s">
        <v>330</v>
      </c>
      <c r="D1918" s="6">
        <v>4.444886487530384</v>
      </c>
      <c r="E1918" s="6" t="s">
        <v>44</v>
      </c>
      <c r="F1918" s="6" t="s">
        <v>52</v>
      </c>
      <c r="G1918" s="7">
        <v>78332.43723892634</v>
      </c>
      <c r="H1918" s="6">
        <v>348178.7918186255</v>
      </c>
      <c r="I1918" s="6" t="s">
        <v>179</v>
      </c>
      <c r="J1918" s="15">
        <v>90.33333333333333</v>
      </c>
    </row>
    <row r="1919" spans="1:10">
      <c r="A1919" s="6" t="s">
        <v>141</v>
      </c>
      <c r="B1919" s="6" t="s">
        <v>44</v>
      </c>
      <c r="C1919" s="6" t="s">
        <v>330</v>
      </c>
      <c r="D1919" s="6">
        <v>0.05666666666666667</v>
      </c>
      <c r="E1919" s="6" t="s">
        <v>88</v>
      </c>
      <c r="F1919" s="6" t="s">
        <v>52</v>
      </c>
      <c r="G1919" s="7">
        <v>78332.43723892634</v>
      </c>
      <c r="H1919" s="6">
        <v>4438.838110205827</v>
      </c>
      <c r="I1919" s="6" t="s">
        <v>179</v>
      </c>
      <c r="J1919" s="15">
        <v>90.33333333333333</v>
      </c>
    </row>
    <row r="1920" spans="1:10">
      <c r="A1920" s="6" t="s">
        <v>141</v>
      </c>
      <c r="B1920" s="6" t="s">
        <v>44</v>
      </c>
      <c r="C1920" s="6" t="s">
        <v>331</v>
      </c>
      <c r="D1920" s="6">
        <v>554.2321250711033</v>
      </c>
      <c r="E1920" s="6" t="s">
        <v>44</v>
      </c>
      <c r="F1920" s="6" t="s">
        <v>58</v>
      </c>
      <c r="G1920" s="7">
        <v>57688.3500255051</v>
      </c>
      <c r="H1920" s="6">
        <v>31972736.82648132</v>
      </c>
      <c r="I1920" s="6" t="s">
        <v>179</v>
      </c>
      <c r="J1920" s="15">
        <v>27.625</v>
      </c>
    </row>
    <row r="1921" spans="1:10">
      <c r="A1921" s="6" t="s">
        <v>141</v>
      </c>
      <c r="B1921" s="6" t="s">
        <v>44</v>
      </c>
      <c r="C1921" s="6" t="s">
        <v>331</v>
      </c>
      <c r="D1921" s="6">
        <v>65.78725863571559</v>
      </c>
      <c r="E1921" s="6" t="s">
        <v>86</v>
      </c>
      <c r="F1921" s="6" t="s">
        <v>58</v>
      </c>
      <c r="G1921" s="7">
        <v>57688.3500255051</v>
      </c>
      <c r="H1921" s="6">
        <v>3795158.403395594</v>
      </c>
      <c r="I1921" s="6" t="s">
        <v>179</v>
      </c>
      <c r="J1921" s="15">
        <v>27.625</v>
      </c>
    </row>
    <row r="1922" spans="1:10">
      <c r="A1922" s="6" t="s">
        <v>141</v>
      </c>
      <c r="B1922" s="6" t="s">
        <v>44</v>
      </c>
      <c r="C1922" s="6" t="s">
        <v>331</v>
      </c>
      <c r="D1922" s="6">
        <v>48.62033333333333</v>
      </c>
      <c r="E1922" s="6" t="s">
        <v>88</v>
      </c>
      <c r="F1922" s="6" t="s">
        <v>58</v>
      </c>
      <c r="G1922" s="7">
        <v>57688.3500255051</v>
      </c>
      <c r="H1922" s="6">
        <v>2804826.807690066</v>
      </c>
      <c r="I1922" s="6" t="s">
        <v>179</v>
      </c>
      <c r="J1922" s="15">
        <v>27.625</v>
      </c>
    </row>
    <row r="1923" spans="1:10">
      <c r="A1923" s="6" t="s">
        <v>141</v>
      </c>
      <c r="B1923" s="6" t="s">
        <v>44</v>
      </c>
      <c r="C1923" s="6" t="s">
        <v>331</v>
      </c>
      <c r="D1923" s="6">
        <v>22.5168538649291</v>
      </c>
      <c r="E1923" s="6" t="s">
        <v>90</v>
      </c>
      <c r="F1923" s="6" t="s">
        <v>58</v>
      </c>
      <c r="G1923" s="7">
        <v>57688.3500255051</v>
      </c>
      <c r="H1923" s="6">
        <v>1298960.147233177</v>
      </c>
      <c r="I1923" s="6" t="s">
        <v>179</v>
      </c>
      <c r="J1923" s="15">
        <v>27.625</v>
      </c>
    </row>
    <row r="1924" spans="1:10">
      <c r="A1924" s="6" t="s">
        <v>141</v>
      </c>
      <c r="B1924" s="6" t="s">
        <v>44</v>
      </c>
      <c r="C1924" s="6" t="s">
        <v>331</v>
      </c>
      <c r="D1924" s="6">
        <v>0.56225</v>
      </c>
      <c r="E1924" s="6" t="s">
        <v>92</v>
      </c>
      <c r="F1924" s="6" t="s">
        <v>58</v>
      </c>
      <c r="G1924" s="7">
        <v>57688.3500255051</v>
      </c>
      <c r="H1924" s="6">
        <v>32435.27480184024</v>
      </c>
      <c r="I1924" s="6" t="s">
        <v>179</v>
      </c>
      <c r="J1924" s="15">
        <v>27.625</v>
      </c>
    </row>
    <row r="1925" spans="1:10">
      <c r="A1925" s="6" t="s">
        <v>141</v>
      </c>
      <c r="B1925" s="6" t="s">
        <v>44</v>
      </c>
      <c r="C1925" s="6" t="s">
        <v>332</v>
      </c>
      <c r="D1925" s="6">
        <v>785.0993464561287</v>
      </c>
      <c r="E1925" s="6" t="s">
        <v>44</v>
      </c>
      <c r="F1925" s="6" t="s">
        <v>55</v>
      </c>
      <c r="G1925" s="7">
        <v>45151.10383039913</v>
      </c>
      <c r="H1925" s="6">
        <v>35448102.10901917</v>
      </c>
      <c r="I1925" s="6" t="s">
        <v>179</v>
      </c>
      <c r="J1925" s="15">
        <v>40.03333333333333</v>
      </c>
    </row>
    <row r="1926" spans="1:10">
      <c r="A1926" s="6" t="s">
        <v>141</v>
      </c>
      <c r="B1926" s="6" t="s">
        <v>44</v>
      </c>
      <c r="C1926" s="6" t="s">
        <v>332</v>
      </c>
      <c r="D1926" s="6">
        <v>11.50939369576328</v>
      </c>
      <c r="E1926" s="6" t="s">
        <v>86</v>
      </c>
      <c r="F1926" s="6" t="s">
        <v>55</v>
      </c>
      <c r="G1926" s="7">
        <v>45151.10383039913</v>
      </c>
      <c r="H1926" s="6">
        <v>519661.8297823492</v>
      </c>
      <c r="I1926" s="6" t="s">
        <v>179</v>
      </c>
      <c r="J1926" s="15">
        <v>40.03333333333333</v>
      </c>
    </row>
    <row r="1927" spans="1:10">
      <c r="A1927" s="6" t="s">
        <v>141</v>
      </c>
      <c r="B1927" s="6" t="s">
        <v>44</v>
      </c>
      <c r="C1927" s="6" t="s">
        <v>332</v>
      </c>
      <c r="D1927" s="6">
        <v>13.09108333333333</v>
      </c>
      <c r="E1927" s="6" t="s">
        <v>88</v>
      </c>
      <c r="F1927" s="6" t="s">
        <v>55</v>
      </c>
      <c r="G1927" s="7">
        <v>45151.10383039913</v>
      </c>
      <c r="H1927" s="6">
        <v>591076.8628357409</v>
      </c>
      <c r="I1927" s="6" t="s">
        <v>179</v>
      </c>
      <c r="J1927" s="15">
        <v>40.03333333333333</v>
      </c>
    </row>
    <row r="1928" spans="1:10">
      <c r="A1928" s="6" t="s">
        <v>141</v>
      </c>
      <c r="B1928" s="6" t="s">
        <v>44</v>
      </c>
      <c r="C1928" s="6" t="s">
        <v>332</v>
      </c>
      <c r="D1928" s="6">
        <v>5.090948627724748</v>
      </c>
      <c r="E1928" s="6" t="s">
        <v>90</v>
      </c>
      <c r="F1928" s="6" t="s">
        <v>55</v>
      </c>
      <c r="G1928" s="7">
        <v>45151.10383039913</v>
      </c>
      <c r="H1928" s="6">
        <v>229861.9500856281</v>
      </c>
      <c r="I1928" s="6" t="s">
        <v>179</v>
      </c>
      <c r="J1928" s="15">
        <v>40.03333333333333</v>
      </c>
    </row>
    <row r="1929" spans="1:10">
      <c r="A1929" s="6" t="s">
        <v>141</v>
      </c>
      <c r="B1929" s="6" t="s">
        <v>44</v>
      </c>
      <c r="C1929" s="6" t="s">
        <v>333</v>
      </c>
      <c r="D1929" s="6">
        <v>384.0499858604398</v>
      </c>
      <c r="E1929" s="6" t="s">
        <v>44</v>
      </c>
      <c r="F1929" s="6" t="s">
        <v>51</v>
      </c>
      <c r="G1929" s="7">
        <v>14927.02860564678</v>
      </c>
      <c r="H1929" s="6">
        <v>5732725.124937028</v>
      </c>
      <c r="I1929" s="6" t="s">
        <v>179</v>
      </c>
      <c r="J1929" s="15">
        <v>17</v>
      </c>
    </row>
    <row r="1930" spans="1:10">
      <c r="A1930" s="6" t="s">
        <v>141</v>
      </c>
      <c r="B1930" s="6" t="s">
        <v>44</v>
      </c>
      <c r="C1930" s="6" t="s">
        <v>333</v>
      </c>
      <c r="D1930" s="6">
        <v>52.40132975591824</v>
      </c>
      <c r="E1930" s="6" t="s">
        <v>86</v>
      </c>
      <c r="F1930" s="6" t="s">
        <v>51</v>
      </c>
      <c r="G1930" s="7">
        <v>14927.02860564678</v>
      </c>
      <c r="H1930" s="6">
        <v>782196.1482405214</v>
      </c>
      <c r="I1930" s="6" t="s">
        <v>179</v>
      </c>
      <c r="J1930" s="15">
        <v>17</v>
      </c>
    </row>
    <row r="1931" spans="1:10">
      <c r="A1931" s="6" t="s">
        <v>141</v>
      </c>
      <c r="B1931" s="6" t="s">
        <v>44</v>
      </c>
      <c r="C1931" s="6" t="s">
        <v>333</v>
      </c>
      <c r="D1931" s="6">
        <v>27.81408333333333</v>
      </c>
      <c r="E1931" s="6" t="s">
        <v>88</v>
      </c>
      <c r="F1931" s="6" t="s">
        <v>51</v>
      </c>
      <c r="G1931" s="7">
        <v>14927.02860564678</v>
      </c>
      <c r="H1931" s="6">
        <v>415181.61755651</v>
      </c>
      <c r="I1931" s="6" t="s">
        <v>179</v>
      </c>
      <c r="J1931" s="15">
        <v>17</v>
      </c>
    </row>
    <row r="1932" spans="1:10">
      <c r="A1932" s="6" t="s">
        <v>141</v>
      </c>
      <c r="B1932" s="6" t="s">
        <v>44</v>
      </c>
      <c r="C1932" s="6" t="s">
        <v>333</v>
      </c>
      <c r="D1932" s="6">
        <v>18.96441666666667</v>
      </c>
      <c r="E1932" s="6" t="s">
        <v>90</v>
      </c>
      <c r="F1932" s="6" t="s">
        <v>51</v>
      </c>
      <c r="G1932" s="7">
        <v>14927.02860564678</v>
      </c>
      <c r="H1932" s="6">
        <v>283082.3900727379</v>
      </c>
      <c r="I1932" s="6" t="s">
        <v>179</v>
      </c>
      <c r="J1932" s="15">
        <v>17</v>
      </c>
    </row>
    <row r="1933" spans="1:10">
      <c r="A1933" s="6" t="s">
        <v>141</v>
      </c>
      <c r="B1933" s="6" t="s">
        <v>44</v>
      </c>
      <c r="C1933" s="6" t="s">
        <v>333</v>
      </c>
      <c r="D1933" s="6">
        <v>0.3538333333333334</v>
      </c>
      <c r="E1933" s="6" t="s">
        <v>92</v>
      </c>
      <c r="F1933" s="6" t="s">
        <v>51</v>
      </c>
      <c r="G1933" s="7">
        <v>14927.02860564678</v>
      </c>
      <c r="H1933" s="6">
        <v>5281.68028829802</v>
      </c>
      <c r="I1933" s="6" t="s">
        <v>179</v>
      </c>
      <c r="J1933" s="15">
        <v>17</v>
      </c>
    </row>
    <row r="1934" spans="1:10">
      <c r="A1934" s="6" t="s">
        <v>141</v>
      </c>
      <c r="B1934" s="6" t="s">
        <v>86</v>
      </c>
      <c r="C1934" s="6" t="s">
        <v>195</v>
      </c>
      <c r="D1934" s="6">
        <v>207.5325902652947</v>
      </c>
      <c r="E1934" s="6" t="s">
        <v>44</v>
      </c>
      <c r="F1934" s="6" t="s">
        <v>54</v>
      </c>
      <c r="G1934" s="7">
        <v>82918.53579994704</v>
      </c>
      <c r="H1934" s="6">
        <v>17208298.51556858</v>
      </c>
      <c r="I1934" s="6" t="s">
        <v>179</v>
      </c>
      <c r="J1934" s="15">
        <v>41</v>
      </c>
    </row>
    <row r="1935" spans="1:10">
      <c r="A1935" s="6" t="s">
        <v>141</v>
      </c>
      <c r="B1935" s="6" t="s">
        <v>86</v>
      </c>
      <c r="C1935" s="6" t="s">
        <v>195</v>
      </c>
      <c r="D1935" s="6">
        <v>36.78617002495042</v>
      </c>
      <c r="E1935" s="6" t="s">
        <v>86</v>
      </c>
      <c r="F1935" s="6" t="s">
        <v>54</v>
      </c>
      <c r="G1935" s="7">
        <v>82918.53579994704</v>
      </c>
      <c r="H1935" s="6">
        <v>3050255.35615679</v>
      </c>
      <c r="I1935" s="6" t="s">
        <v>179</v>
      </c>
      <c r="J1935" s="15">
        <v>41</v>
      </c>
    </row>
    <row r="1936" spans="1:10">
      <c r="A1936" s="6" t="s">
        <v>141</v>
      </c>
      <c r="B1936" s="6" t="s">
        <v>86</v>
      </c>
      <c r="C1936" s="6" t="s">
        <v>195</v>
      </c>
      <c r="D1936" s="6">
        <v>12.65908333333333</v>
      </c>
      <c r="E1936" s="6" t="s">
        <v>88</v>
      </c>
      <c r="F1936" s="6" t="s">
        <v>54</v>
      </c>
      <c r="G1936" s="7">
        <v>82918.53579994704</v>
      </c>
      <c r="H1936" s="6">
        <v>1049672.654569513</v>
      </c>
      <c r="I1936" s="6" t="s">
        <v>179</v>
      </c>
      <c r="J1936" s="15">
        <v>41</v>
      </c>
    </row>
    <row r="1937" spans="1:10">
      <c r="A1937" s="6" t="s">
        <v>141</v>
      </c>
      <c r="B1937" s="6" t="s">
        <v>86</v>
      </c>
      <c r="C1937" s="6" t="s">
        <v>195</v>
      </c>
      <c r="D1937" s="6">
        <v>19.42069568092836</v>
      </c>
      <c r="E1937" s="6" t="s">
        <v>90</v>
      </c>
      <c r="F1937" s="6" t="s">
        <v>54</v>
      </c>
      <c r="G1937" s="7">
        <v>82918.53579994704</v>
      </c>
      <c r="H1937" s="6">
        <v>1610335.650078936</v>
      </c>
      <c r="I1937" s="6" t="s">
        <v>179</v>
      </c>
      <c r="J1937" s="15">
        <v>41</v>
      </c>
    </row>
    <row r="1938" spans="1:10">
      <c r="A1938" s="6" t="s">
        <v>141</v>
      </c>
      <c r="B1938" s="6" t="s">
        <v>86</v>
      </c>
      <c r="C1938" s="6" t="s">
        <v>195</v>
      </c>
      <c r="D1938" s="6">
        <v>0.042</v>
      </c>
      <c r="E1938" s="6" t="s">
        <v>92</v>
      </c>
      <c r="F1938" s="6" t="s">
        <v>54</v>
      </c>
      <c r="G1938" s="7">
        <v>82918.53579994704</v>
      </c>
      <c r="H1938" s="6">
        <v>3482.578503597776</v>
      </c>
      <c r="I1938" s="6" t="s">
        <v>179</v>
      </c>
      <c r="J1938" s="15">
        <v>41</v>
      </c>
    </row>
    <row r="1939" spans="1:10">
      <c r="A1939" s="6" t="s">
        <v>141</v>
      </c>
      <c r="B1939" s="6" t="s">
        <v>86</v>
      </c>
      <c r="C1939" s="6" t="s">
        <v>334</v>
      </c>
      <c r="D1939" s="6">
        <v>0.0009166666666666666</v>
      </c>
      <c r="E1939" s="6" t="s">
        <v>86</v>
      </c>
      <c r="F1939" s="6" t="s">
        <v>54</v>
      </c>
      <c r="G1939" s="7">
        <v>79484.86508293969</v>
      </c>
      <c r="H1939" s="6">
        <v>72.86112632602806</v>
      </c>
      <c r="I1939" s="6" t="s">
        <v>180</v>
      </c>
      <c r="J1939" s="15">
        <v>72</v>
      </c>
    </row>
    <row r="1940" spans="1:10">
      <c r="A1940" s="6" t="s">
        <v>141</v>
      </c>
      <c r="B1940" s="6" t="s">
        <v>86</v>
      </c>
      <c r="C1940" s="6" t="s">
        <v>334</v>
      </c>
      <c r="D1940" s="6">
        <v>0.003333333333333334</v>
      </c>
      <c r="E1940" s="6" t="s">
        <v>90</v>
      </c>
      <c r="F1940" s="6" t="s">
        <v>54</v>
      </c>
      <c r="G1940" s="7">
        <v>79484.86508293969</v>
      </c>
      <c r="H1940" s="6">
        <v>264.9495502764657</v>
      </c>
      <c r="I1940" s="6" t="s">
        <v>180</v>
      </c>
      <c r="J1940" s="15">
        <v>72</v>
      </c>
    </row>
    <row r="1941" spans="1:10">
      <c r="A1941" s="6" t="s">
        <v>141</v>
      </c>
      <c r="B1941" s="6" t="s">
        <v>86</v>
      </c>
      <c r="C1941" s="6" t="s">
        <v>335</v>
      </c>
      <c r="D1941" s="6">
        <v>188.0494166666667</v>
      </c>
      <c r="E1941" s="6" t="s">
        <v>86</v>
      </c>
      <c r="F1941" s="6" t="s">
        <v>52</v>
      </c>
      <c r="G1941" s="7">
        <v>101612.9380442109</v>
      </c>
      <c r="H1941" s="6">
        <v>19108253.725</v>
      </c>
      <c r="I1941" s="6" t="s">
        <v>179</v>
      </c>
      <c r="J1941" s="15">
        <v>76.41666666666666</v>
      </c>
    </row>
    <row r="1942" spans="1:10">
      <c r="A1942" s="6" t="s">
        <v>141</v>
      </c>
      <c r="B1942" s="6" t="s">
        <v>86</v>
      </c>
      <c r="C1942" s="6" t="s">
        <v>336</v>
      </c>
      <c r="D1942" s="6">
        <v>1595.194083333333</v>
      </c>
      <c r="E1942" s="6" t="s">
        <v>86</v>
      </c>
      <c r="F1942" s="6" t="s">
        <v>52</v>
      </c>
      <c r="G1942" s="7">
        <v>108859.5896403202</v>
      </c>
      <c r="H1942" s="6">
        <v>173652173.3083333</v>
      </c>
      <c r="I1942" s="6" t="s">
        <v>179</v>
      </c>
      <c r="J1942" s="15">
        <v>56.95833333333333</v>
      </c>
    </row>
    <row r="1943" spans="1:10">
      <c r="A1943" s="6" t="s">
        <v>141</v>
      </c>
      <c r="B1943" s="6" t="s">
        <v>86</v>
      </c>
      <c r="C1943" s="6" t="s">
        <v>197</v>
      </c>
      <c r="D1943" s="6">
        <v>297.481726968359</v>
      </c>
      <c r="E1943" s="6" t="s">
        <v>44</v>
      </c>
      <c r="F1943" s="6" t="s">
        <v>53</v>
      </c>
      <c r="G1943" s="7">
        <v>55853.21520848444</v>
      </c>
      <c r="H1943" s="6">
        <v>16615310.91695536</v>
      </c>
      <c r="I1943" s="6" t="s">
        <v>179</v>
      </c>
      <c r="J1943" s="15">
        <v>29</v>
      </c>
    </row>
    <row r="1944" spans="1:10">
      <c r="A1944" s="6" t="s">
        <v>141</v>
      </c>
      <c r="B1944" s="6" t="s">
        <v>86</v>
      </c>
      <c r="C1944" s="6" t="s">
        <v>197</v>
      </c>
      <c r="D1944" s="6">
        <v>72.38355375070874</v>
      </c>
      <c r="E1944" s="6" t="s">
        <v>86</v>
      </c>
      <c r="F1944" s="6" t="s">
        <v>53</v>
      </c>
      <c r="G1944" s="7">
        <v>55853.21520848444</v>
      </c>
      <c r="H1944" s="6">
        <v>4042854.205193236</v>
      </c>
      <c r="I1944" s="6" t="s">
        <v>179</v>
      </c>
      <c r="J1944" s="15">
        <v>29</v>
      </c>
    </row>
    <row r="1945" spans="1:10">
      <c r="A1945" s="6" t="s">
        <v>141</v>
      </c>
      <c r="B1945" s="6" t="s">
        <v>86</v>
      </c>
      <c r="C1945" s="6" t="s">
        <v>197</v>
      </c>
      <c r="D1945" s="6">
        <v>52.029</v>
      </c>
      <c r="E1945" s="6" t="s">
        <v>88</v>
      </c>
      <c r="F1945" s="6" t="s">
        <v>53</v>
      </c>
      <c r="G1945" s="7">
        <v>55853.21520848444</v>
      </c>
      <c r="H1945" s="6">
        <v>2905986.934082237</v>
      </c>
      <c r="I1945" s="6" t="s">
        <v>179</v>
      </c>
      <c r="J1945" s="15">
        <v>29</v>
      </c>
    </row>
    <row r="1946" spans="1:10">
      <c r="A1946" s="6" t="s">
        <v>141</v>
      </c>
      <c r="B1946" s="6" t="s">
        <v>86</v>
      </c>
      <c r="C1946" s="6" t="s">
        <v>197</v>
      </c>
      <c r="D1946" s="6">
        <v>11.5536236147031</v>
      </c>
      <c r="E1946" s="6" t="s">
        <v>90</v>
      </c>
      <c r="F1946" s="6" t="s">
        <v>53</v>
      </c>
      <c r="G1946" s="7">
        <v>55853.21520848444</v>
      </c>
      <c r="H1946" s="6">
        <v>645307.0261898403</v>
      </c>
      <c r="I1946" s="6" t="s">
        <v>179</v>
      </c>
      <c r="J1946" s="15">
        <v>29</v>
      </c>
    </row>
    <row r="1947" spans="1:10">
      <c r="A1947" s="6" t="s">
        <v>141</v>
      </c>
      <c r="B1947" s="6" t="s">
        <v>86</v>
      </c>
      <c r="C1947" s="6" t="s">
        <v>197</v>
      </c>
      <c r="D1947" s="6">
        <v>0.213</v>
      </c>
      <c r="E1947" s="6" t="s">
        <v>92</v>
      </c>
      <c r="F1947" s="6" t="s">
        <v>53</v>
      </c>
      <c r="G1947" s="7">
        <v>55853.21520848444</v>
      </c>
      <c r="H1947" s="6">
        <v>11896.73483940719</v>
      </c>
      <c r="I1947" s="6" t="s">
        <v>179</v>
      </c>
      <c r="J1947" s="15">
        <v>29</v>
      </c>
    </row>
    <row r="1948" spans="1:10">
      <c r="A1948" s="6" t="s">
        <v>141</v>
      </c>
      <c r="B1948" s="6" t="s">
        <v>86</v>
      </c>
      <c r="C1948" s="6" t="s">
        <v>199</v>
      </c>
      <c r="D1948" s="6">
        <v>288.2863593038194</v>
      </c>
      <c r="E1948" s="6" t="s">
        <v>44</v>
      </c>
      <c r="F1948" s="6" t="s">
        <v>57</v>
      </c>
      <c r="G1948" s="7">
        <v>52709.72675479725</v>
      </c>
      <c r="H1948" s="6">
        <v>15195495.22603963</v>
      </c>
      <c r="I1948" s="6" t="s">
        <v>179</v>
      </c>
      <c r="J1948" s="15">
        <v>49.53333333333333</v>
      </c>
    </row>
    <row r="1949" spans="1:10">
      <c r="A1949" s="6" t="s">
        <v>141</v>
      </c>
      <c r="B1949" s="6" t="s">
        <v>86</v>
      </c>
      <c r="C1949" s="6" t="s">
        <v>199</v>
      </c>
      <c r="D1949" s="6">
        <v>55.58581831518113</v>
      </c>
      <c r="E1949" s="6" t="s">
        <v>86</v>
      </c>
      <c r="F1949" s="6" t="s">
        <v>57</v>
      </c>
      <c r="G1949" s="7">
        <v>52709.72675479725</v>
      </c>
      <c r="H1949" s="6">
        <v>2929913.294835002</v>
      </c>
      <c r="I1949" s="6" t="s">
        <v>179</v>
      </c>
      <c r="J1949" s="15">
        <v>49.53333333333333</v>
      </c>
    </row>
    <row r="1950" spans="1:10">
      <c r="A1950" s="6" t="s">
        <v>141</v>
      </c>
      <c r="B1950" s="6" t="s">
        <v>86</v>
      </c>
      <c r="C1950" s="6" t="s">
        <v>199</v>
      </c>
      <c r="D1950" s="6">
        <v>27.00266666666666</v>
      </c>
      <c r="E1950" s="6" t="s">
        <v>88</v>
      </c>
      <c r="F1950" s="6" t="s">
        <v>57</v>
      </c>
      <c r="G1950" s="7">
        <v>52709.72675479725</v>
      </c>
      <c r="H1950" s="6">
        <v>1423303.181650872</v>
      </c>
      <c r="I1950" s="6" t="s">
        <v>179</v>
      </c>
      <c r="J1950" s="15">
        <v>49.53333333333333</v>
      </c>
    </row>
    <row r="1951" spans="1:10">
      <c r="A1951" s="6" t="s">
        <v>141</v>
      </c>
      <c r="B1951" s="6" t="s">
        <v>86</v>
      </c>
      <c r="C1951" s="6" t="s">
        <v>199</v>
      </c>
      <c r="D1951" s="6">
        <v>17.35389326149767</v>
      </c>
      <c r="E1951" s="6" t="s">
        <v>90</v>
      </c>
      <c r="F1951" s="6" t="s">
        <v>57</v>
      </c>
      <c r="G1951" s="7">
        <v>52709.72675479725</v>
      </c>
      <c r="H1951" s="6">
        <v>914718.9719454595</v>
      </c>
      <c r="I1951" s="6" t="s">
        <v>179</v>
      </c>
      <c r="J1951" s="15">
        <v>49.53333333333333</v>
      </c>
    </row>
    <row r="1952" spans="1:10">
      <c r="A1952" s="6" t="s">
        <v>141</v>
      </c>
      <c r="B1952" s="6" t="s">
        <v>86</v>
      </c>
      <c r="C1952" s="6" t="s">
        <v>199</v>
      </c>
      <c r="D1952" s="6">
        <v>0.1381666666666666</v>
      </c>
      <c r="E1952" s="6" t="s">
        <v>92</v>
      </c>
      <c r="F1952" s="6" t="s">
        <v>57</v>
      </c>
      <c r="G1952" s="7">
        <v>52709.72675479725</v>
      </c>
      <c r="H1952" s="6">
        <v>7282.727246621152</v>
      </c>
      <c r="I1952" s="6" t="s">
        <v>179</v>
      </c>
      <c r="J1952" s="15">
        <v>49.53333333333333</v>
      </c>
    </row>
    <row r="1953" spans="1:10">
      <c r="A1953" s="6" t="s">
        <v>141</v>
      </c>
      <c r="B1953" s="6" t="s">
        <v>86</v>
      </c>
      <c r="C1953" s="6" t="s">
        <v>337</v>
      </c>
      <c r="D1953" s="6">
        <v>27.86608333333333</v>
      </c>
      <c r="E1953" s="6" t="s">
        <v>44</v>
      </c>
      <c r="F1953" s="6" t="s">
        <v>52</v>
      </c>
      <c r="G1953" s="7">
        <v>76118.45485007425</v>
      </c>
      <c r="H1953" s="6">
        <v>2121123.20605674</v>
      </c>
      <c r="I1953" s="6" t="s">
        <v>179</v>
      </c>
      <c r="J1953" s="15">
        <v>50.90833333333333</v>
      </c>
    </row>
    <row r="1954" spans="1:10">
      <c r="A1954" s="6" t="s">
        <v>141</v>
      </c>
      <c r="B1954" s="6" t="s">
        <v>86</v>
      </c>
      <c r="C1954" s="6" t="s">
        <v>337</v>
      </c>
      <c r="D1954" s="6">
        <v>21.66883333333334</v>
      </c>
      <c r="E1954" s="6" t="s">
        <v>86</v>
      </c>
      <c r="F1954" s="6" t="s">
        <v>52</v>
      </c>
      <c r="G1954" s="7">
        <v>76118.45485007425</v>
      </c>
      <c r="H1954" s="6">
        <v>1649398.111737117</v>
      </c>
      <c r="I1954" s="6" t="s">
        <v>179</v>
      </c>
      <c r="J1954" s="15">
        <v>50.90833333333333</v>
      </c>
    </row>
    <row r="1955" spans="1:10">
      <c r="A1955" s="6" t="s">
        <v>141</v>
      </c>
      <c r="B1955" s="6" t="s">
        <v>86</v>
      </c>
      <c r="C1955" s="6" t="s">
        <v>337</v>
      </c>
      <c r="D1955" s="6">
        <v>8.164250000000001</v>
      </c>
      <c r="E1955" s="6" t="s">
        <v>88</v>
      </c>
      <c r="F1955" s="6" t="s">
        <v>52</v>
      </c>
      <c r="G1955" s="7">
        <v>76118.45485007425</v>
      </c>
      <c r="H1955" s="6">
        <v>621450.0950097188</v>
      </c>
      <c r="I1955" s="6" t="s">
        <v>179</v>
      </c>
      <c r="J1955" s="15">
        <v>50.90833333333333</v>
      </c>
    </row>
    <row r="1956" spans="1:10">
      <c r="A1956" s="6" t="s">
        <v>141</v>
      </c>
      <c r="B1956" s="6" t="s">
        <v>86</v>
      </c>
      <c r="C1956" s="6" t="s">
        <v>337</v>
      </c>
      <c r="D1956" s="6">
        <v>7.900416666666666</v>
      </c>
      <c r="E1956" s="6" t="s">
        <v>90</v>
      </c>
      <c r="F1956" s="6" t="s">
        <v>52</v>
      </c>
      <c r="G1956" s="7">
        <v>76118.45485007425</v>
      </c>
      <c r="H1956" s="6">
        <v>601367.5093384407</v>
      </c>
      <c r="I1956" s="6" t="s">
        <v>179</v>
      </c>
      <c r="J1956" s="15">
        <v>50.90833333333333</v>
      </c>
    </row>
    <row r="1957" spans="1:10">
      <c r="A1957" s="6" t="s">
        <v>141</v>
      </c>
      <c r="B1957" s="6" t="s">
        <v>86</v>
      </c>
      <c r="C1957" s="6" t="s">
        <v>200</v>
      </c>
      <c r="D1957" s="6">
        <v>72.56191666666666</v>
      </c>
      <c r="E1957" s="6" t="s">
        <v>86</v>
      </c>
      <c r="F1957" s="6" t="s">
        <v>52</v>
      </c>
      <c r="G1957" s="7">
        <v>74043.30178681524</v>
      </c>
      <c r="H1957" s="6">
        <v>5372723.893979738</v>
      </c>
      <c r="I1957" s="6" t="s">
        <v>179</v>
      </c>
      <c r="J1957" s="15">
        <v>64.11666666666666</v>
      </c>
    </row>
    <row r="1958" spans="1:10">
      <c r="A1958" s="6" t="s">
        <v>141</v>
      </c>
      <c r="B1958" s="6" t="s">
        <v>86</v>
      </c>
      <c r="C1958" s="6" t="s">
        <v>200</v>
      </c>
      <c r="D1958" s="6">
        <v>11.11633333333334</v>
      </c>
      <c r="E1958" s="6" t="s">
        <v>88</v>
      </c>
      <c r="F1958" s="6" t="s">
        <v>52</v>
      </c>
      <c r="G1958" s="7">
        <v>74043.30178681524</v>
      </c>
      <c r="H1958" s="6">
        <v>823090.023762834</v>
      </c>
      <c r="I1958" s="6" t="s">
        <v>179</v>
      </c>
      <c r="J1958" s="15">
        <v>64.11666666666666</v>
      </c>
    </row>
    <row r="1959" spans="1:10">
      <c r="A1959" s="6" t="s">
        <v>141</v>
      </c>
      <c r="B1959" s="6" t="s">
        <v>86</v>
      </c>
      <c r="C1959" s="6" t="s">
        <v>200</v>
      </c>
      <c r="D1959" s="6">
        <v>4.313666666666667</v>
      </c>
      <c r="E1959" s="6" t="s">
        <v>90</v>
      </c>
      <c r="F1959" s="6" t="s">
        <v>52</v>
      </c>
      <c r="G1959" s="7">
        <v>74043.30178681524</v>
      </c>
      <c r="H1959" s="6">
        <v>319398.1228077254</v>
      </c>
      <c r="I1959" s="6" t="s">
        <v>179</v>
      </c>
      <c r="J1959" s="15">
        <v>64.11666666666666</v>
      </c>
    </row>
    <row r="1960" spans="1:10">
      <c r="A1960" s="6" t="s">
        <v>141</v>
      </c>
      <c r="B1960" s="6" t="s">
        <v>86</v>
      </c>
      <c r="C1960" s="6" t="s">
        <v>201</v>
      </c>
      <c r="D1960" s="6">
        <v>84.26701761078577</v>
      </c>
      <c r="E1960" s="6" t="s">
        <v>44</v>
      </c>
      <c r="F1960" s="6" t="s">
        <v>56</v>
      </c>
      <c r="G1960" s="7">
        <v>57893.42884687793</v>
      </c>
      <c r="H1960" s="6">
        <v>4878506.588188635</v>
      </c>
      <c r="I1960" s="6" t="s">
        <v>179</v>
      </c>
      <c r="J1960" s="15">
        <v>34.10833333333333</v>
      </c>
    </row>
    <row r="1961" spans="1:10">
      <c r="A1961" s="6" t="s">
        <v>141</v>
      </c>
      <c r="B1961" s="6" t="s">
        <v>86</v>
      </c>
      <c r="C1961" s="6" t="s">
        <v>201</v>
      </c>
      <c r="D1961" s="6">
        <v>27.81068539618116</v>
      </c>
      <c r="E1961" s="6" t="s">
        <v>86</v>
      </c>
      <c r="F1961" s="6" t="s">
        <v>56</v>
      </c>
      <c r="G1961" s="7">
        <v>57893.42884687793</v>
      </c>
      <c r="H1961" s="6">
        <v>1610055.936166721</v>
      </c>
      <c r="I1961" s="6" t="s">
        <v>179</v>
      </c>
      <c r="J1961" s="15">
        <v>34.10833333333333</v>
      </c>
    </row>
    <row r="1962" spans="1:10">
      <c r="A1962" s="6" t="s">
        <v>141</v>
      </c>
      <c r="B1962" s="6" t="s">
        <v>86</v>
      </c>
      <c r="C1962" s="6" t="s">
        <v>201</v>
      </c>
      <c r="D1962" s="6">
        <v>7.859999999999999</v>
      </c>
      <c r="E1962" s="6" t="s">
        <v>88</v>
      </c>
      <c r="F1962" s="6" t="s">
        <v>56</v>
      </c>
      <c r="G1962" s="7">
        <v>57893.42884687793</v>
      </c>
      <c r="H1962" s="6">
        <v>455042.3507364605</v>
      </c>
      <c r="I1962" s="6" t="s">
        <v>179</v>
      </c>
      <c r="J1962" s="15">
        <v>34.10833333333333</v>
      </c>
    </row>
    <row r="1963" spans="1:10">
      <c r="A1963" s="6" t="s">
        <v>141</v>
      </c>
      <c r="B1963" s="6" t="s">
        <v>86</v>
      </c>
      <c r="C1963" s="6" t="s">
        <v>201</v>
      </c>
      <c r="D1963" s="6">
        <v>10.15448756603925</v>
      </c>
      <c r="E1963" s="6" t="s">
        <v>90</v>
      </c>
      <c r="F1963" s="6" t="s">
        <v>56</v>
      </c>
      <c r="G1963" s="7">
        <v>57893.42884687793</v>
      </c>
      <c r="H1963" s="6">
        <v>587878.1033810002</v>
      </c>
      <c r="I1963" s="6" t="s">
        <v>179</v>
      </c>
      <c r="J1963" s="15">
        <v>34.10833333333333</v>
      </c>
    </row>
    <row r="1964" spans="1:10">
      <c r="A1964" s="6" t="s">
        <v>141</v>
      </c>
      <c r="B1964" s="6" t="s">
        <v>86</v>
      </c>
      <c r="C1964" s="6" t="s">
        <v>202</v>
      </c>
      <c r="D1964" s="6">
        <v>568.4851398668598</v>
      </c>
      <c r="E1964" s="6" t="s">
        <v>44</v>
      </c>
      <c r="F1964" s="6" t="s">
        <v>54</v>
      </c>
      <c r="G1964" s="7">
        <v>90789.34185131452</v>
      </c>
      <c r="H1964" s="6">
        <v>51612391.70076468</v>
      </c>
      <c r="I1964" s="6" t="s">
        <v>179</v>
      </c>
      <c r="J1964" s="15">
        <v>65.125</v>
      </c>
    </row>
    <row r="1965" spans="1:10">
      <c r="A1965" s="6" t="s">
        <v>141</v>
      </c>
      <c r="B1965" s="6" t="s">
        <v>86</v>
      </c>
      <c r="C1965" s="6" t="s">
        <v>202</v>
      </c>
      <c r="D1965" s="6">
        <v>382.9445288566988</v>
      </c>
      <c r="E1965" s="6" t="s">
        <v>86</v>
      </c>
      <c r="F1965" s="6" t="s">
        <v>54</v>
      </c>
      <c r="G1965" s="7">
        <v>90789.34185131452</v>
      </c>
      <c r="H1965" s="6">
        <v>34767281.7404614</v>
      </c>
      <c r="I1965" s="6" t="s">
        <v>179</v>
      </c>
      <c r="J1965" s="15">
        <v>65.125</v>
      </c>
    </row>
    <row r="1966" spans="1:10">
      <c r="A1966" s="6" t="s">
        <v>141</v>
      </c>
      <c r="B1966" s="6" t="s">
        <v>86</v>
      </c>
      <c r="C1966" s="6" t="s">
        <v>202</v>
      </c>
      <c r="D1966" s="6">
        <v>532.21775</v>
      </c>
      <c r="E1966" s="6" t="s">
        <v>88</v>
      </c>
      <c r="F1966" s="6" t="s">
        <v>54</v>
      </c>
      <c r="G1966" s="7">
        <v>90789.34185131452</v>
      </c>
      <c r="H1966" s="6">
        <v>48319699.24408745</v>
      </c>
      <c r="I1966" s="6" t="s">
        <v>179</v>
      </c>
      <c r="J1966" s="15">
        <v>65.125</v>
      </c>
    </row>
    <row r="1967" spans="1:10">
      <c r="A1967" s="6" t="s">
        <v>141</v>
      </c>
      <c r="B1967" s="6" t="s">
        <v>86</v>
      </c>
      <c r="C1967" s="6" t="s">
        <v>202</v>
      </c>
      <c r="D1967" s="6">
        <v>151.1249920213427</v>
      </c>
      <c r="E1967" s="6" t="s">
        <v>90</v>
      </c>
      <c r="F1967" s="6" t="s">
        <v>54</v>
      </c>
      <c r="G1967" s="7">
        <v>90789.34185131452</v>
      </c>
      <c r="H1967" s="6">
        <v>13720538.56290286</v>
      </c>
      <c r="I1967" s="6" t="s">
        <v>179</v>
      </c>
      <c r="J1967" s="15">
        <v>65.125</v>
      </c>
    </row>
    <row r="1968" spans="1:10">
      <c r="A1968" s="6" t="s">
        <v>141</v>
      </c>
      <c r="B1968" s="6" t="s">
        <v>86</v>
      </c>
      <c r="C1968" s="6" t="s">
        <v>202</v>
      </c>
      <c r="D1968" s="6">
        <v>0.5279999999999999</v>
      </c>
      <c r="E1968" s="6" t="s">
        <v>92</v>
      </c>
      <c r="F1968" s="6" t="s">
        <v>54</v>
      </c>
      <c r="G1968" s="7">
        <v>90789.34185131452</v>
      </c>
      <c r="H1968" s="6">
        <v>47936.77249749406</v>
      </c>
      <c r="I1968" s="6" t="s">
        <v>179</v>
      </c>
      <c r="J1968" s="15">
        <v>65.125</v>
      </c>
    </row>
    <row r="1969" spans="1:10">
      <c r="A1969" s="6" t="s">
        <v>141</v>
      </c>
      <c r="B1969" s="6" t="s">
        <v>86</v>
      </c>
      <c r="C1969" s="6" t="s">
        <v>203</v>
      </c>
      <c r="D1969" s="6">
        <v>1376.470726979839</v>
      </c>
      <c r="E1969" s="6" t="s">
        <v>44</v>
      </c>
      <c r="F1969" s="6" t="s">
        <v>53</v>
      </c>
      <c r="G1969" s="7">
        <v>22045.15542894867</v>
      </c>
      <c r="H1969" s="6">
        <v>30344511.11966852</v>
      </c>
      <c r="I1969" s="6" t="s">
        <v>179</v>
      </c>
      <c r="J1969" s="15">
        <v>8</v>
      </c>
    </row>
    <row r="1970" spans="1:10">
      <c r="A1970" s="6" t="s">
        <v>141</v>
      </c>
      <c r="B1970" s="6" t="s">
        <v>86</v>
      </c>
      <c r="C1970" s="6" t="s">
        <v>203</v>
      </c>
      <c r="D1970" s="6">
        <v>644.4730447106773</v>
      </c>
      <c r="E1970" s="6" t="s">
        <v>86</v>
      </c>
      <c r="F1970" s="6" t="s">
        <v>53</v>
      </c>
      <c r="G1970" s="7">
        <v>22045.15542894867</v>
      </c>
      <c r="H1970" s="6">
        <v>14207508.44041467</v>
      </c>
      <c r="I1970" s="6" t="s">
        <v>179</v>
      </c>
      <c r="J1970" s="15">
        <v>8</v>
      </c>
    </row>
    <row r="1971" spans="1:10">
      <c r="A1971" s="6" t="s">
        <v>141</v>
      </c>
      <c r="B1971" s="6" t="s">
        <v>86</v>
      </c>
      <c r="C1971" s="6" t="s">
        <v>203</v>
      </c>
      <c r="D1971" s="6">
        <v>156.0050833333333</v>
      </c>
      <c r="E1971" s="6" t="s">
        <v>88</v>
      </c>
      <c r="F1971" s="6" t="s">
        <v>53</v>
      </c>
      <c r="G1971" s="7">
        <v>22045.15542894867</v>
      </c>
      <c r="H1971" s="6">
        <v>3439156.309789423</v>
      </c>
      <c r="I1971" s="6" t="s">
        <v>179</v>
      </c>
      <c r="J1971" s="15">
        <v>8</v>
      </c>
    </row>
    <row r="1972" spans="1:10">
      <c r="A1972" s="6" t="s">
        <v>141</v>
      </c>
      <c r="B1972" s="6" t="s">
        <v>86</v>
      </c>
      <c r="C1972" s="6" t="s">
        <v>203</v>
      </c>
      <c r="D1972" s="6">
        <v>112.6868521903543</v>
      </c>
      <c r="E1972" s="6" t="s">
        <v>90</v>
      </c>
      <c r="F1972" s="6" t="s">
        <v>53</v>
      </c>
      <c r="G1972" s="7">
        <v>22045.15542894867</v>
      </c>
      <c r="H1972" s="6">
        <v>2484199.171335325</v>
      </c>
      <c r="I1972" s="6" t="s">
        <v>179</v>
      </c>
      <c r="J1972" s="15">
        <v>8</v>
      </c>
    </row>
    <row r="1973" spans="1:10">
      <c r="A1973" s="6" t="s">
        <v>141</v>
      </c>
      <c r="B1973" s="6" t="s">
        <v>86</v>
      </c>
      <c r="C1973" s="6" t="s">
        <v>203</v>
      </c>
      <c r="D1973" s="6">
        <v>0.04533333333333334</v>
      </c>
      <c r="E1973" s="6" t="s">
        <v>92</v>
      </c>
      <c r="F1973" s="6" t="s">
        <v>53</v>
      </c>
      <c r="G1973" s="7">
        <v>22045.15542894867</v>
      </c>
      <c r="H1973" s="6">
        <v>999.3803794456732</v>
      </c>
      <c r="I1973" s="6" t="s">
        <v>179</v>
      </c>
      <c r="J1973" s="15">
        <v>8</v>
      </c>
    </row>
    <row r="1974" spans="1:10">
      <c r="A1974" s="6" t="s">
        <v>141</v>
      </c>
      <c r="B1974" s="6" t="s">
        <v>86</v>
      </c>
      <c r="C1974" s="6" t="s">
        <v>204</v>
      </c>
      <c r="D1974" s="6">
        <v>902.7205988360016</v>
      </c>
      <c r="E1974" s="6" t="s">
        <v>44</v>
      </c>
      <c r="F1974" s="6" t="s">
        <v>51</v>
      </c>
      <c r="G1974" s="7">
        <v>46344.34011305719</v>
      </c>
      <c r="H1974" s="6">
        <v>41835990.45951832</v>
      </c>
      <c r="I1974" s="6" t="s">
        <v>179</v>
      </c>
      <c r="J1974" s="15">
        <v>45</v>
      </c>
    </row>
    <row r="1975" spans="1:10">
      <c r="A1975" s="6" t="s">
        <v>141</v>
      </c>
      <c r="B1975" s="6" t="s">
        <v>86</v>
      </c>
      <c r="C1975" s="6" t="s">
        <v>204</v>
      </c>
      <c r="D1975" s="6">
        <v>720.6152456035949</v>
      </c>
      <c r="E1975" s="6" t="s">
        <v>86</v>
      </c>
      <c r="F1975" s="6" t="s">
        <v>51</v>
      </c>
      <c r="G1975" s="7">
        <v>46344.34011305719</v>
      </c>
      <c r="H1975" s="6">
        <v>33396438.03290724</v>
      </c>
      <c r="I1975" s="6" t="s">
        <v>179</v>
      </c>
      <c r="J1975" s="15">
        <v>45</v>
      </c>
    </row>
    <row r="1976" spans="1:10">
      <c r="A1976" s="6" t="s">
        <v>141</v>
      </c>
      <c r="B1976" s="6" t="s">
        <v>86</v>
      </c>
      <c r="C1976" s="6" t="s">
        <v>204</v>
      </c>
      <c r="D1976" s="6">
        <v>94.69950000000001</v>
      </c>
      <c r="E1976" s="6" t="s">
        <v>88</v>
      </c>
      <c r="F1976" s="6" t="s">
        <v>51</v>
      </c>
      <c r="G1976" s="7">
        <v>46344.34011305719</v>
      </c>
      <c r="H1976" s="6">
        <v>4388785.836536461</v>
      </c>
      <c r="I1976" s="6" t="s">
        <v>179</v>
      </c>
      <c r="J1976" s="15">
        <v>45</v>
      </c>
    </row>
    <row r="1977" spans="1:10">
      <c r="A1977" s="6" t="s">
        <v>141</v>
      </c>
      <c r="B1977" s="6" t="s">
        <v>86</v>
      </c>
      <c r="C1977" s="6" t="s">
        <v>204</v>
      </c>
      <c r="D1977" s="6">
        <v>219.9001380600793</v>
      </c>
      <c r="E1977" s="6" t="s">
        <v>90</v>
      </c>
      <c r="F1977" s="6" t="s">
        <v>51</v>
      </c>
      <c r="G1977" s="7">
        <v>46344.34011305719</v>
      </c>
      <c r="H1977" s="6">
        <v>10191126.78916455</v>
      </c>
      <c r="I1977" s="6" t="s">
        <v>179</v>
      </c>
      <c r="J1977" s="15">
        <v>45</v>
      </c>
    </row>
    <row r="1978" spans="1:10">
      <c r="A1978" s="6" t="s">
        <v>141</v>
      </c>
      <c r="B1978" s="6" t="s">
        <v>86</v>
      </c>
      <c r="C1978" s="6" t="s">
        <v>204</v>
      </c>
      <c r="D1978" s="6">
        <v>0.09833333333333333</v>
      </c>
      <c r="E1978" s="6" t="s">
        <v>92</v>
      </c>
      <c r="F1978" s="6" t="s">
        <v>51</v>
      </c>
      <c r="G1978" s="7">
        <v>46344.34011305719</v>
      </c>
      <c r="H1978" s="6">
        <v>4557.193444450624</v>
      </c>
      <c r="I1978" s="6" t="s">
        <v>179</v>
      </c>
      <c r="J1978" s="15">
        <v>45</v>
      </c>
    </row>
    <row r="1979" spans="1:10">
      <c r="A1979" s="6" t="s">
        <v>141</v>
      </c>
      <c r="B1979" s="6" t="s">
        <v>86</v>
      </c>
      <c r="C1979" s="6" t="s">
        <v>338</v>
      </c>
      <c r="D1979" s="6">
        <v>41.77241666666666</v>
      </c>
      <c r="E1979" s="6" t="s">
        <v>44</v>
      </c>
      <c r="F1979" s="6" t="s">
        <v>52</v>
      </c>
      <c r="G1979" s="7">
        <v>71922.38560201312</v>
      </c>
      <c r="H1979" s="6">
        <v>3004371.859027959</v>
      </c>
      <c r="I1979" s="6" t="s">
        <v>179</v>
      </c>
      <c r="J1979" s="15">
        <v>54.91666666666667</v>
      </c>
    </row>
    <row r="1980" spans="1:10">
      <c r="A1980" s="6" t="s">
        <v>141</v>
      </c>
      <c r="B1980" s="6" t="s">
        <v>86</v>
      </c>
      <c r="C1980" s="6" t="s">
        <v>338</v>
      </c>
      <c r="D1980" s="6">
        <v>6.001916666666666</v>
      </c>
      <c r="E1980" s="6" t="s">
        <v>86</v>
      </c>
      <c r="F1980" s="6" t="s">
        <v>52</v>
      </c>
      <c r="G1980" s="7">
        <v>71922.38560201312</v>
      </c>
      <c r="H1980" s="6">
        <v>431672.1648511493</v>
      </c>
      <c r="I1980" s="6" t="s">
        <v>179</v>
      </c>
      <c r="J1980" s="15">
        <v>54.91666666666667</v>
      </c>
    </row>
    <row r="1981" spans="1:10">
      <c r="A1981" s="6" t="s">
        <v>141</v>
      </c>
      <c r="B1981" s="6" t="s">
        <v>86</v>
      </c>
      <c r="C1981" s="6" t="s">
        <v>338</v>
      </c>
      <c r="D1981" s="6">
        <v>2.61025</v>
      </c>
      <c r="E1981" s="6" t="s">
        <v>88</v>
      </c>
      <c r="F1981" s="6" t="s">
        <v>52</v>
      </c>
      <c r="G1981" s="7">
        <v>71922.38560201312</v>
      </c>
      <c r="H1981" s="6">
        <v>187735.4070176548</v>
      </c>
      <c r="I1981" s="6" t="s">
        <v>179</v>
      </c>
      <c r="J1981" s="15">
        <v>54.91666666666667</v>
      </c>
    </row>
    <row r="1982" spans="1:10">
      <c r="A1982" s="6" t="s">
        <v>141</v>
      </c>
      <c r="B1982" s="6" t="s">
        <v>86</v>
      </c>
      <c r="C1982" s="6" t="s">
        <v>338</v>
      </c>
      <c r="D1982" s="6">
        <v>0.0795</v>
      </c>
      <c r="E1982" s="6" t="s">
        <v>90</v>
      </c>
      <c r="F1982" s="6" t="s">
        <v>52</v>
      </c>
      <c r="G1982" s="7">
        <v>71922.38560201312</v>
      </c>
      <c r="H1982" s="6">
        <v>5717.829655360043</v>
      </c>
      <c r="I1982" s="6" t="s">
        <v>179</v>
      </c>
      <c r="J1982" s="15">
        <v>54.91666666666667</v>
      </c>
    </row>
    <row r="1983" spans="1:10">
      <c r="A1983" s="6" t="s">
        <v>141</v>
      </c>
      <c r="B1983" s="6" t="s">
        <v>86</v>
      </c>
      <c r="C1983" s="6" t="s">
        <v>338</v>
      </c>
      <c r="D1983" s="6">
        <v>0.112</v>
      </c>
      <c r="E1983" s="6" t="s">
        <v>92</v>
      </c>
      <c r="F1983" s="6" t="s">
        <v>52</v>
      </c>
      <c r="G1983" s="7">
        <v>71922.38560201312</v>
      </c>
      <c r="H1983" s="6">
        <v>8055.307187425469</v>
      </c>
      <c r="I1983" s="6" t="s">
        <v>179</v>
      </c>
      <c r="J1983" s="15">
        <v>54.91666666666667</v>
      </c>
    </row>
    <row r="1984" spans="1:10">
      <c r="A1984" s="6" t="s">
        <v>141</v>
      </c>
      <c r="B1984" s="6" t="s">
        <v>86</v>
      </c>
      <c r="C1984" s="6" t="s">
        <v>339</v>
      </c>
      <c r="D1984" s="6">
        <v>7.242249999999999</v>
      </c>
      <c r="E1984" s="6" t="s">
        <v>86</v>
      </c>
      <c r="F1984" s="6" t="s">
        <v>52</v>
      </c>
      <c r="G1984" s="7">
        <v>115676.0706008608</v>
      </c>
      <c r="H1984" s="6">
        <v>837755.0223090841</v>
      </c>
      <c r="I1984" s="6" t="s">
        <v>179</v>
      </c>
      <c r="J1984" s="15">
        <v>52</v>
      </c>
    </row>
    <row r="1985" spans="1:10">
      <c r="A1985" s="6" t="s">
        <v>141</v>
      </c>
      <c r="B1985" s="6" t="s">
        <v>86</v>
      </c>
      <c r="C1985" s="6" t="s">
        <v>339</v>
      </c>
      <c r="D1985" s="6">
        <v>0.057</v>
      </c>
      <c r="E1985" s="6" t="s">
        <v>90</v>
      </c>
      <c r="F1985" s="6" t="s">
        <v>52</v>
      </c>
      <c r="G1985" s="7">
        <v>115676.0706008608</v>
      </c>
      <c r="H1985" s="6">
        <v>6593.536024249065</v>
      </c>
      <c r="I1985" s="6" t="s">
        <v>179</v>
      </c>
      <c r="J1985" s="15">
        <v>52</v>
      </c>
    </row>
    <row r="1986" spans="1:10">
      <c r="A1986" s="6" t="s">
        <v>141</v>
      </c>
      <c r="B1986" s="6" t="s">
        <v>86</v>
      </c>
      <c r="C1986" s="6" t="s">
        <v>205</v>
      </c>
      <c r="D1986" s="6">
        <v>182.0628418337681</v>
      </c>
      <c r="E1986" s="6" t="s">
        <v>44</v>
      </c>
      <c r="F1986" s="6" t="s">
        <v>56</v>
      </c>
      <c r="G1986" s="7">
        <v>60176.4051044983</v>
      </c>
      <c r="H1986" s="6">
        <v>10955887.32466503</v>
      </c>
      <c r="I1986" s="6" t="s">
        <v>179</v>
      </c>
      <c r="J1986" s="15">
        <v>41</v>
      </c>
    </row>
    <row r="1987" spans="1:10">
      <c r="A1987" s="6" t="s">
        <v>141</v>
      </c>
      <c r="B1987" s="6" t="s">
        <v>86</v>
      </c>
      <c r="C1987" s="6" t="s">
        <v>205</v>
      </c>
      <c r="D1987" s="6">
        <v>74.26564880673162</v>
      </c>
      <c r="E1987" s="6" t="s">
        <v>86</v>
      </c>
      <c r="F1987" s="6" t="s">
        <v>56</v>
      </c>
      <c r="G1987" s="7">
        <v>60176.4051044983</v>
      </c>
      <c r="H1987" s="6">
        <v>4469039.767942282</v>
      </c>
      <c r="I1987" s="6" t="s">
        <v>179</v>
      </c>
      <c r="J1987" s="15">
        <v>41</v>
      </c>
    </row>
    <row r="1988" spans="1:10">
      <c r="A1988" s="6" t="s">
        <v>141</v>
      </c>
      <c r="B1988" s="6" t="s">
        <v>86</v>
      </c>
      <c r="C1988" s="6" t="s">
        <v>205</v>
      </c>
      <c r="D1988" s="6">
        <v>94.72741666666667</v>
      </c>
      <c r="E1988" s="6" t="s">
        <v>88</v>
      </c>
      <c r="F1988" s="6" t="s">
        <v>56</v>
      </c>
      <c r="G1988" s="7">
        <v>60176.4051044983</v>
      </c>
      <c r="H1988" s="6">
        <v>5700355.399835938</v>
      </c>
      <c r="I1988" s="6" t="s">
        <v>179</v>
      </c>
      <c r="J1988" s="15">
        <v>41</v>
      </c>
    </row>
    <row r="1989" spans="1:10">
      <c r="A1989" s="6" t="s">
        <v>141</v>
      </c>
      <c r="B1989" s="6" t="s">
        <v>86</v>
      </c>
      <c r="C1989" s="6" t="s">
        <v>205</v>
      </c>
      <c r="D1989" s="6">
        <v>18.80932871846444</v>
      </c>
      <c r="E1989" s="6" t="s">
        <v>90</v>
      </c>
      <c r="F1989" s="6" t="s">
        <v>56</v>
      </c>
      <c r="G1989" s="7">
        <v>60176.4051044983</v>
      </c>
      <c r="H1989" s="6">
        <v>1131877.78470599</v>
      </c>
      <c r="I1989" s="6" t="s">
        <v>179</v>
      </c>
      <c r="J1989" s="15">
        <v>41</v>
      </c>
    </row>
    <row r="1990" spans="1:10">
      <c r="A1990" s="6" t="s">
        <v>141</v>
      </c>
      <c r="B1990" s="6" t="s">
        <v>86</v>
      </c>
      <c r="C1990" s="6" t="s">
        <v>205</v>
      </c>
      <c r="D1990" s="6">
        <v>0.18</v>
      </c>
      <c r="E1990" s="6" t="s">
        <v>92</v>
      </c>
      <c r="F1990" s="6" t="s">
        <v>56</v>
      </c>
      <c r="G1990" s="7">
        <v>60176.4051044983</v>
      </c>
      <c r="H1990" s="6">
        <v>10831.75291880969</v>
      </c>
      <c r="I1990" s="6" t="s">
        <v>179</v>
      </c>
      <c r="J1990" s="15">
        <v>41</v>
      </c>
    </row>
    <row r="1991" spans="1:10">
      <c r="A1991" s="6" t="s">
        <v>141</v>
      </c>
      <c r="B1991" s="6" t="s">
        <v>86</v>
      </c>
      <c r="C1991" s="6" t="s">
        <v>340</v>
      </c>
      <c r="D1991" s="6">
        <v>467.25525</v>
      </c>
      <c r="E1991" s="6" t="s">
        <v>86</v>
      </c>
      <c r="F1991" s="6" t="s">
        <v>52</v>
      </c>
      <c r="G1991" s="7">
        <v>76248.97905109002</v>
      </c>
      <c r="H1991" s="6">
        <v>35627735.76876184</v>
      </c>
      <c r="I1991" s="6" t="s">
        <v>179</v>
      </c>
      <c r="J1991" s="15">
        <v>53.35833333333333</v>
      </c>
    </row>
    <row r="1992" spans="1:10">
      <c r="A1992" s="6" t="s">
        <v>141</v>
      </c>
      <c r="B1992" s="6" t="s">
        <v>86</v>
      </c>
      <c r="C1992" s="6" t="s">
        <v>340</v>
      </c>
      <c r="D1992" s="6">
        <v>22.16933333333333</v>
      </c>
      <c r="E1992" s="6" t="s">
        <v>90</v>
      </c>
      <c r="F1992" s="6" t="s">
        <v>52</v>
      </c>
      <c r="G1992" s="7">
        <v>76248.97905109002</v>
      </c>
      <c r="H1992" s="6">
        <v>1690389.032909965</v>
      </c>
      <c r="I1992" s="6" t="s">
        <v>179</v>
      </c>
      <c r="J1992" s="15">
        <v>53.35833333333333</v>
      </c>
    </row>
    <row r="1993" spans="1:10">
      <c r="A1993" s="6" t="s">
        <v>141</v>
      </c>
      <c r="B1993" s="6" t="s">
        <v>86</v>
      </c>
      <c r="C1993" s="6" t="s">
        <v>208</v>
      </c>
      <c r="D1993" s="6">
        <v>0.1036378553444232</v>
      </c>
      <c r="E1993" s="6" t="s">
        <v>44</v>
      </c>
      <c r="F1993" s="6" t="s">
        <v>51</v>
      </c>
      <c r="G1993" s="7">
        <v>52043.19496136486</v>
      </c>
      <c r="H1993" s="6">
        <v>5393.645111067544</v>
      </c>
      <c r="I1993" s="6" t="s">
        <v>180</v>
      </c>
      <c r="J1993" s="15">
        <v>8.879306790692469</v>
      </c>
    </row>
    <row r="1994" spans="1:10">
      <c r="A1994" s="6" t="s">
        <v>141</v>
      </c>
      <c r="B1994" s="6" t="s">
        <v>86</v>
      </c>
      <c r="C1994" s="6" t="s">
        <v>208</v>
      </c>
      <c r="D1994" s="6">
        <v>0.0005238438528911748</v>
      </c>
      <c r="E1994" s="6" t="s">
        <v>86</v>
      </c>
      <c r="F1994" s="6" t="s">
        <v>51</v>
      </c>
      <c r="G1994" s="7">
        <v>52043.19496136486</v>
      </c>
      <c r="H1994" s="6">
        <v>27.26250776532794</v>
      </c>
      <c r="I1994" s="6" t="s">
        <v>180</v>
      </c>
      <c r="J1994" s="15">
        <v>8.879306790692469</v>
      </c>
    </row>
    <row r="1995" spans="1:10">
      <c r="A1995" s="6" t="s">
        <v>141</v>
      </c>
      <c r="B1995" s="6" t="s">
        <v>86</v>
      </c>
      <c r="C1995" s="6" t="s">
        <v>210</v>
      </c>
      <c r="D1995" s="6">
        <v>2.222690853549338</v>
      </c>
      <c r="E1995" s="6" t="s">
        <v>44</v>
      </c>
      <c r="F1995" s="6" t="s">
        <v>53</v>
      </c>
      <c r="G1995" s="7">
        <v>72202.09803976712</v>
      </c>
      <c r="H1995" s="6">
        <v>160482.942920063</v>
      </c>
      <c r="I1995" s="6" t="s">
        <v>179</v>
      </c>
      <c r="J1995" s="15">
        <v>10</v>
      </c>
    </row>
    <row r="1996" spans="1:10">
      <c r="A1996" s="6" t="s">
        <v>141</v>
      </c>
      <c r="B1996" s="6" t="s">
        <v>86</v>
      </c>
      <c r="C1996" s="6" t="s">
        <v>210</v>
      </c>
      <c r="D1996" s="6">
        <v>0.3776885011890302</v>
      </c>
      <c r="E1996" s="6" t="s">
        <v>86</v>
      </c>
      <c r="F1996" s="6" t="s">
        <v>53</v>
      </c>
      <c r="G1996" s="7">
        <v>72202.09803976712</v>
      </c>
      <c r="H1996" s="6">
        <v>27269.90219134306</v>
      </c>
      <c r="I1996" s="6" t="s">
        <v>179</v>
      </c>
      <c r="J1996" s="15">
        <v>10</v>
      </c>
    </row>
    <row r="1997" spans="1:10">
      <c r="A1997" s="6" t="s">
        <v>141</v>
      </c>
      <c r="B1997" s="6" t="s">
        <v>86</v>
      </c>
      <c r="C1997" s="6" t="s">
        <v>210</v>
      </c>
      <c r="D1997" s="6">
        <v>0.2726666666666667</v>
      </c>
      <c r="E1997" s="6" t="s">
        <v>88</v>
      </c>
      <c r="F1997" s="6" t="s">
        <v>53</v>
      </c>
      <c r="G1997" s="7">
        <v>72202.09803976712</v>
      </c>
      <c r="H1997" s="6">
        <v>19687.10539884317</v>
      </c>
      <c r="I1997" s="6" t="s">
        <v>179</v>
      </c>
      <c r="J1997" s="15">
        <v>10</v>
      </c>
    </row>
    <row r="1998" spans="1:10">
      <c r="A1998" s="6" t="s">
        <v>141</v>
      </c>
      <c r="B1998" s="6" t="s">
        <v>86</v>
      </c>
      <c r="C1998" s="6" t="s">
        <v>210</v>
      </c>
      <c r="D1998" s="6">
        <v>0.09740803880803879</v>
      </c>
      <c r="E1998" s="6" t="s">
        <v>90</v>
      </c>
      <c r="F1998" s="6" t="s">
        <v>53</v>
      </c>
      <c r="G1998" s="7">
        <v>72202.09803976712</v>
      </c>
      <c r="H1998" s="6">
        <v>7033.064767879458</v>
      </c>
      <c r="I1998" s="6" t="s">
        <v>179</v>
      </c>
      <c r="J1998" s="15">
        <v>10</v>
      </c>
    </row>
    <row r="1999" spans="1:10">
      <c r="A1999" s="6" t="s">
        <v>141</v>
      </c>
      <c r="B1999" s="6" t="s">
        <v>86</v>
      </c>
      <c r="C1999" s="6" t="s">
        <v>211</v>
      </c>
      <c r="D1999" s="6">
        <v>586.1380797943493</v>
      </c>
      <c r="E1999" s="6" t="s">
        <v>44</v>
      </c>
      <c r="F1999" s="6" t="s">
        <v>55</v>
      </c>
      <c r="G1999" s="7">
        <v>53062.99242745514</v>
      </c>
      <c r="H1999" s="6">
        <v>31102240.48957066</v>
      </c>
      <c r="I1999" s="6" t="s">
        <v>179</v>
      </c>
      <c r="J1999" s="15">
        <v>38</v>
      </c>
    </row>
    <row r="2000" spans="1:10">
      <c r="A2000" s="6" t="s">
        <v>141</v>
      </c>
      <c r="B2000" s="6" t="s">
        <v>86</v>
      </c>
      <c r="C2000" s="6" t="s">
        <v>211</v>
      </c>
      <c r="D2000" s="6">
        <v>89.71870776408805</v>
      </c>
      <c r="E2000" s="6" t="s">
        <v>86</v>
      </c>
      <c r="F2000" s="6" t="s">
        <v>55</v>
      </c>
      <c r="G2000" s="7">
        <v>53062.99242745514</v>
      </c>
      <c r="H2000" s="6">
        <v>4760743.110686866</v>
      </c>
      <c r="I2000" s="6" t="s">
        <v>179</v>
      </c>
      <c r="J2000" s="15">
        <v>38</v>
      </c>
    </row>
    <row r="2001" spans="1:10">
      <c r="A2001" s="6" t="s">
        <v>141</v>
      </c>
      <c r="B2001" s="6" t="s">
        <v>86</v>
      </c>
      <c r="C2001" s="6" t="s">
        <v>211</v>
      </c>
      <c r="D2001" s="6">
        <v>8.070666666666668</v>
      </c>
      <c r="E2001" s="6" t="s">
        <v>88</v>
      </c>
      <c r="F2001" s="6" t="s">
        <v>55</v>
      </c>
      <c r="G2001" s="7">
        <v>53062.99242745514</v>
      </c>
      <c r="H2001" s="6">
        <v>428253.724217848</v>
      </c>
      <c r="I2001" s="6" t="s">
        <v>179</v>
      </c>
      <c r="J2001" s="15">
        <v>38</v>
      </c>
    </row>
    <row r="2002" spans="1:10">
      <c r="A2002" s="6" t="s">
        <v>141</v>
      </c>
      <c r="B2002" s="6" t="s">
        <v>86</v>
      </c>
      <c r="C2002" s="6" t="s">
        <v>211</v>
      </c>
      <c r="D2002" s="6">
        <v>40.12402819901702</v>
      </c>
      <c r="E2002" s="6" t="s">
        <v>90</v>
      </c>
      <c r="F2002" s="6" t="s">
        <v>55</v>
      </c>
      <c r="G2002" s="7">
        <v>53062.99242745514</v>
      </c>
      <c r="H2002" s="6">
        <v>2129101.004483437</v>
      </c>
      <c r="I2002" s="6" t="s">
        <v>179</v>
      </c>
      <c r="J2002" s="15">
        <v>38</v>
      </c>
    </row>
    <row r="2003" spans="1:10">
      <c r="A2003" s="6" t="s">
        <v>141</v>
      </c>
      <c r="B2003" s="6" t="s">
        <v>86</v>
      </c>
      <c r="C2003" s="6" t="s">
        <v>211</v>
      </c>
      <c r="D2003" s="6">
        <v>0.4155833333333334</v>
      </c>
      <c r="E2003" s="6" t="s">
        <v>92</v>
      </c>
      <c r="F2003" s="6" t="s">
        <v>55</v>
      </c>
      <c r="G2003" s="7">
        <v>53062.99242745514</v>
      </c>
      <c r="H2003" s="6">
        <v>22052.09526964324</v>
      </c>
      <c r="I2003" s="6" t="s">
        <v>179</v>
      </c>
      <c r="J2003" s="15">
        <v>38</v>
      </c>
    </row>
    <row r="2004" spans="1:10">
      <c r="A2004" s="6" t="s">
        <v>141</v>
      </c>
      <c r="B2004" s="6" t="s">
        <v>86</v>
      </c>
      <c r="C2004" s="6" t="s">
        <v>212</v>
      </c>
      <c r="D2004" s="6">
        <v>92.03000876607099</v>
      </c>
      <c r="E2004" s="6" t="s">
        <v>44</v>
      </c>
      <c r="F2004" s="6" t="s">
        <v>55</v>
      </c>
      <c r="G2004" s="7">
        <v>52156.54206456027</v>
      </c>
      <c r="H2004" s="6">
        <v>4799967.023409432</v>
      </c>
      <c r="I2004" s="6" t="s">
        <v>179</v>
      </c>
      <c r="J2004" s="15">
        <v>36</v>
      </c>
    </row>
    <row r="2005" spans="1:10">
      <c r="A2005" s="6" t="s">
        <v>141</v>
      </c>
      <c r="B2005" s="6" t="s">
        <v>86</v>
      </c>
      <c r="C2005" s="6" t="s">
        <v>212</v>
      </c>
      <c r="D2005" s="6">
        <v>50.71640056633802</v>
      </c>
      <c r="E2005" s="6" t="s">
        <v>86</v>
      </c>
      <c r="F2005" s="6" t="s">
        <v>55</v>
      </c>
      <c r="G2005" s="7">
        <v>52156.54206456027</v>
      </c>
      <c r="H2005" s="6">
        <v>2645192.079501297</v>
      </c>
      <c r="I2005" s="6" t="s">
        <v>179</v>
      </c>
      <c r="J2005" s="15">
        <v>36</v>
      </c>
    </row>
    <row r="2006" spans="1:10">
      <c r="A2006" s="6" t="s">
        <v>141</v>
      </c>
      <c r="B2006" s="6" t="s">
        <v>86</v>
      </c>
      <c r="C2006" s="6" t="s">
        <v>212</v>
      </c>
      <c r="D2006" s="6">
        <v>14.47733333333333</v>
      </c>
      <c r="E2006" s="6" t="s">
        <v>88</v>
      </c>
      <c r="F2006" s="6" t="s">
        <v>55</v>
      </c>
      <c r="G2006" s="7">
        <v>52156.54206456027</v>
      </c>
      <c r="H2006" s="6">
        <v>755087.6449826605</v>
      </c>
      <c r="I2006" s="6" t="s">
        <v>179</v>
      </c>
      <c r="J2006" s="15">
        <v>36</v>
      </c>
    </row>
    <row r="2007" spans="1:10">
      <c r="A2007" s="6" t="s">
        <v>141</v>
      </c>
      <c r="B2007" s="6" t="s">
        <v>86</v>
      </c>
      <c r="C2007" s="6" t="s">
        <v>212</v>
      </c>
      <c r="D2007" s="6">
        <v>14.15696886023658</v>
      </c>
      <c r="E2007" s="6" t="s">
        <v>90</v>
      </c>
      <c r="F2007" s="6" t="s">
        <v>55</v>
      </c>
      <c r="G2007" s="7">
        <v>52156.54206456027</v>
      </c>
      <c r="H2007" s="6">
        <v>738378.541865599</v>
      </c>
      <c r="I2007" s="6" t="s">
        <v>179</v>
      </c>
      <c r="J2007" s="15">
        <v>36</v>
      </c>
    </row>
    <row r="2008" spans="1:10">
      <c r="A2008" s="6" t="s">
        <v>141</v>
      </c>
      <c r="B2008" s="6" t="s">
        <v>86</v>
      </c>
      <c r="C2008" s="6" t="s">
        <v>213</v>
      </c>
      <c r="D2008" s="6">
        <v>20.60499061613277</v>
      </c>
      <c r="E2008" s="6" t="s">
        <v>44</v>
      </c>
      <c r="F2008" s="6" t="s">
        <v>52</v>
      </c>
      <c r="G2008" s="7">
        <v>91659.65133947671</v>
      </c>
      <c r="H2008" s="6">
        <v>1888646.255727919</v>
      </c>
      <c r="I2008" s="6" t="s">
        <v>179</v>
      </c>
      <c r="J2008" s="15">
        <v>69</v>
      </c>
    </row>
    <row r="2009" spans="1:10">
      <c r="A2009" s="6" t="s">
        <v>141</v>
      </c>
      <c r="B2009" s="6" t="s">
        <v>86</v>
      </c>
      <c r="C2009" s="6" t="s">
        <v>213</v>
      </c>
      <c r="D2009" s="6">
        <v>57.65550119985716</v>
      </c>
      <c r="E2009" s="6" t="s">
        <v>86</v>
      </c>
      <c r="F2009" s="6" t="s">
        <v>52</v>
      </c>
      <c r="G2009" s="7">
        <v>91659.65133947671</v>
      </c>
      <c r="H2009" s="6">
        <v>5284683.137781688</v>
      </c>
      <c r="I2009" s="6" t="s">
        <v>179</v>
      </c>
      <c r="J2009" s="15">
        <v>69</v>
      </c>
    </row>
    <row r="2010" spans="1:10">
      <c r="A2010" s="6" t="s">
        <v>141</v>
      </c>
      <c r="B2010" s="6" t="s">
        <v>86</v>
      </c>
      <c r="C2010" s="6" t="s">
        <v>213</v>
      </c>
      <c r="D2010" s="6">
        <v>10.06225</v>
      </c>
      <c r="E2010" s="6" t="s">
        <v>88</v>
      </c>
      <c r="F2010" s="6" t="s">
        <v>52</v>
      </c>
      <c r="G2010" s="7">
        <v>91659.65133947671</v>
      </c>
      <c r="H2010" s="6">
        <v>922302.3266906494</v>
      </c>
      <c r="I2010" s="6" t="s">
        <v>179</v>
      </c>
      <c r="J2010" s="15">
        <v>69</v>
      </c>
    </row>
    <row r="2011" spans="1:10">
      <c r="A2011" s="6" t="s">
        <v>141</v>
      </c>
      <c r="B2011" s="6" t="s">
        <v>86</v>
      </c>
      <c r="C2011" s="6" t="s">
        <v>213</v>
      </c>
      <c r="D2011" s="6">
        <v>0.8337091919519716</v>
      </c>
      <c r="E2011" s="6" t="s">
        <v>90</v>
      </c>
      <c r="F2011" s="6" t="s">
        <v>52</v>
      </c>
      <c r="G2011" s="7">
        <v>91659.65133947671</v>
      </c>
      <c r="H2011" s="6">
        <v>76417.49385283458</v>
      </c>
      <c r="I2011" s="6" t="s">
        <v>179</v>
      </c>
      <c r="J2011" s="15">
        <v>69</v>
      </c>
    </row>
    <row r="2012" spans="1:10">
      <c r="A2012" s="6" t="s">
        <v>141</v>
      </c>
      <c r="B2012" s="6" t="s">
        <v>86</v>
      </c>
      <c r="C2012" s="6" t="s">
        <v>214</v>
      </c>
      <c r="D2012" s="6">
        <v>3.494599685459177</v>
      </c>
      <c r="E2012" s="6" t="s">
        <v>44</v>
      </c>
      <c r="F2012" s="6" t="s">
        <v>53</v>
      </c>
      <c r="G2012" s="7">
        <v>62513.37838365689</v>
      </c>
      <c r="H2012" s="6">
        <v>218459.2324365179</v>
      </c>
      <c r="I2012" s="6" t="s">
        <v>179</v>
      </c>
      <c r="J2012" s="15">
        <v>28</v>
      </c>
    </row>
    <row r="2013" spans="1:10">
      <c r="A2013" s="6" t="s">
        <v>141</v>
      </c>
      <c r="B2013" s="6" t="s">
        <v>86</v>
      </c>
      <c r="C2013" s="6" t="s">
        <v>214</v>
      </c>
      <c r="D2013" s="6">
        <v>0.4486729876284387</v>
      </c>
      <c r="E2013" s="6" t="s">
        <v>86</v>
      </c>
      <c r="F2013" s="6" t="s">
        <v>53</v>
      </c>
      <c r="G2013" s="7">
        <v>62513.37838365689</v>
      </c>
      <c r="H2013" s="6">
        <v>28048.0642461424</v>
      </c>
      <c r="I2013" s="6" t="s">
        <v>179</v>
      </c>
      <c r="J2013" s="15">
        <v>28</v>
      </c>
    </row>
    <row r="2014" spans="1:10">
      <c r="A2014" s="6" t="s">
        <v>141</v>
      </c>
      <c r="B2014" s="6" t="s">
        <v>86</v>
      </c>
      <c r="C2014" s="6" t="s">
        <v>214</v>
      </c>
      <c r="D2014" s="6">
        <v>0.2675980392156863</v>
      </c>
      <c r="E2014" s="6" t="s">
        <v>90</v>
      </c>
      <c r="F2014" s="6" t="s">
        <v>53</v>
      </c>
      <c r="G2014" s="7">
        <v>62513.37838365689</v>
      </c>
      <c r="H2014" s="6">
        <v>16728.45748021485</v>
      </c>
      <c r="I2014" s="6" t="s">
        <v>179</v>
      </c>
      <c r="J2014" s="15">
        <v>28</v>
      </c>
    </row>
    <row r="2015" spans="1:10">
      <c r="A2015" s="6" t="s">
        <v>141</v>
      </c>
      <c r="B2015" s="6" t="s">
        <v>86</v>
      </c>
      <c r="C2015" s="6" t="s">
        <v>215</v>
      </c>
      <c r="D2015" s="6">
        <v>627.4049772197424</v>
      </c>
      <c r="E2015" s="6" t="s">
        <v>44</v>
      </c>
      <c r="F2015" s="6" t="s">
        <v>54</v>
      </c>
      <c r="G2015" s="7">
        <v>92290.56849765679</v>
      </c>
      <c r="H2015" s="6">
        <v>57903562.02586943</v>
      </c>
      <c r="I2015" s="6" t="s">
        <v>179</v>
      </c>
      <c r="J2015" s="15">
        <v>62</v>
      </c>
    </row>
    <row r="2016" spans="1:10">
      <c r="A2016" s="6" t="s">
        <v>141</v>
      </c>
      <c r="B2016" s="6" t="s">
        <v>86</v>
      </c>
      <c r="C2016" s="6" t="s">
        <v>215</v>
      </c>
      <c r="D2016" s="6">
        <v>199.1865478783703</v>
      </c>
      <c r="E2016" s="6" t="s">
        <v>86</v>
      </c>
      <c r="F2016" s="6" t="s">
        <v>54</v>
      </c>
      <c r="G2016" s="7">
        <v>92290.56849765679</v>
      </c>
      <c r="H2016" s="6">
        <v>18383039.74078053</v>
      </c>
      <c r="I2016" s="6" t="s">
        <v>179</v>
      </c>
      <c r="J2016" s="15">
        <v>62</v>
      </c>
    </row>
    <row r="2017" spans="1:10">
      <c r="A2017" s="6" t="s">
        <v>141</v>
      </c>
      <c r="B2017" s="6" t="s">
        <v>86</v>
      </c>
      <c r="C2017" s="6" t="s">
        <v>215</v>
      </c>
      <c r="D2017" s="6">
        <v>125.121</v>
      </c>
      <c r="E2017" s="6" t="s">
        <v>88</v>
      </c>
      <c r="F2017" s="6" t="s">
        <v>54</v>
      </c>
      <c r="G2017" s="7">
        <v>92290.56849765679</v>
      </c>
      <c r="H2017" s="6">
        <v>11547488.22099531</v>
      </c>
      <c r="I2017" s="6" t="s">
        <v>179</v>
      </c>
      <c r="J2017" s="15">
        <v>62</v>
      </c>
    </row>
    <row r="2018" spans="1:10">
      <c r="A2018" s="6" t="s">
        <v>141</v>
      </c>
      <c r="B2018" s="6" t="s">
        <v>86</v>
      </c>
      <c r="C2018" s="6" t="s">
        <v>215</v>
      </c>
      <c r="D2018" s="6">
        <v>62.11682579356433</v>
      </c>
      <c r="E2018" s="6" t="s">
        <v>90</v>
      </c>
      <c r="F2018" s="6" t="s">
        <v>54</v>
      </c>
      <c r="G2018" s="7">
        <v>92290.56849765679</v>
      </c>
      <c r="H2018" s="6">
        <v>5732797.165757963</v>
      </c>
      <c r="I2018" s="6" t="s">
        <v>179</v>
      </c>
      <c r="J2018" s="15">
        <v>62</v>
      </c>
    </row>
    <row r="2019" spans="1:10">
      <c r="A2019" s="6" t="s">
        <v>141</v>
      </c>
      <c r="B2019" s="6" t="s">
        <v>86</v>
      </c>
      <c r="C2019" s="6" t="s">
        <v>215</v>
      </c>
      <c r="D2019" s="6">
        <v>0.1820000000000001</v>
      </c>
      <c r="E2019" s="6" t="s">
        <v>92</v>
      </c>
      <c r="F2019" s="6" t="s">
        <v>54</v>
      </c>
      <c r="G2019" s="7">
        <v>92290.56849765679</v>
      </c>
      <c r="H2019" s="6">
        <v>16796.88346657354</v>
      </c>
      <c r="I2019" s="6" t="s">
        <v>179</v>
      </c>
      <c r="J2019" s="15">
        <v>62</v>
      </c>
    </row>
    <row r="2020" spans="1:10">
      <c r="A2020" s="6" t="s">
        <v>141</v>
      </c>
      <c r="B2020" s="6" t="s">
        <v>86</v>
      </c>
      <c r="C2020" s="6" t="s">
        <v>341</v>
      </c>
      <c r="D2020" s="6">
        <v>3.429166666666667</v>
      </c>
      <c r="E2020" s="6" t="s">
        <v>86</v>
      </c>
      <c r="F2020" s="6" t="s">
        <v>52</v>
      </c>
      <c r="G2020" s="7">
        <v>67420.24760609666</v>
      </c>
      <c r="H2020" s="6">
        <v>231195.2657492398</v>
      </c>
      <c r="I2020" s="6" t="s">
        <v>179</v>
      </c>
      <c r="J2020" s="15">
        <v>49.875</v>
      </c>
    </row>
    <row r="2021" spans="1:10">
      <c r="A2021" s="6" t="s">
        <v>141</v>
      </c>
      <c r="B2021" s="6" t="s">
        <v>86</v>
      </c>
      <c r="C2021" s="6" t="s">
        <v>341</v>
      </c>
      <c r="D2021" s="6">
        <v>11.00733333333333</v>
      </c>
      <c r="E2021" s="6" t="s">
        <v>88</v>
      </c>
      <c r="F2021" s="6" t="s">
        <v>52</v>
      </c>
      <c r="G2021" s="7">
        <v>67420.24760609666</v>
      </c>
      <c r="H2021" s="6">
        <v>742117.1388161746</v>
      </c>
      <c r="I2021" s="6" t="s">
        <v>179</v>
      </c>
      <c r="J2021" s="15">
        <v>49.875</v>
      </c>
    </row>
    <row r="2022" spans="1:10">
      <c r="A2022" s="6" t="s">
        <v>141</v>
      </c>
      <c r="B2022" s="6" t="s">
        <v>86</v>
      </c>
      <c r="C2022" s="6" t="s">
        <v>341</v>
      </c>
      <c r="D2022" s="6">
        <v>0.271</v>
      </c>
      <c r="E2022" s="6" t="s">
        <v>90</v>
      </c>
      <c r="F2022" s="6" t="s">
        <v>52</v>
      </c>
      <c r="G2022" s="7">
        <v>67420.24760609666</v>
      </c>
      <c r="H2022" s="6">
        <v>18270.8871012522</v>
      </c>
      <c r="I2022" s="6" t="s">
        <v>179</v>
      </c>
      <c r="J2022" s="15">
        <v>49.875</v>
      </c>
    </row>
    <row r="2023" spans="1:10">
      <c r="A2023" s="6" t="s">
        <v>141</v>
      </c>
      <c r="B2023" s="6" t="s">
        <v>86</v>
      </c>
      <c r="C2023" s="6" t="s">
        <v>217</v>
      </c>
      <c r="D2023" s="6">
        <v>398.3840623725415</v>
      </c>
      <c r="E2023" s="6" t="s">
        <v>44</v>
      </c>
      <c r="F2023" s="6" t="s">
        <v>53</v>
      </c>
      <c r="G2023" s="7">
        <v>76517.46742873012</v>
      </c>
      <c r="H2023" s="6">
        <v>30483339.51671613</v>
      </c>
      <c r="I2023" s="6" t="s">
        <v>179</v>
      </c>
      <c r="J2023" s="15">
        <v>49</v>
      </c>
    </row>
    <row r="2024" spans="1:10">
      <c r="A2024" s="6" t="s">
        <v>141</v>
      </c>
      <c r="B2024" s="6" t="s">
        <v>86</v>
      </c>
      <c r="C2024" s="6" t="s">
        <v>217</v>
      </c>
      <c r="D2024" s="6">
        <v>72.63688833606908</v>
      </c>
      <c r="E2024" s="6" t="s">
        <v>86</v>
      </c>
      <c r="F2024" s="6" t="s">
        <v>53</v>
      </c>
      <c r="G2024" s="7">
        <v>76517.46742873012</v>
      </c>
      <c r="H2024" s="6">
        <v>5557990.737379472</v>
      </c>
      <c r="I2024" s="6" t="s">
        <v>179</v>
      </c>
      <c r="J2024" s="15">
        <v>49</v>
      </c>
    </row>
    <row r="2025" spans="1:10">
      <c r="A2025" s="6" t="s">
        <v>141</v>
      </c>
      <c r="B2025" s="6" t="s">
        <v>86</v>
      </c>
      <c r="C2025" s="6" t="s">
        <v>217</v>
      </c>
      <c r="D2025" s="6">
        <v>12.82316666666667</v>
      </c>
      <c r="E2025" s="6" t="s">
        <v>88</v>
      </c>
      <c r="F2025" s="6" t="s">
        <v>53</v>
      </c>
      <c r="G2025" s="7">
        <v>76517.46742873012</v>
      </c>
      <c r="H2025" s="6">
        <v>981196.2377498446</v>
      </c>
      <c r="I2025" s="6" t="s">
        <v>179</v>
      </c>
      <c r="J2025" s="15">
        <v>49</v>
      </c>
    </row>
    <row r="2026" spans="1:10">
      <c r="A2026" s="6" t="s">
        <v>141</v>
      </c>
      <c r="B2026" s="6" t="s">
        <v>86</v>
      </c>
      <c r="C2026" s="6" t="s">
        <v>217</v>
      </c>
      <c r="D2026" s="6">
        <v>15.23038257147705</v>
      </c>
      <c r="E2026" s="6" t="s">
        <v>90</v>
      </c>
      <c r="F2026" s="6" t="s">
        <v>53</v>
      </c>
      <c r="G2026" s="7">
        <v>76517.46742873012</v>
      </c>
      <c r="H2026" s="6">
        <v>1165390.302340094</v>
      </c>
      <c r="I2026" s="6" t="s">
        <v>179</v>
      </c>
      <c r="J2026" s="15">
        <v>49</v>
      </c>
    </row>
    <row r="2027" spans="1:10">
      <c r="A2027" s="6" t="s">
        <v>141</v>
      </c>
      <c r="B2027" s="6" t="s">
        <v>86</v>
      </c>
      <c r="C2027" s="6" t="s">
        <v>217</v>
      </c>
      <c r="D2027" s="6">
        <v>0.09458333333333334</v>
      </c>
      <c r="E2027" s="6" t="s">
        <v>92</v>
      </c>
      <c r="F2027" s="6" t="s">
        <v>53</v>
      </c>
      <c r="G2027" s="7">
        <v>76517.46742873012</v>
      </c>
      <c r="H2027" s="6">
        <v>7237.277127634057</v>
      </c>
      <c r="I2027" s="6" t="s">
        <v>179</v>
      </c>
      <c r="J2027" s="15">
        <v>49</v>
      </c>
    </row>
    <row r="2028" spans="1:10">
      <c r="A2028" s="6" t="s">
        <v>141</v>
      </c>
      <c r="B2028" s="6" t="s">
        <v>86</v>
      </c>
      <c r="C2028" s="6" t="s">
        <v>218</v>
      </c>
      <c r="D2028" s="6">
        <v>57.27283333333333</v>
      </c>
      <c r="E2028" s="6" t="s">
        <v>44</v>
      </c>
      <c r="F2028" s="6" t="s">
        <v>54</v>
      </c>
      <c r="G2028" s="7">
        <v>78746.14398755912</v>
      </c>
      <c r="H2028" s="6">
        <v>4510014.780242142</v>
      </c>
      <c r="I2028" s="6" t="s">
        <v>179</v>
      </c>
      <c r="J2028" s="15">
        <v>37.6</v>
      </c>
    </row>
    <row r="2029" spans="1:10">
      <c r="A2029" s="6" t="s">
        <v>141</v>
      </c>
      <c r="B2029" s="6" t="s">
        <v>86</v>
      </c>
      <c r="C2029" s="6" t="s">
        <v>218</v>
      </c>
      <c r="D2029" s="6">
        <v>10.15991666666667</v>
      </c>
      <c r="E2029" s="6" t="s">
        <v>86</v>
      </c>
      <c r="F2029" s="6" t="s">
        <v>54</v>
      </c>
      <c r="G2029" s="7">
        <v>78746.14398755912</v>
      </c>
      <c r="H2029" s="6">
        <v>800054.2607349351</v>
      </c>
      <c r="I2029" s="6" t="s">
        <v>179</v>
      </c>
      <c r="J2029" s="15">
        <v>37.6</v>
      </c>
    </row>
    <row r="2030" spans="1:10">
      <c r="A2030" s="6" t="s">
        <v>141</v>
      </c>
      <c r="B2030" s="6" t="s">
        <v>86</v>
      </c>
      <c r="C2030" s="6" t="s">
        <v>218</v>
      </c>
      <c r="D2030" s="6">
        <v>0.2668333333333334</v>
      </c>
      <c r="E2030" s="6" t="s">
        <v>88</v>
      </c>
      <c r="F2030" s="6" t="s">
        <v>54</v>
      </c>
      <c r="G2030" s="7">
        <v>78746.14398755912</v>
      </c>
      <c r="H2030" s="6">
        <v>21012.09608734703</v>
      </c>
      <c r="I2030" s="6" t="s">
        <v>179</v>
      </c>
      <c r="J2030" s="15">
        <v>37.6</v>
      </c>
    </row>
    <row r="2031" spans="1:10">
      <c r="A2031" s="6" t="s">
        <v>141</v>
      </c>
      <c r="B2031" s="6" t="s">
        <v>86</v>
      </c>
      <c r="C2031" s="6" t="s">
        <v>218</v>
      </c>
      <c r="D2031" s="6">
        <v>0.4558333333333334</v>
      </c>
      <c r="E2031" s="6" t="s">
        <v>90</v>
      </c>
      <c r="F2031" s="6" t="s">
        <v>54</v>
      </c>
      <c r="G2031" s="7">
        <v>78746.14398755912</v>
      </c>
      <c r="H2031" s="6">
        <v>35895.1173009957</v>
      </c>
      <c r="I2031" s="6" t="s">
        <v>179</v>
      </c>
      <c r="J2031" s="15">
        <v>37.6</v>
      </c>
    </row>
    <row r="2032" spans="1:10">
      <c r="A2032" s="6" t="s">
        <v>141</v>
      </c>
      <c r="B2032" s="6" t="s">
        <v>86</v>
      </c>
      <c r="C2032" s="6" t="s">
        <v>219</v>
      </c>
      <c r="D2032" s="6">
        <v>0.1228283294027534</v>
      </c>
      <c r="E2032" s="6" t="s">
        <v>44</v>
      </c>
      <c r="F2032" s="6" t="s">
        <v>51</v>
      </c>
      <c r="G2032" s="7">
        <v>52259.13647561446</v>
      </c>
      <c r="H2032" s="6">
        <v>6418.902429330221</v>
      </c>
      <c r="I2032" s="6" t="s">
        <v>180</v>
      </c>
      <c r="J2032" s="15">
        <v>8.944200287956821</v>
      </c>
    </row>
    <row r="2033" spans="1:10">
      <c r="A2033" s="6" t="s">
        <v>141</v>
      </c>
      <c r="B2033" s="6" t="s">
        <v>86</v>
      </c>
      <c r="C2033" s="6" t="s">
        <v>219</v>
      </c>
      <c r="D2033" s="6">
        <v>0.002201124750559352</v>
      </c>
      <c r="E2033" s="6" t="s">
        <v>86</v>
      </c>
      <c r="F2033" s="6" t="s">
        <v>51</v>
      </c>
      <c r="G2033" s="7">
        <v>52259.13647561446</v>
      </c>
      <c r="H2033" s="6">
        <v>115.028878739334</v>
      </c>
      <c r="I2033" s="6" t="s">
        <v>180</v>
      </c>
      <c r="J2033" s="15">
        <v>8.944200287956821</v>
      </c>
    </row>
    <row r="2034" spans="1:10">
      <c r="A2034" s="6" t="s">
        <v>141</v>
      </c>
      <c r="B2034" s="6" t="s">
        <v>86</v>
      </c>
      <c r="C2034" s="6" t="s">
        <v>220</v>
      </c>
      <c r="D2034" s="6">
        <v>8.551034069974575</v>
      </c>
      <c r="E2034" s="6" t="s">
        <v>44</v>
      </c>
      <c r="F2034" s="6" t="s">
        <v>57</v>
      </c>
      <c r="G2034" s="7">
        <v>55010.17947726394</v>
      </c>
      <c r="H2034" s="6">
        <v>470393.9189055001</v>
      </c>
      <c r="I2034" s="6" t="s">
        <v>179</v>
      </c>
      <c r="J2034" s="15">
        <v>6.921154133661506</v>
      </c>
    </row>
    <row r="2035" spans="1:10">
      <c r="A2035" s="6" t="s">
        <v>141</v>
      </c>
      <c r="B2035" s="6" t="s">
        <v>86</v>
      </c>
      <c r="C2035" s="6" t="s">
        <v>220</v>
      </c>
      <c r="D2035" s="6">
        <v>2.16009095666081</v>
      </c>
      <c r="E2035" s="6" t="s">
        <v>86</v>
      </c>
      <c r="F2035" s="6" t="s">
        <v>57</v>
      </c>
      <c r="G2035" s="7">
        <v>55010.17947726394</v>
      </c>
      <c r="H2035" s="6">
        <v>118826.9912131259</v>
      </c>
      <c r="I2035" s="6" t="s">
        <v>179</v>
      </c>
      <c r="J2035" s="15">
        <v>6.921154133661506</v>
      </c>
    </row>
    <row r="2036" spans="1:10">
      <c r="A2036" s="6" t="s">
        <v>141</v>
      </c>
      <c r="B2036" s="6" t="s">
        <v>86</v>
      </c>
      <c r="C2036" s="6" t="s">
        <v>220</v>
      </c>
      <c r="D2036" s="6">
        <v>0.7089166666666666</v>
      </c>
      <c r="E2036" s="6" t="s">
        <v>88</v>
      </c>
      <c r="F2036" s="6" t="s">
        <v>57</v>
      </c>
      <c r="G2036" s="7">
        <v>55010.17947726394</v>
      </c>
      <c r="H2036" s="6">
        <v>38997.63306775703</v>
      </c>
      <c r="I2036" s="6" t="s">
        <v>179</v>
      </c>
      <c r="J2036" s="15">
        <v>6.921154133661506</v>
      </c>
    </row>
    <row r="2037" spans="1:10">
      <c r="A2037" s="6" t="s">
        <v>141</v>
      </c>
      <c r="B2037" s="6" t="s">
        <v>86</v>
      </c>
      <c r="C2037" s="6" t="s">
        <v>220</v>
      </c>
      <c r="D2037" s="6">
        <v>0.5769984191353358</v>
      </c>
      <c r="E2037" s="6" t="s">
        <v>90</v>
      </c>
      <c r="F2037" s="6" t="s">
        <v>57</v>
      </c>
      <c r="G2037" s="7">
        <v>55010.17947726394</v>
      </c>
      <c r="H2037" s="6">
        <v>31740.78659473238</v>
      </c>
      <c r="I2037" s="6" t="s">
        <v>179</v>
      </c>
      <c r="J2037" s="15">
        <v>6.921154133661506</v>
      </c>
    </row>
    <row r="2038" spans="1:10">
      <c r="A2038" s="6" t="s">
        <v>141</v>
      </c>
      <c r="B2038" s="6" t="s">
        <v>86</v>
      </c>
      <c r="C2038" s="6" t="s">
        <v>221</v>
      </c>
      <c r="D2038" s="6">
        <v>0.05304079975189663</v>
      </c>
      <c r="E2038" s="6" t="s">
        <v>44</v>
      </c>
      <c r="F2038" s="6" t="s">
        <v>51</v>
      </c>
      <c r="G2038" s="7">
        <v>49959.47837571311</v>
      </c>
      <c r="H2038" s="6">
        <v>2649.890688235409</v>
      </c>
      <c r="I2038" s="6" t="s">
        <v>180</v>
      </c>
      <c r="J2038" s="15">
        <v>8.25312031135539</v>
      </c>
    </row>
    <row r="2039" spans="1:10">
      <c r="A2039" s="6" t="s">
        <v>141</v>
      </c>
      <c r="B2039" s="6" t="s">
        <v>86</v>
      </c>
      <c r="C2039" s="6" t="s">
        <v>221</v>
      </c>
      <c r="D2039" s="6">
        <v>0.0003390907853142797</v>
      </c>
      <c r="E2039" s="6" t="s">
        <v>86</v>
      </c>
      <c r="F2039" s="6" t="s">
        <v>51</v>
      </c>
      <c r="G2039" s="7">
        <v>49959.47837571311</v>
      </c>
      <c r="H2039" s="6">
        <v>16.94079875631233</v>
      </c>
      <c r="I2039" s="6" t="s">
        <v>180</v>
      </c>
      <c r="J2039" s="15">
        <v>8.25312031135539</v>
      </c>
    </row>
    <row r="2040" spans="1:10">
      <c r="A2040" s="6" t="s">
        <v>141</v>
      </c>
      <c r="B2040" s="6" t="s">
        <v>86</v>
      </c>
      <c r="C2040" s="6" t="s">
        <v>342</v>
      </c>
      <c r="D2040" s="6">
        <v>333.7640952747127</v>
      </c>
      <c r="E2040" s="6" t="s">
        <v>44</v>
      </c>
      <c r="F2040" s="6" t="s">
        <v>53</v>
      </c>
      <c r="G2040" s="7">
        <v>33275.25972937583</v>
      </c>
      <c r="H2040" s="6">
        <v>11106086.95860621</v>
      </c>
      <c r="I2040" s="6" t="s">
        <v>179</v>
      </c>
      <c r="J2040" s="15">
        <v>8</v>
      </c>
    </row>
    <row r="2041" spans="1:10">
      <c r="A2041" s="6" t="s">
        <v>141</v>
      </c>
      <c r="B2041" s="6" t="s">
        <v>86</v>
      </c>
      <c r="C2041" s="6" t="s">
        <v>342</v>
      </c>
      <c r="D2041" s="6">
        <v>45.904957665426</v>
      </c>
      <c r="E2041" s="6" t="s">
        <v>86</v>
      </c>
      <c r="F2041" s="6" t="s">
        <v>53</v>
      </c>
      <c r="G2041" s="7">
        <v>33275.25972937583</v>
      </c>
      <c r="H2041" s="6">
        <v>1527499.389183052</v>
      </c>
      <c r="I2041" s="6" t="s">
        <v>179</v>
      </c>
      <c r="J2041" s="15">
        <v>8</v>
      </c>
    </row>
    <row r="2042" spans="1:10">
      <c r="A2042" s="6" t="s">
        <v>141</v>
      </c>
      <c r="B2042" s="6" t="s">
        <v>86</v>
      </c>
      <c r="C2042" s="6" t="s">
        <v>342</v>
      </c>
      <c r="D2042" s="6">
        <v>18.9715</v>
      </c>
      <c r="E2042" s="6" t="s">
        <v>88</v>
      </c>
      <c r="F2042" s="6" t="s">
        <v>53</v>
      </c>
      <c r="G2042" s="7">
        <v>33275.25972937583</v>
      </c>
      <c r="H2042" s="6">
        <v>631281.5899558536</v>
      </c>
      <c r="I2042" s="6" t="s">
        <v>179</v>
      </c>
      <c r="J2042" s="15">
        <v>8</v>
      </c>
    </row>
    <row r="2043" spans="1:10">
      <c r="A2043" s="6" t="s">
        <v>141</v>
      </c>
      <c r="B2043" s="6" t="s">
        <v>86</v>
      </c>
      <c r="C2043" s="6" t="s">
        <v>342</v>
      </c>
      <c r="D2043" s="6">
        <v>9.456567328692577</v>
      </c>
      <c r="E2043" s="6" t="s">
        <v>90</v>
      </c>
      <c r="F2043" s="6" t="s">
        <v>53</v>
      </c>
      <c r="G2043" s="7">
        <v>33275.25972937583</v>
      </c>
      <c r="H2043" s="6">
        <v>314669.7340105753</v>
      </c>
      <c r="I2043" s="6" t="s">
        <v>179</v>
      </c>
      <c r="J2043" s="15">
        <v>8</v>
      </c>
    </row>
    <row r="2044" spans="1:10">
      <c r="A2044" s="6" t="s">
        <v>141</v>
      </c>
      <c r="B2044" s="6" t="s">
        <v>86</v>
      </c>
      <c r="C2044" s="6" t="s">
        <v>342</v>
      </c>
      <c r="D2044" s="6">
        <v>0.2891666666666667</v>
      </c>
      <c r="E2044" s="6" t="s">
        <v>92</v>
      </c>
      <c r="F2044" s="6" t="s">
        <v>53</v>
      </c>
      <c r="G2044" s="7">
        <v>33275.25972937583</v>
      </c>
      <c r="H2044" s="6">
        <v>9622.095938411177</v>
      </c>
      <c r="I2044" s="6" t="s">
        <v>179</v>
      </c>
      <c r="J2044" s="15">
        <v>8</v>
      </c>
    </row>
    <row r="2045" spans="1:10">
      <c r="A2045" s="6" t="s">
        <v>141</v>
      </c>
      <c r="B2045" s="6" t="s">
        <v>86</v>
      </c>
      <c r="C2045" s="6" t="s">
        <v>343</v>
      </c>
      <c r="D2045" s="6">
        <v>11.10891666666667</v>
      </c>
      <c r="E2045" s="6" t="s">
        <v>86</v>
      </c>
      <c r="F2045" s="6" t="s">
        <v>52</v>
      </c>
      <c r="G2045" s="7">
        <v>69744.27374406446</v>
      </c>
      <c r="H2045" s="6">
        <v>774783.325</v>
      </c>
      <c r="I2045" s="6" t="s">
        <v>179</v>
      </c>
      <c r="J2045" s="15">
        <v>50.60833333333333</v>
      </c>
    </row>
    <row r="2046" spans="1:10">
      <c r="A2046" s="6" t="s">
        <v>141</v>
      </c>
      <c r="B2046" s="6" t="s">
        <v>86</v>
      </c>
      <c r="C2046" s="6" t="s">
        <v>223</v>
      </c>
      <c r="D2046" s="6">
        <v>430.9269812098853</v>
      </c>
      <c r="E2046" s="6" t="s">
        <v>44</v>
      </c>
      <c r="F2046" s="6" t="s">
        <v>53</v>
      </c>
      <c r="G2046" s="7">
        <v>24418.66320757394</v>
      </c>
      <c r="H2046" s="6">
        <v>10522660.82122074</v>
      </c>
      <c r="I2046" s="6" t="s">
        <v>179</v>
      </c>
      <c r="J2046" s="15">
        <v>7.983333333333333</v>
      </c>
    </row>
    <row r="2047" spans="1:10">
      <c r="A2047" s="6" t="s">
        <v>141</v>
      </c>
      <c r="B2047" s="6" t="s">
        <v>86</v>
      </c>
      <c r="C2047" s="6" t="s">
        <v>223</v>
      </c>
      <c r="D2047" s="6">
        <v>43.08143479758254</v>
      </c>
      <c r="E2047" s="6" t="s">
        <v>86</v>
      </c>
      <c r="F2047" s="6" t="s">
        <v>53</v>
      </c>
      <c r="G2047" s="7">
        <v>24418.66320757394</v>
      </c>
      <c r="H2047" s="6">
        <v>1051991.046821225</v>
      </c>
      <c r="I2047" s="6" t="s">
        <v>179</v>
      </c>
      <c r="J2047" s="15">
        <v>7.983333333333333</v>
      </c>
    </row>
    <row r="2048" spans="1:10">
      <c r="A2048" s="6" t="s">
        <v>141</v>
      </c>
      <c r="B2048" s="6" t="s">
        <v>86</v>
      </c>
      <c r="C2048" s="6" t="s">
        <v>223</v>
      </c>
      <c r="D2048" s="6">
        <v>7.427499999999999</v>
      </c>
      <c r="E2048" s="6" t="s">
        <v>88</v>
      </c>
      <c r="F2048" s="6" t="s">
        <v>53</v>
      </c>
      <c r="G2048" s="7">
        <v>24418.66320757394</v>
      </c>
      <c r="H2048" s="6">
        <v>181369.6209742554</v>
      </c>
      <c r="I2048" s="6" t="s">
        <v>179</v>
      </c>
      <c r="J2048" s="15">
        <v>7.983333333333333</v>
      </c>
    </row>
    <row r="2049" spans="1:10">
      <c r="A2049" s="6" t="s">
        <v>141</v>
      </c>
      <c r="B2049" s="6" t="s">
        <v>86</v>
      </c>
      <c r="C2049" s="6" t="s">
        <v>223</v>
      </c>
      <c r="D2049" s="6">
        <v>32.30373631513422</v>
      </c>
      <c r="E2049" s="6" t="s">
        <v>90</v>
      </c>
      <c r="F2049" s="6" t="s">
        <v>53</v>
      </c>
      <c r="G2049" s="7">
        <v>24418.66320757394</v>
      </c>
      <c r="H2049" s="6">
        <v>788814.0574255383</v>
      </c>
      <c r="I2049" s="6" t="s">
        <v>179</v>
      </c>
      <c r="J2049" s="15">
        <v>7.983333333333333</v>
      </c>
    </row>
    <row r="2050" spans="1:10">
      <c r="A2050" s="6" t="s">
        <v>141</v>
      </c>
      <c r="B2050" s="6" t="s">
        <v>86</v>
      </c>
      <c r="C2050" s="6" t="s">
        <v>223</v>
      </c>
      <c r="D2050" s="6">
        <v>0.711</v>
      </c>
      <c r="E2050" s="6" t="s">
        <v>92</v>
      </c>
      <c r="F2050" s="6" t="s">
        <v>53</v>
      </c>
      <c r="G2050" s="7">
        <v>24418.66320757394</v>
      </c>
      <c r="H2050" s="6">
        <v>17361.66954058507</v>
      </c>
      <c r="I2050" s="6" t="s">
        <v>179</v>
      </c>
      <c r="J2050" s="15">
        <v>7.983333333333333</v>
      </c>
    </row>
    <row r="2051" spans="1:10">
      <c r="A2051" s="6" t="s">
        <v>141</v>
      </c>
      <c r="B2051" s="6" t="s">
        <v>86</v>
      </c>
      <c r="C2051" s="6" t="s">
        <v>224</v>
      </c>
      <c r="D2051" s="6">
        <v>225.2227221045677</v>
      </c>
      <c r="E2051" s="6" t="s">
        <v>44</v>
      </c>
      <c r="F2051" s="6" t="s">
        <v>51</v>
      </c>
      <c r="G2051" s="7">
        <v>44832.66432506633</v>
      </c>
      <c r="H2051" s="6">
        <v>10097334.69849178</v>
      </c>
      <c r="I2051" s="6" t="s">
        <v>179</v>
      </c>
      <c r="J2051" s="15">
        <v>47</v>
      </c>
    </row>
    <row r="2052" spans="1:10">
      <c r="A2052" s="6" t="s">
        <v>141</v>
      </c>
      <c r="B2052" s="6" t="s">
        <v>86</v>
      </c>
      <c r="C2052" s="6" t="s">
        <v>224</v>
      </c>
      <c r="D2052" s="6">
        <v>359.1481892838838</v>
      </c>
      <c r="E2052" s="6" t="s">
        <v>86</v>
      </c>
      <c r="F2052" s="6" t="s">
        <v>51</v>
      </c>
      <c r="G2052" s="7">
        <v>44832.66432506633</v>
      </c>
      <c r="H2052" s="6">
        <v>16101570.21311975</v>
      </c>
      <c r="I2052" s="6" t="s">
        <v>179</v>
      </c>
      <c r="J2052" s="15">
        <v>47</v>
      </c>
    </row>
    <row r="2053" spans="1:10">
      <c r="A2053" s="6" t="s">
        <v>141</v>
      </c>
      <c r="B2053" s="6" t="s">
        <v>86</v>
      </c>
      <c r="C2053" s="6" t="s">
        <v>224</v>
      </c>
      <c r="D2053" s="6">
        <v>16.98175</v>
      </c>
      <c r="E2053" s="6" t="s">
        <v>88</v>
      </c>
      <c r="F2053" s="6" t="s">
        <v>51</v>
      </c>
      <c r="G2053" s="7">
        <v>44832.66432506633</v>
      </c>
      <c r="H2053" s="6">
        <v>761337.0974021953</v>
      </c>
      <c r="I2053" s="6" t="s">
        <v>179</v>
      </c>
      <c r="J2053" s="15">
        <v>47</v>
      </c>
    </row>
    <row r="2054" spans="1:10">
      <c r="A2054" s="6" t="s">
        <v>141</v>
      </c>
      <c r="B2054" s="6" t="s">
        <v>86</v>
      </c>
      <c r="C2054" s="6" t="s">
        <v>224</v>
      </c>
      <c r="D2054" s="6">
        <v>102.6700567556646</v>
      </c>
      <c r="E2054" s="6" t="s">
        <v>90</v>
      </c>
      <c r="F2054" s="6" t="s">
        <v>51</v>
      </c>
      <c r="G2054" s="7">
        <v>44832.66432506633</v>
      </c>
      <c r="H2054" s="6">
        <v>4602972.190762219</v>
      </c>
      <c r="I2054" s="6" t="s">
        <v>179</v>
      </c>
      <c r="J2054" s="15">
        <v>47</v>
      </c>
    </row>
    <row r="2055" spans="1:10">
      <c r="A2055" s="6" t="s">
        <v>141</v>
      </c>
      <c r="B2055" s="6" t="s">
        <v>86</v>
      </c>
      <c r="C2055" s="6" t="s">
        <v>224</v>
      </c>
      <c r="D2055" s="6">
        <v>0.375</v>
      </c>
      <c r="E2055" s="6" t="s">
        <v>92</v>
      </c>
      <c r="F2055" s="6" t="s">
        <v>51</v>
      </c>
      <c r="G2055" s="7">
        <v>44832.66432506633</v>
      </c>
      <c r="H2055" s="6">
        <v>16812.24912189988</v>
      </c>
      <c r="I2055" s="6" t="s">
        <v>179</v>
      </c>
      <c r="J2055" s="15">
        <v>47</v>
      </c>
    </row>
    <row r="2056" spans="1:10">
      <c r="A2056" s="6" t="s">
        <v>141</v>
      </c>
      <c r="B2056" s="6" t="s">
        <v>86</v>
      </c>
      <c r="C2056" s="6" t="s">
        <v>226</v>
      </c>
      <c r="D2056" s="6">
        <v>260.1410709816404</v>
      </c>
      <c r="E2056" s="6" t="s">
        <v>44</v>
      </c>
      <c r="F2056" s="6" t="s">
        <v>56</v>
      </c>
      <c r="G2056" s="7">
        <v>74819.13266235047</v>
      </c>
      <c r="H2056" s="6">
        <v>19463529.30070128</v>
      </c>
      <c r="I2056" s="6" t="s">
        <v>179</v>
      </c>
      <c r="J2056" s="15">
        <v>51.55</v>
      </c>
    </row>
    <row r="2057" spans="1:10">
      <c r="A2057" s="6" t="s">
        <v>141</v>
      </c>
      <c r="B2057" s="6" t="s">
        <v>86</v>
      </c>
      <c r="C2057" s="6" t="s">
        <v>226</v>
      </c>
      <c r="D2057" s="6">
        <v>192.116011683256</v>
      </c>
      <c r="E2057" s="6" t="s">
        <v>86</v>
      </c>
      <c r="F2057" s="6" t="s">
        <v>56</v>
      </c>
      <c r="G2057" s="7">
        <v>74819.13266235047</v>
      </c>
      <c r="H2057" s="6">
        <v>14373953.3646912</v>
      </c>
      <c r="I2057" s="6" t="s">
        <v>179</v>
      </c>
      <c r="J2057" s="15">
        <v>51.55</v>
      </c>
    </row>
    <row r="2058" spans="1:10">
      <c r="A2058" s="6" t="s">
        <v>141</v>
      </c>
      <c r="B2058" s="6" t="s">
        <v>86</v>
      </c>
      <c r="C2058" s="6" t="s">
        <v>226</v>
      </c>
      <c r="D2058" s="6">
        <v>123.5085</v>
      </c>
      <c r="E2058" s="6" t="s">
        <v>88</v>
      </c>
      <c r="F2058" s="6" t="s">
        <v>56</v>
      </c>
      <c r="G2058" s="7">
        <v>74819.13266235047</v>
      </c>
      <c r="H2058" s="6">
        <v>9240798.846427914</v>
      </c>
      <c r="I2058" s="6" t="s">
        <v>179</v>
      </c>
      <c r="J2058" s="15">
        <v>51.55</v>
      </c>
    </row>
    <row r="2059" spans="1:10">
      <c r="A2059" s="6" t="s">
        <v>141</v>
      </c>
      <c r="B2059" s="6" t="s">
        <v>86</v>
      </c>
      <c r="C2059" s="6" t="s">
        <v>226</v>
      </c>
      <c r="D2059" s="6">
        <v>45.56838393564558</v>
      </c>
      <c r="E2059" s="6" t="s">
        <v>90</v>
      </c>
      <c r="F2059" s="6" t="s">
        <v>56</v>
      </c>
      <c r="G2059" s="7">
        <v>74819.13266235047</v>
      </c>
      <c r="H2059" s="6">
        <v>3409386.962889987</v>
      </c>
      <c r="I2059" s="6" t="s">
        <v>179</v>
      </c>
      <c r="J2059" s="15">
        <v>51.55</v>
      </c>
    </row>
    <row r="2060" spans="1:10">
      <c r="A2060" s="6" t="s">
        <v>141</v>
      </c>
      <c r="B2060" s="6" t="s">
        <v>86</v>
      </c>
      <c r="C2060" s="6" t="s">
        <v>226</v>
      </c>
      <c r="D2060" s="6">
        <v>0.2491666666666667</v>
      </c>
      <c r="E2060" s="6" t="s">
        <v>92</v>
      </c>
      <c r="F2060" s="6" t="s">
        <v>56</v>
      </c>
      <c r="G2060" s="7">
        <v>74819.13266235047</v>
      </c>
      <c r="H2060" s="6">
        <v>18642.433888369</v>
      </c>
      <c r="I2060" s="6" t="s">
        <v>179</v>
      </c>
      <c r="J2060" s="15">
        <v>51.55</v>
      </c>
    </row>
    <row r="2061" spans="1:10">
      <c r="A2061" s="6" t="s">
        <v>141</v>
      </c>
      <c r="B2061" s="6" t="s">
        <v>86</v>
      </c>
      <c r="C2061" s="6" t="s">
        <v>344</v>
      </c>
      <c r="D2061" s="6">
        <v>45.14816666666667</v>
      </c>
      <c r="E2061" s="6" t="s">
        <v>86</v>
      </c>
      <c r="F2061" s="6" t="s">
        <v>52</v>
      </c>
      <c r="G2061" s="7">
        <v>80313.28920074231</v>
      </c>
      <c r="H2061" s="6">
        <v>3625997.766383314</v>
      </c>
      <c r="I2061" s="6" t="s">
        <v>179</v>
      </c>
      <c r="J2061" s="15">
        <v>74.90833333333333</v>
      </c>
    </row>
    <row r="2062" spans="1:10">
      <c r="A2062" s="6" t="s">
        <v>141</v>
      </c>
      <c r="B2062" s="6" t="s">
        <v>86</v>
      </c>
      <c r="C2062" s="6" t="s">
        <v>344</v>
      </c>
      <c r="D2062" s="6">
        <v>22.83183333333334</v>
      </c>
      <c r="E2062" s="6" t="s">
        <v>88</v>
      </c>
      <c r="F2062" s="6" t="s">
        <v>52</v>
      </c>
      <c r="G2062" s="7">
        <v>80313.28920074231</v>
      </c>
      <c r="H2062" s="6">
        <v>1833699.633483148</v>
      </c>
      <c r="I2062" s="6" t="s">
        <v>179</v>
      </c>
      <c r="J2062" s="15">
        <v>74.90833333333333</v>
      </c>
    </row>
    <row r="2063" spans="1:10">
      <c r="A2063" s="6" t="s">
        <v>141</v>
      </c>
      <c r="B2063" s="6" t="s">
        <v>86</v>
      </c>
      <c r="C2063" s="6" t="s">
        <v>344</v>
      </c>
      <c r="D2063" s="6">
        <v>2.162166666666667</v>
      </c>
      <c r="E2063" s="6" t="s">
        <v>90</v>
      </c>
      <c r="F2063" s="6" t="s">
        <v>52</v>
      </c>
      <c r="G2063" s="7">
        <v>80313.28920074231</v>
      </c>
      <c r="H2063" s="6">
        <v>173650.716800205</v>
      </c>
      <c r="I2063" s="6" t="s">
        <v>179</v>
      </c>
      <c r="J2063" s="15">
        <v>74.90833333333333</v>
      </c>
    </row>
    <row r="2064" spans="1:10">
      <c r="A2064" s="6" t="s">
        <v>141</v>
      </c>
      <c r="B2064" s="6" t="s">
        <v>86</v>
      </c>
      <c r="C2064" s="6" t="s">
        <v>345</v>
      </c>
      <c r="D2064" s="6">
        <v>146.9273333333333</v>
      </c>
      <c r="E2064" s="6" t="s">
        <v>44</v>
      </c>
      <c r="F2064" s="6" t="s">
        <v>53</v>
      </c>
      <c r="G2064" s="7">
        <v>31603.56115403747</v>
      </c>
      <c r="H2064" s="6">
        <v>4643426.964199649</v>
      </c>
      <c r="I2064" s="6" t="s">
        <v>179</v>
      </c>
      <c r="J2064" s="15">
        <v>8</v>
      </c>
    </row>
    <row r="2065" spans="1:10">
      <c r="A2065" s="6" t="s">
        <v>141</v>
      </c>
      <c r="B2065" s="6" t="s">
        <v>86</v>
      </c>
      <c r="C2065" s="6" t="s">
        <v>345</v>
      </c>
      <c r="D2065" s="6">
        <v>39.42883333333333</v>
      </c>
      <c r="E2065" s="6" t="s">
        <v>86</v>
      </c>
      <c r="F2065" s="6" t="s">
        <v>53</v>
      </c>
      <c r="G2065" s="7">
        <v>31603.56115403747</v>
      </c>
      <c r="H2065" s="6">
        <v>1246091.545482351</v>
      </c>
      <c r="I2065" s="6" t="s">
        <v>179</v>
      </c>
      <c r="J2065" s="15">
        <v>8</v>
      </c>
    </row>
    <row r="2066" spans="1:10">
      <c r="A2066" s="6" t="s">
        <v>141</v>
      </c>
      <c r="B2066" s="6" t="s">
        <v>86</v>
      </c>
      <c r="C2066" s="6" t="s">
        <v>345</v>
      </c>
      <c r="D2066" s="6">
        <v>16.05825</v>
      </c>
      <c r="E2066" s="6" t="s">
        <v>88</v>
      </c>
      <c r="F2066" s="6" t="s">
        <v>53</v>
      </c>
      <c r="G2066" s="7">
        <v>31603.56115403747</v>
      </c>
      <c r="H2066" s="6">
        <v>507497.8859018223</v>
      </c>
      <c r="I2066" s="6" t="s">
        <v>179</v>
      </c>
      <c r="J2066" s="15">
        <v>8</v>
      </c>
    </row>
    <row r="2067" spans="1:10">
      <c r="A2067" s="6" t="s">
        <v>141</v>
      </c>
      <c r="B2067" s="6" t="s">
        <v>86</v>
      </c>
      <c r="C2067" s="6" t="s">
        <v>345</v>
      </c>
      <c r="D2067" s="6">
        <v>8.835416666666665</v>
      </c>
      <c r="E2067" s="6" t="s">
        <v>90</v>
      </c>
      <c r="F2067" s="6" t="s">
        <v>53</v>
      </c>
      <c r="G2067" s="7">
        <v>31603.56115403747</v>
      </c>
      <c r="H2067" s="6">
        <v>279230.6309464019</v>
      </c>
      <c r="I2067" s="6" t="s">
        <v>179</v>
      </c>
      <c r="J2067" s="15">
        <v>8</v>
      </c>
    </row>
    <row r="2068" spans="1:10">
      <c r="A2068" s="6" t="s">
        <v>141</v>
      </c>
      <c r="B2068" s="6" t="s">
        <v>86</v>
      </c>
      <c r="C2068" s="6" t="s">
        <v>227</v>
      </c>
      <c r="D2068" s="6">
        <v>202.1843022074116</v>
      </c>
      <c r="E2068" s="6" t="s">
        <v>44</v>
      </c>
      <c r="F2068" s="6" t="s">
        <v>57</v>
      </c>
      <c r="G2068" s="7">
        <v>50057.03584104127</v>
      </c>
      <c r="H2068" s="6">
        <v>10120746.86209232</v>
      </c>
      <c r="I2068" s="6" t="s">
        <v>179</v>
      </c>
      <c r="J2068" s="15">
        <v>39</v>
      </c>
    </row>
    <row r="2069" spans="1:10">
      <c r="A2069" s="6" t="s">
        <v>141</v>
      </c>
      <c r="B2069" s="6" t="s">
        <v>86</v>
      </c>
      <c r="C2069" s="6" t="s">
        <v>227</v>
      </c>
      <c r="D2069" s="6">
        <v>43.94693296914615</v>
      </c>
      <c r="E2069" s="6" t="s">
        <v>86</v>
      </c>
      <c r="F2069" s="6" t="s">
        <v>57</v>
      </c>
      <c r="G2069" s="7">
        <v>50057.03584104127</v>
      </c>
      <c r="H2069" s="6">
        <v>2199853.198740387</v>
      </c>
      <c r="I2069" s="6" t="s">
        <v>179</v>
      </c>
      <c r="J2069" s="15">
        <v>39</v>
      </c>
    </row>
    <row r="2070" spans="1:10">
      <c r="A2070" s="6" t="s">
        <v>141</v>
      </c>
      <c r="B2070" s="6" t="s">
        <v>86</v>
      </c>
      <c r="C2070" s="6" t="s">
        <v>227</v>
      </c>
      <c r="D2070" s="6">
        <v>20.18133333333333</v>
      </c>
      <c r="E2070" s="6" t="s">
        <v>88</v>
      </c>
      <c r="F2070" s="6" t="s">
        <v>57</v>
      </c>
      <c r="G2070" s="7">
        <v>50057.03584104127</v>
      </c>
      <c r="H2070" s="6">
        <v>1010217.725986668</v>
      </c>
      <c r="I2070" s="6" t="s">
        <v>179</v>
      </c>
      <c r="J2070" s="15">
        <v>39</v>
      </c>
    </row>
    <row r="2071" spans="1:10">
      <c r="A2071" s="6" t="s">
        <v>141</v>
      </c>
      <c r="B2071" s="6" t="s">
        <v>86</v>
      </c>
      <c r="C2071" s="6" t="s">
        <v>227</v>
      </c>
      <c r="D2071" s="6">
        <v>14.5001446966529</v>
      </c>
      <c r="E2071" s="6" t="s">
        <v>90</v>
      </c>
      <c r="F2071" s="6" t="s">
        <v>57</v>
      </c>
      <c r="G2071" s="7">
        <v>50057.03584104127</v>
      </c>
      <c r="H2071" s="6">
        <v>725834.2627806386</v>
      </c>
      <c r="I2071" s="6" t="s">
        <v>179</v>
      </c>
      <c r="J2071" s="15">
        <v>39</v>
      </c>
    </row>
    <row r="2072" spans="1:10">
      <c r="A2072" s="6" t="s">
        <v>141</v>
      </c>
      <c r="B2072" s="6" t="s">
        <v>86</v>
      </c>
      <c r="C2072" s="6" t="s">
        <v>227</v>
      </c>
      <c r="D2072" s="6">
        <v>0.2621666666666667</v>
      </c>
      <c r="E2072" s="6" t="s">
        <v>92</v>
      </c>
      <c r="F2072" s="6" t="s">
        <v>57</v>
      </c>
      <c r="G2072" s="7">
        <v>50057.03584104127</v>
      </c>
      <c r="H2072" s="6">
        <v>13123.28622965965</v>
      </c>
      <c r="I2072" s="6" t="s">
        <v>179</v>
      </c>
      <c r="J2072" s="15">
        <v>39</v>
      </c>
    </row>
    <row r="2073" spans="1:10">
      <c r="A2073" s="6" t="s">
        <v>141</v>
      </c>
      <c r="B2073" s="6" t="s">
        <v>86</v>
      </c>
      <c r="C2073" s="6" t="s">
        <v>228</v>
      </c>
      <c r="D2073" s="6">
        <v>4.008854119507641</v>
      </c>
      <c r="E2073" s="6" t="s">
        <v>44</v>
      </c>
      <c r="F2073" s="6" t="s">
        <v>51</v>
      </c>
      <c r="G2073" s="7">
        <v>80676.14561841678</v>
      </c>
      <c r="H2073" s="6">
        <v>323418.8987083884</v>
      </c>
      <c r="I2073" s="6" t="s">
        <v>179</v>
      </c>
      <c r="J2073" s="15">
        <v>80.5</v>
      </c>
    </row>
    <row r="2074" spans="1:10">
      <c r="A2074" s="6" t="s">
        <v>141</v>
      </c>
      <c r="B2074" s="6" t="s">
        <v>86</v>
      </c>
      <c r="C2074" s="6" t="s">
        <v>228</v>
      </c>
      <c r="D2074" s="6">
        <v>1.480252335691072</v>
      </c>
      <c r="E2074" s="6" t="s">
        <v>86</v>
      </c>
      <c r="F2074" s="6" t="s">
        <v>51</v>
      </c>
      <c r="G2074" s="7">
        <v>80676.14561841678</v>
      </c>
      <c r="H2074" s="6">
        <v>119421.0529862145</v>
      </c>
      <c r="I2074" s="6" t="s">
        <v>179</v>
      </c>
      <c r="J2074" s="15">
        <v>80.5</v>
      </c>
    </row>
    <row r="2075" spans="1:10">
      <c r="A2075" s="6" t="s">
        <v>141</v>
      </c>
      <c r="B2075" s="6" t="s">
        <v>86</v>
      </c>
      <c r="C2075" s="6" t="s">
        <v>228</v>
      </c>
      <c r="D2075" s="6">
        <v>0.4329166666666667</v>
      </c>
      <c r="E2075" s="6" t="s">
        <v>88</v>
      </c>
      <c r="F2075" s="6" t="s">
        <v>51</v>
      </c>
      <c r="G2075" s="7">
        <v>80676.14561841678</v>
      </c>
      <c r="H2075" s="6">
        <v>34926.04804063959</v>
      </c>
      <c r="I2075" s="6" t="s">
        <v>179</v>
      </c>
      <c r="J2075" s="15">
        <v>80.5</v>
      </c>
    </row>
    <row r="2076" spans="1:10">
      <c r="A2076" s="6" t="s">
        <v>141</v>
      </c>
      <c r="B2076" s="6" t="s">
        <v>86</v>
      </c>
      <c r="C2076" s="6" t="s">
        <v>228</v>
      </c>
      <c r="D2076" s="6">
        <v>0.03673999052622055</v>
      </c>
      <c r="E2076" s="6" t="s">
        <v>90</v>
      </c>
      <c r="F2076" s="6" t="s">
        <v>51</v>
      </c>
      <c r="G2076" s="7">
        <v>80676.14561841678</v>
      </c>
      <c r="H2076" s="6">
        <v>2964.040825712622</v>
      </c>
      <c r="I2076" s="6" t="s">
        <v>179</v>
      </c>
      <c r="J2076" s="15">
        <v>80.5</v>
      </c>
    </row>
    <row r="2077" spans="1:10">
      <c r="A2077" s="6" t="s">
        <v>141</v>
      </c>
      <c r="B2077" s="6" t="s">
        <v>86</v>
      </c>
      <c r="C2077" s="6" t="s">
        <v>229</v>
      </c>
      <c r="D2077" s="6">
        <v>292.6938333333333</v>
      </c>
      <c r="E2077" s="6" t="s">
        <v>44</v>
      </c>
      <c r="F2077" s="6" t="s">
        <v>53</v>
      </c>
      <c r="G2077" s="7">
        <v>21180.73880713652</v>
      </c>
      <c r="H2077" s="6">
        <v>6199471.634292881</v>
      </c>
      <c r="I2077" s="6" t="s">
        <v>179</v>
      </c>
      <c r="J2077" s="15">
        <v>5</v>
      </c>
    </row>
    <row r="2078" spans="1:10">
      <c r="A2078" s="6" t="s">
        <v>141</v>
      </c>
      <c r="B2078" s="6" t="s">
        <v>86</v>
      </c>
      <c r="C2078" s="6" t="s">
        <v>229</v>
      </c>
      <c r="D2078" s="6">
        <v>44.88108333333333</v>
      </c>
      <c r="E2078" s="6" t="s">
        <v>86</v>
      </c>
      <c r="F2078" s="6" t="s">
        <v>53</v>
      </c>
      <c r="G2078" s="7">
        <v>21180.73880713652</v>
      </c>
      <c r="H2078" s="6">
        <v>950614.5034646612</v>
      </c>
      <c r="I2078" s="6" t="s">
        <v>179</v>
      </c>
      <c r="J2078" s="15">
        <v>5</v>
      </c>
    </row>
    <row r="2079" spans="1:10">
      <c r="A2079" s="6" t="s">
        <v>141</v>
      </c>
      <c r="B2079" s="6" t="s">
        <v>86</v>
      </c>
      <c r="C2079" s="6" t="s">
        <v>229</v>
      </c>
      <c r="D2079" s="6">
        <v>25.42741666666667</v>
      </c>
      <c r="E2079" s="6" t="s">
        <v>88</v>
      </c>
      <c r="F2079" s="6" t="s">
        <v>53</v>
      </c>
      <c r="G2079" s="7">
        <v>21180.73880713652</v>
      </c>
      <c r="H2079" s="6">
        <v>538571.4709568965</v>
      </c>
      <c r="I2079" s="6" t="s">
        <v>179</v>
      </c>
      <c r="J2079" s="15">
        <v>5</v>
      </c>
    </row>
    <row r="2080" spans="1:10">
      <c r="A2080" s="6" t="s">
        <v>141</v>
      </c>
      <c r="B2080" s="6" t="s">
        <v>86</v>
      </c>
      <c r="C2080" s="6" t="s">
        <v>229</v>
      </c>
      <c r="D2080" s="6">
        <v>11.99041666666667</v>
      </c>
      <c r="E2080" s="6" t="s">
        <v>90</v>
      </c>
      <c r="F2080" s="6" t="s">
        <v>53</v>
      </c>
      <c r="G2080" s="7">
        <v>21180.73880713652</v>
      </c>
      <c r="H2080" s="6">
        <v>253965.8836054031</v>
      </c>
      <c r="I2080" s="6" t="s">
        <v>179</v>
      </c>
      <c r="J2080" s="15">
        <v>5</v>
      </c>
    </row>
    <row r="2081" spans="1:10">
      <c r="A2081" s="6" t="s">
        <v>141</v>
      </c>
      <c r="B2081" s="6" t="s">
        <v>86</v>
      </c>
      <c r="C2081" s="6" t="s">
        <v>229</v>
      </c>
      <c r="D2081" s="6">
        <v>0.08266666666666667</v>
      </c>
      <c r="E2081" s="6" t="s">
        <v>92</v>
      </c>
      <c r="F2081" s="6" t="s">
        <v>53</v>
      </c>
      <c r="G2081" s="7">
        <v>21180.73880713652</v>
      </c>
      <c r="H2081" s="6">
        <v>1750.941074723285</v>
      </c>
      <c r="I2081" s="6" t="s">
        <v>179</v>
      </c>
      <c r="J2081" s="15">
        <v>5</v>
      </c>
    </row>
    <row r="2082" spans="1:10">
      <c r="A2082" s="6" t="s">
        <v>141</v>
      </c>
      <c r="B2082" s="6" t="s">
        <v>86</v>
      </c>
      <c r="C2082" s="6" t="s">
        <v>230</v>
      </c>
      <c r="D2082" s="6">
        <v>114.5601718037248</v>
      </c>
      <c r="E2082" s="6" t="s">
        <v>44</v>
      </c>
      <c r="F2082" s="6" t="s">
        <v>53</v>
      </c>
      <c r="G2082" s="7">
        <v>31425.98001427314</v>
      </c>
      <c r="H2082" s="6">
        <v>3600165.669535553</v>
      </c>
      <c r="I2082" s="6" t="s">
        <v>179</v>
      </c>
      <c r="J2082" s="15">
        <v>8</v>
      </c>
    </row>
    <row r="2083" spans="1:10">
      <c r="A2083" s="6" t="s">
        <v>141</v>
      </c>
      <c r="B2083" s="6" t="s">
        <v>86</v>
      </c>
      <c r="C2083" s="6" t="s">
        <v>230</v>
      </c>
      <c r="D2083" s="6">
        <v>43.96385326446454</v>
      </c>
      <c r="E2083" s="6" t="s">
        <v>86</v>
      </c>
      <c r="F2083" s="6" t="s">
        <v>53</v>
      </c>
      <c r="G2083" s="7">
        <v>31425.98001427314</v>
      </c>
      <c r="H2083" s="6">
        <v>1381607.1740395</v>
      </c>
      <c r="I2083" s="6" t="s">
        <v>179</v>
      </c>
      <c r="J2083" s="15">
        <v>8</v>
      </c>
    </row>
    <row r="2084" spans="1:10">
      <c r="A2084" s="6" t="s">
        <v>141</v>
      </c>
      <c r="B2084" s="6" t="s">
        <v>86</v>
      </c>
      <c r="C2084" s="6" t="s">
        <v>230</v>
      </c>
      <c r="D2084" s="6">
        <v>70.60808333333333</v>
      </c>
      <c r="E2084" s="6" t="s">
        <v>88</v>
      </c>
      <c r="F2084" s="6" t="s">
        <v>53</v>
      </c>
      <c r="G2084" s="7">
        <v>31425.98001427314</v>
      </c>
      <c r="H2084" s="6">
        <v>2218928.215679466</v>
      </c>
      <c r="I2084" s="6" t="s">
        <v>179</v>
      </c>
      <c r="J2084" s="15">
        <v>8</v>
      </c>
    </row>
    <row r="2085" spans="1:10">
      <c r="A2085" s="6" t="s">
        <v>141</v>
      </c>
      <c r="B2085" s="6" t="s">
        <v>86</v>
      </c>
      <c r="C2085" s="6" t="s">
        <v>230</v>
      </c>
      <c r="D2085" s="6">
        <v>16.6448801615519</v>
      </c>
      <c r="E2085" s="6" t="s">
        <v>90</v>
      </c>
      <c r="F2085" s="6" t="s">
        <v>53</v>
      </c>
      <c r="G2085" s="7">
        <v>31425.98001427314</v>
      </c>
      <c r="H2085" s="6">
        <v>523081.6712969014</v>
      </c>
      <c r="I2085" s="6" t="s">
        <v>179</v>
      </c>
      <c r="J2085" s="15">
        <v>8</v>
      </c>
    </row>
    <row r="2086" spans="1:10">
      <c r="A2086" s="6" t="s">
        <v>141</v>
      </c>
      <c r="B2086" s="6" t="s">
        <v>86</v>
      </c>
      <c r="C2086" s="6" t="s">
        <v>230</v>
      </c>
      <c r="D2086" s="6">
        <v>0.003</v>
      </c>
      <c r="E2086" s="6" t="s">
        <v>92</v>
      </c>
      <c r="F2086" s="6" t="s">
        <v>53</v>
      </c>
      <c r="G2086" s="7">
        <v>31425.98001427314</v>
      </c>
      <c r="H2086" s="6">
        <v>94.27794004281942</v>
      </c>
      <c r="I2086" s="6" t="s">
        <v>179</v>
      </c>
      <c r="J2086" s="15">
        <v>8</v>
      </c>
    </row>
    <row r="2087" spans="1:10">
      <c r="A2087" s="6" t="s">
        <v>141</v>
      </c>
      <c r="B2087" s="6" t="s">
        <v>86</v>
      </c>
      <c r="C2087" s="6" t="s">
        <v>231</v>
      </c>
      <c r="D2087" s="6">
        <v>4.686736484782243</v>
      </c>
      <c r="E2087" s="6" t="s">
        <v>44</v>
      </c>
      <c r="F2087" s="6" t="s">
        <v>52</v>
      </c>
      <c r="G2087" s="7">
        <v>92791.93151714627</v>
      </c>
      <c r="H2087" s="6">
        <v>434891.3309348248</v>
      </c>
      <c r="I2087" s="6" t="s">
        <v>179</v>
      </c>
      <c r="J2087" s="15">
        <v>46</v>
      </c>
    </row>
    <row r="2088" spans="1:10">
      <c r="A2088" s="6" t="s">
        <v>141</v>
      </c>
      <c r="B2088" s="6" t="s">
        <v>86</v>
      </c>
      <c r="C2088" s="6" t="s">
        <v>231</v>
      </c>
      <c r="D2088" s="6">
        <v>13.90281230719273</v>
      </c>
      <c r="E2088" s="6" t="s">
        <v>86</v>
      </c>
      <c r="F2088" s="6" t="s">
        <v>52</v>
      </c>
      <c r="G2088" s="7">
        <v>92791.93151714627</v>
      </c>
      <c r="H2088" s="6">
        <v>1290068.807504766</v>
      </c>
      <c r="I2088" s="6" t="s">
        <v>179</v>
      </c>
      <c r="J2088" s="15">
        <v>46</v>
      </c>
    </row>
    <row r="2089" spans="1:10">
      <c r="A2089" s="6" t="s">
        <v>141</v>
      </c>
      <c r="B2089" s="6" t="s">
        <v>86</v>
      </c>
      <c r="C2089" s="6" t="s">
        <v>231</v>
      </c>
      <c r="D2089" s="6">
        <v>1.213916666666667</v>
      </c>
      <c r="E2089" s="6" t="s">
        <v>88</v>
      </c>
      <c r="F2089" s="6" t="s">
        <v>52</v>
      </c>
      <c r="G2089" s="7">
        <v>92791.93151714627</v>
      </c>
      <c r="H2089" s="6">
        <v>112641.6722008558</v>
      </c>
      <c r="I2089" s="6" t="s">
        <v>179</v>
      </c>
      <c r="J2089" s="15">
        <v>46</v>
      </c>
    </row>
    <row r="2090" spans="1:10">
      <c r="A2090" s="6" t="s">
        <v>141</v>
      </c>
      <c r="B2090" s="6" t="s">
        <v>86</v>
      </c>
      <c r="C2090" s="6" t="s">
        <v>231</v>
      </c>
      <c r="D2090" s="6">
        <v>0.016</v>
      </c>
      <c r="E2090" s="6" t="s">
        <v>90</v>
      </c>
      <c r="F2090" s="6" t="s">
        <v>52</v>
      </c>
      <c r="G2090" s="7">
        <v>92791.93151714627</v>
      </c>
      <c r="H2090" s="6">
        <v>1484.670904274341</v>
      </c>
      <c r="I2090" s="6" t="s">
        <v>179</v>
      </c>
      <c r="J2090" s="15">
        <v>46</v>
      </c>
    </row>
    <row r="2091" spans="1:10">
      <c r="A2091" s="6" t="s">
        <v>141</v>
      </c>
      <c r="B2091" s="6" t="s">
        <v>86</v>
      </c>
      <c r="C2091" s="6" t="s">
        <v>346</v>
      </c>
      <c r="D2091" s="6">
        <v>5.098247660289356</v>
      </c>
      <c r="E2091" s="6" t="s">
        <v>44</v>
      </c>
      <c r="F2091" s="6" t="s">
        <v>52</v>
      </c>
      <c r="G2091" s="7">
        <v>91431.43065714603</v>
      </c>
      <c r="H2091" s="6">
        <v>466140.0774247033</v>
      </c>
      <c r="I2091" s="6" t="s">
        <v>179</v>
      </c>
      <c r="J2091" s="15">
        <v>46</v>
      </c>
    </row>
    <row r="2092" spans="1:10">
      <c r="A2092" s="6" t="s">
        <v>141</v>
      </c>
      <c r="B2092" s="6" t="s">
        <v>86</v>
      </c>
      <c r="C2092" s="6" t="s">
        <v>346</v>
      </c>
      <c r="D2092" s="6">
        <v>8.240404299779463</v>
      </c>
      <c r="E2092" s="6" t="s">
        <v>86</v>
      </c>
      <c r="F2092" s="6" t="s">
        <v>52</v>
      </c>
      <c r="G2092" s="7">
        <v>91431.43065714603</v>
      </c>
      <c r="H2092" s="6">
        <v>753431.954322134</v>
      </c>
      <c r="I2092" s="6" t="s">
        <v>179</v>
      </c>
      <c r="J2092" s="15">
        <v>46</v>
      </c>
    </row>
    <row r="2093" spans="1:10">
      <c r="A2093" s="6" t="s">
        <v>141</v>
      </c>
      <c r="B2093" s="6" t="s">
        <v>86</v>
      </c>
      <c r="C2093" s="6" t="s">
        <v>346</v>
      </c>
      <c r="D2093" s="6">
        <v>0.9316666666666666</v>
      </c>
      <c r="E2093" s="6" t="s">
        <v>88</v>
      </c>
      <c r="F2093" s="6" t="s">
        <v>52</v>
      </c>
      <c r="G2093" s="7">
        <v>91431.43065714603</v>
      </c>
      <c r="H2093" s="6">
        <v>85183.61622890772</v>
      </c>
      <c r="I2093" s="6" t="s">
        <v>179</v>
      </c>
      <c r="J2093" s="15">
        <v>46</v>
      </c>
    </row>
    <row r="2094" spans="1:10">
      <c r="A2094" s="6" t="s">
        <v>141</v>
      </c>
      <c r="B2094" s="6" t="s">
        <v>86</v>
      </c>
      <c r="C2094" s="6" t="s">
        <v>346</v>
      </c>
      <c r="D2094" s="6">
        <v>0.06429115853658536</v>
      </c>
      <c r="E2094" s="6" t="s">
        <v>90</v>
      </c>
      <c r="F2094" s="6" t="s">
        <v>52</v>
      </c>
      <c r="G2094" s="7">
        <v>91431.43065714603</v>
      </c>
      <c r="H2094" s="6">
        <v>5878.232603605386</v>
      </c>
      <c r="I2094" s="6" t="s">
        <v>179</v>
      </c>
      <c r="J2094" s="15">
        <v>46</v>
      </c>
    </row>
    <row r="2095" spans="1:10">
      <c r="A2095" s="6" t="s">
        <v>141</v>
      </c>
      <c r="B2095" s="6" t="s">
        <v>86</v>
      </c>
      <c r="C2095" s="6" t="s">
        <v>232</v>
      </c>
      <c r="D2095" s="6">
        <v>0.04947380084625515</v>
      </c>
      <c r="E2095" s="6" t="s">
        <v>44</v>
      </c>
      <c r="F2095" s="6" t="s">
        <v>51</v>
      </c>
      <c r="G2095" s="7">
        <v>50639.92494996203</v>
      </c>
      <c r="H2095" s="6">
        <v>2505.349561843729</v>
      </c>
      <c r="I2095" s="6" t="s">
        <v>180</v>
      </c>
      <c r="J2095" s="15">
        <v>8.457604187732773</v>
      </c>
    </row>
    <row r="2096" spans="1:10">
      <c r="A2096" s="6" t="s">
        <v>141</v>
      </c>
      <c r="B2096" s="6" t="s">
        <v>86</v>
      </c>
      <c r="C2096" s="6" t="s">
        <v>232</v>
      </c>
      <c r="D2096" s="6">
        <v>0.0009101268426137615</v>
      </c>
      <c r="E2096" s="6" t="s">
        <v>86</v>
      </c>
      <c r="F2096" s="6" t="s">
        <v>51</v>
      </c>
      <c r="G2096" s="7">
        <v>50639.92494996203</v>
      </c>
      <c r="H2096" s="6">
        <v>46.08875500490679</v>
      </c>
      <c r="I2096" s="6" t="s">
        <v>180</v>
      </c>
      <c r="J2096" s="15">
        <v>8.457604187732773</v>
      </c>
    </row>
    <row r="2097" spans="1:10">
      <c r="A2097" s="6" t="s">
        <v>141</v>
      </c>
      <c r="B2097" s="6" t="s">
        <v>86</v>
      </c>
      <c r="C2097" s="6" t="s">
        <v>233</v>
      </c>
      <c r="D2097" s="6">
        <v>168.4831457094728</v>
      </c>
      <c r="E2097" s="6" t="s">
        <v>44</v>
      </c>
      <c r="F2097" s="6" t="s">
        <v>59</v>
      </c>
      <c r="G2097" s="7">
        <v>42805.8355381377</v>
      </c>
      <c r="H2097" s="6">
        <v>7212061.826187784</v>
      </c>
      <c r="I2097" s="6" t="s">
        <v>179</v>
      </c>
      <c r="J2097" s="15">
        <v>27.26666666666667</v>
      </c>
    </row>
    <row r="2098" spans="1:10">
      <c r="A2098" s="6" t="s">
        <v>141</v>
      </c>
      <c r="B2098" s="6" t="s">
        <v>86</v>
      </c>
      <c r="C2098" s="6" t="s">
        <v>233</v>
      </c>
      <c r="D2098" s="6">
        <v>68.94943492946349</v>
      </c>
      <c r="E2098" s="6" t="s">
        <v>86</v>
      </c>
      <c r="F2098" s="6" t="s">
        <v>59</v>
      </c>
      <c r="G2098" s="7">
        <v>42805.8355381377</v>
      </c>
      <c r="H2098" s="6">
        <v>2951438.172038141</v>
      </c>
      <c r="I2098" s="6" t="s">
        <v>179</v>
      </c>
      <c r="J2098" s="15">
        <v>27.26666666666667</v>
      </c>
    </row>
    <row r="2099" spans="1:10">
      <c r="A2099" s="6" t="s">
        <v>141</v>
      </c>
      <c r="B2099" s="6" t="s">
        <v>86</v>
      </c>
      <c r="C2099" s="6" t="s">
        <v>233</v>
      </c>
      <c r="D2099" s="6">
        <v>12.224</v>
      </c>
      <c r="E2099" s="6" t="s">
        <v>88</v>
      </c>
      <c r="F2099" s="6" t="s">
        <v>59</v>
      </c>
      <c r="G2099" s="7">
        <v>42805.8355381377</v>
      </c>
      <c r="H2099" s="6">
        <v>523258.5336181953</v>
      </c>
      <c r="I2099" s="6" t="s">
        <v>179</v>
      </c>
      <c r="J2099" s="15">
        <v>27.26666666666667</v>
      </c>
    </row>
    <row r="2100" spans="1:10">
      <c r="A2100" s="6" t="s">
        <v>141</v>
      </c>
      <c r="B2100" s="6" t="s">
        <v>86</v>
      </c>
      <c r="C2100" s="6" t="s">
        <v>233</v>
      </c>
      <c r="D2100" s="6">
        <v>5.489743153127837</v>
      </c>
      <c r="E2100" s="6" t="s">
        <v>90</v>
      </c>
      <c r="F2100" s="6" t="s">
        <v>59</v>
      </c>
      <c r="G2100" s="7">
        <v>42805.8355381377</v>
      </c>
      <c r="H2100" s="6">
        <v>234993.0425594077</v>
      </c>
      <c r="I2100" s="6" t="s">
        <v>179</v>
      </c>
      <c r="J2100" s="15">
        <v>27.26666666666667</v>
      </c>
    </row>
    <row r="2101" spans="1:10">
      <c r="A2101" s="6" t="s">
        <v>141</v>
      </c>
      <c r="B2101" s="6" t="s">
        <v>86</v>
      </c>
      <c r="C2101" s="6" t="s">
        <v>234</v>
      </c>
      <c r="D2101" s="6">
        <v>75.24236013481138</v>
      </c>
      <c r="E2101" s="6" t="s">
        <v>44</v>
      </c>
      <c r="F2101" s="6" t="s">
        <v>56</v>
      </c>
      <c r="G2101" s="7">
        <v>61798.18645536575</v>
      </c>
      <c r="H2101" s="6">
        <v>4649841.400952852</v>
      </c>
      <c r="I2101" s="6" t="s">
        <v>179</v>
      </c>
      <c r="J2101" s="15">
        <v>49</v>
      </c>
    </row>
    <row r="2102" spans="1:10">
      <c r="A2102" s="6" t="s">
        <v>141</v>
      </c>
      <c r="B2102" s="6" t="s">
        <v>86</v>
      </c>
      <c r="C2102" s="6" t="s">
        <v>234</v>
      </c>
      <c r="D2102" s="6">
        <v>30.44122864332329</v>
      </c>
      <c r="E2102" s="6" t="s">
        <v>86</v>
      </c>
      <c r="F2102" s="6" t="s">
        <v>56</v>
      </c>
      <c r="G2102" s="7">
        <v>61798.18645536575</v>
      </c>
      <c r="H2102" s="6">
        <v>1881212.723630513</v>
      </c>
      <c r="I2102" s="6" t="s">
        <v>179</v>
      </c>
      <c r="J2102" s="15">
        <v>49</v>
      </c>
    </row>
    <row r="2103" spans="1:10">
      <c r="A2103" s="6" t="s">
        <v>141</v>
      </c>
      <c r="B2103" s="6" t="s">
        <v>86</v>
      </c>
      <c r="C2103" s="6" t="s">
        <v>234</v>
      </c>
      <c r="D2103" s="6">
        <v>58.19875</v>
      </c>
      <c r="E2103" s="6" t="s">
        <v>88</v>
      </c>
      <c r="F2103" s="6" t="s">
        <v>56</v>
      </c>
      <c r="G2103" s="7">
        <v>61798.18645536575</v>
      </c>
      <c r="H2103" s="6">
        <v>3596577.203969218</v>
      </c>
      <c r="I2103" s="6" t="s">
        <v>179</v>
      </c>
      <c r="J2103" s="15">
        <v>49</v>
      </c>
    </row>
    <row r="2104" spans="1:10">
      <c r="A2104" s="6" t="s">
        <v>141</v>
      </c>
      <c r="B2104" s="6" t="s">
        <v>86</v>
      </c>
      <c r="C2104" s="6" t="s">
        <v>234</v>
      </c>
      <c r="D2104" s="6">
        <v>20.07425159548234</v>
      </c>
      <c r="E2104" s="6" t="s">
        <v>90</v>
      </c>
      <c r="F2104" s="6" t="s">
        <v>56</v>
      </c>
      <c r="G2104" s="7">
        <v>61798.18645536575</v>
      </c>
      <c r="H2104" s="6">
        <v>1240552.343049541</v>
      </c>
      <c r="I2104" s="6" t="s">
        <v>179</v>
      </c>
      <c r="J2104" s="15">
        <v>49</v>
      </c>
    </row>
    <row r="2105" spans="1:10">
      <c r="A2105" s="6" t="s">
        <v>141</v>
      </c>
      <c r="B2105" s="6" t="s">
        <v>86</v>
      </c>
      <c r="C2105" s="6" t="s">
        <v>236</v>
      </c>
      <c r="D2105" s="6">
        <v>668.7174294947514</v>
      </c>
      <c r="E2105" s="6" t="s">
        <v>44</v>
      </c>
      <c r="F2105" s="6" t="s">
        <v>51</v>
      </c>
      <c r="G2105" s="7">
        <v>45192.70977200848</v>
      </c>
      <c r="H2105" s="6">
        <v>30221152.71063984</v>
      </c>
      <c r="I2105" s="6" t="s">
        <v>179</v>
      </c>
      <c r="J2105" s="15">
        <v>44.98333333333333</v>
      </c>
    </row>
    <row r="2106" spans="1:10">
      <c r="A2106" s="6" t="s">
        <v>141</v>
      </c>
      <c r="B2106" s="6" t="s">
        <v>86</v>
      </c>
      <c r="C2106" s="6" t="s">
        <v>236</v>
      </c>
      <c r="D2106" s="6">
        <v>416.3749750324148</v>
      </c>
      <c r="E2106" s="6" t="s">
        <v>86</v>
      </c>
      <c r="F2106" s="6" t="s">
        <v>51</v>
      </c>
      <c r="G2106" s="7">
        <v>45192.70977200848</v>
      </c>
      <c r="H2106" s="6">
        <v>18817113.4029672</v>
      </c>
      <c r="I2106" s="6" t="s">
        <v>179</v>
      </c>
      <c r="J2106" s="15">
        <v>44.98333333333333</v>
      </c>
    </row>
    <row r="2107" spans="1:10">
      <c r="A2107" s="6" t="s">
        <v>141</v>
      </c>
      <c r="B2107" s="6" t="s">
        <v>86</v>
      </c>
      <c r="C2107" s="6" t="s">
        <v>236</v>
      </c>
      <c r="D2107" s="6">
        <v>44.24374999999998</v>
      </c>
      <c r="E2107" s="6" t="s">
        <v>88</v>
      </c>
      <c r="F2107" s="6" t="s">
        <v>51</v>
      </c>
      <c r="G2107" s="7">
        <v>45192.70977200848</v>
      </c>
      <c r="H2107" s="6">
        <v>1999494.952975299</v>
      </c>
      <c r="I2107" s="6" t="s">
        <v>179</v>
      </c>
      <c r="J2107" s="15">
        <v>44.98333333333333</v>
      </c>
    </row>
    <row r="2108" spans="1:10">
      <c r="A2108" s="6" t="s">
        <v>141</v>
      </c>
      <c r="B2108" s="6" t="s">
        <v>86</v>
      </c>
      <c r="C2108" s="6" t="s">
        <v>236</v>
      </c>
      <c r="D2108" s="6">
        <v>92.50207369989499</v>
      </c>
      <c r="E2108" s="6" t="s">
        <v>90</v>
      </c>
      <c r="F2108" s="6" t="s">
        <v>51</v>
      </c>
      <c r="G2108" s="7">
        <v>45192.70977200848</v>
      </c>
      <c r="H2108" s="6">
        <v>4180419.370028293</v>
      </c>
      <c r="I2108" s="6" t="s">
        <v>179</v>
      </c>
      <c r="J2108" s="15">
        <v>44.98333333333333</v>
      </c>
    </row>
    <row r="2109" spans="1:10">
      <c r="A2109" s="6" t="s">
        <v>141</v>
      </c>
      <c r="B2109" s="6" t="s">
        <v>86</v>
      </c>
      <c r="C2109" s="6" t="s">
        <v>237</v>
      </c>
      <c r="D2109" s="6">
        <v>7.70117510843012</v>
      </c>
      <c r="E2109" s="6" t="s">
        <v>44</v>
      </c>
      <c r="F2109" s="6" t="s">
        <v>51</v>
      </c>
      <c r="G2109" s="7">
        <v>63094.71676521076</v>
      </c>
      <c r="H2109" s="6">
        <v>485903.4622256897</v>
      </c>
      <c r="I2109" s="6" t="s">
        <v>179</v>
      </c>
      <c r="J2109" s="15">
        <v>44</v>
      </c>
    </row>
    <row r="2110" spans="1:10">
      <c r="A2110" s="6" t="s">
        <v>141</v>
      </c>
      <c r="B2110" s="6" t="s">
        <v>86</v>
      </c>
      <c r="C2110" s="6" t="s">
        <v>237</v>
      </c>
      <c r="D2110" s="6">
        <v>0.3116204920448785</v>
      </c>
      <c r="E2110" s="6" t="s">
        <v>86</v>
      </c>
      <c r="F2110" s="6" t="s">
        <v>51</v>
      </c>
      <c r="G2110" s="7">
        <v>63094.71676521076</v>
      </c>
      <c r="H2110" s="6">
        <v>19661.60668380722</v>
      </c>
      <c r="I2110" s="6" t="s">
        <v>179</v>
      </c>
      <c r="J2110" s="15">
        <v>44</v>
      </c>
    </row>
    <row r="2111" spans="1:10">
      <c r="A2111" s="6" t="s">
        <v>141</v>
      </c>
      <c r="B2111" s="6" t="s">
        <v>86</v>
      </c>
      <c r="C2111" s="6" t="s">
        <v>237</v>
      </c>
      <c r="D2111" s="6">
        <v>0.5000000000000001</v>
      </c>
      <c r="E2111" s="6" t="s">
        <v>88</v>
      </c>
      <c r="F2111" s="6" t="s">
        <v>51</v>
      </c>
      <c r="G2111" s="7">
        <v>63094.71676521076</v>
      </c>
      <c r="H2111" s="6">
        <v>31547.35838260539</v>
      </c>
      <c r="I2111" s="6" t="s">
        <v>179</v>
      </c>
      <c r="J2111" s="15">
        <v>44</v>
      </c>
    </row>
    <row r="2112" spans="1:10">
      <c r="A2112" s="6" t="s">
        <v>141</v>
      </c>
      <c r="B2112" s="6" t="s">
        <v>86</v>
      </c>
      <c r="C2112" s="6" t="s">
        <v>238</v>
      </c>
      <c r="D2112" s="6">
        <v>0.07004034042323906</v>
      </c>
      <c r="E2112" s="6" t="s">
        <v>44</v>
      </c>
      <c r="F2112" s="6" t="s">
        <v>51</v>
      </c>
      <c r="G2112" s="7">
        <v>52817.93378501572</v>
      </c>
      <c r="H2112" s="6">
        <v>3699.386062754601</v>
      </c>
      <c r="I2112" s="6" t="s">
        <v>180</v>
      </c>
      <c r="J2112" s="15">
        <v>9.112126829525121</v>
      </c>
    </row>
    <row r="2113" spans="1:10">
      <c r="A2113" s="6" t="s">
        <v>141</v>
      </c>
      <c r="B2113" s="6" t="s">
        <v>86</v>
      </c>
      <c r="C2113" s="6" t="s">
        <v>238</v>
      </c>
      <c r="D2113" s="6">
        <v>0.0002936857176282935</v>
      </c>
      <c r="E2113" s="6" t="s">
        <v>86</v>
      </c>
      <c r="F2113" s="6" t="s">
        <v>51</v>
      </c>
      <c r="G2113" s="7">
        <v>52817.93378501572</v>
      </c>
      <c r="H2113" s="6">
        <v>15.51187278729603</v>
      </c>
      <c r="I2113" s="6" t="s">
        <v>180</v>
      </c>
      <c r="J2113" s="15">
        <v>9.112126829525121</v>
      </c>
    </row>
    <row r="2114" spans="1:10">
      <c r="A2114" s="6" t="s">
        <v>141</v>
      </c>
      <c r="B2114" s="6" t="s">
        <v>86</v>
      </c>
      <c r="C2114" s="6" t="s">
        <v>239</v>
      </c>
      <c r="D2114" s="6">
        <v>182.407366165364</v>
      </c>
      <c r="E2114" s="6" t="s">
        <v>44</v>
      </c>
      <c r="F2114" s="6" t="s">
        <v>54</v>
      </c>
      <c r="G2114" s="7">
        <v>81786.38878957105</v>
      </c>
      <c r="H2114" s="6">
        <v>14918439.7672821</v>
      </c>
      <c r="I2114" s="6" t="s">
        <v>179</v>
      </c>
      <c r="J2114" s="15">
        <v>44.55</v>
      </c>
    </row>
    <row r="2115" spans="1:10">
      <c r="A2115" s="6" t="s">
        <v>141</v>
      </c>
      <c r="B2115" s="6" t="s">
        <v>86</v>
      </c>
      <c r="C2115" s="6" t="s">
        <v>239</v>
      </c>
      <c r="D2115" s="6">
        <v>116.1456993424043</v>
      </c>
      <c r="E2115" s="6" t="s">
        <v>86</v>
      </c>
      <c r="F2115" s="6" t="s">
        <v>54</v>
      </c>
      <c r="G2115" s="7">
        <v>81786.38878957105</v>
      </c>
      <c r="H2115" s="6">
        <v>9499137.322654506</v>
      </c>
      <c r="I2115" s="6" t="s">
        <v>179</v>
      </c>
      <c r="J2115" s="15">
        <v>44.55</v>
      </c>
    </row>
    <row r="2116" spans="1:10">
      <c r="A2116" s="6" t="s">
        <v>141</v>
      </c>
      <c r="B2116" s="6" t="s">
        <v>86</v>
      </c>
      <c r="C2116" s="6" t="s">
        <v>239</v>
      </c>
      <c r="D2116" s="6">
        <v>61.64408333333333</v>
      </c>
      <c r="E2116" s="6" t="s">
        <v>88</v>
      </c>
      <c r="F2116" s="6" t="s">
        <v>54</v>
      </c>
      <c r="G2116" s="7">
        <v>81786.38878957105</v>
      </c>
      <c r="H2116" s="6">
        <v>5041646.966076717</v>
      </c>
      <c r="I2116" s="6" t="s">
        <v>179</v>
      </c>
      <c r="J2116" s="15">
        <v>44.55</v>
      </c>
    </row>
    <row r="2117" spans="1:10">
      <c r="A2117" s="6" t="s">
        <v>141</v>
      </c>
      <c r="B2117" s="6" t="s">
        <v>86</v>
      </c>
      <c r="C2117" s="6" t="s">
        <v>239</v>
      </c>
      <c r="D2117" s="6">
        <v>19.96611287097594</v>
      </c>
      <c r="E2117" s="6" t="s">
        <v>90</v>
      </c>
      <c r="F2117" s="6" t="s">
        <v>54</v>
      </c>
      <c r="G2117" s="7">
        <v>81786.38878957105</v>
      </c>
      <c r="H2117" s="6">
        <v>1632956.269882097</v>
      </c>
      <c r="I2117" s="6" t="s">
        <v>179</v>
      </c>
      <c r="J2117" s="15">
        <v>44.55</v>
      </c>
    </row>
    <row r="2118" spans="1:10">
      <c r="A2118" s="6" t="s">
        <v>141</v>
      </c>
      <c r="B2118" s="6" t="s">
        <v>86</v>
      </c>
      <c r="C2118" s="6" t="s">
        <v>347</v>
      </c>
      <c r="D2118" s="6">
        <v>1.398333333333333</v>
      </c>
      <c r="E2118" s="6" t="s">
        <v>44</v>
      </c>
      <c r="F2118" s="6" t="s">
        <v>52</v>
      </c>
      <c r="G2118" s="7">
        <v>92106.23004185398</v>
      </c>
      <c r="H2118" s="6">
        <v>128795.2116751925</v>
      </c>
      <c r="I2118" s="6" t="s">
        <v>179</v>
      </c>
      <c r="J2118" s="15">
        <v>69.23333333333333</v>
      </c>
    </row>
    <row r="2119" spans="1:10">
      <c r="A2119" s="6" t="s">
        <v>141</v>
      </c>
      <c r="B2119" s="6" t="s">
        <v>86</v>
      </c>
      <c r="C2119" s="6" t="s">
        <v>347</v>
      </c>
      <c r="D2119" s="6">
        <v>1.9025</v>
      </c>
      <c r="E2119" s="6" t="s">
        <v>86</v>
      </c>
      <c r="F2119" s="6" t="s">
        <v>52</v>
      </c>
      <c r="G2119" s="7">
        <v>92106.23004185398</v>
      </c>
      <c r="H2119" s="6">
        <v>175232.1026546272</v>
      </c>
      <c r="I2119" s="6" t="s">
        <v>179</v>
      </c>
      <c r="J2119" s="15">
        <v>69.23333333333333</v>
      </c>
    </row>
    <row r="2120" spans="1:10">
      <c r="A2120" s="6" t="s">
        <v>141</v>
      </c>
      <c r="B2120" s="6" t="s">
        <v>86</v>
      </c>
      <c r="C2120" s="6" t="s">
        <v>240</v>
      </c>
      <c r="D2120" s="6">
        <v>0.1204610380951315</v>
      </c>
      <c r="E2120" s="6" t="s">
        <v>44</v>
      </c>
      <c r="F2120" s="6" t="s">
        <v>51</v>
      </c>
      <c r="G2120" s="7">
        <v>53422.25984326284</v>
      </c>
      <c r="H2120" s="6">
        <v>6435.3008781073</v>
      </c>
      <c r="I2120" s="6" t="s">
        <v>180</v>
      </c>
      <c r="J2120" s="15">
        <v>9.293735407865949</v>
      </c>
    </row>
    <row r="2121" spans="1:10">
      <c r="A2121" s="6" t="s">
        <v>141</v>
      </c>
      <c r="B2121" s="6" t="s">
        <v>86</v>
      </c>
      <c r="C2121" s="6" t="s">
        <v>240</v>
      </c>
      <c r="D2121" s="6">
        <v>0.001684298207331812</v>
      </c>
      <c r="E2121" s="6" t="s">
        <v>86</v>
      </c>
      <c r="F2121" s="6" t="s">
        <v>51</v>
      </c>
      <c r="G2121" s="7">
        <v>53422.25984326284</v>
      </c>
      <c r="H2121" s="6">
        <v>89.97901648562181</v>
      </c>
      <c r="I2121" s="6" t="s">
        <v>180</v>
      </c>
      <c r="J2121" s="15">
        <v>9.293735407865949</v>
      </c>
    </row>
    <row r="2122" spans="1:10">
      <c r="A2122" s="6" t="s">
        <v>141</v>
      </c>
      <c r="B2122" s="6" t="s">
        <v>86</v>
      </c>
      <c r="C2122" s="6" t="s">
        <v>241</v>
      </c>
      <c r="D2122" s="6">
        <v>114.5730733006581</v>
      </c>
      <c r="E2122" s="6" t="s">
        <v>44</v>
      </c>
      <c r="F2122" s="6" t="s">
        <v>53</v>
      </c>
      <c r="G2122" s="7">
        <v>43071.21343853512</v>
      </c>
      <c r="H2122" s="6">
        <v>4934801.294441574</v>
      </c>
      <c r="I2122" s="6" t="s">
        <v>179</v>
      </c>
      <c r="J2122" s="15">
        <v>8.983333333333333</v>
      </c>
    </row>
    <row r="2123" spans="1:10">
      <c r="A2123" s="6" t="s">
        <v>141</v>
      </c>
      <c r="B2123" s="6" t="s">
        <v>86</v>
      </c>
      <c r="C2123" s="6" t="s">
        <v>241</v>
      </c>
      <c r="D2123" s="6">
        <v>39.74463247699819</v>
      </c>
      <c r="E2123" s="6" t="s">
        <v>86</v>
      </c>
      <c r="F2123" s="6" t="s">
        <v>53</v>
      </c>
      <c r="G2123" s="7">
        <v>43071.21343853512</v>
      </c>
      <c r="H2123" s="6">
        <v>1711849.548452924</v>
      </c>
      <c r="I2123" s="6" t="s">
        <v>179</v>
      </c>
      <c r="J2123" s="15">
        <v>8.983333333333333</v>
      </c>
    </row>
    <row r="2124" spans="1:10">
      <c r="A2124" s="6" t="s">
        <v>141</v>
      </c>
      <c r="B2124" s="6" t="s">
        <v>86</v>
      </c>
      <c r="C2124" s="6" t="s">
        <v>241</v>
      </c>
      <c r="D2124" s="6">
        <v>31.4855</v>
      </c>
      <c r="E2124" s="6" t="s">
        <v>88</v>
      </c>
      <c r="F2124" s="6" t="s">
        <v>53</v>
      </c>
      <c r="G2124" s="7">
        <v>43071.21343853512</v>
      </c>
      <c r="H2124" s="6">
        <v>1356118.690718998</v>
      </c>
      <c r="I2124" s="6" t="s">
        <v>179</v>
      </c>
      <c r="J2124" s="15">
        <v>8.983333333333333</v>
      </c>
    </row>
    <row r="2125" spans="1:10">
      <c r="A2125" s="6" t="s">
        <v>141</v>
      </c>
      <c r="B2125" s="6" t="s">
        <v>86</v>
      </c>
      <c r="C2125" s="6" t="s">
        <v>241</v>
      </c>
      <c r="D2125" s="6">
        <v>7.653223405455241</v>
      </c>
      <c r="E2125" s="6" t="s">
        <v>90</v>
      </c>
      <c r="F2125" s="6" t="s">
        <v>53</v>
      </c>
      <c r="G2125" s="7">
        <v>43071.21343853512</v>
      </c>
      <c r="H2125" s="6">
        <v>329633.6187891553</v>
      </c>
      <c r="I2125" s="6" t="s">
        <v>179</v>
      </c>
      <c r="J2125" s="15">
        <v>8.983333333333333</v>
      </c>
    </row>
    <row r="2126" spans="1:10">
      <c r="A2126" s="6" t="s">
        <v>141</v>
      </c>
      <c r="B2126" s="6" t="s">
        <v>86</v>
      </c>
      <c r="C2126" s="6" t="s">
        <v>242</v>
      </c>
      <c r="D2126" s="6">
        <v>347.9867353913716</v>
      </c>
      <c r="E2126" s="6" t="s">
        <v>44</v>
      </c>
      <c r="F2126" s="6" t="s">
        <v>56</v>
      </c>
      <c r="G2126" s="7">
        <v>57221.26624687723</v>
      </c>
      <c r="H2126" s="6">
        <v>19912241.63621129</v>
      </c>
      <c r="I2126" s="6" t="s">
        <v>179</v>
      </c>
      <c r="J2126" s="15">
        <v>35.83333333333333</v>
      </c>
    </row>
    <row r="2127" spans="1:10">
      <c r="A2127" s="6" t="s">
        <v>141</v>
      </c>
      <c r="B2127" s="6" t="s">
        <v>86</v>
      </c>
      <c r="C2127" s="6" t="s">
        <v>242</v>
      </c>
      <c r="D2127" s="6">
        <v>191.4446605269737</v>
      </c>
      <c r="E2127" s="6" t="s">
        <v>86</v>
      </c>
      <c r="F2127" s="6" t="s">
        <v>56</v>
      </c>
      <c r="G2127" s="7">
        <v>57221.26624687723</v>
      </c>
      <c r="H2127" s="6">
        <v>10954705.89155699</v>
      </c>
      <c r="I2127" s="6" t="s">
        <v>179</v>
      </c>
      <c r="J2127" s="15">
        <v>35.83333333333333</v>
      </c>
    </row>
    <row r="2128" spans="1:10">
      <c r="A2128" s="6" t="s">
        <v>141</v>
      </c>
      <c r="B2128" s="6" t="s">
        <v>86</v>
      </c>
      <c r="C2128" s="6" t="s">
        <v>242</v>
      </c>
      <c r="D2128" s="6">
        <v>88.85841666666667</v>
      </c>
      <c r="E2128" s="6" t="s">
        <v>88</v>
      </c>
      <c r="F2128" s="6" t="s">
        <v>56</v>
      </c>
      <c r="G2128" s="7">
        <v>57221.26624687723</v>
      </c>
      <c r="H2128" s="6">
        <v>5084591.118359287</v>
      </c>
      <c r="I2128" s="6" t="s">
        <v>179</v>
      </c>
      <c r="J2128" s="15">
        <v>35.83333333333333</v>
      </c>
    </row>
    <row r="2129" spans="1:10">
      <c r="A2129" s="6" t="s">
        <v>141</v>
      </c>
      <c r="B2129" s="6" t="s">
        <v>86</v>
      </c>
      <c r="C2129" s="6" t="s">
        <v>242</v>
      </c>
      <c r="D2129" s="6">
        <v>75.19368772941556</v>
      </c>
      <c r="E2129" s="6" t="s">
        <v>90</v>
      </c>
      <c r="F2129" s="6" t="s">
        <v>56</v>
      </c>
      <c r="G2129" s="7">
        <v>57221.26624687723</v>
      </c>
      <c r="H2129" s="6">
        <v>4302678.025649433</v>
      </c>
      <c r="I2129" s="6" t="s">
        <v>179</v>
      </c>
      <c r="J2129" s="15">
        <v>35.83333333333333</v>
      </c>
    </row>
    <row r="2130" spans="1:10">
      <c r="A2130" s="6" t="s">
        <v>141</v>
      </c>
      <c r="B2130" s="6" t="s">
        <v>86</v>
      </c>
      <c r="C2130" s="6" t="s">
        <v>243</v>
      </c>
      <c r="D2130" s="6">
        <v>0.05663083555111998</v>
      </c>
      <c r="E2130" s="6" t="s">
        <v>44</v>
      </c>
      <c r="F2130" s="6" t="s">
        <v>58</v>
      </c>
      <c r="G2130" s="7">
        <v>65690.85748623914</v>
      </c>
      <c r="H2130" s="6">
        <v>3720.128147515268</v>
      </c>
      <c r="I2130" s="6" t="s">
        <v>180</v>
      </c>
      <c r="J2130" s="15">
        <v>12.98062354676108</v>
      </c>
    </row>
    <row r="2131" spans="1:10">
      <c r="A2131" s="6" t="s">
        <v>141</v>
      </c>
      <c r="B2131" s="6" t="s">
        <v>86</v>
      </c>
      <c r="C2131" s="6" t="s">
        <v>243</v>
      </c>
      <c r="D2131" s="6">
        <v>0.001616350632069195</v>
      </c>
      <c r="E2131" s="6" t="s">
        <v>86</v>
      </c>
      <c r="F2131" s="6" t="s">
        <v>58</v>
      </c>
      <c r="G2131" s="7">
        <v>65690.85748623914</v>
      </c>
      <c r="H2131" s="6">
        <v>106.17945901905</v>
      </c>
      <c r="I2131" s="6" t="s">
        <v>180</v>
      </c>
      <c r="J2131" s="15">
        <v>12.98062354676108</v>
      </c>
    </row>
    <row r="2132" spans="1:10">
      <c r="A2132" s="6" t="s">
        <v>141</v>
      </c>
      <c r="B2132" s="6" t="s">
        <v>86</v>
      </c>
      <c r="C2132" s="6" t="s">
        <v>245</v>
      </c>
      <c r="D2132" s="6">
        <v>109.9152180949828</v>
      </c>
      <c r="E2132" s="6" t="s">
        <v>44</v>
      </c>
      <c r="F2132" s="6" t="s">
        <v>53</v>
      </c>
      <c r="G2132" s="7">
        <v>25664.32175307323</v>
      </c>
      <c r="H2132" s="6">
        <v>2820899.522748854</v>
      </c>
      <c r="I2132" s="6" t="s">
        <v>179</v>
      </c>
      <c r="J2132" s="15">
        <v>6.05</v>
      </c>
    </row>
    <row r="2133" spans="1:10">
      <c r="A2133" s="6" t="s">
        <v>141</v>
      </c>
      <c r="B2133" s="6" t="s">
        <v>86</v>
      </c>
      <c r="C2133" s="6" t="s">
        <v>245</v>
      </c>
      <c r="D2133" s="6">
        <v>81.49802001847995</v>
      </c>
      <c r="E2133" s="6" t="s">
        <v>86</v>
      </c>
      <c r="F2133" s="6" t="s">
        <v>53</v>
      </c>
      <c r="G2133" s="7">
        <v>25664.32175307323</v>
      </c>
      <c r="H2133" s="6">
        <v>2091591.407992672</v>
      </c>
      <c r="I2133" s="6" t="s">
        <v>179</v>
      </c>
      <c r="J2133" s="15">
        <v>6.05</v>
      </c>
    </row>
    <row r="2134" spans="1:10">
      <c r="A2134" s="6" t="s">
        <v>141</v>
      </c>
      <c r="B2134" s="6" t="s">
        <v>86</v>
      </c>
      <c r="C2134" s="6" t="s">
        <v>245</v>
      </c>
      <c r="D2134" s="6">
        <v>33.36266666666667</v>
      </c>
      <c r="E2134" s="6" t="s">
        <v>88</v>
      </c>
      <c r="F2134" s="6" t="s">
        <v>53</v>
      </c>
      <c r="G2134" s="7">
        <v>25664.32175307323</v>
      </c>
      <c r="H2134" s="6">
        <v>856230.2118738644</v>
      </c>
      <c r="I2134" s="6" t="s">
        <v>179</v>
      </c>
      <c r="J2134" s="15">
        <v>6.05</v>
      </c>
    </row>
    <row r="2135" spans="1:10">
      <c r="A2135" s="6" t="s">
        <v>141</v>
      </c>
      <c r="B2135" s="6" t="s">
        <v>86</v>
      </c>
      <c r="C2135" s="6" t="s">
        <v>245</v>
      </c>
      <c r="D2135" s="6">
        <v>3.313</v>
      </c>
      <c r="E2135" s="6" t="s">
        <v>90</v>
      </c>
      <c r="F2135" s="6" t="s">
        <v>53</v>
      </c>
      <c r="G2135" s="7">
        <v>25664.32175307323</v>
      </c>
      <c r="H2135" s="6">
        <v>85025.89796793158</v>
      </c>
      <c r="I2135" s="6" t="s">
        <v>179</v>
      </c>
      <c r="J2135" s="15">
        <v>6.05</v>
      </c>
    </row>
    <row r="2136" spans="1:10">
      <c r="A2136" s="6" t="s">
        <v>141</v>
      </c>
      <c r="B2136" s="6" t="s">
        <v>86</v>
      </c>
      <c r="C2136" s="6" t="s">
        <v>245</v>
      </c>
      <c r="D2136" s="6">
        <v>0.1956666666666667</v>
      </c>
      <c r="E2136" s="6" t="s">
        <v>92</v>
      </c>
      <c r="F2136" s="6" t="s">
        <v>53</v>
      </c>
      <c r="G2136" s="7">
        <v>25664.32175307323</v>
      </c>
      <c r="H2136" s="6">
        <v>5021.652289684661</v>
      </c>
      <c r="I2136" s="6" t="s">
        <v>179</v>
      </c>
      <c r="J2136" s="15">
        <v>6.05</v>
      </c>
    </row>
    <row r="2137" spans="1:10">
      <c r="A2137" s="6" t="s">
        <v>141</v>
      </c>
      <c r="B2137" s="6" t="s">
        <v>86</v>
      </c>
      <c r="C2137" s="6" t="s">
        <v>348</v>
      </c>
      <c r="D2137" s="6">
        <v>2.400567770838487</v>
      </c>
      <c r="E2137" s="6" t="s">
        <v>44</v>
      </c>
      <c r="F2137" s="6" t="s">
        <v>52</v>
      </c>
      <c r="G2137" s="7">
        <v>86810.6381175656</v>
      </c>
      <c r="H2137" s="6">
        <v>208394.8200309511</v>
      </c>
      <c r="I2137" s="6" t="s">
        <v>179</v>
      </c>
      <c r="J2137" s="15">
        <v>67</v>
      </c>
    </row>
    <row r="2138" spans="1:10">
      <c r="A2138" s="6" t="s">
        <v>141</v>
      </c>
      <c r="B2138" s="6" t="s">
        <v>86</v>
      </c>
      <c r="C2138" s="6" t="s">
        <v>348</v>
      </c>
      <c r="D2138" s="6">
        <v>101.7696835337055</v>
      </c>
      <c r="E2138" s="6" t="s">
        <v>86</v>
      </c>
      <c r="F2138" s="6" t="s">
        <v>52</v>
      </c>
      <c r="G2138" s="7">
        <v>86810.6381175656</v>
      </c>
      <c r="H2138" s="6">
        <v>8834691.16858368</v>
      </c>
      <c r="I2138" s="6" t="s">
        <v>179</v>
      </c>
      <c r="J2138" s="15">
        <v>67</v>
      </c>
    </row>
    <row r="2139" spans="1:10">
      <c r="A2139" s="6" t="s">
        <v>141</v>
      </c>
      <c r="B2139" s="6" t="s">
        <v>86</v>
      </c>
      <c r="C2139" s="6" t="s">
        <v>348</v>
      </c>
      <c r="D2139" s="6">
        <v>24.28499999999999</v>
      </c>
      <c r="E2139" s="6" t="s">
        <v>88</v>
      </c>
      <c r="F2139" s="6" t="s">
        <v>52</v>
      </c>
      <c r="G2139" s="7">
        <v>86810.6381175656</v>
      </c>
      <c r="H2139" s="6">
        <v>2108196.34668508</v>
      </c>
      <c r="I2139" s="6" t="s">
        <v>179</v>
      </c>
      <c r="J2139" s="15">
        <v>67</v>
      </c>
    </row>
    <row r="2140" spans="1:10">
      <c r="A2140" s="6" t="s">
        <v>141</v>
      </c>
      <c r="B2140" s="6" t="s">
        <v>86</v>
      </c>
      <c r="C2140" s="6" t="s">
        <v>348</v>
      </c>
      <c r="D2140" s="6">
        <v>8.86049049873472</v>
      </c>
      <c r="E2140" s="6" t="s">
        <v>90</v>
      </c>
      <c r="F2140" s="6" t="s">
        <v>52</v>
      </c>
      <c r="G2140" s="7">
        <v>86810.6381175656</v>
      </c>
      <c r="H2140" s="6">
        <v>769184.834229788</v>
      </c>
      <c r="I2140" s="6" t="s">
        <v>179</v>
      </c>
      <c r="J2140" s="15">
        <v>67</v>
      </c>
    </row>
    <row r="2141" spans="1:10">
      <c r="A2141" s="6" t="s">
        <v>141</v>
      </c>
      <c r="B2141" s="6" t="s">
        <v>86</v>
      </c>
      <c r="C2141" s="6" t="s">
        <v>349</v>
      </c>
      <c r="D2141" s="6">
        <v>11.19583333333333</v>
      </c>
      <c r="E2141" s="6" t="s">
        <v>44</v>
      </c>
      <c r="F2141" s="6" t="s">
        <v>52</v>
      </c>
      <c r="G2141" s="7">
        <v>82458.24923772043</v>
      </c>
      <c r="H2141" s="6">
        <v>923188.8154239783</v>
      </c>
      <c r="I2141" s="6" t="s">
        <v>179</v>
      </c>
      <c r="J2141" s="15">
        <v>81.75</v>
      </c>
    </row>
    <row r="2142" spans="1:10">
      <c r="A2142" s="6" t="s">
        <v>141</v>
      </c>
      <c r="B2142" s="6" t="s">
        <v>86</v>
      </c>
      <c r="C2142" s="6" t="s">
        <v>349</v>
      </c>
      <c r="D2142" s="6">
        <v>4.857916666666667</v>
      </c>
      <c r="E2142" s="6" t="s">
        <v>86</v>
      </c>
      <c r="F2142" s="6" t="s">
        <v>52</v>
      </c>
      <c r="G2142" s="7">
        <v>82458.24923772043</v>
      </c>
      <c r="H2142" s="6">
        <v>400575.3032760761</v>
      </c>
      <c r="I2142" s="6" t="s">
        <v>179</v>
      </c>
      <c r="J2142" s="15">
        <v>81.75</v>
      </c>
    </row>
    <row r="2143" spans="1:10">
      <c r="A2143" s="6" t="s">
        <v>141</v>
      </c>
      <c r="B2143" s="6" t="s">
        <v>86</v>
      </c>
      <c r="C2143" s="6" t="s">
        <v>349</v>
      </c>
      <c r="D2143" s="6">
        <v>1.246333333333333</v>
      </c>
      <c r="E2143" s="6" t="s">
        <v>88</v>
      </c>
      <c r="F2143" s="6" t="s">
        <v>52</v>
      </c>
      <c r="G2143" s="7">
        <v>82458.24923772043</v>
      </c>
      <c r="H2143" s="6">
        <v>102770.4646332789</v>
      </c>
      <c r="I2143" s="6" t="s">
        <v>179</v>
      </c>
      <c r="J2143" s="15">
        <v>81.75</v>
      </c>
    </row>
    <row r="2144" spans="1:10">
      <c r="A2144" s="6" t="s">
        <v>141</v>
      </c>
      <c r="B2144" s="6" t="s">
        <v>86</v>
      </c>
      <c r="C2144" s="6" t="s">
        <v>350</v>
      </c>
      <c r="D2144" s="6">
        <v>34.47208333333333</v>
      </c>
      <c r="E2144" s="6" t="s">
        <v>86</v>
      </c>
      <c r="F2144" s="6" t="s">
        <v>52</v>
      </c>
      <c r="G2144" s="7">
        <v>85975.84978182829</v>
      </c>
      <c r="H2144" s="6">
        <v>2963766.658333333</v>
      </c>
      <c r="I2144" s="6" t="s">
        <v>179</v>
      </c>
      <c r="J2144" s="15">
        <v>60.49166666666667</v>
      </c>
    </row>
    <row r="2145" spans="1:10">
      <c r="A2145" s="6" t="s">
        <v>141</v>
      </c>
      <c r="B2145" s="6" t="s">
        <v>86</v>
      </c>
      <c r="C2145" s="6" t="s">
        <v>247</v>
      </c>
      <c r="D2145" s="6">
        <v>176.0629898147126</v>
      </c>
      <c r="E2145" s="6" t="s">
        <v>44</v>
      </c>
      <c r="F2145" s="6" t="s">
        <v>51</v>
      </c>
      <c r="G2145" s="7">
        <v>47796.79242260937</v>
      </c>
      <c r="H2145" s="6">
        <v>8415246.177477807</v>
      </c>
      <c r="I2145" s="6" t="s">
        <v>179</v>
      </c>
      <c r="J2145" s="15">
        <v>27.70833333333334</v>
      </c>
    </row>
    <row r="2146" spans="1:10">
      <c r="A2146" s="6" t="s">
        <v>141</v>
      </c>
      <c r="B2146" s="6" t="s">
        <v>86</v>
      </c>
      <c r="C2146" s="6" t="s">
        <v>247</v>
      </c>
      <c r="D2146" s="6">
        <v>138.7061331233367</v>
      </c>
      <c r="E2146" s="6" t="s">
        <v>86</v>
      </c>
      <c r="F2146" s="6" t="s">
        <v>51</v>
      </c>
      <c r="G2146" s="7">
        <v>47796.79242260937</v>
      </c>
      <c r="H2146" s="6">
        <v>6629708.252638947</v>
      </c>
      <c r="I2146" s="6" t="s">
        <v>179</v>
      </c>
      <c r="J2146" s="15">
        <v>27.70833333333334</v>
      </c>
    </row>
    <row r="2147" spans="1:10">
      <c r="A2147" s="6" t="s">
        <v>141</v>
      </c>
      <c r="B2147" s="6" t="s">
        <v>86</v>
      </c>
      <c r="C2147" s="6" t="s">
        <v>247</v>
      </c>
      <c r="D2147" s="6">
        <v>30.11066666666667</v>
      </c>
      <c r="E2147" s="6" t="s">
        <v>88</v>
      </c>
      <c r="F2147" s="6" t="s">
        <v>51</v>
      </c>
      <c r="G2147" s="7">
        <v>47796.79242260937</v>
      </c>
      <c r="H2147" s="6">
        <v>1439193.28437305</v>
      </c>
      <c r="I2147" s="6" t="s">
        <v>179</v>
      </c>
      <c r="J2147" s="15">
        <v>27.70833333333334</v>
      </c>
    </row>
    <row r="2148" spans="1:10">
      <c r="A2148" s="6" t="s">
        <v>141</v>
      </c>
      <c r="B2148" s="6" t="s">
        <v>86</v>
      </c>
      <c r="C2148" s="6" t="s">
        <v>247</v>
      </c>
      <c r="D2148" s="6">
        <v>13.86718512380859</v>
      </c>
      <c r="E2148" s="6" t="s">
        <v>90</v>
      </c>
      <c r="F2148" s="6" t="s">
        <v>51</v>
      </c>
      <c r="G2148" s="7">
        <v>47796.79242260937</v>
      </c>
      <c r="H2148" s="6">
        <v>662806.968848576</v>
      </c>
      <c r="I2148" s="6" t="s">
        <v>179</v>
      </c>
      <c r="J2148" s="15">
        <v>27.70833333333334</v>
      </c>
    </row>
    <row r="2149" spans="1:10">
      <c r="A2149" s="6" t="s">
        <v>141</v>
      </c>
      <c r="B2149" s="6" t="s">
        <v>86</v>
      </c>
      <c r="C2149" s="6" t="s">
        <v>248</v>
      </c>
      <c r="D2149" s="6">
        <v>37.14803472052439</v>
      </c>
      <c r="E2149" s="6" t="s">
        <v>44</v>
      </c>
      <c r="F2149" s="6" t="s">
        <v>55</v>
      </c>
      <c r="G2149" s="7">
        <v>106714.629788976</v>
      </c>
      <c r="H2149" s="6">
        <v>3964238.772588789</v>
      </c>
      <c r="I2149" s="6" t="s">
        <v>179</v>
      </c>
      <c r="J2149" s="15">
        <v>59</v>
      </c>
    </row>
    <row r="2150" spans="1:10">
      <c r="A2150" s="6" t="s">
        <v>141</v>
      </c>
      <c r="B2150" s="6" t="s">
        <v>86</v>
      </c>
      <c r="C2150" s="6" t="s">
        <v>248</v>
      </c>
      <c r="D2150" s="6">
        <v>0.723162612972251</v>
      </c>
      <c r="E2150" s="6" t="s">
        <v>86</v>
      </c>
      <c r="F2150" s="6" t="s">
        <v>55</v>
      </c>
      <c r="G2150" s="7">
        <v>106714.629788976</v>
      </c>
      <c r="H2150" s="6">
        <v>77172.03052056233</v>
      </c>
      <c r="I2150" s="6" t="s">
        <v>179</v>
      </c>
      <c r="J2150" s="15">
        <v>59</v>
      </c>
    </row>
    <row r="2151" spans="1:10">
      <c r="A2151" s="6" t="s">
        <v>141</v>
      </c>
      <c r="B2151" s="6" t="s">
        <v>86</v>
      </c>
      <c r="C2151" s="6" t="s">
        <v>248</v>
      </c>
      <c r="D2151" s="6">
        <v>1.75475</v>
      </c>
      <c r="E2151" s="6" t="s">
        <v>88</v>
      </c>
      <c r="F2151" s="6" t="s">
        <v>55</v>
      </c>
      <c r="G2151" s="7">
        <v>106714.629788976</v>
      </c>
      <c r="H2151" s="6">
        <v>187257.4966222057</v>
      </c>
      <c r="I2151" s="6" t="s">
        <v>179</v>
      </c>
      <c r="J2151" s="15">
        <v>59</v>
      </c>
    </row>
    <row r="2152" spans="1:10">
      <c r="A2152" s="6" t="s">
        <v>141</v>
      </c>
      <c r="B2152" s="6" t="s">
        <v>86</v>
      </c>
      <c r="C2152" s="6" t="s">
        <v>248</v>
      </c>
      <c r="D2152" s="6">
        <v>2.340192695567095</v>
      </c>
      <c r="E2152" s="6" t="s">
        <v>90</v>
      </c>
      <c r="F2152" s="6" t="s">
        <v>55</v>
      </c>
      <c r="G2152" s="7">
        <v>106714.629788976</v>
      </c>
      <c r="H2152" s="6">
        <v>249732.7971423085</v>
      </c>
      <c r="I2152" s="6" t="s">
        <v>179</v>
      </c>
      <c r="J2152" s="15">
        <v>59</v>
      </c>
    </row>
    <row r="2153" spans="1:10">
      <c r="A2153" s="6" t="s">
        <v>141</v>
      </c>
      <c r="B2153" s="6" t="s">
        <v>86</v>
      </c>
      <c r="C2153" s="6" t="s">
        <v>249</v>
      </c>
      <c r="D2153" s="6">
        <v>909.6055214748699</v>
      </c>
      <c r="E2153" s="6" t="s">
        <v>44</v>
      </c>
      <c r="F2153" s="6" t="s">
        <v>53</v>
      </c>
      <c r="G2153" s="7">
        <v>26147.16905457934</v>
      </c>
      <c r="H2153" s="6">
        <v>23783609.34298222</v>
      </c>
      <c r="I2153" s="6" t="s">
        <v>179</v>
      </c>
      <c r="J2153" s="15">
        <v>8</v>
      </c>
    </row>
    <row r="2154" spans="1:10">
      <c r="A2154" s="6" t="s">
        <v>141</v>
      </c>
      <c r="B2154" s="6" t="s">
        <v>86</v>
      </c>
      <c r="C2154" s="6" t="s">
        <v>249</v>
      </c>
      <c r="D2154" s="6">
        <v>235.7377259964138</v>
      </c>
      <c r="E2154" s="6" t="s">
        <v>86</v>
      </c>
      <c r="F2154" s="6" t="s">
        <v>53</v>
      </c>
      <c r="G2154" s="7">
        <v>26147.16905457934</v>
      </c>
      <c r="H2154" s="6">
        <v>6163874.174170335</v>
      </c>
      <c r="I2154" s="6" t="s">
        <v>179</v>
      </c>
      <c r="J2154" s="15">
        <v>8</v>
      </c>
    </row>
    <row r="2155" spans="1:10">
      <c r="A2155" s="6" t="s">
        <v>141</v>
      </c>
      <c r="B2155" s="6" t="s">
        <v>86</v>
      </c>
      <c r="C2155" s="6" t="s">
        <v>249</v>
      </c>
      <c r="D2155" s="6">
        <v>121.5033333333333</v>
      </c>
      <c r="E2155" s="6" t="s">
        <v>88</v>
      </c>
      <c r="F2155" s="6" t="s">
        <v>53</v>
      </c>
      <c r="G2155" s="7">
        <v>26147.16905457934</v>
      </c>
      <c r="H2155" s="6">
        <v>3176968.197361571</v>
      </c>
      <c r="I2155" s="6" t="s">
        <v>179</v>
      </c>
      <c r="J2155" s="15">
        <v>8</v>
      </c>
    </row>
    <row r="2156" spans="1:10">
      <c r="A2156" s="6" t="s">
        <v>141</v>
      </c>
      <c r="B2156" s="6" t="s">
        <v>86</v>
      </c>
      <c r="C2156" s="6" t="s">
        <v>249</v>
      </c>
      <c r="D2156" s="6">
        <v>39.6922312149023</v>
      </c>
      <c r="E2156" s="6" t="s">
        <v>90</v>
      </c>
      <c r="F2156" s="6" t="s">
        <v>53</v>
      </c>
      <c r="G2156" s="7">
        <v>26147.16905457934</v>
      </c>
      <c r="H2156" s="6">
        <v>1037839.479729501</v>
      </c>
      <c r="I2156" s="6" t="s">
        <v>179</v>
      </c>
      <c r="J2156" s="15">
        <v>8</v>
      </c>
    </row>
    <row r="2157" spans="1:10">
      <c r="A2157" s="6" t="s">
        <v>141</v>
      </c>
      <c r="B2157" s="6" t="s">
        <v>86</v>
      </c>
      <c r="C2157" s="6" t="s">
        <v>249</v>
      </c>
      <c r="D2157" s="6">
        <v>1.7325</v>
      </c>
      <c r="E2157" s="6" t="s">
        <v>92</v>
      </c>
      <c r="F2157" s="6" t="s">
        <v>53</v>
      </c>
      <c r="G2157" s="7">
        <v>26147.16905457934</v>
      </c>
      <c r="H2157" s="6">
        <v>45299.9703870587</v>
      </c>
      <c r="I2157" s="6" t="s">
        <v>179</v>
      </c>
      <c r="J2157" s="15">
        <v>8</v>
      </c>
    </row>
    <row r="2158" spans="1:10">
      <c r="A2158" s="6" t="s">
        <v>141</v>
      </c>
      <c r="B2158" s="6" t="s">
        <v>86</v>
      </c>
      <c r="C2158" s="6" t="s">
        <v>351</v>
      </c>
      <c r="D2158" s="6">
        <v>8.927666666666667</v>
      </c>
      <c r="E2158" s="6" t="s">
        <v>44</v>
      </c>
      <c r="F2158" s="6" t="s">
        <v>53</v>
      </c>
      <c r="G2158" s="7">
        <v>56922.31407124049</v>
      </c>
      <c r="H2158" s="6">
        <v>508183.4459233446</v>
      </c>
      <c r="I2158" s="6" t="s">
        <v>179</v>
      </c>
      <c r="J2158" s="15">
        <v>9</v>
      </c>
    </row>
    <row r="2159" spans="1:10">
      <c r="A2159" s="6" t="s">
        <v>141</v>
      </c>
      <c r="B2159" s="6" t="s">
        <v>86</v>
      </c>
      <c r="C2159" s="6" t="s">
        <v>351</v>
      </c>
      <c r="D2159" s="6">
        <v>3.166666666666667</v>
      </c>
      <c r="E2159" s="6" t="s">
        <v>86</v>
      </c>
      <c r="F2159" s="6" t="s">
        <v>53</v>
      </c>
      <c r="G2159" s="7">
        <v>56922.31407124049</v>
      </c>
      <c r="H2159" s="6">
        <v>180253.9945589282</v>
      </c>
      <c r="I2159" s="6" t="s">
        <v>179</v>
      </c>
      <c r="J2159" s="15">
        <v>9</v>
      </c>
    </row>
    <row r="2160" spans="1:10">
      <c r="A2160" s="6" t="s">
        <v>141</v>
      </c>
      <c r="B2160" s="6" t="s">
        <v>86</v>
      </c>
      <c r="C2160" s="6" t="s">
        <v>351</v>
      </c>
      <c r="D2160" s="6">
        <v>0.6278333333333334</v>
      </c>
      <c r="E2160" s="6" t="s">
        <v>90</v>
      </c>
      <c r="F2160" s="6" t="s">
        <v>53</v>
      </c>
      <c r="G2160" s="7">
        <v>56922.31407124049</v>
      </c>
      <c r="H2160" s="6">
        <v>35737.72618439382</v>
      </c>
      <c r="I2160" s="6" t="s">
        <v>179</v>
      </c>
      <c r="J2160" s="15">
        <v>9</v>
      </c>
    </row>
    <row r="2161" spans="1:10">
      <c r="A2161" s="6" t="s">
        <v>141</v>
      </c>
      <c r="B2161" s="6" t="s">
        <v>86</v>
      </c>
      <c r="C2161" s="6" t="s">
        <v>352</v>
      </c>
      <c r="D2161" s="6">
        <v>45.72716666666666</v>
      </c>
      <c r="E2161" s="6" t="s">
        <v>86</v>
      </c>
      <c r="F2161" s="6" t="s">
        <v>52</v>
      </c>
      <c r="G2161" s="7">
        <v>91209.78936001728</v>
      </c>
      <c r="H2161" s="6">
        <v>4170765.23969707</v>
      </c>
      <c r="I2161" s="6" t="s">
        <v>179</v>
      </c>
      <c r="J2161" s="15">
        <v>64.825</v>
      </c>
    </row>
    <row r="2162" spans="1:10">
      <c r="A2162" s="6" t="s">
        <v>141</v>
      </c>
      <c r="B2162" s="6" t="s">
        <v>86</v>
      </c>
      <c r="C2162" s="6" t="s">
        <v>352</v>
      </c>
      <c r="D2162" s="6">
        <v>5.249666666666667</v>
      </c>
      <c r="E2162" s="6" t="s">
        <v>88</v>
      </c>
      <c r="F2162" s="6" t="s">
        <v>52</v>
      </c>
      <c r="G2162" s="7">
        <v>91209.78936001728</v>
      </c>
      <c r="H2162" s="6">
        <v>478820.9908769708</v>
      </c>
      <c r="I2162" s="6" t="s">
        <v>179</v>
      </c>
      <c r="J2162" s="15">
        <v>64.825</v>
      </c>
    </row>
    <row r="2163" spans="1:10">
      <c r="A2163" s="6" t="s">
        <v>141</v>
      </c>
      <c r="B2163" s="6" t="s">
        <v>86</v>
      </c>
      <c r="C2163" s="6" t="s">
        <v>352</v>
      </c>
      <c r="D2163" s="6">
        <v>6.905833333333334</v>
      </c>
      <c r="E2163" s="6" t="s">
        <v>90</v>
      </c>
      <c r="F2163" s="6" t="s">
        <v>52</v>
      </c>
      <c r="G2163" s="7">
        <v>91209.78936001728</v>
      </c>
      <c r="H2163" s="6">
        <v>629879.6036887193</v>
      </c>
      <c r="I2163" s="6" t="s">
        <v>179</v>
      </c>
      <c r="J2163" s="15">
        <v>64.825</v>
      </c>
    </row>
    <row r="2164" spans="1:10">
      <c r="A2164" s="6" t="s">
        <v>141</v>
      </c>
      <c r="B2164" s="6" t="s">
        <v>86</v>
      </c>
      <c r="C2164" s="6" t="s">
        <v>251</v>
      </c>
      <c r="D2164" s="6">
        <v>0.591281746031746</v>
      </c>
      <c r="E2164" s="6" t="s">
        <v>44</v>
      </c>
      <c r="F2164" s="6" t="s">
        <v>53</v>
      </c>
      <c r="G2164" s="7">
        <v>37508.53710293493</v>
      </c>
      <c r="H2164" s="6">
        <v>22178.1133093199</v>
      </c>
      <c r="I2164" s="6" t="s">
        <v>179</v>
      </c>
      <c r="J2164" s="15">
        <v>5.316666666666666</v>
      </c>
    </row>
    <row r="2165" spans="1:10">
      <c r="A2165" s="6" t="s">
        <v>141</v>
      </c>
      <c r="B2165" s="6" t="s">
        <v>86</v>
      </c>
      <c r="C2165" s="6" t="s">
        <v>251</v>
      </c>
      <c r="D2165" s="6">
        <v>0.006753111851396744</v>
      </c>
      <c r="E2165" s="6" t="s">
        <v>86</v>
      </c>
      <c r="F2165" s="6" t="s">
        <v>53</v>
      </c>
      <c r="G2165" s="7">
        <v>37508.53710293493</v>
      </c>
      <c r="H2165" s="6">
        <v>253.2993464383844</v>
      </c>
      <c r="I2165" s="6" t="s">
        <v>179</v>
      </c>
      <c r="J2165" s="15">
        <v>5.316666666666666</v>
      </c>
    </row>
    <row r="2166" spans="1:10">
      <c r="A2166" s="6" t="s">
        <v>141</v>
      </c>
      <c r="B2166" s="6" t="s">
        <v>86</v>
      </c>
      <c r="C2166" s="6" t="s">
        <v>251</v>
      </c>
      <c r="D2166" s="6">
        <v>1.931666666666667</v>
      </c>
      <c r="E2166" s="6" t="s">
        <v>88</v>
      </c>
      <c r="F2166" s="6" t="s">
        <v>53</v>
      </c>
      <c r="G2166" s="7">
        <v>37508.53710293493</v>
      </c>
      <c r="H2166" s="6">
        <v>72453.99083716932</v>
      </c>
      <c r="I2166" s="6" t="s">
        <v>179</v>
      </c>
      <c r="J2166" s="15">
        <v>5.316666666666666</v>
      </c>
    </row>
    <row r="2167" spans="1:10">
      <c r="A2167" s="6" t="s">
        <v>141</v>
      </c>
      <c r="B2167" s="6" t="s">
        <v>86</v>
      </c>
      <c r="C2167" s="6" t="s">
        <v>251</v>
      </c>
      <c r="D2167" s="6">
        <v>0.03768867924528303</v>
      </c>
      <c r="E2167" s="6" t="s">
        <v>90</v>
      </c>
      <c r="F2167" s="6" t="s">
        <v>53</v>
      </c>
      <c r="G2167" s="7">
        <v>37508.53710293493</v>
      </c>
      <c r="H2167" s="6">
        <v>1413.647223832312</v>
      </c>
      <c r="I2167" s="6" t="s">
        <v>179</v>
      </c>
      <c r="J2167" s="15">
        <v>5.316666666666666</v>
      </c>
    </row>
    <row r="2168" spans="1:10">
      <c r="A2168" s="6" t="s">
        <v>141</v>
      </c>
      <c r="B2168" s="6" t="s">
        <v>86</v>
      </c>
      <c r="C2168" s="6" t="s">
        <v>252</v>
      </c>
      <c r="D2168" s="6">
        <v>124.247703112827</v>
      </c>
      <c r="E2168" s="6" t="s">
        <v>44</v>
      </c>
      <c r="F2168" s="6" t="s">
        <v>57</v>
      </c>
      <c r="G2168" s="7">
        <v>46102.94284291674</v>
      </c>
      <c r="H2168" s="6">
        <v>5728184.754974352</v>
      </c>
      <c r="I2168" s="6" t="s">
        <v>179</v>
      </c>
      <c r="J2168" s="15">
        <v>35.93333333333333</v>
      </c>
    </row>
    <row r="2169" spans="1:10">
      <c r="A2169" s="6" t="s">
        <v>141</v>
      </c>
      <c r="B2169" s="6" t="s">
        <v>86</v>
      </c>
      <c r="C2169" s="6" t="s">
        <v>252</v>
      </c>
      <c r="D2169" s="6">
        <v>34.24770577454555</v>
      </c>
      <c r="E2169" s="6" t="s">
        <v>86</v>
      </c>
      <c r="F2169" s="6" t="s">
        <v>57</v>
      </c>
      <c r="G2169" s="7">
        <v>46102.94284291674</v>
      </c>
      <c r="H2169" s="6">
        <v>1578920.021824903</v>
      </c>
      <c r="I2169" s="6" t="s">
        <v>179</v>
      </c>
      <c r="J2169" s="15">
        <v>35.93333333333333</v>
      </c>
    </row>
    <row r="2170" spans="1:10">
      <c r="A2170" s="6" t="s">
        <v>141</v>
      </c>
      <c r="B2170" s="6" t="s">
        <v>86</v>
      </c>
      <c r="C2170" s="6" t="s">
        <v>252</v>
      </c>
      <c r="D2170" s="6">
        <v>19.52416666666667</v>
      </c>
      <c r="E2170" s="6" t="s">
        <v>88</v>
      </c>
      <c r="F2170" s="6" t="s">
        <v>57</v>
      </c>
      <c r="G2170" s="7">
        <v>46102.94284291674</v>
      </c>
      <c r="H2170" s="6">
        <v>900121.5398889135</v>
      </c>
      <c r="I2170" s="6" t="s">
        <v>179</v>
      </c>
      <c r="J2170" s="15">
        <v>35.93333333333333</v>
      </c>
    </row>
    <row r="2171" spans="1:10">
      <c r="A2171" s="6" t="s">
        <v>141</v>
      </c>
      <c r="B2171" s="6" t="s">
        <v>86</v>
      </c>
      <c r="C2171" s="6" t="s">
        <v>252</v>
      </c>
      <c r="D2171" s="6">
        <v>7.550687333501856</v>
      </c>
      <c r="E2171" s="6" t="s">
        <v>90</v>
      </c>
      <c r="F2171" s="6" t="s">
        <v>57</v>
      </c>
      <c r="G2171" s="7">
        <v>46102.94284291674</v>
      </c>
      <c r="H2171" s="6">
        <v>348108.9065611715</v>
      </c>
      <c r="I2171" s="6" t="s">
        <v>179</v>
      </c>
      <c r="J2171" s="15">
        <v>35.93333333333333</v>
      </c>
    </row>
    <row r="2172" spans="1:10">
      <c r="A2172" s="6" t="s">
        <v>141</v>
      </c>
      <c r="B2172" s="6" t="s">
        <v>86</v>
      </c>
      <c r="C2172" s="6" t="s">
        <v>253</v>
      </c>
      <c r="D2172" s="6">
        <v>188.6057911107764</v>
      </c>
      <c r="E2172" s="6" t="s">
        <v>44</v>
      </c>
      <c r="F2172" s="6" t="s">
        <v>53</v>
      </c>
      <c r="G2172" s="7">
        <v>38500.53307646881</v>
      </c>
      <c r="H2172" s="6">
        <v>7261423.499074013</v>
      </c>
      <c r="I2172" s="6" t="s">
        <v>179</v>
      </c>
      <c r="J2172" s="15">
        <v>7.241666666666667</v>
      </c>
    </row>
    <row r="2173" spans="1:10">
      <c r="A2173" s="6" t="s">
        <v>141</v>
      </c>
      <c r="B2173" s="6" t="s">
        <v>86</v>
      </c>
      <c r="C2173" s="6" t="s">
        <v>253</v>
      </c>
      <c r="D2173" s="6">
        <v>34.43890697463754</v>
      </c>
      <c r="E2173" s="6" t="s">
        <v>86</v>
      </c>
      <c r="F2173" s="6" t="s">
        <v>53</v>
      </c>
      <c r="G2173" s="7">
        <v>38500.53307646881</v>
      </c>
      <c r="H2173" s="6">
        <v>1325916.277094465</v>
      </c>
      <c r="I2173" s="6" t="s">
        <v>179</v>
      </c>
      <c r="J2173" s="15">
        <v>7.241666666666667</v>
      </c>
    </row>
    <row r="2174" spans="1:10">
      <c r="A2174" s="6" t="s">
        <v>141</v>
      </c>
      <c r="B2174" s="6" t="s">
        <v>86</v>
      </c>
      <c r="C2174" s="6" t="s">
        <v>253</v>
      </c>
      <c r="D2174" s="6">
        <v>17.14216666666666</v>
      </c>
      <c r="E2174" s="6" t="s">
        <v>88</v>
      </c>
      <c r="F2174" s="6" t="s">
        <v>53</v>
      </c>
      <c r="G2174" s="7">
        <v>38500.53307646881</v>
      </c>
      <c r="H2174" s="6">
        <v>659982.554752341</v>
      </c>
      <c r="I2174" s="6" t="s">
        <v>179</v>
      </c>
      <c r="J2174" s="15">
        <v>7.241666666666667</v>
      </c>
    </row>
    <row r="2175" spans="1:10">
      <c r="A2175" s="6" t="s">
        <v>141</v>
      </c>
      <c r="B2175" s="6" t="s">
        <v>86</v>
      </c>
      <c r="C2175" s="6" t="s">
        <v>253</v>
      </c>
      <c r="D2175" s="6">
        <v>15.63759719237414</v>
      </c>
      <c r="E2175" s="6" t="s">
        <v>90</v>
      </c>
      <c r="F2175" s="6" t="s">
        <v>53</v>
      </c>
      <c r="G2175" s="7">
        <v>38500.53307646881</v>
      </c>
      <c r="H2175" s="6">
        <v>602055.8279414964</v>
      </c>
      <c r="I2175" s="6" t="s">
        <v>179</v>
      </c>
      <c r="J2175" s="15">
        <v>7.241666666666667</v>
      </c>
    </row>
    <row r="2176" spans="1:10">
      <c r="A2176" s="6" t="s">
        <v>141</v>
      </c>
      <c r="B2176" s="6" t="s">
        <v>86</v>
      </c>
      <c r="C2176" s="6" t="s">
        <v>253</v>
      </c>
      <c r="D2176" s="6">
        <v>0.03183333333333333</v>
      </c>
      <c r="E2176" s="6" t="s">
        <v>92</v>
      </c>
      <c r="F2176" s="6" t="s">
        <v>53</v>
      </c>
      <c r="G2176" s="7">
        <v>38500.53307646881</v>
      </c>
      <c r="H2176" s="6">
        <v>1225.600302934257</v>
      </c>
      <c r="I2176" s="6" t="s">
        <v>179</v>
      </c>
      <c r="J2176" s="15">
        <v>7.241666666666667</v>
      </c>
    </row>
    <row r="2177" spans="1:10">
      <c r="A2177" s="6" t="s">
        <v>141</v>
      </c>
      <c r="B2177" s="6" t="s">
        <v>86</v>
      </c>
      <c r="C2177" s="6" t="s">
        <v>353</v>
      </c>
      <c r="D2177" s="6">
        <v>7.990166666666667</v>
      </c>
      <c r="E2177" s="6" t="s">
        <v>44</v>
      </c>
      <c r="F2177" s="6" t="s">
        <v>62</v>
      </c>
      <c r="G2177" s="7">
        <v>81005.34654028571</v>
      </c>
      <c r="H2177" s="6">
        <v>647246.2197479729</v>
      </c>
      <c r="I2177" s="6" t="s">
        <v>179</v>
      </c>
      <c r="J2177" s="15">
        <v>102.3</v>
      </c>
    </row>
    <row r="2178" spans="1:10">
      <c r="A2178" s="6" t="s">
        <v>141</v>
      </c>
      <c r="B2178" s="6" t="s">
        <v>86</v>
      </c>
      <c r="C2178" s="6" t="s">
        <v>353</v>
      </c>
      <c r="D2178" s="6">
        <v>2.026833333333333</v>
      </c>
      <c r="E2178" s="6" t="s">
        <v>86</v>
      </c>
      <c r="F2178" s="6" t="s">
        <v>62</v>
      </c>
      <c r="G2178" s="7">
        <v>81005.34654028571</v>
      </c>
      <c r="H2178" s="6">
        <v>164184.3365460691</v>
      </c>
      <c r="I2178" s="6" t="s">
        <v>179</v>
      </c>
      <c r="J2178" s="15">
        <v>102.3</v>
      </c>
    </row>
    <row r="2179" spans="1:10">
      <c r="A2179" s="6" t="s">
        <v>141</v>
      </c>
      <c r="B2179" s="6" t="s">
        <v>86</v>
      </c>
      <c r="C2179" s="6" t="s">
        <v>353</v>
      </c>
      <c r="D2179" s="6">
        <v>1.652916666666667</v>
      </c>
      <c r="E2179" s="6" t="s">
        <v>88</v>
      </c>
      <c r="F2179" s="6" t="s">
        <v>62</v>
      </c>
      <c r="G2179" s="7">
        <v>81005.34654028571</v>
      </c>
      <c r="H2179" s="6">
        <v>133895.0873855473</v>
      </c>
      <c r="I2179" s="6" t="s">
        <v>179</v>
      </c>
      <c r="J2179" s="15">
        <v>102.3</v>
      </c>
    </row>
    <row r="2180" spans="1:10">
      <c r="A2180" s="6" t="s">
        <v>141</v>
      </c>
      <c r="B2180" s="6" t="s">
        <v>86</v>
      </c>
      <c r="C2180" s="6" t="s">
        <v>353</v>
      </c>
      <c r="D2180" s="6">
        <v>0.0495</v>
      </c>
      <c r="E2180" s="6" t="s">
        <v>90</v>
      </c>
      <c r="F2180" s="6" t="s">
        <v>62</v>
      </c>
      <c r="G2180" s="7">
        <v>81005.34654028571</v>
      </c>
      <c r="H2180" s="6">
        <v>4009.764653744142</v>
      </c>
      <c r="I2180" s="6" t="s">
        <v>179</v>
      </c>
      <c r="J2180" s="15">
        <v>102.3</v>
      </c>
    </row>
    <row r="2181" spans="1:10">
      <c r="A2181" s="6" t="s">
        <v>141</v>
      </c>
      <c r="B2181" s="6" t="s">
        <v>86</v>
      </c>
      <c r="C2181" s="6" t="s">
        <v>254</v>
      </c>
      <c r="D2181" s="6">
        <v>0.05246037512445844</v>
      </c>
      <c r="E2181" s="6" t="s">
        <v>44</v>
      </c>
      <c r="F2181" s="6" t="s">
        <v>51</v>
      </c>
      <c r="G2181" s="7">
        <v>51614.23657191667</v>
      </c>
      <c r="H2181" s="6">
        <v>2707.70221232529</v>
      </c>
      <c r="I2181" s="6" t="s">
        <v>180</v>
      </c>
      <c r="J2181" s="15">
        <v>8.750398691807874</v>
      </c>
    </row>
    <row r="2182" spans="1:10">
      <c r="A2182" s="6" t="s">
        <v>141</v>
      </c>
      <c r="B2182" s="6" t="s">
        <v>86</v>
      </c>
      <c r="C2182" s="6" t="s">
        <v>254</v>
      </c>
      <c r="D2182" s="6">
        <v>0.001103710879685692</v>
      </c>
      <c r="E2182" s="6" t="s">
        <v>86</v>
      </c>
      <c r="F2182" s="6" t="s">
        <v>51</v>
      </c>
      <c r="G2182" s="7">
        <v>51614.23657191667</v>
      </c>
      <c r="H2182" s="6">
        <v>56.96719445109556</v>
      </c>
      <c r="I2182" s="6" t="s">
        <v>180</v>
      </c>
      <c r="J2182" s="15">
        <v>8.750398691807874</v>
      </c>
    </row>
    <row r="2183" spans="1:10">
      <c r="A2183" s="6" t="s">
        <v>141</v>
      </c>
      <c r="B2183" s="6" t="s">
        <v>86</v>
      </c>
      <c r="C2183" s="6" t="s">
        <v>257</v>
      </c>
      <c r="D2183" s="6">
        <v>5.859843355570362</v>
      </c>
      <c r="E2183" s="6" t="s">
        <v>44</v>
      </c>
      <c r="F2183" s="6" t="s">
        <v>52</v>
      </c>
      <c r="G2183" s="7">
        <v>92031.68978853835</v>
      </c>
      <c r="H2183" s="6">
        <v>539291.2859092792</v>
      </c>
      <c r="I2183" s="6" t="s">
        <v>179</v>
      </c>
      <c r="J2183" s="15">
        <v>47</v>
      </c>
    </row>
    <row r="2184" spans="1:10">
      <c r="A2184" s="6" t="s">
        <v>141</v>
      </c>
      <c r="B2184" s="6" t="s">
        <v>86</v>
      </c>
      <c r="C2184" s="6" t="s">
        <v>257</v>
      </c>
      <c r="D2184" s="6">
        <v>22.00933585548739</v>
      </c>
      <c r="E2184" s="6" t="s">
        <v>86</v>
      </c>
      <c r="F2184" s="6" t="s">
        <v>52</v>
      </c>
      <c r="G2184" s="7">
        <v>92031.68978853835</v>
      </c>
      <c r="H2184" s="6">
        <v>2025556.36990397</v>
      </c>
      <c r="I2184" s="6" t="s">
        <v>179</v>
      </c>
      <c r="J2184" s="15">
        <v>47</v>
      </c>
    </row>
    <row r="2185" spans="1:10">
      <c r="A2185" s="6" t="s">
        <v>141</v>
      </c>
      <c r="B2185" s="6" t="s">
        <v>86</v>
      </c>
      <c r="C2185" s="6" t="s">
        <v>257</v>
      </c>
      <c r="D2185" s="6">
        <v>2.371916666666666</v>
      </c>
      <c r="E2185" s="6" t="s">
        <v>88</v>
      </c>
      <c r="F2185" s="6" t="s">
        <v>52</v>
      </c>
      <c r="G2185" s="7">
        <v>92031.68978853835</v>
      </c>
      <c r="H2185" s="6">
        <v>218291.4988709306</v>
      </c>
      <c r="I2185" s="6" t="s">
        <v>179</v>
      </c>
      <c r="J2185" s="15">
        <v>47</v>
      </c>
    </row>
    <row r="2186" spans="1:10">
      <c r="A2186" s="6" t="s">
        <v>141</v>
      </c>
      <c r="B2186" s="6" t="s">
        <v>86</v>
      </c>
      <c r="C2186" s="6" t="s">
        <v>257</v>
      </c>
      <c r="D2186" s="6">
        <v>0.1543166666666667</v>
      </c>
      <c r="E2186" s="6" t="s">
        <v>90</v>
      </c>
      <c r="F2186" s="6" t="s">
        <v>52</v>
      </c>
      <c r="G2186" s="7">
        <v>92031.68978853835</v>
      </c>
      <c r="H2186" s="6">
        <v>14202.02359586794</v>
      </c>
      <c r="I2186" s="6" t="s">
        <v>179</v>
      </c>
      <c r="J2186" s="15">
        <v>47</v>
      </c>
    </row>
    <row r="2187" spans="1:10">
      <c r="A2187" s="6" t="s">
        <v>141</v>
      </c>
      <c r="B2187" s="6" t="s">
        <v>86</v>
      </c>
      <c r="C2187" s="6" t="s">
        <v>258</v>
      </c>
      <c r="D2187" s="6">
        <v>5.774605228038568</v>
      </c>
      <c r="E2187" s="6" t="s">
        <v>44</v>
      </c>
      <c r="F2187" s="6" t="s">
        <v>52</v>
      </c>
      <c r="G2187" s="7">
        <v>85328.84139394178</v>
      </c>
      <c r="H2187" s="6">
        <v>492740.37361593</v>
      </c>
      <c r="I2187" s="6" t="s">
        <v>179</v>
      </c>
      <c r="J2187" s="15">
        <v>40.5</v>
      </c>
    </row>
    <row r="2188" spans="1:10">
      <c r="A2188" s="6" t="s">
        <v>141</v>
      </c>
      <c r="B2188" s="6" t="s">
        <v>86</v>
      </c>
      <c r="C2188" s="6" t="s">
        <v>258</v>
      </c>
      <c r="D2188" s="6">
        <v>9.024166666666666</v>
      </c>
      <c r="E2188" s="6" t="s">
        <v>86</v>
      </c>
      <c r="F2188" s="6" t="s">
        <v>52</v>
      </c>
      <c r="G2188" s="7">
        <v>85328.84139394178</v>
      </c>
      <c r="H2188" s="6">
        <v>770021.6862124962</v>
      </c>
      <c r="I2188" s="6" t="s">
        <v>179</v>
      </c>
      <c r="J2188" s="15">
        <v>40.5</v>
      </c>
    </row>
    <row r="2189" spans="1:10">
      <c r="A2189" s="6" t="s">
        <v>141</v>
      </c>
      <c r="B2189" s="6" t="s">
        <v>86</v>
      </c>
      <c r="C2189" s="6" t="s">
        <v>258</v>
      </c>
      <c r="D2189" s="6">
        <v>1.08975</v>
      </c>
      <c r="E2189" s="6" t="s">
        <v>88</v>
      </c>
      <c r="F2189" s="6" t="s">
        <v>52</v>
      </c>
      <c r="G2189" s="7">
        <v>85328.84139394178</v>
      </c>
      <c r="H2189" s="6">
        <v>92987.10490904805</v>
      </c>
      <c r="I2189" s="6" t="s">
        <v>179</v>
      </c>
      <c r="J2189" s="15">
        <v>40.5</v>
      </c>
    </row>
    <row r="2190" spans="1:10">
      <c r="A2190" s="6" t="s">
        <v>141</v>
      </c>
      <c r="B2190" s="6" t="s">
        <v>86</v>
      </c>
      <c r="C2190" s="6" t="s">
        <v>258</v>
      </c>
      <c r="D2190" s="6">
        <v>0.08266666666666667</v>
      </c>
      <c r="E2190" s="6" t="s">
        <v>90</v>
      </c>
      <c r="F2190" s="6" t="s">
        <v>52</v>
      </c>
      <c r="G2190" s="7">
        <v>85328.84139394178</v>
      </c>
      <c r="H2190" s="6">
        <v>7053.850888565854</v>
      </c>
      <c r="I2190" s="6" t="s">
        <v>179</v>
      </c>
      <c r="J2190" s="15">
        <v>40.5</v>
      </c>
    </row>
    <row r="2191" spans="1:10">
      <c r="A2191" s="6" t="s">
        <v>141</v>
      </c>
      <c r="B2191" s="6" t="s">
        <v>86</v>
      </c>
      <c r="C2191" s="6" t="s">
        <v>259</v>
      </c>
      <c r="D2191" s="6">
        <v>20.88066376920775</v>
      </c>
      <c r="E2191" s="6" t="s">
        <v>44</v>
      </c>
      <c r="F2191" s="6" t="s">
        <v>56</v>
      </c>
      <c r="G2191" s="7">
        <v>59850.06651982686</v>
      </c>
      <c r="H2191" s="6">
        <v>1249709.115565222</v>
      </c>
      <c r="I2191" s="6" t="s">
        <v>179</v>
      </c>
      <c r="J2191" s="15">
        <v>61.94166666666666</v>
      </c>
    </row>
    <row r="2192" spans="1:10">
      <c r="A2192" s="6" t="s">
        <v>141</v>
      </c>
      <c r="B2192" s="6" t="s">
        <v>86</v>
      </c>
      <c r="C2192" s="6" t="s">
        <v>259</v>
      </c>
      <c r="D2192" s="6">
        <v>70.20133333333334</v>
      </c>
      <c r="E2192" s="6" t="s">
        <v>86</v>
      </c>
      <c r="F2192" s="6" t="s">
        <v>56</v>
      </c>
      <c r="G2192" s="7">
        <v>59850.06651982686</v>
      </c>
      <c r="H2192" s="6">
        <v>4201554.469780539</v>
      </c>
      <c r="I2192" s="6" t="s">
        <v>179</v>
      </c>
      <c r="J2192" s="15">
        <v>61.94166666666666</v>
      </c>
    </row>
    <row r="2193" spans="1:10">
      <c r="A2193" s="6" t="s">
        <v>141</v>
      </c>
      <c r="B2193" s="6" t="s">
        <v>86</v>
      </c>
      <c r="C2193" s="6" t="s">
        <v>259</v>
      </c>
      <c r="D2193" s="6">
        <v>41.49274999999999</v>
      </c>
      <c r="E2193" s="6" t="s">
        <v>88</v>
      </c>
      <c r="F2193" s="6" t="s">
        <v>56</v>
      </c>
      <c r="G2193" s="7">
        <v>59850.06651982686</v>
      </c>
      <c r="H2193" s="6">
        <v>2483343.847590546</v>
      </c>
      <c r="I2193" s="6" t="s">
        <v>179</v>
      </c>
      <c r="J2193" s="15">
        <v>61.94166666666666</v>
      </c>
    </row>
    <row r="2194" spans="1:10">
      <c r="A2194" s="6" t="s">
        <v>141</v>
      </c>
      <c r="B2194" s="6" t="s">
        <v>86</v>
      </c>
      <c r="C2194" s="6" t="s">
        <v>259</v>
      </c>
      <c r="D2194" s="6">
        <v>0.8616666666666667</v>
      </c>
      <c r="E2194" s="6" t="s">
        <v>90</v>
      </c>
      <c r="F2194" s="6" t="s">
        <v>56</v>
      </c>
      <c r="G2194" s="7">
        <v>59850.06651982686</v>
      </c>
      <c r="H2194" s="6">
        <v>51570.80731791748</v>
      </c>
      <c r="I2194" s="6" t="s">
        <v>179</v>
      </c>
      <c r="J2194" s="15">
        <v>61.94166666666666</v>
      </c>
    </row>
    <row r="2195" spans="1:10">
      <c r="A2195" s="6" t="s">
        <v>141</v>
      </c>
      <c r="B2195" s="6" t="s">
        <v>86</v>
      </c>
      <c r="C2195" s="6" t="s">
        <v>260</v>
      </c>
      <c r="D2195" s="6">
        <v>47.77576283802703</v>
      </c>
      <c r="E2195" s="6" t="s">
        <v>44</v>
      </c>
      <c r="F2195" s="6" t="s">
        <v>52</v>
      </c>
      <c r="G2195" s="7">
        <v>56913.67510083943</v>
      </c>
      <c r="H2195" s="6">
        <v>2719094.243858229</v>
      </c>
      <c r="I2195" s="6" t="s">
        <v>179</v>
      </c>
      <c r="J2195" s="15">
        <v>53.18333333333334</v>
      </c>
    </row>
    <row r="2196" spans="1:10">
      <c r="A2196" s="6" t="s">
        <v>141</v>
      </c>
      <c r="B2196" s="6" t="s">
        <v>86</v>
      </c>
      <c r="C2196" s="6" t="s">
        <v>260</v>
      </c>
      <c r="D2196" s="6">
        <v>4929.767627482484</v>
      </c>
      <c r="E2196" s="6" t="s">
        <v>86</v>
      </c>
      <c r="F2196" s="6" t="s">
        <v>52</v>
      </c>
      <c r="G2196" s="7">
        <v>56913.67510083943</v>
      </c>
      <c r="H2196" s="6">
        <v>280571193.0731741</v>
      </c>
      <c r="I2196" s="6" t="s">
        <v>179</v>
      </c>
      <c r="J2196" s="15">
        <v>53.18333333333334</v>
      </c>
    </row>
    <row r="2197" spans="1:10">
      <c r="A2197" s="6" t="s">
        <v>141</v>
      </c>
      <c r="B2197" s="6" t="s">
        <v>86</v>
      </c>
      <c r="C2197" s="6" t="s">
        <v>260</v>
      </c>
      <c r="D2197" s="6">
        <v>6.742666666666667</v>
      </c>
      <c r="E2197" s="6" t="s">
        <v>88</v>
      </c>
      <c r="F2197" s="6" t="s">
        <v>52</v>
      </c>
      <c r="G2197" s="7">
        <v>56913.67510083943</v>
      </c>
      <c r="H2197" s="6">
        <v>383749.9399799266</v>
      </c>
      <c r="I2197" s="6" t="s">
        <v>179</v>
      </c>
      <c r="J2197" s="15">
        <v>53.18333333333334</v>
      </c>
    </row>
    <row r="2198" spans="1:10">
      <c r="A2198" s="6" t="s">
        <v>141</v>
      </c>
      <c r="B2198" s="6" t="s">
        <v>86</v>
      </c>
      <c r="C2198" s="6" t="s">
        <v>260</v>
      </c>
      <c r="D2198" s="6">
        <v>19.98502634615551</v>
      </c>
      <c r="E2198" s="6" t="s">
        <v>90</v>
      </c>
      <c r="F2198" s="6" t="s">
        <v>52</v>
      </c>
      <c r="G2198" s="7">
        <v>56913.67510083943</v>
      </c>
      <c r="H2198" s="6">
        <v>1137421.296346811</v>
      </c>
      <c r="I2198" s="6" t="s">
        <v>179</v>
      </c>
      <c r="J2198" s="15">
        <v>53.18333333333334</v>
      </c>
    </row>
    <row r="2199" spans="1:10">
      <c r="A2199" s="6" t="s">
        <v>141</v>
      </c>
      <c r="B2199" s="6" t="s">
        <v>86</v>
      </c>
      <c r="C2199" s="6" t="s">
        <v>260</v>
      </c>
      <c r="D2199" s="6">
        <v>6.332000000000001</v>
      </c>
      <c r="E2199" s="6" t="s">
        <v>92</v>
      </c>
      <c r="F2199" s="6" t="s">
        <v>52</v>
      </c>
      <c r="G2199" s="7">
        <v>56913.67510083943</v>
      </c>
      <c r="H2199" s="6">
        <v>360377.3907385153</v>
      </c>
      <c r="I2199" s="6" t="s">
        <v>179</v>
      </c>
      <c r="J2199" s="15">
        <v>53.18333333333334</v>
      </c>
    </row>
    <row r="2200" spans="1:10">
      <c r="A2200" s="6" t="s">
        <v>141</v>
      </c>
      <c r="B2200" s="6" t="s">
        <v>86</v>
      </c>
      <c r="C2200" s="6" t="s">
        <v>262</v>
      </c>
      <c r="D2200" s="6">
        <v>6.090134265472475</v>
      </c>
      <c r="E2200" s="6" t="s">
        <v>44</v>
      </c>
      <c r="F2200" s="6" t="s">
        <v>51</v>
      </c>
      <c r="G2200" s="7">
        <v>49180.16248136549</v>
      </c>
      <c r="H2200" s="6">
        <v>299513.7927092678</v>
      </c>
      <c r="I2200" s="6" t="s">
        <v>179</v>
      </c>
      <c r="J2200" s="15">
        <v>85</v>
      </c>
    </row>
    <row r="2201" spans="1:10">
      <c r="A2201" s="6" t="s">
        <v>141</v>
      </c>
      <c r="B2201" s="6" t="s">
        <v>86</v>
      </c>
      <c r="C2201" s="6" t="s">
        <v>262</v>
      </c>
      <c r="D2201" s="6">
        <v>0.7354038195033316</v>
      </c>
      <c r="E2201" s="6" t="s">
        <v>86</v>
      </c>
      <c r="F2201" s="6" t="s">
        <v>51</v>
      </c>
      <c r="G2201" s="7">
        <v>49180.16248136549</v>
      </c>
      <c r="H2201" s="6">
        <v>36167.27933259062</v>
      </c>
      <c r="I2201" s="6" t="s">
        <v>179</v>
      </c>
      <c r="J2201" s="15">
        <v>85</v>
      </c>
    </row>
    <row r="2202" spans="1:10">
      <c r="A2202" s="6" t="s">
        <v>141</v>
      </c>
      <c r="B2202" s="6" t="s">
        <v>86</v>
      </c>
      <c r="C2202" s="6" t="s">
        <v>262</v>
      </c>
      <c r="D2202" s="6">
        <v>0.3396666666666666</v>
      </c>
      <c r="E2202" s="6" t="s">
        <v>88</v>
      </c>
      <c r="F2202" s="6" t="s">
        <v>51</v>
      </c>
      <c r="G2202" s="7">
        <v>49180.16248136549</v>
      </c>
      <c r="H2202" s="6">
        <v>16704.86185617048</v>
      </c>
      <c r="I2202" s="6" t="s">
        <v>179</v>
      </c>
      <c r="J2202" s="15">
        <v>85</v>
      </c>
    </row>
    <row r="2203" spans="1:10">
      <c r="A2203" s="6" t="s">
        <v>141</v>
      </c>
      <c r="B2203" s="6" t="s">
        <v>86</v>
      </c>
      <c r="C2203" s="6" t="s">
        <v>262</v>
      </c>
      <c r="D2203" s="6">
        <v>0.002366221045264277</v>
      </c>
      <c r="E2203" s="6" t="s">
        <v>90</v>
      </c>
      <c r="F2203" s="6" t="s">
        <v>51</v>
      </c>
      <c r="G2203" s="7">
        <v>49180.16248136549</v>
      </c>
      <c r="H2203" s="6">
        <v>116.3711354729236</v>
      </c>
      <c r="I2203" s="6" t="s">
        <v>179</v>
      </c>
      <c r="J2203" s="15">
        <v>85</v>
      </c>
    </row>
    <row r="2204" spans="1:10">
      <c r="A2204" s="6" t="s">
        <v>141</v>
      </c>
      <c r="B2204" s="6" t="s">
        <v>86</v>
      </c>
      <c r="C2204" s="6" t="s">
        <v>263</v>
      </c>
      <c r="D2204" s="6">
        <v>194.5240364452905</v>
      </c>
      <c r="E2204" s="6" t="s">
        <v>44</v>
      </c>
      <c r="F2204" s="6" t="s">
        <v>54</v>
      </c>
      <c r="G2204" s="7">
        <v>88946.51400521626</v>
      </c>
      <c r="H2204" s="6">
        <v>17302234.93203223</v>
      </c>
      <c r="I2204" s="6" t="s">
        <v>179</v>
      </c>
      <c r="J2204" s="15">
        <v>46.18333333333334</v>
      </c>
    </row>
    <row r="2205" spans="1:10">
      <c r="A2205" s="6" t="s">
        <v>141</v>
      </c>
      <c r="B2205" s="6" t="s">
        <v>86</v>
      </c>
      <c r="C2205" s="6" t="s">
        <v>263</v>
      </c>
      <c r="D2205" s="6">
        <v>62.20747887479728</v>
      </c>
      <c r="E2205" s="6" t="s">
        <v>86</v>
      </c>
      <c r="F2205" s="6" t="s">
        <v>54</v>
      </c>
      <c r="G2205" s="7">
        <v>88946.51400521626</v>
      </c>
      <c r="H2205" s="6">
        <v>5533138.390966351</v>
      </c>
      <c r="I2205" s="6" t="s">
        <v>179</v>
      </c>
      <c r="J2205" s="15">
        <v>46.18333333333334</v>
      </c>
    </row>
    <row r="2206" spans="1:10">
      <c r="A2206" s="6" t="s">
        <v>141</v>
      </c>
      <c r="B2206" s="6" t="s">
        <v>86</v>
      </c>
      <c r="C2206" s="6" t="s">
        <v>263</v>
      </c>
      <c r="D2206" s="6">
        <v>6.460999999999999</v>
      </c>
      <c r="E2206" s="6" t="s">
        <v>88</v>
      </c>
      <c r="F2206" s="6" t="s">
        <v>54</v>
      </c>
      <c r="G2206" s="7">
        <v>88946.51400521626</v>
      </c>
      <c r="H2206" s="6">
        <v>574683.4269877023</v>
      </c>
      <c r="I2206" s="6" t="s">
        <v>179</v>
      </c>
      <c r="J2206" s="15">
        <v>46.18333333333334</v>
      </c>
    </row>
    <row r="2207" spans="1:10">
      <c r="A2207" s="6" t="s">
        <v>141</v>
      </c>
      <c r="B2207" s="6" t="s">
        <v>86</v>
      </c>
      <c r="C2207" s="6" t="s">
        <v>263</v>
      </c>
      <c r="D2207" s="6">
        <v>14.44410122622281</v>
      </c>
      <c r="E2207" s="6" t="s">
        <v>90</v>
      </c>
      <c r="F2207" s="6" t="s">
        <v>54</v>
      </c>
      <c r="G2207" s="7">
        <v>88946.51400521626</v>
      </c>
      <c r="H2207" s="6">
        <v>1284752.452010988</v>
      </c>
      <c r="I2207" s="6" t="s">
        <v>179</v>
      </c>
      <c r="J2207" s="15">
        <v>46.18333333333334</v>
      </c>
    </row>
    <row r="2208" spans="1:10">
      <c r="A2208" s="6" t="s">
        <v>141</v>
      </c>
      <c r="B2208" s="6" t="s">
        <v>86</v>
      </c>
      <c r="C2208" s="6" t="s">
        <v>264</v>
      </c>
      <c r="D2208" s="6">
        <v>125.8083130502552</v>
      </c>
      <c r="E2208" s="6" t="s">
        <v>44</v>
      </c>
      <c r="F2208" s="6" t="s">
        <v>54</v>
      </c>
      <c r="G2208" s="7">
        <v>105927.7948608726</v>
      </c>
      <c r="H2208" s="6">
        <v>13326597.17657988</v>
      </c>
      <c r="I2208" s="6" t="s">
        <v>179</v>
      </c>
      <c r="J2208" s="15">
        <v>64.26666666666667</v>
      </c>
    </row>
    <row r="2209" spans="1:10">
      <c r="A2209" s="6" t="s">
        <v>141</v>
      </c>
      <c r="B2209" s="6" t="s">
        <v>86</v>
      </c>
      <c r="C2209" s="6" t="s">
        <v>264</v>
      </c>
      <c r="D2209" s="6">
        <v>26.25399648448795</v>
      </c>
      <c r="E2209" s="6" t="s">
        <v>86</v>
      </c>
      <c r="F2209" s="6" t="s">
        <v>54</v>
      </c>
      <c r="G2209" s="7">
        <v>105927.7948608726</v>
      </c>
      <c r="H2209" s="6">
        <v>2781027.953886911</v>
      </c>
      <c r="I2209" s="6" t="s">
        <v>179</v>
      </c>
      <c r="J2209" s="15">
        <v>64.26666666666667</v>
      </c>
    </row>
    <row r="2210" spans="1:10">
      <c r="A2210" s="6" t="s">
        <v>141</v>
      </c>
      <c r="B2210" s="6" t="s">
        <v>86</v>
      </c>
      <c r="C2210" s="6" t="s">
        <v>264</v>
      </c>
      <c r="D2210" s="6">
        <v>11.98216666666667</v>
      </c>
      <c r="E2210" s="6" t="s">
        <v>88</v>
      </c>
      <c r="F2210" s="6" t="s">
        <v>54</v>
      </c>
      <c r="G2210" s="7">
        <v>105927.7948608726</v>
      </c>
      <c r="H2210" s="6">
        <v>1269244.492655453</v>
      </c>
      <c r="I2210" s="6" t="s">
        <v>179</v>
      </c>
      <c r="J2210" s="15">
        <v>64.26666666666667</v>
      </c>
    </row>
    <row r="2211" spans="1:10">
      <c r="A2211" s="6" t="s">
        <v>141</v>
      </c>
      <c r="B2211" s="6" t="s">
        <v>86</v>
      </c>
      <c r="C2211" s="6" t="s">
        <v>264</v>
      </c>
      <c r="D2211" s="6">
        <v>5.350710425899496</v>
      </c>
      <c r="E2211" s="6" t="s">
        <v>90</v>
      </c>
      <c r="F2211" s="6" t="s">
        <v>54</v>
      </c>
      <c r="G2211" s="7">
        <v>105927.7948608726</v>
      </c>
      <c r="H2211" s="6">
        <v>566788.9563546142</v>
      </c>
      <c r="I2211" s="6" t="s">
        <v>179</v>
      </c>
      <c r="J2211" s="15">
        <v>64.26666666666667</v>
      </c>
    </row>
    <row r="2212" spans="1:10">
      <c r="A2212" s="6" t="s">
        <v>141</v>
      </c>
      <c r="B2212" s="6" t="s">
        <v>86</v>
      </c>
      <c r="C2212" s="6" t="s">
        <v>265</v>
      </c>
      <c r="D2212" s="6">
        <v>296.2224141964024</v>
      </c>
      <c r="E2212" s="6" t="s">
        <v>44</v>
      </c>
      <c r="F2212" s="6" t="s">
        <v>54</v>
      </c>
      <c r="G2212" s="7">
        <v>88690.92662794892</v>
      </c>
      <c r="H2212" s="6">
        <v>26272240.40304703</v>
      </c>
      <c r="I2212" s="6" t="s">
        <v>179</v>
      </c>
      <c r="J2212" s="15">
        <v>70.31666666666666</v>
      </c>
    </row>
    <row r="2213" spans="1:10">
      <c r="A2213" s="6" t="s">
        <v>141</v>
      </c>
      <c r="B2213" s="6" t="s">
        <v>86</v>
      </c>
      <c r="C2213" s="6" t="s">
        <v>265</v>
      </c>
      <c r="D2213" s="6">
        <v>89.35601888678832</v>
      </c>
      <c r="E2213" s="6" t="s">
        <v>86</v>
      </c>
      <c r="F2213" s="6" t="s">
        <v>54</v>
      </c>
      <c r="G2213" s="7">
        <v>88690.92662794892</v>
      </c>
      <c r="H2213" s="6">
        <v>7925068.114853761</v>
      </c>
      <c r="I2213" s="6" t="s">
        <v>179</v>
      </c>
      <c r="J2213" s="15">
        <v>70.31666666666666</v>
      </c>
    </row>
    <row r="2214" spans="1:10">
      <c r="A2214" s="6" t="s">
        <v>141</v>
      </c>
      <c r="B2214" s="6" t="s">
        <v>86</v>
      </c>
      <c r="C2214" s="6" t="s">
        <v>265</v>
      </c>
      <c r="D2214" s="6">
        <v>67.56116666666667</v>
      </c>
      <c r="E2214" s="6" t="s">
        <v>88</v>
      </c>
      <c r="F2214" s="6" t="s">
        <v>54</v>
      </c>
      <c r="G2214" s="7">
        <v>88690.92662794892</v>
      </c>
      <c r="H2214" s="6">
        <v>5992062.475731961</v>
      </c>
      <c r="I2214" s="6" t="s">
        <v>179</v>
      </c>
      <c r="J2214" s="15">
        <v>70.31666666666666</v>
      </c>
    </row>
    <row r="2215" spans="1:10">
      <c r="A2215" s="6" t="s">
        <v>141</v>
      </c>
      <c r="B2215" s="6" t="s">
        <v>86</v>
      </c>
      <c r="C2215" s="6" t="s">
        <v>265</v>
      </c>
      <c r="D2215" s="6">
        <v>41.60861662333571</v>
      </c>
      <c r="E2215" s="6" t="s">
        <v>90</v>
      </c>
      <c r="F2215" s="6" t="s">
        <v>54</v>
      </c>
      <c r="G2215" s="7">
        <v>88690.92662794892</v>
      </c>
      <c r="H2215" s="6">
        <v>3690306.764030723</v>
      </c>
      <c r="I2215" s="6" t="s">
        <v>179</v>
      </c>
      <c r="J2215" s="15">
        <v>70.31666666666666</v>
      </c>
    </row>
    <row r="2216" spans="1:10">
      <c r="A2216" s="6" t="s">
        <v>141</v>
      </c>
      <c r="B2216" s="6" t="s">
        <v>86</v>
      </c>
      <c r="C2216" s="6" t="s">
        <v>266</v>
      </c>
      <c r="D2216" s="6">
        <v>199.228889629846</v>
      </c>
      <c r="E2216" s="6" t="s">
        <v>44</v>
      </c>
      <c r="F2216" s="6" t="s">
        <v>57</v>
      </c>
      <c r="G2216" s="7">
        <v>56598.40474601523</v>
      </c>
      <c r="H2216" s="6">
        <v>11276037.33236922</v>
      </c>
      <c r="I2216" s="6" t="s">
        <v>179</v>
      </c>
      <c r="J2216" s="15">
        <v>41.60833333333333</v>
      </c>
    </row>
    <row r="2217" spans="1:10">
      <c r="A2217" s="6" t="s">
        <v>141</v>
      </c>
      <c r="B2217" s="6" t="s">
        <v>86</v>
      </c>
      <c r="C2217" s="6" t="s">
        <v>266</v>
      </c>
      <c r="D2217" s="6">
        <v>13.44324915881527</v>
      </c>
      <c r="E2217" s="6" t="s">
        <v>86</v>
      </c>
      <c r="F2217" s="6" t="s">
        <v>57</v>
      </c>
      <c r="G2217" s="7">
        <v>56598.40474601523</v>
      </c>
      <c r="H2217" s="6">
        <v>760866.4569921553</v>
      </c>
      <c r="I2217" s="6" t="s">
        <v>179</v>
      </c>
      <c r="J2217" s="15">
        <v>41.60833333333333</v>
      </c>
    </row>
    <row r="2218" spans="1:10">
      <c r="A2218" s="6" t="s">
        <v>141</v>
      </c>
      <c r="B2218" s="6" t="s">
        <v>86</v>
      </c>
      <c r="C2218" s="6" t="s">
        <v>266</v>
      </c>
      <c r="D2218" s="6">
        <v>2.923333333333334</v>
      </c>
      <c r="E2218" s="6" t="s">
        <v>88</v>
      </c>
      <c r="F2218" s="6" t="s">
        <v>57</v>
      </c>
      <c r="G2218" s="7">
        <v>56598.40474601523</v>
      </c>
      <c r="H2218" s="6">
        <v>165456.0032075179</v>
      </c>
      <c r="I2218" s="6" t="s">
        <v>179</v>
      </c>
      <c r="J2218" s="15">
        <v>41.60833333333333</v>
      </c>
    </row>
    <row r="2219" spans="1:10">
      <c r="A2219" s="6" t="s">
        <v>141</v>
      </c>
      <c r="B2219" s="6" t="s">
        <v>86</v>
      </c>
      <c r="C2219" s="6" t="s">
        <v>266</v>
      </c>
      <c r="D2219" s="6">
        <v>6.675070341365462</v>
      </c>
      <c r="E2219" s="6" t="s">
        <v>90</v>
      </c>
      <c r="F2219" s="6" t="s">
        <v>57</v>
      </c>
      <c r="G2219" s="7">
        <v>56598.40474601523</v>
      </c>
      <c r="H2219" s="6">
        <v>377798.3328887245</v>
      </c>
      <c r="I2219" s="6" t="s">
        <v>179</v>
      </c>
      <c r="J2219" s="15">
        <v>41.60833333333333</v>
      </c>
    </row>
    <row r="2220" spans="1:10">
      <c r="A2220" s="6" t="s">
        <v>141</v>
      </c>
      <c r="B2220" s="6" t="s">
        <v>86</v>
      </c>
      <c r="C2220" s="6" t="s">
        <v>266</v>
      </c>
      <c r="D2220" s="6">
        <v>0.1239166666666667</v>
      </c>
      <c r="E2220" s="6" t="s">
        <v>92</v>
      </c>
      <c r="F2220" s="6" t="s">
        <v>57</v>
      </c>
      <c r="G2220" s="7">
        <v>56598.40474601523</v>
      </c>
      <c r="H2220" s="6">
        <v>7013.485654777054</v>
      </c>
      <c r="I2220" s="6" t="s">
        <v>179</v>
      </c>
      <c r="J2220" s="15">
        <v>41.60833333333333</v>
      </c>
    </row>
    <row r="2221" spans="1:10">
      <c r="A2221" s="6" t="s">
        <v>141</v>
      </c>
      <c r="B2221" s="6" t="s">
        <v>86</v>
      </c>
      <c r="C2221" s="6" t="s">
        <v>354</v>
      </c>
      <c r="D2221" s="6">
        <v>0.14</v>
      </c>
      <c r="E2221" s="6" t="s">
        <v>44</v>
      </c>
      <c r="F2221" s="6" t="s">
        <v>51</v>
      </c>
      <c r="G2221" s="7">
        <v>44088.02354954973</v>
      </c>
      <c r="H2221" s="6">
        <v>6172.323296936962</v>
      </c>
      <c r="I2221" s="6" t="s">
        <v>180</v>
      </c>
      <c r="J2221" s="15">
        <v>6.488664602023904</v>
      </c>
    </row>
    <row r="2222" spans="1:10">
      <c r="A2222" s="6" t="s">
        <v>141</v>
      </c>
      <c r="B2222" s="6" t="s">
        <v>86</v>
      </c>
      <c r="C2222" s="6" t="s">
        <v>354</v>
      </c>
      <c r="D2222" s="6">
        <v>0.07541666666666666</v>
      </c>
      <c r="E2222" s="6" t="s">
        <v>86</v>
      </c>
      <c r="F2222" s="6" t="s">
        <v>51</v>
      </c>
      <c r="G2222" s="7">
        <v>44088.02354954973</v>
      </c>
      <c r="H2222" s="6">
        <v>3324.971776028542</v>
      </c>
      <c r="I2222" s="6" t="s">
        <v>180</v>
      </c>
      <c r="J2222" s="15">
        <v>6.488664602023904</v>
      </c>
    </row>
    <row r="2223" spans="1:10">
      <c r="A2223" s="6" t="s">
        <v>141</v>
      </c>
      <c r="B2223" s="6" t="s">
        <v>86</v>
      </c>
      <c r="C2223" s="6" t="s">
        <v>354</v>
      </c>
      <c r="D2223" s="6">
        <v>0.05883333333333333</v>
      </c>
      <c r="E2223" s="6" t="s">
        <v>88</v>
      </c>
      <c r="F2223" s="6" t="s">
        <v>51</v>
      </c>
      <c r="G2223" s="7">
        <v>44088.02354954973</v>
      </c>
      <c r="H2223" s="6">
        <v>2593.845385498509</v>
      </c>
      <c r="I2223" s="6" t="s">
        <v>180</v>
      </c>
      <c r="J2223" s="15">
        <v>6.488664602023904</v>
      </c>
    </row>
    <row r="2224" spans="1:10">
      <c r="A2224" s="6" t="s">
        <v>141</v>
      </c>
      <c r="B2224" s="6" t="s">
        <v>86</v>
      </c>
      <c r="C2224" s="6" t="s">
        <v>354</v>
      </c>
      <c r="D2224" s="6">
        <v>0.003416666666666666</v>
      </c>
      <c r="E2224" s="6" t="s">
        <v>90</v>
      </c>
      <c r="F2224" s="6" t="s">
        <v>51</v>
      </c>
      <c r="G2224" s="7">
        <v>44088.02354954973</v>
      </c>
      <c r="H2224" s="6">
        <v>150.6340804609615</v>
      </c>
      <c r="I2224" s="6" t="s">
        <v>180</v>
      </c>
      <c r="J2224" s="15">
        <v>6.488664602023904</v>
      </c>
    </row>
    <row r="2225" spans="1:10">
      <c r="A2225" s="6" t="s">
        <v>141</v>
      </c>
      <c r="B2225" s="6" t="s">
        <v>86</v>
      </c>
      <c r="C2225" s="6" t="s">
        <v>355</v>
      </c>
      <c r="D2225" s="6">
        <v>2.770833333333333</v>
      </c>
      <c r="E2225" s="6" t="s">
        <v>44</v>
      </c>
      <c r="F2225" s="6" t="s">
        <v>52</v>
      </c>
      <c r="G2225" s="7">
        <v>87022.09088521145</v>
      </c>
      <c r="H2225" s="6">
        <v>241123.7101611067</v>
      </c>
      <c r="I2225" s="6" t="s">
        <v>179</v>
      </c>
      <c r="J2225" s="15">
        <v>48.5</v>
      </c>
    </row>
    <row r="2226" spans="1:10">
      <c r="A2226" s="6" t="s">
        <v>141</v>
      </c>
      <c r="B2226" s="6" t="s">
        <v>86</v>
      </c>
      <c r="C2226" s="6" t="s">
        <v>355</v>
      </c>
      <c r="D2226" s="6">
        <v>36.95558333333333</v>
      </c>
      <c r="E2226" s="6" t="s">
        <v>86</v>
      </c>
      <c r="F2226" s="6" t="s">
        <v>52</v>
      </c>
      <c r="G2226" s="7">
        <v>87022.09088521145</v>
      </c>
      <c r="H2226" s="6">
        <v>3215952.131549339</v>
      </c>
      <c r="I2226" s="6" t="s">
        <v>179</v>
      </c>
      <c r="J2226" s="15">
        <v>48.5</v>
      </c>
    </row>
    <row r="2227" spans="1:10">
      <c r="A2227" s="6" t="s">
        <v>141</v>
      </c>
      <c r="B2227" s="6" t="s">
        <v>86</v>
      </c>
      <c r="C2227" s="6" t="s">
        <v>355</v>
      </c>
      <c r="D2227" s="6">
        <v>1.147333333333333</v>
      </c>
      <c r="E2227" s="6" t="s">
        <v>88</v>
      </c>
      <c r="F2227" s="6" t="s">
        <v>52</v>
      </c>
      <c r="G2227" s="7">
        <v>87022.09088521145</v>
      </c>
      <c r="H2227" s="6">
        <v>99843.34560896593</v>
      </c>
      <c r="I2227" s="6" t="s">
        <v>179</v>
      </c>
      <c r="J2227" s="15">
        <v>48.5</v>
      </c>
    </row>
    <row r="2228" spans="1:10">
      <c r="A2228" s="6" t="s">
        <v>141</v>
      </c>
      <c r="B2228" s="6" t="s">
        <v>86</v>
      </c>
      <c r="C2228" s="6" t="s">
        <v>355</v>
      </c>
      <c r="D2228" s="6">
        <v>0.0275</v>
      </c>
      <c r="E2228" s="6" t="s">
        <v>90</v>
      </c>
      <c r="F2228" s="6" t="s">
        <v>52</v>
      </c>
      <c r="G2228" s="7">
        <v>87022.09088521145</v>
      </c>
      <c r="H2228" s="6">
        <v>2393.107499343315</v>
      </c>
      <c r="I2228" s="6" t="s">
        <v>179</v>
      </c>
      <c r="J2228" s="15">
        <v>48.5</v>
      </c>
    </row>
    <row r="2229" spans="1:10">
      <c r="A2229" s="6" t="s">
        <v>141</v>
      </c>
      <c r="B2229" s="6" t="s">
        <v>86</v>
      </c>
      <c r="C2229" s="6" t="s">
        <v>267</v>
      </c>
      <c r="D2229" s="6">
        <v>1207.361045803572</v>
      </c>
      <c r="E2229" s="6" t="s">
        <v>44</v>
      </c>
      <c r="F2229" s="6" t="s">
        <v>53</v>
      </c>
      <c r="G2229" s="7">
        <v>29372.68127915858</v>
      </c>
      <c r="H2229" s="6">
        <v>35463431.18725989</v>
      </c>
      <c r="I2229" s="6" t="s">
        <v>179</v>
      </c>
      <c r="J2229" s="15">
        <v>8</v>
      </c>
    </row>
    <row r="2230" spans="1:10">
      <c r="A2230" s="6" t="s">
        <v>141</v>
      </c>
      <c r="B2230" s="6" t="s">
        <v>86</v>
      </c>
      <c r="C2230" s="6" t="s">
        <v>267</v>
      </c>
      <c r="D2230" s="6">
        <v>265.8700014092331</v>
      </c>
      <c r="E2230" s="6" t="s">
        <v>86</v>
      </c>
      <c r="F2230" s="6" t="s">
        <v>53</v>
      </c>
      <c r="G2230" s="7">
        <v>29372.68127915858</v>
      </c>
      <c r="H2230" s="6">
        <v>7809314.813082845</v>
      </c>
      <c r="I2230" s="6" t="s">
        <v>179</v>
      </c>
      <c r="J2230" s="15">
        <v>8</v>
      </c>
    </row>
    <row r="2231" spans="1:10">
      <c r="A2231" s="6" t="s">
        <v>141</v>
      </c>
      <c r="B2231" s="6" t="s">
        <v>86</v>
      </c>
      <c r="C2231" s="6" t="s">
        <v>267</v>
      </c>
      <c r="D2231" s="6">
        <v>264.30125</v>
      </c>
      <c r="E2231" s="6" t="s">
        <v>88</v>
      </c>
      <c r="F2231" s="6" t="s">
        <v>53</v>
      </c>
      <c r="G2231" s="7">
        <v>29372.68127915858</v>
      </c>
      <c r="H2231" s="6">
        <v>7763236.377933211</v>
      </c>
      <c r="I2231" s="6" t="s">
        <v>179</v>
      </c>
      <c r="J2231" s="15">
        <v>8</v>
      </c>
    </row>
    <row r="2232" spans="1:10">
      <c r="A2232" s="6" t="s">
        <v>141</v>
      </c>
      <c r="B2232" s="6" t="s">
        <v>86</v>
      </c>
      <c r="C2232" s="6" t="s">
        <v>267</v>
      </c>
      <c r="D2232" s="6">
        <v>97.55208435415221</v>
      </c>
      <c r="E2232" s="6" t="s">
        <v>90</v>
      </c>
      <c r="F2232" s="6" t="s">
        <v>53</v>
      </c>
      <c r="G2232" s="7">
        <v>29372.68127915858</v>
      </c>
      <c r="H2232" s="6">
        <v>2865366.281852105</v>
      </c>
      <c r="I2232" s="6" t="s">
        <v>179</v>
      </c>
      <c r="J2232" s="15">
        <v>8</v>
      </c>
    </row>
    <row r="2233" spans="1:10">
      <c r="A2233" s="6" t="s">
        <v>141</v>
      </c>
      <c r="B2233" s="6" t="s">
        <v>86</v>
      </c>
      <c r="C2233" s="6" t="s">
        <v>267</v>
      </c>
      <c r="D2233" s="6">
        <v>0.2386666666666667</v>
      </c>
      <c r="E2233" s="6" t="s">
        <v>92</v>
      </c>
      <c r="F2233" s="6" t="s">
        <v>53</v>
      </c>
      <c r="G2233" s="7">
        <v>29372.68127915858</v>
      </c>
      <c r="H2233" s="6">
        <v>7010.279931959181</v>
      </c>
      <c r="I2233" s="6" t="s">
        <v>179</v>
      </c>
      <c r="J2233" s="15">
        <v>8</v>
      </c>
    </row>
    <row r="2234" spans="1:10">
      <c r="A2234" s="6" t="s">
        <v>141</v>
      </c>
      <c r="B2234" s="6" t="s">
        <v>86</v>
      </c>
      <c r="C2234" s="6" t="s">
        <v>268</v>
      </c>
      <c r="D2234" s="6">
        <v>0.04160597112860893</v>
      </c>
      <c r="E2234" s="6" t="s">
        <v>44</v>
      </c>
      <c r="F2234" s="6" t="s">
        <v>51</v>
      </c>
      <c r="G2234" s="7">
        <v>54934.22900617691</v>
      </c>
      <c r="H2234" s="6">
        <v>2285.591946003387</v>
      </c>
      <c r="I2234" s="6" t="s">
        <v>180</v>
      </c>
      <c r="J2234" s="15">
        <v>9.748103652333924</v>
      </c>
    </row>
    <row r="2235" spans="1:10">
      <c r="A2235" s="6" t="s">
        <v>141</v>
      </c>
      <c r="B2235" s="6" t="s">
        <v>86</v>
      </c>
      <c r="C2235" s="6" t="s">
        <v>268</v>
      </c>
      <c r="D2235" s="6">
        <v>0.001313038995125609</v>
      </c>
      <c r="E2235" s="6" t="s">
        <v>86</v>
      </c>
      <c r="F2235" s="6" t="s">
        <v>51</v>
      </c>
      <c r="G2235" s="7">
        <v>54934.22900617691</v>
      </c>
      <c r="H2235" s="6">
        <v>72.13078485227064</v>
      </c>
      <c r="I2235" s="6" t="s">
        <v>180</v>
      </c>
      <c r="J2235" s="15">
        <v>9.748103652333924</v>
      </c>
    </row>
    <row r="2236" spans="1:10">
      <c r="A2236" s="6" t="s">
        <v>141</v>
      </c>
      <c r="B2236" s="6" t="s">
        <v>86</v>
      </c>
      <c r="C2236" s="6" t="s">
        <v>269</v>
      </c>
      <c r="D2236" s="6">
        <v>8.039501021247462</v>
      </c>
      <c r="E2236" s="6" t="s">
        <v>44</v>
      </c>
      <c r="F2236" s="6" t="s">
        <v>52</v>
      </c>
      <c r="G2236" s="7">
        <v>83790.30016891156</v>
      </c>
      <c r="H2236" s="6">
        <v>673632.2037785959</v>
      </c>
      <c r="I2236" s="6" t="s">
        <v>179</v>
      </c>
      <c r="J2236" s="15">
        <v>44.5</v>
      </c>
    </row>
    <row r="2237" spans="1:10">
      <c r="A2237" s="6" t="s">
        <v>141</v>
      </c>
      <c r="B2237" s="6" t="s">
        <v>86</v>
      </c>
      <c r="C2237" s="6" t="s">
        <v>269</v>
      </c>
      <c r="D2237" s="6">
        <v>18.30370164172437</v>
      </c>
      <c r="E2237" s="6" t="s">
        <v>86</v>
      </c>
      <c r="F2237" s="6" t="s">
        <v>52</v>
      </c>
      <c r="G2237" s="7">
        <v>83790.30016891156</v>
      </c>
      <c r="H2237" s="6">
        <v>1533672.654762284</v>
      </c>
      <c r="I2237" s="6" t="s">
        <v>179</v>
      </c>
      <c r="J2237" s="15">
        <v>44.5</v>
      </c>
    </row>
    <row r="2238" spans="1:10">
      <c r="A2238" s="6" t="s">
        <v>141</v>
      </c>
      <c r="B2238" s="6" t="s">
        <v>86</v>
      </c>
      <c r="C2238" s="6" t="s">
        <v>269</v>
      </c>
      <c r="D2238" s="6">
        <v>3.610250000000001</v>
      </c>
      <c r="E2238" s="6" t="s">
        <v>88</v>
      </c>
      <c r="F2238" s="6" t="s">
        <v>52</v>
      </c>
      <c r="G2238" s="7">
        <v>83790.30016891156</v>
      </c>
      <c r="H2238" s="6">
        <v>302503.931184813</v>
      </c>
      <c r="I2238" s="6" t="s">
        <v>179</v>
      </c>
      <c r="J2238" s="15">
        <v>44.5</v>
      </c>
    </row>
    <row r="2239" spans="1:10">
      <c r="A2239" s="6" t="s">
        <v>141</v>
      </c>
      <c r="B2239" s="6" t="s">
        <v>86</v>
      </c>
      <c r="C2239" s="6" t="s">
        <v>269</v>
      </c>
      <c r="D2239" s="6">
        <v>0.05388513513513514</v>
      </c>
      <c r="E2239" s="6" t="s">
        <v>90</v>
      </c>
      <c r="F2239" s="6" t="s">
        <v>52</v>
      </c>
      <c r="G2239" s="7">
        <v>83790.30016891156</v>
      </c>
      <c r="H2239" s="6">
        <v>4515.051647615336</v>
      </c>
      <c r="I2239" s="6" t="s">
        <v>179</v>
      </c>
      <c r="J2239" s="15">
        <v>44.5</v>
      </c>
    </row>
    <row r="2240" spans="1:10">
      <c r="A2240" s="6" t="s">
        <v>141</v>
      </c>
      <c r="B2240" s="6" t="s">
        <v>86</v>
      </c>
      <c r="C2240" s="6" t="s">
        <v>356</v>
      </c>
      <c r="D2240" s="6">
        <v>28.51858333333334</v>
      </c>
      <c r="E2240" s="6" t="s">
        <v>86</v>
      </c>
      <c r="F2240" s="6" t="s">
        <v>52</v>
      </c>
      <c r="G2240" s="7">
        <v>55062.04930703079</v>
      </c>
      <c r="H2240" s="6">
        <v>1570291.641666667</v>
      </c>
      <c r="I2240" s="6" t="s">
        <v>179</v>
      </c>
      <c r="J2240" s="15">
        <v>48.93333333333333</v>
      </c>
    </row>
    <row r="2241" spans="1:10">
      <c r="A2241" s="6" t="s">
        <v>141</v>
      </c>
      <c r="B2241" s="6" t="s">
        <v>86</v>
      </c>
      <c r="C2241" s="6" t="s">
        <v>270</v>
      </c>
      <c r="D2241" s="6">
        <v>43.75891062391494</v>
      </c>
      <c r="E2241" s="6" t="s">
        <v>44</v>
      </c>
      <c r="F2241" s="6" t="s">
        <v>59</v>
      </c>
      <c r="G2241" s="7">
        <v>48832.25327446419</v>
      </c>
      <c r="H2241" s="6">
        <v>2136846.206601656</v>
      </c>
      <c r="I2241" s="6" t="s">
        <v>179</v>
      </c>
      <c r="J2241" s="15">
        <v>27.28333333333333</v>
      </c>
    </row>
    <row r="2242" spans="1:10">
      <c r="A2242" s="6" t="s">
        <v>141</v>
      </c>
      <c r="B2242" s="6" t="s">
        <v>86</v>
      </c>
      <c r="C2242" s="6" t="s">
        <v>270</v>
      </c>
      <c r="D2242" s="6">
        <v>14.98024572363393</v>
      </c>
      <c r="E2242" s="6" t="s">
        <v>86</v>
      </c>
      <c r="F2242" s="6" t="s">
        <v>59</v>
      </c>
      <c r="G2242" s="7">
        <v>48832.25327446419</v>
      </c>
      <c r="H2242" s="6">
        <v>731519.153290201</v>
      </c>
      <c r="I2242" s="6" t="s">
        <v>179</v>
      </c>
      <c r="J2242" s="15">
        <v>27.28333333333333</v>
      </c>
    </row>
    <row r="2243" spans="1:10">
      <c r="A2243" s="6" t="s">
        <v>141</v>
      </c>
      <c r="B2243" s="6" t="s">
        <v>86</v>
      </c>
      <c r="C2243" s="6" t="s">
        <v>270</v>
      </c>
      <c r="D2243" s="6">
        <v>6.110833333333333</v>
      </c>
      <c r="E2243" s="6" t="s">
        <v>88</v>
      </c>
      <c r="F2243" s="6" t="s">
        <v>59</v>
      </c>
      <c r="G2243" s="7">
        <v>48832.25327446419</v>
      </c>
      <c r="H2243" s="6">
        <v>298405.7610513715</v>
      </c>
      <c r="I2243" s="6" t="s">
        <v>179</v>
      </c>
      <c r="J2243" s="15">
        <v>27.28333333333333</v>
      </c>
    </row>
    <row r="2244" spans="1:10">
      <c r="A2244" s="6" t="s">
        <v>141</v>
      </c>
      <c r="B2244" s="6" t="s">
        <v>86</v>
      </c>
      <c r="C2244" s="6" t="s">
        <v>270</v>
      </c>
      <c r="D2244" s="6">
        <v>1.250187465165135</v>
      </c>
      <c r="E2244" s="6" t="s">
        <v>90</v>
      </c>
      <c r="F2244" s="6" t="s">
        <v>59</v>
      </c>
      <c r="G2244" s="7">
        <v>48832.25327446419</v>
      </c>
      <c r="H2244" s="6">
        <v>61049.47093950426</v>
      </c>
      <c r="I2244" s="6" t="s">
        <v>179</v>
      </c>
      <c r="J2244" s="15">
        <v>27.28333333333333</v>
      </c>
    </row>
    <row r="2245" spans="1:10">
      <c r="A2245" s="6" t="s">
        <v>141</v>
      </c>
      <c r="B2245" s="6" t="s">
        <v>86</v>
      </c>
      <c r="C2245" s="6" t="s">
        <v>271</v>
      </c>
      <c r="D2245" s="6">
        <v>423.2618985446482</v>
      </c>
      <c r="E2245" s="6" t="s">
        <v>44</v>
      </c>
      <c r="F2245" s="6" t="s">
        <v>54</v>
      </c>
      <c r="G2245" s="7">
        <v>81091.15446449892</v>
      </c>
      <c r="H2245" s="6">
        <v>34322795.99382114</v>
      </c>
      <c r="I2245" s="6" t="s">
        <v>179</v>
      </c>
      <c r="J2245" s="15">
        <v>47.58333333333334</v>
      </c>
    </row>
    <row r="2246" spans="1:10">
      <c r="A2246" s="6" t="s">
        <v>141</v>
      </c>
      <c r="B2246" s="6" t="s">
        <v>86</v>
      </c>
      <c r="C2246" s="6" t="s">
        <v>271</v>
      </c>
      <c r="D2246" s="6">
        <v>264.5164254495918</v>
      </c>
      <c r="E2246" s="6" t="s">
        <v>86</v>
      </c>
      <c r="F2246" s="6" t="s">
        <v>54</v>
      </c>
      <c r="G2246" s="7">
        <v>81091.15446449892</v>
      </c>
      <c r="H2246" s="6">
        <v>21449942.31452997</v>
      </c>
      <c r="I2246" s="6" t="s">
        <v>179</v>
      </c>
      <c r="J2246" s="15">
        <v>47.58333333333334</v>
      </c>
    </row>
    <row r="2247" spans="1:10">
      <c r="A2247" s="6" t="s">
        <v>141</v>
      </c>
      <c r="B2247" s="6" t="s">
        <v>86</v>
      </c>
      <c r="C2247" s="6" t="s">
        <v>271</v>
      </c>
      <c r="D2247" s="6">
        <v>150.4355</v>
      </c>
      <c r="E2247" s="6" t="s">
        <v>88</v>
      </c>
      <c r="F2247" s="6" t="s">
        <v>54</v>
      </c>
      <c r="G2247" s="7">
        <v>81091.15446449892</v>
      </c>
      <c r="H2247" s="6">
        <v>12198988.36744413</v>
      </c>
      <c r="I2247" s="6" t="s">
        <v>179</v>
      </c>
      <c r="J2247" s="15">
        <v>47.58333333333334</v>
      </c>
    </row>
    <row r="2248" spans="1:10">
      <c r="A2248" s="6" t="s">
        <v>141</v>
      </c>
      <c r="B2248" s="6" t="s">
        <v>86</v>
      </c>
      <c r="C2248" s="6" t="s">
        <v>271</v>
      </c>
      <c r="D2248" s="6">
        <v>48.91177591451586</v>
      </c>
      <c r="E2248" s="6" t="s">
        <v>90</v>
      </c>
      <c r="F2248" s="6" t="s">
        <v>54</v>
      </c>
      <c r="G2248" s="7">
        <v>81091.15446449892</v>
      </c>
      <c r="H2248" s="6">
        <v>3966312.375816963</v>
      </c>
      <c r="I2248" s="6" t="s">
        <v>179</v>
      </c>
      <c r="J2248" s="15">
        <v>47.58333333333334</v>
      </c>
    </row>
    <row r="2249" spans="1:10">
      <c r="A2249" s="6" t="s">
        <v>141</v>
      </c>
      <c r="B2249" s="6" t="s">
        <v>86</v>
      </c>
      <c r="C2249" s="6" t="s">
        <v>271</v>
      </c>
      <c r="D2249" s="6">
        <v>0.2539999999999999</v>
      </c>
      <c r="E2249" s="6" t="s">
        <v>92</v>
      </c>
      <c r="F2249" s="6" t="s">
        <v>54</v>
      </c>
      <c r="G2249" s="7">
        <v>81091.15446449892</v>
      </c>
      <c r="H2249" s="6">
        <v>20597.15323398272</v>
      </c>
      <c r="I2249" s="6" t="s">
        <v>179</v>
      </c>
      <c r="J2249" s="15">
        <v>47.58333333333334</v>
      </c>
    </row>
    <row r="2250" spans="1:10">
      <c r="A2250" s="6" t="s">
        <v>141</v>
      </c>
      <c r="B2250" s="6" t="s">
        <v>86</v>
      </c>
      <c r="C2250" s="6" t="s">
        <v>272</v>
      </c>
      <c r="D2250" s="6">
        <v>2.824384407314221</v>
      </c>
      <c r="E2250" s="6" t="s">
        <v>44</v>
      </c>
      <c r="F2250" s="6" t="s">
        <v>51</v>
      </c>
      <c r="G2250" s="7">
        <v>35610.26336083005</v>
      </c>
      <c r="H2250" s="6">
        <v>100577.0725766813</v>
      </c>
      <c r="I2250" s="6" t="s">
        <v>179</v>
      </c>
      <c r="J2250" s="15">
        <v>8.94980137224452</v>
      </c>
    </row>
    <row r="2251" spans="1:10">
      <c r="A2251" s="6" t="s">
        <v>141</v>
      </c>
      <c r="B2251" s="6" t="s">
        <v>86</v>
      </c>
      <c r="C2251" s="6" t="s">
        <v>272</v>
      </c>
      <c r="D2251" s="6">
        <v>0.1873417012397058</v>
      </c>
      <c r="E2251" s="6" t="s">
        <v>86</v>
      </c>
      <c r="F2251" s="6" t="s">
        <v>51</v>
      </c>
      <c r="G2251" s="7">
        <v>35610.26336083005</v>
      </c>
      <c r="H2251" s="6">
        <v>6671.287319611863</v>
      </c>
      <c r="I2251" s="6" t="s">
        <v>179</v>
      </c>
      <c r="J2251" s="15">
        <v>8.94980137224452</v>
      </c>
    </row>
    <row r="2252" spans="1:10">
      <c r="A2252" s="6" t="s">
        <v>141</v>
      </c>
      <c r="B2252" s="6" t="s">
        <v>86</v>
      </c>
      <c r="C2252" s="6" t="s">
        <v>272</v>
      </c>
      <c r="D2252" s="6">
        <v>0.2905</v>
      </c>
      <c r="E2252" s="6" t="s">
        <v>88</v>
      </c>
      <c r="F2252" s="6" t="s">
        <v>51</v>
      </c>
      <c r="G2252" s="7">
        <v>35610.26336083005</v>
      </c>
      <c r="H2252" s="6">
        <v>10344.78150632113</v>
      </c>
      <c r="I2252" s="6" t="s">
        <v>179</v>
      </c>
      <c r="J2252" s="15">
        <v>8.94980137224452</v>
      </c>
    </row>
    <row r="2253" spans="1:10">
      <c r="A2253" s="6" t="s">
        <v>141</v>
      </c>
      <c r="B2253" s="6" t="s">
        <v>86</v>
      </c>
      <c r="C2253" s="6" t="s">
        <v>272</v>
      </c>
      <c r="D2253" s="6">
        <v>0.1004966087382484</v>
      </c>
      <c r="E2253" s="6" t="s">
        <v>90</v>
      </c>
      <c r="F2253" s="6" t="s">
        <v>51</v>
      </c>
      <c r="G2253" s="7">
        <v>35610.26336083005</v>
      </c>
      <c r="H2253" s="6">
        <v>3578.71070403932</v>
      </c>
      <c r="I2253" s="6" t="s">
        <v>179</v>
      </c>
      <c r="J2253" s="15">
        <v>8.94980137224452</v>
      </c>
    </row>
    <row r="2254" spans="1:10">
      <c r="A2254" s="6" t="s">
        <v>141</v>
      </c>
      <c r="B2254" s="6" t="s">
        <v>86</v>
      </c>
      <c r="C2254" s="6" t="s">
        <v>273</v>
      </c>
      <c r="D2254" s="6">
        <v>187.8126263310854</v>
      </c>
      <c r="E2254" s="6" t="s">
        <v>44</v>
      </c>
      <c r="F2254" s="6" t="s">
        <v>51</v>
      </c>
      <c r="G2254" s="7">
        <v>67973.7631418879</v>
      </c>
      <c r="H2254" s="6">
        <v>12766330.9772851</v>
      </c>
      <c r="I2254" s="6" t="s">
        <v>179</v>
      </c>
      <c r="J2254" s="15">
        <v>38.09999999999999</v>
      </c>
    </row>
    <row r="2255" spans="1:10">
      <c r="A2255" s="6" t="s">
        <v>141</v>
      </c>
      <c r="B2255" s="6" t="s">
        <v>86</v>
      </c>
      <c r="C2255" s="6" t="s">
        <v>273</v>
      </c>
      <c r="D2255" s="6">
        <v>60.65283282549707</v>
      </c>
      <c r="E2255" s="6" t="s">
        <v>86</v>
      </c>
      <c r="F2255" s="6" t="s">
        <v>51</v>
      </c>
      <c r="G2255" s="7">
        <v>67973.7631418879</v>
      </c>
      <c r="H2255" s="6">
        <v>4122801.292364861</v>
      </c>
      <c r="I2255" s="6" t="s">
        <v>179</v>
      </c>
      <c r="J2255" s="15">
        <v>38.09999999999999</v>
      </c>
    </row>
    <row r="2256" spans="1:10">
      <c r="A2256" s="6" t="s">
        <v>141</v>
      </c>
      <c r="B2256" s="6" t="s">
        <v>86</v>
      </c>
      <c r="C2256" s="6" t="s">
        <v>273</v>
      </c>
      <c r="D2256" s="6">
        <v>8.439166666666667</v>
      </c>
      <c r="E2256" s="6" t="s">
        <v>88</v>
      </c>
      <c r="F2256" s="6" t="s">
        <v>51</v>
      </c>
      <c r="G2256" s="7">
        <v>67973.7631418879</v>
      </c>
      <c r="H2256" s="6">
        <v>573641.9161149156</v>
      </c>
      <c r="I2256" s="6" t="s">
        <v>179</v>
      </c>
      <c r="J2256" s="15">
        <v>38.09999999999999</v>
      </c>
    </row>
    <row r="2257" spans="1:10">
      <c r="A2257" s="6" t="s">
        <v>141</v>
      </c>
      <c r="B2257" s="6" t="s">
        <v>86</v>
      </c>
      <c r="C2257" s="6" t="s">
        <v>273</v>
      </c>
      <c r="D2257" s="6">
        <v>12.87124706193054</v>
      </c>
      <c r="E2257" s="6" t="s">
        <v>90</v>
      </c>
      <c r="F2257" s="6" t="s">
        <v>51</v>
      </c>
      <c r="G2257" s="7">
        <v>67973.7631418879</v>
      </c>
      <c r="H2257" s="6">
        <v>874907.0991283872</v>
      </c>
      <c r="I2257" s="6" t="s">
        <v>179</v>
      </c>
      <c r="J2257" s="15">
        <v>38.09999999999999</v>
      </c>
    </row>
    <row r="2258" spans="1:10">
      <c r="A2258" s="6" t="s">
        <v>141</v>
      </c>
      <c r="B2258" s="6" t="s">
        <v>86</v>
      </c>
      <c r="C2258" s="6" t="s">
        <v>273</v>
      </c>
      <c r="D2258" s="6">
        <v>0.7453333333333333</v>
      </c>
      <c r="E2258" s="6" t="s">
        <v>92</v>
      </c>
      <c r="F2258" s="6" t="s">
        <v>51</v>
      </c>
      <c r="G2258" s="7">
        <v>67973.7631418879</v>
      </c>
      <c r="H2258" s="6">
        <v>50663.11146175378</v>
      </c>
      <c r="I2258" s="6" t="s">
        <v>179</v>
      </c>
      <c r="J2258" s="15">
        <v>38.09999999999999</v>
      </c>
    </row>
    <row r="2259" spans="1:10">
      <c r="A2259" s="6" t="s">
        <v>141</v>
      </c>
      <c r="B2259" s="6" t="s">
        <v>86</v>
      </c>
      <c r="C2259" s="6" t="s">
        <v>274</v>
      </c>
      <c r="D2259" s="6">
        <v>6.291671413155187</v>
      </c>
      <c r="E2259" s="6" t="s">
        <v>44</v>
      </c>
      <c r="F2259" s="6" t="s">
        <v>56</v>
      </c>
      <c r="G2259" s="7">
        <v>78856.2682959418</v>
      </c>
      <c r="H2259" s="6">
        <v>496137.7289856728</v>
      </c>
      <c r="I2259" s="6" t="s">
        <v>179</v>
      </c>
      <c r="J2259" s="15">
        <v>85.5</v>
      </c>
    </row>
    <row r="2260" spans="1:10">
      <c r="A2260" s="6" t="s">
        <v>141</v>
      </c>
      <c r="B2260" s="6" t="s">
        <v>86</v>
      </c>
      <c r="C2260" s="6" t="s">
        <v>274</v>
      </c>
      <c r="D2260" s="6">
        <v>0.3676795768706961</v>
      </c>
      <c r="E2260" s="6" t="s">
        <v>86</v>
      </c>
      <c r="F2260" s="6" t="s">
        <v>56</v>
      </c>
      <c r="G2260" s="7">
        <v>78856.2682959418</v>
      </c>
      <c r="H2260" s="6">
        <v>28993.83936065397</v>
      </c>
      <c r="I2260" s="6" t="s">
        <v>179</v>
      </c>
      <c r="J2260" s="15">
        <v>85.5</v>
      </c>
    </row>
    <row r="2261" spans="1:10">
      <c r="A2261" s="6" t="s">
        <v>141</v>
      </c>
      <c r="B2261" s="6" t="s">
        <v>86</v>
      </c>
      <c r="C2261" s="6" t="s">
        <v>274</v>
      </c>
      <c r="D2261" s="6">
        <v>0.1595833333333333</v>
      </c>
      <c r="E2261" s="6" t="s">
        <v>88</v>
      </c>
      <c r="F2261" s="6" t="s">
        <v>56</v>
      </c>
      <c r="G2261" s="7">
        <v>78856.2682959418</v>
      </c>
      <c r="H2261" s="6">
        <v>12584.14614889405</v>
      </c>
      <c r="I2261" s="6" t="s">
        <v>179</v>
      </c>
      <c r="J2261" s="15">
        <v>85.5</v>
      </c>
    </row>
    <row r="2262" spans="1:10">
      <c r="A2262" s="6" t="s">
        <v>141</v>
      </c>
      <c r="B2262" s="6" t="s">
        <v>86</v>
      </c>
      <c r="C2262" s="6" t="s">
        <v>274</v>
      </c>
      <c r="D2262" s="6">
        <v>0.04672130854318662</v>
      </c>
      <c r="E2262" s="6" t="s">
        <v>90</v>
      </c>
      <c r="F2262" s="6" t="s">
        <v>56</v>
      </c>
      <c r="G2262" s="7">
        <v>78856.2682959418</v>
      </c>
      <c r="H2262" s="6">
        <v>3684.268041619001</v>
      </c>
      <c r="I2262" s="6" t="s">
        <v>179</v>
      </c>
      <c r="J2262" s="15">
        <v>85.5</v>
      </c>
    </row>
    <row r="2263" spans="1:10">
      <c r="A2263" s="6" t="s">
        <v>141</v>
      </c>
      <c r="B2263" s="6" t="s">
        <v>86</v>
      </c>
      <c r="C2263" s="6" t="s">
        <v>276</v>
      </c>
      <c r="D2263" s="6">
        <v>94.38452015304937</v>
      </c>
      <c r="E2263" s="6" t="s">
        <v>44</v>
      </c>
      <c r="F2263" s="6" t="s">
        <v>51</v>
      </c>
      <c r="G2263" s="7">
        <v>60321.29966037828</v>
      </c>
      <c r="H2263" s="6">
        <v>5693396.923453104</v>
      </c>
      <c r="I2263" s="6" t="s">
        <v>179</v>
      </c>
      <c r="J2263" s="15">
        <v>37.45</v>
      </c>
    </row>
    <row r="2264" spans="1:10">
      <c r="A2264" s="6" t="s">
        <v>141</v>
      </c>
      <c r="B2264" s="6" t="s">
        <v>86</v>
      </c>
      <c r="C2264" s="6" t="s">
        <v>276</v>
      </c>
      <c r="D2264" s="6">
        <v>28.65899228898296</v>
      </c>
      <c r="E2264" s="6" t="s">
        <v>86</v>
      </c>
      <c r="F2264" s="6" t="s">
        <v>51</v>
      </c>
      <c r="G2264" s="7">
        <v>60321.29966037828</v>
      </c>
      <c r="H2264" s="6">
        <v>1728747.661828212</v>
      </c>
      <c r="I2264" s="6" t="s">
        <v>179</v>
      </c>
      <c r="J2264" s="15">
        <v>37.45</v>
      </c>
    </row>
    <row r="2265" spans="1:10">
      <c r="A2265" s="6" t="s">
        <v>141</v>
      </c>
      <c r="B2265" s="6" t="s">
        <v>86</v>
      </c>
      <c r="C2265" s="6" t="s">
        <v>276</v>
      </c>
      <c r="D2265" s="6">
        <v>6.776833333333333</v>
      </c>
      <c r="E2265" s="6" t="s">
        <v>88</v>
      </c>
      <c r="F2265" s="6" t="s">
        <v>51</v>
      </c>
      <c r="G2265" s="7">
        <v>60321.29966037828</v>
      </c>
      <c r="H2265" s="6">
        <v>408787.3942484402</v>
      </c>
      <c r="I2265" s="6" t="s">
        <v>179</v>
      </c>
      <c r="J2265" s="15">
        <v>37.45</v>
      </c>
    </row>
    <row r="2266" spans="1:10">
      <c r="A2266" s="6" t="s">
        <v>141</v>
      </c>
      <c r="B2266" s="6" t="s">
        <v>86</v>
      </c>
      <c r="C2266" s="6" t="s">
        <v>276</v>
      </c>
      <c r="D2266" s="6">
        <v>4.482820807138511</v>
      </c>
      <c r="E2266" s="6" t="s">
        <v>90</v>
      </c>
      <c r="F2266" s="6" t="s">
        <v>51</v>
      </c>
      <c r="G2266" s="7">
        <v>60321.29966037828</v>
      </c>
      <c r="H2266" s="6">
        <v>270409.577231181</v>
      </c>
      <c r="I2266" s="6" t="s">
        <v>179</v>
      </c>
      <c r="J2266" s="15">
        <v>37.45</v>
      </c>
    </row>
    <row r="2267" spans="1:10">
      <c r="A2267" s="6" t="s">
        <v>141</v>
      </c>
      <c r="B2267" s="6" t="s">
        <v>86</v>
      </c>
      <c r="C2267" s="6" t="s">
        <v>277</v>
      </c>
      <c r="D2267" s="6">
        <v>0.5169969483568074</v>
      </c>
      <c r="E2267" s="6" t="s">
        <v>44</v>
      </c>
      <c r="F2267" s="6" t="s">
        <v>57</v>
      </c>
      <c r="G2267" s="7">
        <v>45163.47927531065</v>
      </c>
      <c r="H2267" s="6">
        <v>23349.38096251152</v>
      </c>
      <c r="I2267" s="6" t="s">
        <v>180</v>
      </c>
      <c r="J2267" s="15">
        <v>6.811854348285148</v>
      </c>
    </row>
    <row r="2268" spans="1:10">
      <c r="A2268" s="6" t="s">
        <v>141</v>
      </c>
      <c r="B2268" s="6" t="s">
        <v>86</v>
      </c>
      <c r="C2268" s="6" t="s">
        <v>277</v>
      </c>
      <c r="D2268" s="6">
        <v>0.1245164276732477</v>
      </c>
      <c r="E2268" s="6" t="s">
        <v>86</v>
      </c>
      <c r="F2268" s="6" t="s">
        <v>57</v>
      </c>
      <c r="G2268" s="7">
        <v>45163.47927531065</v>
      </c>
      <c r="H2268" s="6">
        <v>5623.59510065644</v>
      </c>
      <c r="I2268" s="6" t="s">
        <v>180</v>
      </c>
      <c r="J2268" s="15">
        <v>6.811854348285148</v>
      </c>
    </row>
    <row r="2269" spans="1:10">
      <c r="A2269" s="6" t="s">
        <v>141</v>
      </c>
      <c r="B2269" s="6" t="s">
        <v>86</v>
      </c>
      <c r="C2269" s="6" t="s">
        <v>277</v>
      </c>
      <c r="D2269" s="6">
        <v>0.04216666666666666</v>
      </c>
      <c r="E2269" s="6" t="s">
        <v>88</v>
      </c>
      <c r="F2269" s="6" t="s">
        <v>57</v>
      </c>
      <c r="G2269" s="7">
        <v>45163.47927531065</v>
      </c>
      <c r="H2269" s="6">
        <v>1904.393376108932</v>
      </c>
      <c r="I2269" s="6" t="s">
        <v>180</v>
      </c>
      <c r="J2269" s="15">
        <v>6.811854348285148</v>
      </c>
    </row>
    <row r="2270" spans="1:10">
      <c r="A2270" s="6" t="s">
        <v>141</v>
      </c>
      <c r="B2270" s="6" t="s">
        <v>86</v>
      </c>
      <c r="C2270" s="6" t="s">
        <v>277</v>
      </c>
      <c r="D2270" s="6">
        <v>0.02469369740212221</v>
      </c>
      <c r="E2270" s="6" t="s">
        <v>90</v>
      </c>
      <c r="F2270" s="6" t="s">
        <v>57</v>
      </c>
      <c r="G2270" s="7">
        <v>45163.47927531065</v>
      </c>
      <c r="H2270" s="6">
        <v>1115.253290851539</v>
      </c>
      <c r="I2270" s="6" t="s">
        <v>180</v>
      </c>
      <c r="J2270" s="15">
        <v>6.811854348285148</v>
      </c>
    </row>
    <row r="2271" spans="1:10">
      <c r="A2271" s="6" t="s">
        <v>141</v>
      </c>
      <c r="B2271" s="6" t="s">
        <v>86</v>
      </c>
      <c r="C2271" s="6" t="s">
        <v>278</v>
      </c>
      <c r="D2271" s="6">
        <v>152.5949302580937</v>
      </c>
      <c r="E2271" s="6" t="s">
        <v>44</v>
      </c>
      <c r="F2271" s="6" t="s">
        <v>55</v>
      </c>
      <c r="G2271" s="7">
        <v>53128.99840502581</v>
      </c>
      <c r="H2271" s="6">
        <v>8107215.806297287</v>
      </c>
      <c r="I2271" s="6" t="s">
        <v>179</v>
      </c>
      <c r="J2271" s="15">
        <v>40.01666666666667</v>
      </c>
    </row>
    <row r="2272" spans="1:10">
      <c r="A2272" s="6" t="s">
        <v>141</v>
      </c>
      <c r="B2272" s="6" t="s">
        <v>86</v>
      </c>
      <c r="C2272" s="6" t="s">
        <v>278</v>
      </c>
      <c r="D2272" s="6">
        <v>351.3249072505572</v>
      </c>
      <c r="E2272" s="6" t="s">
        <v>86</v>
      </c>
      <c r="F2272" s="6" t="s">
        <v>55</v>
      </c>
      <c r="G2272" s="7">
        <v>53128.99840502581</v>
      </c>
      <c r="H2272" s="6">
        <v>18665540.4369607</v>
      </c>
      <c r="I2272" s="6" t="s">
        <v>179</v>
      </c>
      <c r="J2272" s="15">
        <v>40.01666666666667</v>
      </c>
    </row>
    <row r="2273" spans="1:10">
      <c r="A2273" s="6" t="s">
        <v>141</v>
      </c>
      <c r="B2273" s="6" t="s">
        <v>86</v>
      </c>
      <c r="C2273" s="6" t="s">
        <v>278</v>
      </c>
      <c r="D2273" s="6">
        <v>15.55025</v>
      </c>
      <c r="E2273" s="6" t="s">
        <v>88</v>
      </c>
      <c r="F2273" s="6" t="s">
        <v>55</v>
      </c>
      <c r="G2273" s="7">
        <v>53128.99840502581</v>
      </c>
      <c r="H2273" s="6">
        <v>826169.2074477527</v>
      </c>
      <c r="I2273" s="6" t="s">
        <v>179</v>
      </c>
      <c r="J2273" s="15">
        <v>40.01666666666667</v>
      </c>
    </row>
    <row r="2274" spans="1:10">
      <c r="A2274" s="6" t="s">
        <v>141</v>
      </c>
      <c r="B2274" s="6" t="s">
        <v>86</v>
      </c>
      <c r="C2274" s="6" t="s">
        <v>278</v>
      </c>
      <c r="D2274" s="6">
        <v>26.65646125818387</v>
      </c>
      <c r="E2274" s="6" t="s">
        <v>90</v>
      </c>
      <c r="F2274" s="6" t="s">
        <v>55</v>
      </c>
      <c r="G2274" s="7">
        <v>53128.99840502581</v>
      </c>
      <c r="H2274" s="6">
        <v>1416231.087669683</v>
      </c>
      <c r="I2274" s="6" t="s">
        <v>179</v>
      </c>
      <c r="J2274" s="15">
        <v>40.01666666666667</v>
      </c>
    </row>
    <row r="2275" spans="1:10">
      <c r="A2275" s="6" t="s">
        <v>141</v>
      </c>
      <c r="B2275" s="6" t="s">
        <v>86</v>
      </c>
      <c r="C2275" s="6" t="s">
        <v>279</v>
      </c>
      <c r="D2275" s="6">
        <v>4.757485835715269</v>
      </c>
      <c r="E2275" s="6" t="s">
        <v>44</v>
      </c>
      <c r="F2275" s="6" t="s">
        <v>52</v>
      </c>
      <c r="G2275" s="7">
        <v>55167.7237588997</v>
      </c>
      <c r="H2275" s="6">
        <v>262459.6643716181</v>
      </c>
      <c r="I2275" s="6" t="s">
        <v>179</v>
      </c>
      <c r="J2275" s="15">
        <v>95</v>
      </c>
    </row>
    <row r="2276" spans="1:10">
      <c r="A2276" s="6" t="s">
        <v>141</v>
      </c>
      <c r="B2276" s="6" t="s">
        <v>86</v>
      </c>
      <c r="C2276" s="6" t="s">
        <v>280</v>
      </c>
      <c r="D2276" s="6">
        <v>349.7206937286663</v>
      </c>
      <c r="E2276" s="6" t="s">
        <v>44</v>
      </c>
      <c r="F2276" s="6" t="s">
        <v>55</v>
      </c>
      <c r="G2276" s="7">
        <v>96599.03834307451</v>
      </c>
      <c r="H2276" s="6">
        <v>33782682.70286205</v>
      </c>
      <c r="I2276" s="6" t="s">
        <v>179</v>
      </c>
      <c r="J2276" s="15">
        <v>52.99166666666667</v>
      </c>
    </row>
    <row r="2277" spans="1:10">
      <c r="A2277" s="6" t="s">
        <v>141</v>
      </c>
      <c r="B2277" s="6" t="s">
        <v>86</v>
      </c>
      <c r="C2277" s="6" t="s">
        <v>280</v>
      </c>
      <c r="D2277" s="6">
        <v>138.5850007718031</v>
      </c>
      <c r="E2277" s="6" t="s">
        <v>86</v>
      </c>
      <c r="F2277" s="6" t="s">
        <v>55</v>
      </c>
      <c r="G2277" s="7">
        <v>96599.03834307451</v>
      </c>
      <c r="H2277" s="6">
        <v>13387177.80333042</v>
      </c>
      <c r="I2277" s="6" t="s">
        <v>179</v>
      </c>
      <c r="J2277" s="15">
        <v>52.99166666666667</v>
      </c>
    </row>
    <row r="2278" spans="1:10">
      <c r="A2278" s="6" t="s">
        <v>141</v>
      </c>
      <c r="B2278" s="6" t="s">
        <v>86</v>
      </c>
      <c r="C2278" s="6" t="s">
        <v>280</v>
      </c>
      <c r="D2278" s="6">
        <v>21.58716666666666</v>
      </c>
      <c r="E2278" s="6" t="s">
        <v>88</v>
      </c>
      <c r="F2278" s="6" t="s">
        <v>55</v>
      </c>
      <c r="G2278" s="7">
        <v>96599.03834307451</v>
      </c>
      <c r="H2278" s="6">
        <v>2085299.540551673</v>
      </c>
      <c r="I2278" s="6" t="s">
        <v>179</v>
      </c>
      <c r="J2278" s="15">
        <v>52.99166666666667</v>
      </c>
    </row>
    <row r="2279" spans="1:10">
      <c r="A2279" s="6" t="s">
        <v>141</v>
      </c>
      <c r="B2279" s="6" t="s">
        <v>86</v>
      </c>
      <c r="C2279" s="6" t="s">
        <v>280</v>
      </c>
      <c r="D2279" s="6">
        <v>20.038996478616</v>
      </c>
      <c r="E2279" s="6" t="s">
        <v>90</v>
      </c>
      <c r="F2279" s="6" t="s">
        <v>55</v>
      </c>
      <c r="G2279" s="7">
        <v>96599.03834307451</v>
      </c>
      <c r="H2279" s="6">
        <v>1935747.789194562</v>
      </c>
      <c r="I2279" s="6" t="s">
        <v>179</v>
      </c>
      <c r="J2279" s="15">
        <v>52.99166666666667</v>
      </c>
    </row>
    <row r="2280" spans="1:10">
      <c r="A2280" s="6" t="s">
        <v>141</v>
      </c>
      <c r="B2280" s="6" t="s">
        <v>86</v>
      </c>
      <c r="C2280" s="6" t="s">
        <v>280</v>
      </c>
      <c r="D2280" s="6">
        <v>0.04866666666666666</v>
      </c>
      <c r="E2280" s="6" t="s">
        <v>92</v>
      </c>
      <c r="F2280" s="6" t="s">
        <v>55</v>
      </c>
      <c r="G2280" s="7">
        <v>96599.03834307451</v>
      </c>
      <c r="H2280" s="6">
        <v>4701.153199362959</v>
      </c>
      <c r="I2280" s="6" t="s">
        <v>179</v>
      </c>
      <c r="J2280" s="15">
        <v>52.99166666666667</v>
      </c>
    </row>
    <row r="2281" spans="1:10">
      <c r="A2281" s="6" t="s">
        <v>141</v>
      </c>
      <c r="B2281" s="6" t="s">
        <v>86</v>
      </c>
      <c r="C2281" s="6" t="s">
        <v>281</v>
      </c>
      <c r="D2281" s="6">
        <v>387.8923205431261</v>
      </c>
      <c r="E2281" s="6" t="s">
        <v>44</v>
      </c>
      <c r="F2281" s="6" t="s">
        <v>57</v>
      </c>
      <c r="G2281" s="7">
        <v>64904.72664042063</v>
      </c>
      <c r="H2281" s="6">
        <v>25176045.03077001</v>
      </c>
      <c r="I2281" s="6" t="s">
        <v>179</v>
      </c>
      <c r="J2281" s="15">
        <v>37.11666666666667</v>
      </c>
    </row>
    <row r="2282" spans="1:10">
      <c r="A2282" s="6" t="s">
        <v>141</v>
      </c>
      <c r="B2282" s="6" t="s">
        <v>86</v>
      </c>
      <c r="C2282" s="6" t="s">
        <v>281</v>
      </c>
      <c r="D2282" s="6">
        <v>318.986265218684</v>
      </c>
      <c r="E2282" s="6" t="s">
        <v>86</v>
      </c>
      <c r="F2282" s="6" t="s">
        <v>57</v>
      </c>
      <c r="G2282" s="7">
        <v>64904.72664042063</v>
      </c>
      <c r="H2282" s="6">
        <v>20703716.3460674</v>
      </c>
      <c r="I2282" s="6" t="s">
        <v>179</v>
      </c>
      <c r="J2282" s="15">
        <v>37.11666666666667</v>
      </c>
    </row>
    <row r="2283" spans="1:10">
      <c r="A2283" s="6" t="s">
        <v>141</v>
      </c>
      <c r="B2283" s="6" t="s">
        <v>86</v>
      </c>
      <c r="C2283" s="6" t="s">
        <v>281</v>
      </c>
      <c r="D2283" s="6">
        <v>187.392</v>
      </c>
      <c r="E2283" s="6" t="s">
        <v>88</v>
      </c>
      <c r="F2283" s="6" t="s">
        <v>57</v>
      </c>
      <c r="G2283" s="7">
        <v>64904.72664042063</v>
      </c>
      <c r="H2283" s="6">
        <v>12162626.5346017</v>
      </c>
      <c r="I2283" s="6" t="s">
        <v>179</v>
      </c>
      <c r="J2283" s="15">
        <v>37.11666666666667</v>
      </c>
    </row>
    <row r="2284" spans="1:10">
      <c r="A2284" s="6" t="s">
        <v>141</v>
      </c>
      <c r="B2284" s="6" t="s">
        <v>86</v>
      </c>
      <c r="C2284" s="6" t="s">
        <v>281</v>
      </c>
      <c r="D2284" s="6">
        <v>65.17098722714623</v>
      </c>
      <c r="E2284" s="6" t="s">
        <v>90</v>
      </c>
      <c r="F2284" s="6" t="s">
        <v>57</v>
      </c>
      <c r="G2284" s="7">
        <v>64904.72664042063</v>
      </c>
      <c r="H2284" s="6">
        <v>4229905.11086427</v>
      </c>
      <c r="I2284" s="6" t="s">
        <v>179</v>
      </c>
      <c r="J2284" s="15">
        <v>37.11666666666667</v>
      </c>
    </row>
    <row r="2285" spans="1:10">
      <c r="A2285" s="6" t="s">
        <v>141</v>
      </c>
      <c r="B2285" s="6" t="s">
        <v>86</v>
      </c>
      <c r="C2285" s="6" t="s">
        <v>281</v>
      </c>
      <c r="D2285" s="6">
        <v>0.009333333333333332</v>
      </c>
      <c r="E2285" s="6" t="s">
        <v>92</v>
      </c>
      <c r="F2285" s="6" t="s">
        <v>57</v>
      </c>
      <c r="G2285" s="7">
        <v>64904.72664042063</v>
      </c>
      <c r="H2285" s="6">
        <v>605.7774486439258</v>
      </c>
      <c r="I2285" s="6" t="s">
        <v>179</v>
      </c>
      <c r="J2285" s="15">
        <v>37.11666666666667</v>
      </c>
    </row>
    <row r="2286" spans="1:10">
      <c r="A2286" s="6" t="s">
        <v>141</v>
      </c>
      <c r="B2286" s="6" t="s">
        <v>86</v>
      </c>
      <c r="C2286" s="6" t="s">
        <v>283</v>
      </c>
      <c r="D2286" s="6">
        <v>268.3303842499903</v>
      </c>
      <c r="E2286" s="6" t="s">
        <v>44</v>
      </c>
      <c r="F2286" s="6" t="s">
        <v>51</v>
      </c>
      <c r="G2286" s="7">
        <v>43749.65798536066</v>
      </c>
      <c r="H2286" s="6">
        <v>11739362.53801749</v>
      </c>
      <c r="I2286" s="6" t="s">
        <v>179</v>
      </c>
      <c r="J2286" s="15">
        <v>26.78333333333333</v>
      </c>
    </row>
    <row r="2287" spans="1:10">
      <c r="A2287" s="6" t="s">
        <v>141</v>
      </c>
      <c r="B2287" s="6" t="s">
        <v>86</v>
      </c>
      <c r="C2287" s="6" t="s">
        <v>283</v>
      </c>
      <c r="D2287" s="6">
        <v>91.41201655815226</v>
      </c>
      <c r="E2287" s="6" t="s">
        <v>86</v>
      </c>
      <c r="F2287" s="6" t="s">
        <v>51</v>
      </c>
      <c r="G2287" s="7">
        <v>43749.65798536066</v>
      </c>
      <c r="H2287" s="6">
        <v>3999244.460171287</v>
      </c>
      <c r="I2287" s="6" t="s">
        <v>179</v>
      </c>
      <c r="J2287" s="15">
        <v>26.78333333333333</v>
      </c>
    </row>
    <row r="2288" spans="1:10">
      <c r="A2288" s="6" t="s">
        <v>141</v>
      </c>
      <c r="B2288" s="6" t="s">
        <v>86</v>
      </c>
      <c r="C2288" s="6" t="s">
        <v>283</v>
      </c>
      <c r="D2288" s="6">
        <v>13.31333333333333</v>
      </c>
      <c r="E2288" s="6" t="s">
        <v>88</v>
      </c>
      <c r="F2288" s="6" t="s">
        <v>51</v>
      </c>
      <c r="G2288" s="7">
        <v>43749.65798536066</v>
      </c>
      <c r="H2288" s="6">
        <v>582453.7799784349</v>
      </c>
      <c r="I2288" s="6" t="s">
        <v>179</v>
      </c>
      <c r="J2288" s="15">
        <v>26.78333333333333</v>
      </c>
    </row>
    <row r="2289" spans="1:10">
      <c r="A2289" s="6" t="s">
        <v>141</v>
      </c>
      <c r="B2289" s="6" t="s">
        <v>86</v>
      </c>
      <c r="C2289" s="6" t="s">
        <v>283</v>
      </c>
      <c r="D2289" s="6">
        <v>13.64296395017833</v>
      </c>
      <c r="E2289" s="6" t="s">
        <v>90</v>
      </c>
      <c r="F2289" s="6" t="s">
        <v>51</v>
      </c>
      <c r="G2289" s="7">
        <v>43749.65798536066</v>
      </c>
      <c r="H2289" s="6">
        <v>596875.0067269071</v>
      </c>
      <c r="I2289" s="6" t="s">
        <v>179</v>
      </c>
      <c r="J2289" s="15">
        <v>26.78333333333333</v>
      </c>
    </row>
    <row r="2290" spans="1:10">
      <c r="A2290" s="6" t="s">
        <v>141</v>
      </c>
      <c r="B2290" s="6" t="s">
        <v>86</v>
      </c>
      <c r="C2290" s="6" t="s">
        <v>284</v>
      </c>
      <c r="D2290" s="6">
        <v>107.5548275387115</v>
      </c>
      <c r="E2290" s="6" t="s">
        <v>44</v>
      </c>
      <c r="F2290" s="6" t="s">
        <v>55</v>
      </c>
      <c r="G2290" s="7">
        <v>63545.27884100618</v>
      </c>
      <c r="H2290" s="6">
        <v>6834601.506643751</v>
      </c>
      <c r="I2290" s="6" t="s">
        <v>179</v>
      </c>
      <c r="J2290" s="15">
        <v>52.41666666666666</v>
      </c>
    </row>
    <row r="2291" spans="1:10">
      <c r="A2291" s="6" t="s">
        <v>141</v>
      </c>
      <c r="B2291" s="6" t="s">
        <v>86</v>
      </c>
      <c r="C2291" s="6" t="s">
        <v>284</v>
      </c>
      <c r="D2291" s="6">
        <v>55.72659910119715</v>
      </c>
      <c r="E2291" s="6" t="s">
        <v>86</v>
      </c>
      <c r="F2291" s="6" t="s">
        <v>55</v>
      </c>
      <c r="G2291" s="7">
        <v>63545.27884100618</v>
      </c>
      <c r="H2291" s="6">
        <v>3541162.278746537</v>
      </c>
      <c r="I2291" s="6" t="s">
        <v>179</v>
      </c>
      <c r="J2291" s="15">
        <v>52.41666666666666</v>
      </c>
    </row>
    <row r="2292" spans="1:10">
      <c r="A2292" s="6" t="s">
        <v>141</v>
      </c>
      <c r="B2292" s="6" t="s">
        <v>86</v>
      </c>
      <c r="C2292" s="6" t="s">
        <v>284</v>
      </c>
      <c r="D2292" s="6">
        <v>17.56333333333333</v>
      </c>
      <c r="E2292" s="6" t="s">
        <v>88</v>
      </c>
      <c r="F2292" s="6" t="s">
        <v>55</v>
      </c>
      <c r="G2292" s="7">
        <v>63545.27884100618</v>
      </c>
      <c r="H2292" s="6">
        <v>1116066.914044205</v>
      </c>
      <c r="I2292" s="6" t="s">
        <v>179</v>
      </c>
      <c r="J2292" s="15">
        <v>52.41666666666666</v>
      </c>
    </row>
    <row r="2293" spans="1:10">
      <c r="A2293" s="6" t="s">
        <v>141</v>
      </c>
      <c r="B2293" s="6" t="s">
        <v>86</v>
      </c>
      <c r="C2293" s="6" t="s">
        <v>284</v>
      </c>
      <c r="D2293" s="6">
        <v>12.78854422550085</v>
      </c>
      <c r="E2293" s="6" t="s">
        <v>90</v>
      </c>
      <c r="F2293" s="6" t="s">
        <v>55</v>
      </c>
      <c r="G2293" s="7">
        <v>63545.27884100618</v>
      </c>
      <c r="H2293" s="6">
        <v>812651.6087799909</v>
      </c>
      <c r="I2293" s="6" t="s">
        <v>179</v>
      </c>
      <c r="J2293" s="15">
        <v>52.41666666666666</v>
      </c>
    </row>
    <row r="2294" spans="1:10">
      <c r="A2294" s="6" t="s">
        <v>141</v>
      </c>
      <c r="B2294" s="6" t="s">
        <v>86</v>
      </c>
      <c r="C2294" s="6" t="s">
        <v>285</v>
      </c>
      <c r="D2294" s="6">
        <v>0.1333333333333334</v>
      </c>
      <c r="E2294" s="6" t="s">
        <v>44</v>
      </c>
      <c r="F2294" s="6" t="s">
        <v>52</v>
      </c>
      <c r="G2294" s="7">
        <v>124592.4363366081</v>
      </c>
      <c r="H2294" s="6">
        <v>16612.32484488108</v>
      </c>
      <c r="I2294" s="6" t="s">
        <v>179</v>
      </c>
      <c r="J2294" s="15">
        <v>102.5583333333333</v>
      </c>
    </row>
    <row r="2295" spans="1:10">
      <c r="A2295" s="6" t="s">
        <v>141</v>
      </c>
      <c r="B2295" s="6" t="s">
        <v>86</v>
      </c>
      <c r="C2295" s="6" t="s">
        <v>285</v>
      </c>
      <c r="D2295" s="6">
        <v>4.70025</v>
      </c>
      <c r="E2295" s="6" t="s">
        <v>86</v>
      </c>
      <c r="F2295" s="6" t="s">
        <v>52</v>
      </c>
      <c r="G2295" s="7">
        <v>124592.4363366081</v>
      </c>
      <c r="H2295" s="6">
        <v>585615.5988911421</v>
      </c>
      <c r="I2295" s="6" t="s">
        <v>179</v>
      </c>
      <c r="J2295" s="15">
        <v>102.5583333333333</v>
      </c>
    </row>
    <row r="2296" spans="1:10">
      <c r="A2296" s="6" t="s">
        <v>141</v>
      </c>
      <c r="B2296" s="6" t="s">
        <v>86</v>
      </c>
      <c r="C2296" s="6" t="s">
        <v>285</v>
      </c>
      <c r="D2296" s="6">
        <v>0.3499999999999999</v>
      </c>
      <c r="E2296" s="6" t="s">
        <v>90</v>
      </c>
      <c r="F2296" s="6" t="s">
        <v>52</v>
      </c>
      <c r="G2296" s="7">
        <v>124592.4363366081</v>
      </c>
      <c r="H2296" s="6">
        <v>43607.35271781282</v>
      </c>
      <c r="I2296" s="6" t="s">
        <v>179</v>
      </c>
      <c r="J2296" s="15">
        <v>102.5583333333333</v>
      </c>
    </row>
    <row r="2297" spans="1:10">
      <c r="A2297" s="6" t="s">
        <v>141</v>
      </c>
      <c r="B2297" s="6" t="s">
        <v>86</v>
      </c>
      <c r="C2297" s="6" t="s">
        <v>357</v>
      </c>
      <c r="D2297" s="6">
        <v>34.72191666666667</v>
      </c>
      <c r="E2297" s="6" t="s">
        <v>86</v>
      </c>
      <c r="F2297" s="6" t="s">
        <v>52</v>
      </c>
      <c r="G2297" s="7">
        <v>80365.60732674171</v>
      </c>
      <c r="H2297" s="6">
        <v>2790447.920465182</v>
      </c>
      <c r="I2297" s="6" t="s">
        <v>179</v>
      </c>
      <c r="J2297" s="15">
        <v>67.90000000000001</v>
      </c>
    </row>
    <row r="2298" spans="1:10">
      <c r="A2298" s="6" t="s">
        <v>141</v>
      </c>
      <c r="B2298" s="6" t="s">
        <v>86</v>
      </c>
      <c r="C2298" s="6" t="s">
        <v>357</v>
      </c>
      <c r="D2298" s="6">
        <v>11.001</v>
      </c>
      <c r="E2298" s="6" t="s">
        <v>90</v>
      </c>
      <c r="F2298" s="6" t="s">
        <v>52</v>
      </c>
      <c r="G2298" s="7">
        <v>80365.60732674171</v>
      </c>
      <c r="H2298" s="6">
        <v>884102.0462014853</v>
      </c>
      <c r="I2298" s="6" t="s">
        <v>179</v>
      </c>
      <c r="J2298" s="15">
        <v>67.90000000000001</v>
      </c>
    </row>
    <row r="2299" spans="1:10">
      <c r="A2299" s="6" t="s">
        <v>141</v>
      </c>
      <c r="B2299" s="6" t="s">
        <v>86</v>
      </c>
      <c r="C2299" s="6" t="s">
        <v>288</v>
      </c>
      <c r="D2299" s="6">
        <v>0.04777062406497114</v>
      </c>
      <c r="E2299" s="6" t="s">
        <v>44</v>
      </c>
      <c r="F2299" s="6" t="s">
        <v>58</v>
      </c>
      <c r="G2299" s="7">
        <v>72708.53956010977</v>
      </c>
      <c r="H2299" s="6">
        <v>3473.332309639086</v>
      </c>
      <c r="I2299" s="6" t="s">
        <v>180</v>
      </c>
      <c r="J2299" s="15">
        <v>15.08953685157575</v>
      </c>
    </row>
    <row r="2300" spans="1:10">
      <c r="A2300" s="6" t="s">
        <v>141</v>
      </c>
      <c r="B2300" s="6" t="s">
        <v>86</v>
      </c>
      <c r="C2300" s="6" t="s">
        <v>288</v>
      </c>
      <c r="D2300" s="6">
        <v>0.002656817696088908</v>
      </c>
      <c r="E2300" s="6" t="s">
        <v>86</v>
      </c>
      <c r="F2300" s="6" t="s">
        <v>58</v>
      </c>
      <c r="G2300" s="7">
        <v>72708.53956010977</v>
      </c>
      <c r="H2300" s="6">
        <v>193.17333456008</v>
      </c>
      <c r="I2300" s="6" t="s">
        <v>180</v>
      </c>
      <c r="J2300" s="15">
        <v>15.08953685157575</v>
      </c>
    </row>
    <row r="2301" spans="1:10">
      <c r="A2301" s="6" t="s">
        <v>141</v>
      </c>
      <c r="B2301" s="6" t="s">
        <v>86</v>
      </c>
      <c r="C2301" s="6" t="s">
        <v>358</v>
      </c>
      <c r="D2301" s="6">
        <v>17.17558333333333</v>
      </c>
      <c r="E2301" s="6" t="s">
        <v>86</v>
      </c>
      <c r="F2301" s="6" t="s">
        <v>52</v>
      </c>
      <c r="G2301" s="7">
        <v>54855.48768358183</v>
      </c>
      <c r="H2301" s="6">
        <v>942174.9999999999</v>
      </c>
      <c r="I2301" s="6" t="s">
        <v>179</v>
      </c>
      <c r="J2301" s="15">
        <v>46.81666666666667</v>
      </c>
    </row>
    <row r="2302" spans="1:10">
      <c r="A2302" s="6" t="s">
        <v>141</v>
      </c>
      <c r="B2302" s="6" t="s">
        <v>86</v>
      </c>
      <c r="C2302" s="6" t="s">
        <v>359</v>
      </c>
      <c r="D2302" s="6">
        <v>85.24508333333333</v>
      </c>
      <c r="E2302" s="6" t="s">
        <v>44</v>
      </c>
      <c r="F2302" s="6" t="s">
        <v>60</v>
      </c>
      <c r="G2302" s="7">
        <v>70718.26491100938</v>
      </c>
      <c r="H2302" s="6">
        <v>6028384.385527737</v>
      </c>
      <c r="I2302" s="6" t="s">
        <v>179</v>
      </c>
      <c r="J2302" s="15">
        <v>29.98333333333333</v>
      </c>
    </row>
    <row r="2303" spans="1:10">
      <c r="A2303" s="6" t="s">
        <v>141</v>
      </c>
      <c r="B2303" s="6" t="s">
        <v>86</v>
      </c>
      <c r="C2303" s="6" t="s">
        <v>359</v>
      </c>
      <c r="D2303" s="6">
        <v>15.13183333333333</v>
      </c>
      <c r="E2303" s="6" t="s">
        <v>86</v>
      </c>
      <c r="F2303" s="6" t="s">
        <v>60</v>
      </c>
      <c r="G2303" s="7">
        <v>70718.26491100938</v>
      </c>
      <c r="H2303" s="6">
        <v>1070096.998255909</v>
      </c>
      <c r="I2303" s="6" t="s">
        <v>179</v>
      </c>
      <c r="J2303" s="15">
        <v>29.98333333333333</v>
      </c>
    </row>
    <row r="2304" spans="1:10">
      <c r="A2304" s="6" t="s">
        <v>141</v>
      </c>
      <c r="B2304" s="6" t="s">
        <v>86</v>
      </c>
      <c r="C2304" s="6" t="s">
        <v>359</v>
      </c>
      <c r="D2304" s="6">
        <v>4.2075</v>
      </c>
      <c r="E2304" s="6" t="s">
        <v>88</v>
      </c>
      <c r="F2304" s="6" t="s">
        <v>60</v>
      </c>
      <c r="G2304" s="7">
        <v>70718.26491100938</v>
      </c>
      <c r="H2304" s="6">
        <v>297547.0996130719</v>
      </c>
      <c r="I2304" s="6" t="s">
        <v>179</v>
      </c>
      <c r="J2304" s="15">
        <v>29.98333333333333</v>
      </c>
    </row>
    <row r="2305" spans="1:10">
      <c r="A2305" s="6" t="s">
        <v>141</v>
      </c>
      <c r="B2305" s="6" t="s">
        <v>86</v>
      </c>
      <c r="C2305" s="6" t="s">
        <v>359</v>
      </c>
      <c r="D2305" s="6">
        <v>3.961416666666666</v>
      </c>
      <c r="E2305" s="6" t="s">
        <v>90</v>
      </c>
      <c r="F2305" s="6" t="s">
        <v>60</v>
      </c>
      <c r="G2305" s="7">
        <v>70718.26491100938</v>
      </c>
      <c r="H2305" s="6">
        <v>280144.513256221</v>
      </c>
      <c r="I2305" s="6" t="s">
        <v>179</v>
      </c>
      <c r="J2305" s="15">
        <v>29.98333333333333</v>
      </c>
    </row>
    <row r="2306" spans="1:10">
      <c r="A2306" s="6" t="s">
        <v>141</v>
      </c>
      <c r="B2306" s="6" t="s">
        <v>86</v>
      </c>
      <c r="C2306" s="6" t="s">
        <v>289</v>
      </c>
      <c r="D2306" s="6">
        <v>103.9525240130242</v>
      </c>
      <c r="E2306" s="6" t="s">
        <v>44</v>
      </c>
      <c r="F2306" s="6" t="s">
        <v>52</v>
      </c>
      <c r="G2306" s="7">
        <v>59342.46197897197</v>
      </c>
      <c r="H2306" s="6">
        <v>6168798.703861059</v>
      </c>
      <c r="I2306" s="6" t="s">
        <v>179</v>
      </c>
      <c r="J2306" s="15">
        <v>65</v>
      </c>
    </row>
    <row r="2307" spans="1:10">
      <c r="A2307" s="6" t="s">
        <v>141</v>
      </c>
      <c r="B2307" s="6" t="s">
        <v>86</v>
      </c>
      <c r="C2307" s="6" t="s">
        <v>289</v>
      </c>
      <c r="D2307" s="6">
        <v>2088.251682786196</v>
      </c>
      <c r="E2307" s="6" t="s">
        <v>86</v>
      </c>
      <c r="F2307" s="6" t="s">
        <v>52</v>
      </c>
      <c r="G2307" s="7">
        <v>59342.46197897197</v>
      </c>
      <c r="H2307" s="6">
        <v>123921996.0882641</v>
      </c>
      <c r="I2307" s="6" t="s">
        <v>179</v>
      </c>
      <c r="J2307" s="15">
        <v>65</v>
      </c>
    </row>
    <row r="2308" spans="1:10">
      <c r="A2308" s="6" t="s">
        <v>141</v>
      </c>
      <c r="B2308" s="6" t="s">
        <v>86</v>
      </c>
      <c r="C2308" s="6" t="s">
        <v>289</v>
      </c>
      <c r="D2308" s="6">
        <v>11.35108333333333</v>
      </c>
      <c r="E2308" s="6" t="s">
        <v>88</v>
      </c>
      <c r="F2308" s="6" t="s">
        <v>52</v>
      </c>
      <c r="G2308" s="7">
        <v>59342.46197897197</v>
      </c>
      <c r="H2308" s="6">
        <v>673601.2311284756</v>
      </c>
      <c r="I2308" s="6" t="s">
        <v>179</v>
      </c>
      <c r="J2308" s="15">
        <v>65</v>
      </c>
    </row>
    <row r="2309" spans="1:10">
      <c r="A2309" s="6" t="s">
        <v>141</v>
      </c>
      <c r="B2309" s="6" t="s">
        <v>86</v>
      </c>
      <c r="C2309" s="6" t="s">
        <v>289</v>
      </c>
      <c r="D2309" s="6">
        <v>39.28697186222679</v>
      </c>
      <c r="E2309" s="6" t="s">
        <v>90</v>
      </c>
      <c r="F2309" s="6" t="s">
        <v>52</v>
      </c>
      <c r="G2309" s="7">
        <v>59342.46197897197</v>
      </c>
      <c r="H2309" s="6">
        <v>2331385.634003135</v>
      </c>
      <c r="I2309" s="6" t="s">
        <v>179</v>
      </c>
      <c r="J2309" s="15">
        <v>65</v>
      </c>
    </row>
    <row r="2310" spans="1:10">
      <c r="A2310" s="6" t="s">
        <v>141</v>
      </c>
      <c r="B2310" s="6" t="s">
        <v>86</v>
      </c>
      <c r="C2310" s="6" t="s">
        <v>289</v>
      </c>
      <c r="D2310" s="6">
        <v>19.38083333333333</v>
      </c>
      <c r="E2310" s="6" t="s">
        <v>92</v>
      </c>
      <c r="F2310" s="6" t="s">
        <v>52</v>
      </c>
      <c r="G2310" s="7">
        <v>59342.46197897197</v>
      </c>
      <c r="H2310" s="6">
        <v>1150106.365204126</v>
      </c>
      <c r="I2310" s="6" t="s">
        <v>179</v>
      </c>
      <c r="J2310" s="15">
        <v>65</v>
      </c>
    </row>
    <row r="2311" spans="1:10">
      <c r="A2311" s="6" t="s">
        <v>141</v>
      </c>
      <c r="B2311" s="6" t="s">
        <v>86</v>
      </c>
      <c r="C2311" s="6" t="s">
        <v>360</v>
      </c>
      <c r="D2311" s="6">
        <v>90.59691666666667</v>
      </c>
      <c r="E2311" s="6" t="s">
        <v>86</v>
      </c>
      <c r="F2311" s="6" t="s">
        <v>52</v>
      </c>
      <c r="G2311" s="7">
        <v>83997.51242453983</v>
      </c>
      <c r="H2311" s="6">
        <v>7609915.633333334</v>
      </c>
      <c r="I2311" s="6" t="s">
        <v>179</v>
      </c>
      <c r="J2311" s="15">
        <v>60.11666666666667</v>
      </c>
    </row>
    <row r="2312" spans="1:10">
      <c r="A2312" s="6" t="s">
        <v>141</v>
      </c>
      <c r="B2312" s="6" t="s">
        <v>86</v>
      </c>
      <c r="C2312" s="6" t="s">
        <v>292</v>
      </c>
      <c r="D2312" s="6">
        <v>140.4592232822064</v>
      </c>
      <c r="E2312" s="6" t="s">
        <v>44</v>
      </c>
      <c r="F2312" s="6" t="s">
        <v>54</v>
      </c>
      <c r="G2312" s="7">
        <v>107403.6498671448</v>
      </c>
      <c r="H2312" s="6">
        <v>15085833.2380132</v>
      </c>
      <c r="I2312" s="6" t="s">
        <v>179</v>
      </c>
      <c r="J2312" s="15">
        <v>64.08333333333333</v>
      </c>
    </row>
    <row r="2313" spans="1:10">
      <c r="A2313" s="6" t="s">
        <v>141</v>
      </c>
      <c r="B2313" s="6" t="s">
        <v>86</v>
      </c>
      <c r="C2313" s="6" t="s">
        <v>292</v>
      </c>
      <c r="D2313" s="6">
        <v>31.34876470890684</v>
      </c>
      <c r="E2313" s="6" t="s">
        <v>86</v>
      </c>
      <c r="F2313" s="6" t="s">
        <v>54</v>
      </c>
      <c r="G2313" s="7">
        <v>107403.6498671448</v>
      </c>
      <c r="H2313" s="6">
        <v>3366971.748562936</v>
      </c>
      <c r="I2313" s="6" t="s">
        <v>179</v>
      </c>
      <c r="J2313" s="15">
        <v>64.08333333333333</v>
      </c>
    </row>
    <row r="2314" spans="1:10">
      <c r="A2314" s="6" t="s">
        <v>141</v>
      </c>
      <c r="B2314" s="6" t="s">
        <v>86</v>
      </c>
      <c r="C2314" s="6" t="s">
        <v>292</v>
      </c>
      <c r="D2314" s="6">
        <v>10.09883333333333</v>
      </c>
      <c r="E2314" s="6" t="s">
        <v>88</v>
      </c>
      <c r="F2314" s="6" t="s">
        <v>54</v>
      </c>
      <c r="G2314" s="7">
        <v>107403.6498671448</v>
      </c>
      <c r="H2314" s="6">
        <v>1084651.559399984</v>
      </c>
      <c r="I2314" s="6" t="s">
        <v>179</v>
      </c>
      <c r="J2314" s="15">
        <v>64.08333333333333</v>
      </c>
    </row>
    <row r="2315" spans="1:10">
      <c r="A2315" s="6" t="s">
        <v>141</v>
      </c>
      <c r="B2315" s="6" t="s">
        <v>86</v>
      </c>
      <c r="C2315" s="6" t="s">
        <v>292</v>
      </c>
      <c r="D2315" s="6">
        <v>10.82944285376801</v>
      </c>
      <c r="E2315" s="6" t="s">
        <v>90</v>
      </c>
      <c r="F2315" s="6" t="s">
        <v>54</v>
      </c>
      <c r="G2315" s="7">
        <v>107403.6498671448</v>
      </c>
      <c r="H2315" s="6">
        <v>1163121.688522353</v>
      </c>
      <c r="I2315" s="6" t="s">
        <v>179</v>
      </c>
      <c r="J2315" s="15">
        <v>64.08333333333333</v>
      </c>
    </row>
    <row r="2316" spans="1:10">
      <c r="A2316" s="6" t="s">
        <v>141</v>
      </c>
      <c r="B2316" s="6" t="s">
        <v>86</v>
      </c>
      <c r="C2316" s="6" t="s">
        <v>293</v>
      </c>
      <c r="D2316" s="6">
        <v>73.3813464635961</v>
      </c>
      <c r="E2316" s="6" t="s">
        <v>44</v>
      </c>
      <c r="F2316" s="6" t="s">
        <v>53</v>
      </c>
      <c r="G2316" s="7">
        <v>41597.32934492987</v>
      </c>
      <c r="H2316" s="6">
        <v>3052468.036620611</v>
      </c>
      <c r="I2316" s="6" t="s">
        <v>179</v>
      </c>
      <c r="J2316" s="15">
        <v>8</v>
      </c>
    </row>
    <row r="2317" spans="1:10">
      <c r="A2317" s="6" t="s">
        <v>141</v>
      </c>
      <c r="B2317" s="6" t="s">
        <v>86</v>
      </c>
      <c r="C2317" s="6" t="s">
        <v>293</v>
      </c>
      <c r="D2317" s="6">
        <v>204.941773787239</v>
      </c>
      <c r="E2317" s="6" t="s">
        <v>86</v>
      </c>
      <c r="F2317" s="6" t="s">
        <v>53</v>
      </c>
      <c r="G2317" s="7">
        <v>41597.32934492987</v>
      </c>
      <c r="H2317" s="6">
        <v>8525030.460761894</v>
      </c>
      <c r="I2317" s="6" t="s">
        <v>179</v>
      </c>
      <c r="J2317" s="15">
        <v>8</v>
      </c>
    </row>
    <row r="2318" spans="1:10">
      <c r="A2318" s="6" t="s">
        <v>141</v>
      </c>
      <c r="B2318" s="6" t="s">
        <v>86</v>
      </c>
      <c r="C2318" s="6" t="s">
        <v>293</v>
      </c>
      <c r="D2318" s="6">
        <v>71.81066666666666</v>
      </c>
      <c r="E2318" s="6" t="s">
        <v>88</v>
      </c>
      <c r="F2318" s="6" t="s">
        <v>53</v>
      </c>
      <c r="G2318" s="7">
        <v>41597.32934492987</v>
      </c>
      <c r="H2318" s="6">
        <v>2987131.95181231</v>
      </c>
      <c r="I2318" s="6" t="s">
        <v>179</v>
      </c>
      <c r="J2318" s="15">
        <v>8</v>
      </c>
    </row>
    <row r="2319" spans="1:10">
      <c r="A2319" s="6" t="s">
        <v>141</v>
      </c>
      <c r="B2319" s="6" t="s">
        <v>86</v>
      </c>
      <c r="C2319" s="6" t="s">
        <v>293</v>
      </c>
      <c r="D2319" s="6">
        <v>219.2246054186468</v>
      </c>
      <c r="E2319" s="6" t="s">
        <v>90</v>
      </c>
      <c r="F2319" s="6" t="s">
        <v>53</v>
      </c>
      <c r="G2319" s="7">
        <v>41597.32934492987</v>
      </c>
      <c r="H2319" s="6">
        <v>9119158.112111747</v>
      </c>
      <c r="I2319" s="6" t="s">
        <v>179</v>
      </c>
      <c r="J2319" s="15">
        <v>8</v>
      </c>
    </row>
    <row r="2320" spans="1:10">
      <c r="A2320" s="6" t="s">
        <v>141</v>
      </c>
      <c r="B2320" s="6" t="s">
        <v>86</v>
      </c>
      <c r="C2320" s="6" t="s">
        <v>293</v>
      </c>
      <c r="D2320" s="6">
        <v>0.009166666666666667</v>
      </c>
      <c r="E2320" s="6" t="s">
        <v>92</v>
      </c>
      <c r="F2320" s="6" t="s">
        <v>53</v>
      </c>
      <c r="G2320" s="7">
        <v>41597.32934492987</v>
      </c>
      <c r="H2320" s="6">
        <v>381.3088523285238</v>
      </c>
      <c r="I2320" s="6" t="s">
        <v>179</v>
      </c>
      <c r="J2320" s="15">
        <v>8</v>
      </c>
    </row>
    <row r="2321" spans="1:10">
      <c r="A2321" s="6" t="s">
        <v>141</v>
      </c>
      <c r="B2321" s="6" t="s">
        <v>86</v>
      </c>
      <c r="C2321" s="6" t="s">
        <v>295</v>
      </c>
      <c r="D2321" s="6">
        <v>48.01930457989694</v>
      </c>
      <c r="E2321" s="6" t="s">
        <v>44</v>
      </c>
      <c r="F2321" s="6" t="s">
        <v>53</v>
      </c>
      <c r="G2321" s="7">
        <v>42004.62287217464</v>
      </c>
      <c r="H2321" s="6">
        <v>2017032.77946266</v>
      </c>
      <c r="I2321" s="6" t="s">
        <v>179</v>
      </c>
      <c r="J2321" s="15">
        <v>8</v>
      </c>
    </row>
    <row r="2322" spans="1:10">
      <c r="A2322" s="6" t="s">
        <v>141</v>
      </c>
      <c r="B2322" s="6" t="s">
        <v>86</v>
      </c>
      <c r="C2322" s="6" t="s">
        <v>295</v>
      </c>
      <c r="D2322" s="6">
        <v>14.05806094694547</v>
      </c>
      <c r="E2322" s="6" t="s">
        <v>86</v>
      </c>
      <c r="F2322" s="6" t="s">
        <v>53</v>
      </c>
      <c r="G2322" s="7">
        <v>42004.62287217464</v>
      </c>
      <c r="H2322" s="6">
        <v>590503.5483904911</v>
      </c>
      <c r="I2322" s="6" t="s">
        <v>179</v>
      </c>
      <c r="J2322" s="15">
        <v>8</v>
      </c>
    </row>
    <row r="2323" spans="1:10">
      <c r="A2323" s="6" t="s">
        <v>141</v>
      </c>
      <c r="B2323" s="6" t="s">
        <v>86</v>
      </c>
      <c r="C2323" s="6" t="s">
        <v>295</v>
      </c>
      <c r="D2323" s="6">
        <v>25.47374999999999</v>
      </c>
      <c r="E2323" s="6" t="s">
        <v>88</v>
      </c>
      <c r="F2323" s="6" t="s">
        <v>53</v>
      </c>
      <c r="G2323" s="7">
        <v>42004.62287217464</v>
      </c>
      <c r="H2323" s="6">
        <v>1070015.261890058</v>
      </c>
      <c r="I2323" s="6" t="s">
        <v>179</v>
      </c>
      <c r="J2323" s="15">
        <v>8</v>
      </c>
    </row>
    <row r="2324" spans="1:10">
      <c r="A2324" s="6" t="s">
        <v>141</v>
      </c>
      <c r="B2324" s="6" t="s">
        <v>86</v>
      </c>
      <c r="C2324" s="6" t="s">
        <v>295</v>
      </c>
      <c r="D2324" s="6">
        <v>3.869071151678844</v>
      </c>
      <c r="E2324" s="6" t="s">
        <v>90</v>
      </c>
      <c r="F2324" s="6" t="s">
        <v>53</v>
      </c>
      <c r="G2324" s="7">
        <v>42004.62287217464</v>
      </c>
      <c r="H2324" s="6">
        <v>162518.8745918802</v>
      </c>
      <c r="I2324" s="6" t="s">
        <v>179</v>
      </c>
      <c r="J2324" s="15">
        <v>8</v>
      </c>
    </row>
    <row r="2325" spans="1:10">
      <c r="A2325" s="6" t="s">
        <v>141</v>
      </c>
      <c r="B2325" s="6" t="s">
        <v>86</v>
      </c>
      <c r="C2325" s="6" t="s">
        <v>295</v>
      </c>
      <c r="D2325" s="6">
        <v>0.09816666666666665</v>
      </c>
      <c r="E2325" s="6" t="s">
        <v>92</v>
      </c>
      <c r="F2325" s="6" t="s">
        <v>53</v>
      </c>
      <c r="G2325" s="7">
        <v>42004.62287217464</v>
      </c>
      <c r="H2325" s="6">
        <v>4123.45381195181</v>
      </c>
      <c r="I2325" s="6" t="s">
        <v>179</v>
      </c>
      <c r="J2325" s="15">
        <v>8</v>
      </c>
    </row>
    <row r="2326" spans="1:10">
      <c r="A2326" s="6" t="s">
        <v>141</v>
      </c>
      <c r="B2326" s="6" t="s">
        <v>86</v>
      </c>
      <c r="C2326" s="6" t="s">
        <v>296</v>
      </c>
      <c r="D2326" s="6">
        <v>222.1253612854439</v>
      </c>
      <c r="E2326" s="6" t="s">
        <v>44</v>
      </c>
      <c r="F2326" s="6" t="s">
        <v>61</v>
      </c>
      <c r="G2326" s="7">
        <v>79361.07970771569</v>
      </c>
      <c r="H2326" s="6">
        <v>17628108.50207926</v>
      </c>
      <c r="I2326" s="6" t="s">
        <v>179</v>
      </c>
      <c r="J2326" s="15">
        <v>52.1</v>
      </c>
    </row>
    <row r="2327" spans="1:10">
      <c r="A2327" s="6" t="s">
        <v>141</v>
      </c>
      <c r="B2327" s="6" t="s">
        <v>86</v>
      </c>
      <c r="C2327" s="6" t="s">
        <v>296</v>
      </c>
      <c r="D2327" s="6">
        <v>45.6716149978409</v>
      </c>
      <c r="E2327" s="6" t="s">
        <v>86</v>
      </c>
      <c r="F2327" s="6" t="s">
        <v>61</v>
      </c>
      <c r="G2327" s="7">
        <v>79361.07970771569</v>
      </c>
      <c r="H2327" s="6">
        <v>3624548.678223755</v>
      </c>
      <c r="I2327" s="6" t="s">
        <v>179</v>
      </c>
      <c r="J2327" s="15">
        <v>52.1</v>
      </c>
    </row>
    <row r="2328" spans="1:10">
      <c r="A2328" s="6" t="s">
        <v>141</v>
      </c>
      <c r="B2328" s="6" t="s">
        <v>86</v>
      </c>
      <c r="C2328" s="6" t="s">
        <v>296</v>
      </c>
      <c r="D2328" s="6">
        <v>31.92141666666667</v>
      </c>
      <c r="E2328" s="6" t="s">
        <v>88</v>
      </c>
      <c r="F2328" s="6" t="s">
        <v>61</v>
      </c>
      <c r="G2328" s="7">
        <v>79361.07970771569</v>
      </c>
      <c r="H2328" s="6">
        <v>2533318.092466537</v>
      </c>
      <c r="I2328" s="6" t="s">
        <v>179</v>
      </c>
      <c r="J2328" s="15">
        <v>52.1</v>
      </c>
    </row>
    <row r="2329" spans="1:10">
      <c r="A2329" s="6" t="s">
        <v>141</v>
      </c>
      <c r="B2329" s="6" t="s">
        <v>86</v>
      </c>
      <c r="C2329" s="6" t="s">
        <v>296</v>
      </c>
      <c r="D2329" s="6">
        <v>24.37399385579393</v>
      </c>
      <c r="E2329" s="6" t="s">
        <v>90</v>
      </c>
      <c r="F2329" s="6" t="s">
        <v>61</v>
      </c>
      <c r="G2329" s="7">
        <v>79361.07970771569</v>
      </c>
      <c r="H2329" s="6">
        <v>1934346.469185035</v>
      </c>
      <c r="I2329" s="6" t="s">
        <v>179</v>
      </c>
      <c r="J2329" s="15">
        <v>52.1</v>
      </c>
    </row>
    <row r="2330" spans="1:10">
      <c r="A2330" s="6" t="s">
        <v>141</v>
      </c>
      <c r="B2330" s="6" t="s">
        <v>86</v>
      </c>
      <c r="C2330" s="6" t="s">
        <v>296</v>
      </c>
      <c r="D2330" s="6">
        <v>2.7005</v>
      </c>
      <c r="E2330" s="6" t="s">
        <v>92</v>
      </c>
      <c r="F2330" s="6" t="s">
        <v>61</v>
      </c>
      <c r="G2330" s="7">
        <v>79361.07970771569</v>
      </c>
      <c r="H2330" s="6">
        <v>214314.5957506862</v>
      </c>
      <c r="I2330" s="6" t="s">
        <v>179</v>
      </c>
      <c r="J2330" s="15">
        <v>52.1</v>
      </c>
    </row>
    <row r="2331" spans="1:10">
      <c r="A2331" s="6" t="s">
        <v>141</v>
      </c>
      <c r="B2331" s="6" t="s">
        <v>86</v>
      </c>
      <c r="C2331" s="6" t="s">
        <v>297</v>
      </c>
      <c r="D2331" s="6">
        <v>4.50435376634981</v>
      </c>
      <c r="E2331" s="6" t="s">
        <v>44</v>
      </c>
      <c r="F2331" s="6" t="s">
        <v>52</v>
      </c>
      <c r="G2331" s="7">
        <v>101698.6474446838</v>
      </c>
      <c r="H2331" s="6">
        <v>458086.6856501428</v>
      </c>
      <c r="I2331" s="6" t="s">
        <v>179</v>
      </c>
      <c r="J2331" s="15">
        <v>48</v>
      </c>
    </row>
    <row r="2332" spans="1:10">
      <c r="A2332" s="6" t="s">
        <v>141</v>
      </c>
      <c r="B2332" s="6" t="s">
        <v>86</v>
      </c>
      <c r="C2332" s="6" t="s">
        <v>297</v>
      </c>
      <c r="D2332" s="6">
        <v>10.51031390556929</v>
      </c>
      <c r="E2332" s="6" t="s">
        <v>86</v>
      </c>
      <c r="F2332" s="6" t="s">
        <v>52</v>
      </c>
      <c r="G2332" s="7">
        <v>101698.6474446838</v>
      </c>
      <c r="H2332" s="6">
        <v>1068884.708415449</v>
      </c>
      <c r="I2332" s="6" t="s">
        <v>179</v>
      </c>
      <c r="J2332" s="15">
        <v>48</v>
      </c>
    </row>
    <row r="2333" spans="1:10">
      <c r="A2333" s="6" t="s">
        <v>141</v>
      </c>
      <c r="B2333" s="6" t="s">
        <v>86</v>
      </c>
      <c r="C2333" s="6" t="s">
        <v>297</v>
      </c>
      <c r="D2333" s="6">
        <v>0.9390000000000001</v>
      </c>
      <c r="E2333" s="6" t="s">
        <v>88</v>
      </c>
      <c r="F2333" s="6" t="s">
        <v>52</v>
      </c>
      <c r="G2333" s="7">
        <v>101698.6474446838</v>
      </c>
      <c r="H2333" s="6">
        <v>95495.02995055806</v>
      </c>
      <c r="I2333" s="6" t="s">
        <v>179</v>
      </c>
      <c r="J2333" s="15">
        <v>48</v>
      </c>
    </row>
    <row r="2334" spans="1:10">
      <c r="A2334" s="6" t="s">
        <v>141</v>
      </c>
      <c r="B2334" s="6" t="s">
        <v>86</v>
      </c>
      <c r="C2334" s="6" t="s">
        <v>297</v>
      </c>
      <c r="D2334" s="6">
        <v>0.04833333333333334</v>
      </c>
      <c r="E2334" s="6" t="s">
        <v>90</v>
      </c>
      <c r="F2334" s="6" t="s">
        <v>52</v>
      </c>
      <c r="G2334" s="7">
        <v>101698.6474446838</v>
      </c>
      <c r="H2334" s="6">
        <v>4915.434626493049</v>
      </c>
      <c r="I2334" s="6" t="s">
        <v>179</v>
      </c>
      <c r="J2334" s="15">
        <v>48</v>
      </c>
    </row>
    <row r="2335" spans="1:10">
      <c r="A2335" s="6" t="s">
        <v>141</v>
      </c>
      <c r="B2335" s="6" t="s">
        <v>86</v>
      </c>
      <c r="C2335" s="6" t="s">
        <v>298</v>
      </c>
      <c r="D2335" s="6">
        <v>0.004166666666666667</v>
      </c>
      <c r="E2335" s="6" t="s">
        <v>86</v>
      </c>
      <c r="F2335" s="6" t="s">
        <v>56</v>
      </c>
      <c r="G2335" s="7">
        <v>56461.9741659997</v>
      </c>
      <c r="H2335" s="6">
        <v>235.2582256916654</v>
      </c>
      <c r="I2335" s="6" t="s">
        <v>180</v>
      </c>
      <c r="J2335" s="15">
        <v>10.20721280832045</v>
      </c>
    </row>
    <row r="2336" spans="1:10">
      <c r="A2336" s="6" t="s">
        <v>141</v>
      </c>
      <c r="B2336" s="6" t="s">
        <v>86</v>
      </c>
      <c r="C2336" s="6" t="s">
        <v>300</v>
      </c>
      <c r="D2336" s="6">
        <v>56.0885</v>
      </c>
      <c r="E2336" s="6" t="s">
        <v>86</v>
      </c>
      <c r="F2336" s="6" t="s">
        <v>52</v>
      </c>
      <c r="G2336" s="7">
        <v>60613.11558221976</v>
      </c>
      <c r="H2336" s="6">
        <v>3399698.733333333</v>
      </c>
      <c r="I2336" s="6" t="s">
        <v>179</v>
      </c>
      <c r="J2336" s="15">
        <v>39.13333333333333</v>
      </c>
    </row>
    <row r="2337" spans="1:10">
      <c r="A2337" s="6" t="s">
        <v>141</v>
      </c>
      <c r="B2337" s="6" t="s">
        <v>86</v>
      </c>
      <c r="C2337" s="6" t="s">
        <v>302</v>
      </c>
      <c r="D2337" s="6">
        <v>21.38020004229663</v>
      </c>
      <c r="E2337" s="6" t="s">
        <v>44</v>
      </c>
      <c r="F2337" s="6" t="s">
        <v>52</v>
      </c>
      <c r="G2337" s="7">
        <v>80746.62125224819</v>
      </c>
      <c r="H2337" s="6">
        <v>1726378.915112627</v>
      </c>
      <c r="I2337" s="6" t="s">
        <v>179</v>
      </c>
      <c r="J2337" s="15">
        <v>74.09166666666667</v>
      </c>
    </row>
    <row r="2338" spans="1:10">
      <c r="A2338" s="6" t="s">
        <v>141</v>
      </c>
      <c r="B2338" s="6" t="s">
        <v>86</v>
      </c>
      <c r="C2338" s="6" t="s">
        <v>302</v>
      </c>
      <c r="D2338" s="6">
        <v>682.1230567259383</v>
      </c>
      <c r="E2338" s="6" t="s">
        <v>86</v>
      </c>
      <c r="F2338" s="6" t="s">
        <v>52</v>
      </c>
      <c r="G2338" s="7">
        <v>80746.62125224819</v>
      </c>
      <c r="H2338" s="6">
        <v>55079132.10887516</v>
      </c>
      <c r="I2338" s="6" t="s">
        <v>179</v>
      </c>
      <c r="J2338" s="15">
        <v>74.09166666666667</v>
      </c>
    </row>
    <row r="2339" spans="1:10">
      <c r="A2339" s="6" t="s">
        <v>141</v>
      </c>
      <c r="B2339" s="6" t="s">
        <v>86</v>
      </c>
      <c r="C2339" s="6" t="s">
        <v>302</v>
      </c>
      <c r="D2339" s="6">
        <v>6.5765</v>
      </c>
      <c r="E2339" s="6" t="s">
        <v>90</v>
      </c>
      <c r="F2339" s="6" t="s">
        <v>52</v>
      </c>
      <c r="G2339" s="7">
        <v>80746.62125224819</v>
      </c>
      <c r="H2339" s="6">
        <v>531030.1546654103</v>
      </c>
      <c r="I2339" s="6" t="s">
        <v>179</v>
      </c>
      <c r="J2339" s="15">
        <v>74.09166666666667</v>
      </c>
    </row>
    <row r="2340" spans="1:10">
      <c r="A2340" s="6" t="s">
        <v>141</v>
      </c>
      <c r="B2340" s="6" t="s">
        <v>86</v>
      </c>
      <c r="C2340" s="6" t="s">
        <v>304</v>
      </c>
      <c r="D2340" s="6">
        <v>149.4990833333333</v>
      </c>
      <c r="E2340" s="6" t="s">
        <v>86</v>
      </c>
      <c r="F2340" s="6" t="s">
        <v>52</v>
      </c>
      <c r="G2340" s="7">
        <v>61933.94976223377</v>
      </c>
      <c r="H2340" s="6">
        <v>9259068.716666665</v>
      </c>
      <c r="I2340" s="6" t="s">
        <v>179</v>
      </c>
      <c r="J2340" s="15">
        <v>61.50833333333333</v>
      </c>
    </row>
    <row r="2341" spans="1:10">
      <c r="A2341" s="6" t="s">
        <v>141</v>
      </c>
      <c r="B2341" s="6" t="s">
        <v>86</v>
      </c>
      <c r="C2341" s="6" t="s">
        <v>361</v>
      </c>
      <c r="D2341" s="6">
        <v>4.821104019280106</v>
      </c>
      <c r="E2341" s="6" t="s">
        <v>44</v>
      </c>
      <c r="F2341" s="6" t="s">
        <v>52</v>
      </c>
      <c r="G2341" s="7">
        <v>58941.63635603187</v>
      </c>
      <c r="H2341" s="6">
        <v>284163.7599390117</v>
      </c>
      <c r="I2341" s="6" t="s">
        <v>179</v>
      </c>
      <c r="J2341" s="15">
        <v>64.18333333333334</v>
      </c>
    </row>
    <row r="2342" spans="1:10">
      <c r="A2342" s="6" t="s">
        <v>141</v>
      </c>
      <c r="B2342" s="6" t="s">
        <v>86</v>
      </c>
      <c r="C2342" s="6" t="s">
        <v>361</v>
      </c>
      <c r="D2342" s="6">
        <v>629.06064598072</v>
      </c>
      <c r="E2342" s="6" t="s">
        <v>86</v>
      </c>
      <c r="F2342" s="6" t="s">
        <v>52</v>
      </c>
      <c r="G2342" s="7">
        <v>58941.63635603187</v>
      </c>
      <c r="H2342" s="6">
        <v>37077863.8412861</v>
      </c>
      <c r="I2342" s="6" t="s">
        <v>179</v>
      </c>
      <c r="J2342" s="15">
        <v>64.18333333333334</v>
      </c>
    </row>
    <row r="2343" spans="1:10">
      <c r="A2343" s="6" t="s">
        <v>141</v>
      </c>
      <c r="B2343" s="6" t="s">
        <v>86</v>
      </c>
      <c r="C2343" s="6" t="s">
        <v>361</v>
      </c>
      <c r="D2343" s="6">
        <v>1.952083333333333</v>
      </c>
      <c r="E2343" s="6" t="s">
        <v>90</v>
      </c>
      <c r="F2343" s="6" t="s">
        <v>52</v>
      </c>
      <c r="G2343" s="7">
        <v>58941.63635603187</v>
      </c>
      <c r="H2343" s="6">
        <v>115058.9859700039</v>
      </c>
      <c r="I2343" s="6" t="s">
        <v>179</v>
      </c>
      <c r="J2343" s="15">
        <v>64.18333333333334</v>
      </c>
    </row>
    <row r="2344" spans="1:10">
      <c r="A2344" s="6" t="s">
        <v>141</v>
      </c>
      <c r="B2344" s="6" t="s">
        <v>86</v>
      </c>
      <c r="C2344" s="6" t="s">
        <v>361</v>
      </c>
      <c r="D2344" s="6">
        <v>0.021</v>
      </c>
      <c r="E2344" s="6" t="s">
        <v>92</v>
      </c>
      <c r="F2344" s="6" t="s">
        <v>52</v>
      </c>
      <c r="G2344" s="7">
        <v>58941.63635603187</v>
      </c>
      <c r="H2344" s="6">
        <v>1237.774363476669</v>
      </c>
      <c r="I2344" s="6" t="s">
        <v>179</v>
      </c>
      <c r="J2344" s="15">
        <v>64.18333333333334</v>
      </c>
    </row>
    <row r="2345" spans="1:10">
      <c r="A2345" s="6" t="s">
        <v>141</v>
      </c>
      <c r="B2345" s="6" t="s">
        <v>86</v>
      </c>
      <c r="C2345" s="6" t="s">
        <v>305</v>
      </c>
      <c r="D2345" s="6">
        <v>344.7702670362572</v>
      </c>
      <c r="E2345" s="6" t="s">
        <v>44</v>
      </c>
      <c r="F2345" s="6" t="s">
        <v>54</v>
      </c>
      <c r="G2345" s="7">
        <v>98575.27110239657</v>
      </c>
      <c r="H2345" s="6">
        <v>33985822.54114471</v>
      </c>
      <c r="I2345" s="6" t="s">
        <v>179</v>
      </c>
      <c r="J2345" s="15">
        <v>67.27500000000001</v>
      </c>
    </row>
    <row r="2346" spans="1:10">
      <c r="A2346" s="6" t="s">
        <v>141</v>
      </c>
      <c r="B2346" s="6" t="s">
        <v>86</v>
      </c>
      <c r="C2346" s="6" t="s">
        <v>305</v>
      </c>
      <c r="D2346" s="6">
        <v>90.5516104119469</v>
      </c>
      <c r="E2346" s="6" t="s">
        <v>86</v>
      </c>
      <c r="F2346" s="6" t="s">
        <v>54</v>
      </c>
      <c r="G2346" s="7">
        <v>98575.27110239657</v>
      </c>
      <c r="H2346" s="6">
        <v>8926149.545116261</v>
      </c>
      <c r="I2346" s="6" t="s">
        <v>179</v>
      </c>
      <c r="J2346" s="15">
        <v>67.27500000000001</v>
      </c>
    </row>
    <row r="2347" spans="1:10">
      <c r="A2347" s="6" t="s">
        <v>141</v>
      </c>
      <c r="B2347" s="6" t="s">
        <v>86</v>
      </c>
      <c r="C2347" s="6" t="s">
        <v>305</v>
      </c>
      <c r="D2347" s="6">
        <v>25.63583333333334</v>
      </c>
      <c r="E2347" s="6" t="s">
        <v>88</v>
      </c>
      <c r="F2347" s="6" t="s">
        <v>54</v>
      </c>
      <c r="G2347" s="7">
        <v>98575.27110239657</v>
      </c>
      <c r="H2347" s="6">
        <v>2527059.220769188</v>
      </c>
      <c r="I2347" s="6" t="s">
        <v>179</v>
      </c>
      <c r="J2347" s="15">
        <v>67.27500000000001</v>
      </c>
    </row>
    <row r="2348" spans="1:10">
      <c r="A2348" s="6" t="s">
        <v>141</v>
      </c>
      <c r="B2348" s="6" t="s">
        <v>86</v>
      </c>
      <c r="C2348" s="6" t="s">
        <v>305</v>
      </c>
      <c r="D2348" s="6">
        <v>48.22091869644328</v>
      </c>
      <c r="E2348" s="6" t="s">
        <v>90</v>
      </c>
      <c r="F2348" s="6" t="s">
        <v>54</v>
      </c>
      <c r="G2348" s="7">
        <v>98575.27110239657</v>
      </c>
      <c r="H2348" s="6">
        <v>4753390.13330852</v>
      </c>
      <c r="I2348" s="6" t="s">
        <v>179</v>
      </c>
      <c r="J2348" s="15">
        <v>67.27500000000001</v>
      </c>
    </row>
    <row r="2349" spans="1:10">
      <c r="A2349" s="6" t="s">
        <v>141</v>
      </c>
      <c r="B2349" s="6" t="s">
        <v>86</v>
      </c>
      <c r="C2349" s="6" t="s">
        <v>305</v>
      </c>
      <c r="D2349" s="6">
        <v>0.02166666666666666</v>
      </c>
      <c r="E2349" s="6" t="s">
        <v>92</v>
      </c>
      <c r="F2349" s="6" t="s">
        <v>54</v>
      </c>
      <c r="G2349" s="7">
        <v>98575.27110239657</v>
      </c>
      <c r="H2349" s="6">
        <v>2135.797540551926</v>
      </c>
      <c r="I2349" s="6" t="s">
        <v>179</v>
      </c>
      <c r="J2349" s="15">
        <v>67.27500000000001</v>
      </c>
    </row>
    <row r="2350" spans="1:10">
      <c r="A2350" s="6" t="s">
        <v>141</v>
      </c>
      <c r="B2350" s="6" t="s">
        <v>86</v>
      </c>
      <c r="C2350" s="6" t="s">
        <v>306</v>
      </c>
      <c r="D2350" s="6">
        <v>20.85200709914923</v>
      </c>
      <c r="E2350" s="6" t="s">
        <v>44</v>
      </c>
      <c r="F2350" s="6" t="s">
        <v>57</v>
      </c>
      <c r="G2350" s="7">
        <v>54237.63482677883</v>
      </c>
      <c r="H2350" s="6">
        <v>1130963.546449056</v>
      </c>
      <c r="I2350" s="6" t="s">
        <v>179</v>
      </c>
      <c r="J2350" s="15">
        <v>7.283649717513925</v>
      </c>
    </row>
    <row r="2351" spans="1:10">
      <c r="A2351" s="6" t="s">
        <v>141</v>
      </c>
      <c r="B2351" s="6" t="s">
        <v>86</v>
      </c>
      <c r="C2351" s="6" t="s">
        <v>306</v>
      </c>
      <c r="D2351" s="6">
        <v>5.558011630584657</v>
      </c>
      <c r="E2351" s="6" t="s">
        <v>86</v>
      </c>
      <c r="F2351" s="6" t="s">
        <v>57</v>
      </c>
      <c r="G2351" s="7">
        <v>54237.63482677883</v>
      </c>
      <c r="H2351" s="6">
        <v>301453.4051826402</v>
      </c>
      <c r="I2351" s="6" t="s">
        <v>179</v>
      </c>
      <c r="J2351" s="15">
        <v>7.283649717513925</v>
      </c>
    </row>
    <row r="2352" spans="1:10">
      <c r="A2352" s="6" t="s">
        <v>141</v>
      </c>
      <c r="B2352" s="6" t="s">
        <v>86</v>
      </c>
      <c r="C2352" s="6" t="s">
        <v>306</v>
      </c>
      <c r="D2352" s="6">
        <v>4.174666666666667</v>
      </c>
      <c r="E2352" s="6" t="s">
        <v>88</v>
      </c>
      <c r="F2352" s="6" t="s">
        <v>57</v>
      </c>
      <c r="G2352" s="7">
        <v>54237.63482677883</v>
      </c>
      <c r="H2352" s="6">
        <v>226424.0461901927</v>
      </c>
      <c r="I2352" s="6" t="s">
        <v>179</v>
      </c>
      <c r="J2352" s="15">
        <v>7.283649717513925</v>
      </c>
    </row>
    <row r="2353" spans="1:10">
      <c r="A2353" s="6" t="s">
        <v>141</v>
      </c>
      <c r="B2353" s="6" t="s">
        <v>86</v>
      </c>
      <c r="C2353" s="6" t="s">
        <v>306</v>
      </c>
      <c r="D2353" s="6">
        <v>1.78304855568225</v>
      </c>
      <c r="E2353" s="6" t="s">
        <v>90</v>
      </c>
      <c r="F2353" s="6" t="s">
        <v>57</v>
      </c>
      <c r="G2353" s="7">
        <v>54237.63482677883</v>
      </c>
      <c r="H2353" s="6">
        <v>96708.33644150932</v>
      </c>
      <c r="I2353" s="6" t="s">
        <v>179</v>
      </c>
      <c r="J2353" s="15">
        <v>7.283649717513925</v>
      </c>
    </row>
    <row r="2354" spans="1:10">
      <c r="A2354" s="6" t="s">
        <v>141</v>
      </c>
      <c r="B2354" s="6" t="s">
        <v>86</v>
      </c>
      <c r="C2354" s="6" t="s">
        <v>362</v>
      </c>
      <c r="D2354" s="6">
        <v>2888.38109915444</v>
      </c>
      <c r="E2354" s="6" t="s">
        <v>86</v>
      </c>
      <c r="F2354" s="6" t="s">
        <v>52</v>
      </c>
      <c r="G2354" s="7">
        <v>57401.5078649952</v>
      </c>
      <c r="H2354" s="6">
        <v>165797430.3802171</v>
      </c>
      <c r="I2354" s="6" t="s">
        <v>179</v>
      </c>
      <c r="J2354" s="15">
        <v>50.76666666666667</v>
      </c>
    </row>
    <row r="2355" spans="1:10">
      <c r="A2355" s="6" t="s">
        <v>141</v>
      </c>
      <c r="B2355" s="6" t="s">
        <v>86</v>
      </c>
      <c r="C2355" s="6" t="s">
        <v>362</v>
      </c>
      <c r="D2355" s="6">
        <v>0.1715</v>
      </c>
      <c r="E2355" s="6" t="s">
        <v>88</v>
      </c>
      <c r="F2355" s="6" t="s">
        <v>52</v>
      </c>
      <c r="G2355" s="7">
        <v>57401.5078649952</v>
      </c>
      <c r="H2355" s="6">
        <v>9844.358598846677</v>
      </c>
      <c r="I2355" s="6" t="s">
        <v>179</v>
      </c>
      <c r="J2355" s="15">
        <v>50.76666666666667</v>
      </c>
    </row>
    <row r="2356" spans="1:10">
      <c r="A2356" s="6" t="s">
        <v>141</v>
      </c>
      <c r="B2356" s="6" t="s">
        <v>86</v>
      </c>
      <c r="C2356" s="6" t="s">
        <v>362</v>
      </c>
      <c r="D2356" s="6">
        <v>33.59075</v>
      </c>
      <c r="E2356" s="6" t="s">
        <v>90</v>
      </c>
      <c r="F2356" s="6" t="s">
        <v>52</v>
      </c>
      <c r="G2356" s="7">
        <v>57401.5078649952</v>
      </c>
      <c r="H2356" s="6">
        <v>1928159.700316088</v>
      </c>
      <c r="I2356" s="6" t="s">
        <v>179</v>
      </c>
      <c r="J2356" s="15">
        <v>50.76666666666667</v>
      </c>
    </row>
    <row r="2357" spans="1:10">
      <c r="A2357" s="6" t="s">
        <v>141</v>
      </c>
      <c r="B2357" s="6" t="s">
        <v>86</v>
      </c>
      <c r="C2357" s="6" t="s">
        <v>362</v>
      </c>
      <c r="D2357" s="6">
        <v>0.4080000000000001</v>
      </c>
      <c r="E2357" s="6" t="s">
        <v>92</v>
      </c>
      <c r="F2357" s="6" t="s">
        <v>52</v>
      </c>
      <c r="G2357" s="7">
        <v>57401.5078649952</v>
      </c>
      <c r="H2357" s="6">
        <v>23419.81520891805</v>
      </c>
      <c r="I2357" s="6" t="s">
        <v>179</v>
      </c>
      <c r="J2357" s="15">
        <v>50.76666666666667</v>
      </c>
    </row>
    <row r="2358" spans="1:10">
      <c r="A2358" s="6" t="s">
        <v>141</v>
      </c>
      <c r="B2358" s="6" t="s">
        <v>86</v>
      </c>
      <c r="C2358" s="6" t="s">
        <v>309</v>
      </c>
      <c r="D2358" s="6">
        <v>146.9305844274858</v>
      </c>
      <c r="E2358" s="6" t="s">
        <v>44</v>
      </c>
      <c r="F2358" s="6" t="s">
        <v>52</v>
      </c>
      <c r="G2358" s="7">
        <v>76640.37565605484</v>
      </c>
      <c r="H2358" s="6">
        <v>11260815.18588619</v>
      </c>
      <c r="I2358" s="6" t="s">
        <v>179</v>
      </c>
      <c r="J2358" s="15">
        <v>56.75</v>
      </c>
    </row>
    <row r="2359" spans="1:10">
      <c r="A2359" s="6" t="s">
        <v>141</v>
      </c>
      <c r="B2359" s="6" t="s">
        <v>86</v>
      </c>
      <c r="C2359" s="6" t="s">
        <v>309</v>
      </c>
      <c r="D2359" s="6">
        <v>875.3779145234133</v>
      </c>
      <c r="E2359" s="6" t="s">
        <v>86</v>
      </c>
      <c r="F2359" s="6" t="s">
        <v>52</v>
      </c>
      <c r="G2359" s="7">
        <v>76640.37565605484</v>
      </c>
      <c r="H2359" s="6">
        <v>67089292.21008826</v>
      </c>
      <c r="I2359" s="6" t="s">
        <v>179</v>
      </c>
      <c r="J2359" s="15">
        <v>56.75</v>
      </c>
    </row>
    <row r="2360" spans="1:10">
      <c r="A2360" s="6" t="s">
        <v>141</v>
      </c>
      <c r="B2360" s="6" t="s">
        <v>86</v>
      </c>
      <c r="C2360" s="6" t="s">
        <v>309</v>
      </c>
      <c r="D2360" s="6">
        <v>15.87566666666667</v>
      </c>
      <c r="E2360" s="6" t="s">
        <v>88</v>
      </c>
      <c r="F2360" s="6" t="s">
        <v>52</v>
      </c>
      <c r="G2360" s="7">
        <v>76640.37565605484</v>
      </c>
      <c r="H2360" s="6">
        <v>1216717.057123641</v>
      </c>
      <c r="I2360" s="6" t="s">
        <v>179</v>
      </c>
      <c r="J2360" s="15">
        <v>56.75</v>
      </c>
    </row>
    <row r="2361" spans="1:10">
      <c r="A2361" s="6" t="s">
        <v>141</v>
      </c>
      <c r="B2361" s="6" t="s">
        <v>86</v>
      </c>
      <c r="C2361" s="6" t="s">
        <v>309</v>
      </c>
      <c r="D2361" s="6">
        <v>39.87799999999999</v>
      </c>
      <c r="E2361" s="6" t="s">
        <v>90</v>
      </c>
      <c r="F2361" s="6" t="s">
        <v>52</v>
      </c>
      <c r="G2361" s="7">
        <v>76640.37565605484</v>
      </c>
      <c r="H2361" s="6">
        <v>3056264.900412154</v>
      </c>
      <c r="I2361" s="6" t="s">
        <v>179</v>
      </c>
      <c r="J2361" s="15">
        <v>56.75</v>
      </c>
    </row>
    <row r="2362" spans="1:10">
      <c r="A2362" s="6" t="s">
        <v>141</v>
      </c>
      <c r="B2362" s="6" t="s">
        <v>86</v>
      </c>
      <c r="C2362" s="6" t="s">
        <v>309</v>
      </c>
      <c r="D2362" s="6">
        <v>5.582999999999999</v>
      </c>
      <c r="E2362" s="6" t="s">
        <v>92</v>
      </c>
      <c r="F2362" s="6" t="s">
        <v>52</v>
      </c>
      <c r="G2362" s="7">
        <v>76640.37565605484</v>
      </c>
      <c r="H2362" s="6">
        <v>427883.2172877541</v>
      </c>
      <c r="I2362" s="6" t="s">
        <v>179</v>
      </c>
      <c r="J2362" s="15">
        <v>56.75</v>
      </c>
    </row>
    <row r="2363" spans="1:10">
      <c r="A2363" s="6" t="s">
        <v>141</v>
      </c>
      <c r="B2363" s="6" t="s">
        <v>86</v>
      </c>
      <c r="C2363" s="6" t="s">
        <v>310</v>
      </c>
      <c r="D2363" s="6">
        <v>72.08333333333333</v>
      </c>
      <c r="E2363" s="6" t="s">
        <v>86</v>
      </c>
      <c r="F2363" s="6" t="s">
        <v>52</v>
      </c>
      <c r="G2363" s="7">
        <v>90408.28872156367</v>
      </c>
      <c r="H2363" s="6">
        <v>6516930.812012714</v>
      </c>
      <c r="I2363" s="6" t="s">
        <v>179</v>
      </c>
      <c r="J2363" s="15">
        <v>71.22499999999999</v>
      </c>
    </row>
    <row r="2364" spans="1:10">
      <c r="A2364" s="6" t="s">
        <v>141</v>
      </c>
      <c r="B2364" s="6" t="s">
        <v>86</v>
      </c>
      <c r="C2364" s="6" t="s">
        <v>310</v>
      </c>
      <c r="D2364" s="6">
        <v>3.859083333333333</v>
      </c>
      <c r="E2364" s="6" t="s">
        <v>90</v>
      </c>
      <c r="F2364" s="6" t="s">
        <v>52</v>
      </c>
      <c r="G2364" s="7">
        <v>90408.28872156367</v>
      </c>
      <c r="H2364" s="6">
        <v>348893.1202005743</v>
      </c>
      <c r="I2364" s="6" t="s">
        <v>179</v>
      </c>
      <c r="J2364" s="15">
        <v>71.22499999999999</v>
      </c>
    </row>
    <row r="2365" spans="1:10">
      <c r="A2365" s="6" t="s">
        <v>141</v>
      </c>
      <c r="B2365" s="6" t="s">
        <v>86</v>
      </c>
      <c r="C2365" s="6" t="s">
        <v>311</v>
      </c>
      <c r="D2365" s="6">
        <v>1.295</v>
      </c>
      <c r="E2365" s="6" t="s">
        <v>44</v>
      </c>
      <c r="F2365" s="6" t="s">
        <v>51</v>
      </c>
      <c r="G2365" s="7">
        <v>45054.61286131107</v>
      </c>
      <c r="H2365" s="6">
        <v>58345.72365539784</v>
      </c>
      <c r="I2365" s="6" t="s">
        <v>179</v>
      </c>
      <c r="J2365" s="15">
        <v>50.35</v>
      </c>
    </row>
    <row r="2366" spans="1:10">
      <c r="A2366" s="6" t="s">
        <v>141</v>
      </c>
      <c r="B2366" s="6" t="s">
        <v>86</v>
      </c>
      <c r="C2366" s="6" t="s">
        <v>311</v>
      </c>
      <c r="D2366" s="6">
        <v>59.48525000000001</v>
      </c>
      <c r="E2366" s="6" t="s">
        <v>86</v>
      </c>
      <c r="F2366" s="6" t="s">
        <v>51</v>
      </c>
      <c r="G2366" s="7">
        <v>45054.61286131107</v>
      </c>
      <c r="H2366" s="6">
        <v>2680084.909708305</v>
      </c>
      <c r="I2366" s="6" t="s">
        <v>179</v>
      </c>
      <c r="J2366" s="15">
        <v>50.35</v>
      </c>
    </row>
    <row r="2367" spans="1:10">
      <c r="A2367" s="6" t="s">
        <v>141</v>
      </c>
      <c r="B2367" s="6" t="s">
        <v>86</v>
      </c>
      <c r="C2367" s="6" t="s">
        <v>311</v>
      </c>
      <c r="D2367" s="6">
        <v>12.95775</v>
      </c>
      <c r="E2367" s="6" t="s">
        <v>88</v>
      </c>
      <c r="F2367" s="6" t="s">
        <v>51</v>
      </c>
      <c r="G2367" s="7">
        <v>45054.61286131107</v>
      </c>
      <c r="H2367" s="6">
        <v>583806.4098036536</v>
      </c>
      <c r="I2367" s="6" t="s">
        <v>179</v>
      </c>
      <c r="J2367" s="15">
        <v>50.35</v>
      </c>
    </row>
    <row r="2368" spans="1:10">
      <c r="A2368" s="6" t="s">
        <v>141</v>
      </c>
      <c r="B2368" s="6" t="s">
        <v>86</v>
      </c>
      <c r="C2368" s="6" t="s">
        <v>311</v>
      </c>
      <c r="D2368" s="6">
        <v>0.5483333333333332</v>
      </c>
      <c r="E2368" s="6" t="s">
        <v>90</v>
      </c>
      <c r="F2368" s="6" t="s">
        <v>51</v>
      </c>
      <c r="G2368" s="7">
        <v>45054.61286131107</v>
      </c>
      <c r="H2368" s="6">
        <v>24704.94605228557</v>
      </c>
      <c r="I2368" s="6" t="s">
        <v>179</v>
      </c>
      <c r="J2368" s="15">
        <v>50.35</v>
      </c>
    </row>
    <row r="2369" spans="1:10">
      <c r="A2369" s="6" t="s">
        <v>141</v>
      </c>
      <c r="B2369" s="6" t="s">
        <v>86</v>
      </c>
      <c r="C2369" s="6" t="s">
        <v>312</v>
      </c>
      <c r="D2369" s="6">
        <v>289.4183285831872</v>
      </c>
      <c r="E2369" s="6" t="s">
        <v>44</v>
      </c>
      <c r="F2369" s="6" t="s">
        <v>54</v>
      </c>
      <c r="G2369" s="7">
        <v>81169.23103268788</v>
      </c>
      <c r="H2369" s="6">
        <v>23491863.17786309</v>
      </c>
      <c r="I2369" s="6" t="s">
        <v>179</v>
      </c>
      <c r="J2369" s="15">
        <v>47.825</v>
      </c>
    </row>
    <row r="2370" spans="1:10">
      <c r="A2370" s="6" t="s">
        <v>141</v>
      </c>
      <c r="B2370" s="6" t="s">
        <v>86</v>
      </c>
      <c r="C2370" s="6" t="s">
        <v>312</v>
      </c>
      <c r="D2370" s="6">
        <v>92.00224346264667</v>
      </c>
      <c r="E2370" s="6" t="s">
        <v>86</v>
      </c>
      <c r="F2370" s="6" t="s">
        <v>54</v>
      </c>
      <c r="G2370" s="7">
        <v>81169.23103268788</v>
      </c>
      <c r="H2370" s="6">
        <v>7467751.355145166</v>
      </c>
      <c r="I2370" s="6" t="s">
        <v>179</v>
      </c>
      <c r="J2370" s="15">
        <v>47.825</v>
      </c>
    </row>
    <row r="2371" spans="1:10">
      <c r="A2371" s="6" t="s">
        <v>141</v>
      </c>
      <c r="B2371" s="6" t="s">
        <v>86</v>
      </c>
      <c r="C2371" s="6" t="s">
        <v>312</v>
      </c>
      <c r="D2371" s="6">
        <v>45.73041666666666</v>
      </c>
      <c r="E2371" s="6" t="s">
        <v>88</v>
      </c>
      <c r="F2371" s="6" t="s">
        <v>54</v>
      </c>
      <c r="G2371" s="7">
        <v>81169.23103268788</v>
      </c>
      <c r="H2371" s="6">
        <v>3711902.755637746</v>
      </c>
      <c r="I2371" s="6" t="s">
        <v>179</v>
      </c>
      <c r="J2371" s="15">
        <v>47.825</v>
      </c>
    </row>
    <row r="2372" spans="1:10">
      <c r="A2372" s="6" t="s">
        <v>141</v>
      </c>
      <c r="B2372" s="6" t="s">
        <v>86</v>
      </c>
      <c r="C2372" s="6" t="s">
        <v>312</v>
      </c>
      <c r="D2372" s="6">
        <v>33.40439976896591</v>
      </c>
      <c r="E2372" s="6" t="s">
        <v>90</v>
      </c>
      <c r="F2372" s="6" t="s">
        <v>54</v>
      </c>
      <c r="G2372" s="7">
        <v>81169.23103268788</v>
      </c>
      <c r="H2372" s="6">
        <v>2711409.44235546</v>
      </c>
      <c r="I2372" s="6" t="s">
        <v>179</v>
      </c>
      <c r="J2372" s="15">
        <v>47.825</v>
      </c>
    </row>
    <row r="2373" spans="1:10">
      <c r="A2373" s="6" t="s">
        <v>141</v>
      </c>
      <c r="B2373" s="6" t="s">
        <v>86</v>
      </c>
      <c r="C2373" s="6" t="s">
        <v>312</v>
      </c>
      <c r="D2373" s="6">
        <v>0.193</v>
      </c>
      <c r="E2373" s="6" t="s">
        <v>92</v>
      </c>
      <c r="F2373" s="6" t="s">
        <v>54</v>
      </c>
      <c r="G2373" s="7">
        <v>81169.23103268788</v>
      </c>
      <c r="H2373" s="6">
        <v>15665.66158930876</v>
      </c>
      <c r="I2373" s="6" t="s">
        <v>179</v>
      </c>
      <c r="J2373" s="15">
        <v>47.825</v>
      </c>
    </row>
    <row r="2374" spans="1:10">
      <c r="A2374" s="6" t="s">
        <v>141</v>
      </c>
      <c r="B2374" s="6" t="s">
        <v>86</v>
      </c>
      <c r="C2374" s="6" t="s">
        <v>313</v>
      </c>
      <c r="D2374" s="6">
        <v>0.2173948874202265</v>
      </c>
      <c r="E2374" s="6" t="s">
        <v>44</v>
      </c>
      <c r="F2374" s="6" t="s">
        <v>51</v>
      </c>
      <c r="G2374" s="7">
        <v>53462.78643120329</v>
      </c>
      <c r="H2374" s="6">
        <v>11622.53643738305</v>
      </c>
      <c r="I2374" s="6" t="s">
        <v>180</v>
      </c>
      <c r="J2374" s="15">
        <v>9.305914224119906</v>
      </c>
    </row>
    <row r="2375" spans="1:10">
      <c r="A2375" s="6" t="s">
        <v>141</v>
      </c>
      <c r="B2375" s="6" t="s">
        <v>86</v>
      </c>
      <c r="C2375" s="6" t="s">
        <v>313</v>
      </c>
      <c r="D2375" s="6">
        <v>0.00189964585342413</v>
      </c>
      <c r="E2375" s="6" t="s">
        <v>86</v>
      </c>
      <c r="F2375" s="6" t="s">
        <v>51</v>
      </c>
      <c r="G2375" s="7">
        <v>53462.78643120329</v>
      </c>
      <c r="H2375" s="6">
        <v>101.5603605565352</v>
      </c>
      <c r="I2375" s="6" t="s">
        <v>180</v>
      </c>
      <c r="J2375" s="15">
        <v>9.305914224119906</v>
      </c>
    </row>
    <row r="2376" spans="1:10">
      <c r="A2376" s="6" t="s">
        <v>141</v>
      </c>
      <c r="B2376" s="6" t="s">
        <v>86</v>
      </c>
      <c r="C2376" s="6" t="s">
        <v>315</v>
      </c>
      <c r="D2376" s="6">
        <v>0.04943462986256859</v>
      </c>
      <c r="E2376" s="6" t="s">
        <v>44</v>
      </c>
      <c r="F2376" s="6" t="s">
        <v>51</v>
      </c>
      <c r="G2376" s="7">
        <v>37464.72792440534</v>
      </c>
      <c r="H2376" s="6">
        <v>1852.054957844816</v>
      </c>
      <c r="I2376" s="6" t="s">
        <v>179</v>
      </c>
      <c r="J2376" s="15">
        <v>14</v>
      </c>
    </row>
    <row r="2377" spans="1:10">
      <c r="A2377" s="6" t="s">
        <v>141</v>
      </c>
      <c r="B2377" s="6" t="s">
        <v>86</v>
      </c>
      <c r="C2377" s="6" t="s">
        <v>315</v>
      </c>
      <c r="D2377" s="6">
        <v>3.659234328884653</v>
      </c>
      <c r="E2377" s="6" t="s">
        <v>86</v>
      </c>
      <c r="F2377" s="6" t="s">
        <v>51</v>
      </c>
      <c r="G2377" s="7">
        <v>37464.72792440534</v>
      </c>
      <c r="H2377" s="6">
        <v>137092.2185433075</v>
      </c>
      <c r="I2377" s="6" t="s">
        <v>179</v>
      </c>
      <c r="J2377" s="15">
        <v>14</v>
      </c>
    </row>
    <row r="2378" spans="1:10">
      <c r="A2378" s="6" t="s">
        <v>141</v>
      </c>
      <c r="B2378" s="6" t="s">
        <v>86</v>
      </c>
      <c r="C2378" s="6" t="s">
        <v>315</v>
      </c>
      <c r="D2378" s="6">
        <v>0.325</v>
      </c>
      <c r="E2378" s="6" t="s">
        <v>88</v>
      </c>
      <c r="F2378" s="6" t="s">
        <v>51</v>
      </c>
      <c r="G2378" s="7">
        <v>37464.72792440534</v>
      </c>
      <c r="H2378" s="6">
        <v>12176.03657543174</v>
      </c>
      <c r="I2378" s="6" t="s">
        <v>179</v>
      </c>
      <c r="J2378" s="15">
        <v>14</v>
      </c>
    </row>
    <row r="2379" spans="1:10">
      <c r="A2379" s="6" t="s">
        <v>141</v>
      </c>
      <c r="B2379" s="6" t="s">
        <v>86</v>
      </c>
      <c r="C2379" s="6" t="s">
        <v>317</v>
      </c>
      <c r="D2379" s="6">
        <v>0.08706646333714577</v>
      </c>
      <c r="E2379" s="6" t="s">
        <v>44</v>
      </c>
      <c r="F2379" s="6" t="s">
        <v>51</v>
      </c>
      <c r="G2379" s="7">
        <v>52842.46544157674</v>
      </c>
      <c r="H2379" s="6">
        <v>4600.806580013433</v>
      </c>
      <c r="I2379" s="6" t="s">
        <v>180</v>
      </c>
      <c r="J2379" s="15">
        <v>9.119498941337266</v>
      </c>
    </row>
    <row r="2380" spans="1:10">
      <c r="A2380" s="6" t="s">
        <v>141</v>
      </c>
      <c r="B2380" s="6" t="s">
        <v>86</v>
      </c>
      <c r="C2380" s="6" t="s">
        <v>317</v>
      </c>
      <c r="D2380" s="6">
        <v>0.002845660185538188</v>
      </c>
      <c r="E2380" s="6" t="s">
        <v>86</v>
      </c>
      <c r="F2380" s="6" t="s">
        <v>51</v>
      </c>
      <c r="G2380" s="7">
        <v>52842.46544157674</v>
      </c>
      <c r="H2380" s="6">
        <v>150.3717000127725</v>
      </c>
      <c r="I2380" s="6" t="s">
        <v>180</v>
      </c>
      <c r="J2380" s="15">
        <v>9.119498941337266</v>
      </c>
    </row>
    <row r="2381" spans="1:10">
      <c r="A2381" s="6" t="s">
        <v>141</v>
      </c>
      <c r="B2381" s="6" t="s">
        <v>86</v>
      </c>
      <c r="C2381" s="6" t="s">
        <v>319</v>
      </c>
      <c r="D2381" s="6">
        <v>88.81616666666667</v>
      </c>
      <c r="E2381" s="6" t="s">
        <v>86</v>
      </c>
      <c r="F2381" s="6" t="s">
        <v>52</v>
      </c>
      <c r="G2381" s="7">
        <v>75015.8326520299</v>
      </c>
      <c r="H2381" s="6">
        <v>6662618.695461464</v>
      </c>
      <c r="I2381" s="6" t="s">
        <v>179</v>
      </c>
      <c r="J2381" s="15">
        <v>68.13333333333333</v>
      </c>
    </row>
    <row r="2382" spans="1:10">
      <c r="A2382" s="6" t="s">
        <v>141</v>
      </c>
      <c r="B2382" s="6" t="s">
        <v>86</v>
      </c>
      <c r="C2382" s="6" t="s">
        <v>319</v>
      </c>
      <c r="D2382" s="6">
        <v>4.120083333333334</v>
      </c>
      <c r="E2382" s="6" t="s">
        <v>88</v>
      </c>
      <c r="F2382" s="6" t="s">
        <v>52</v>
      </c>
      <c r="G2382" s="7">
        <v>75015.8326520299</v>
      </c>
      <c r="H2382" s="6">
        <v>309071.4818457509</v>
      </c>
      <c r="I2382" s="6" t="s">
        <v>179</v>
      </c>
      <c r="J2382" s="15">
        <v>68.13333333333333</v>
      </c>
    </row>
    <row r="2383" spans="1:10">
      <c r="A2383" s="6" t="s">
        <v>141</v>
      </c>
      <c r="B2383" s="6" t="s">
        <v>86</v>
      </c>
      <c r="C2383" s="6" t="s">
        <v>319</v>
      </c>
      <c r="D2383" s="6">
        <v>16.23158333333333</v>
      </c>
      <c r="E2383" s="6" t="s">
        <v>90</v>
      </c>
      <c r="F2383" s="6" t="s">
        <v>52</v>
      </c>
      <c r="G2383" s="7">
        <v>75015.8326520299</v>
      </c>
      <c r="H2383" s="6">
        <v>1217625.739010811</v>
      </c>
      <c r="I2383" s="6" t="s">
        <v>179</v>
      </c>
      <c r="J2383" s="15">
        <v>68.13333333333333</v>
      </c>
    </row>
    <row r="2384" spans="1:10">
      <c r="A2384" s="6" t="s">
        <v>141</v>
      </c>
      <c r="B2384" s="6" t="s">
        <v>86</v>
      </c>
      <c r="C2384" s="6" t="s">
        <v>363</v>
      </c>
      <c r="D2384" s="6">
        <v>28.19275</v>
      </c>
      <c r="E2384" s="6" t="s">
        <v>86</v>
      </c>
      <c r="F2384" s="6" t="s">
        <v>52</v>
      </c>
      <c r="G2384" s="7">
        <v>86351.30633466643</v>
      </c>
      <c r="H2384" s="6">
        <v>2434480.791666667</v>
      </c>
      <c r="I2384" s="6" t="s">
        <v>179</v>
      </c>
      <c r="J2384" s="15">
        <v>57.31666666666667</v>
      </c>
    </row>
    <row r="2385" spans="1:10">
      <c r="A2385" s="6" t="s">
        <v>141</v>
      </c>
      <c r="B2385" s="6" t="s">
        <v>86</v>
      </c>
      <c r="C2385" s="6" t="s">
        <v>320</v>
      </c>
      <c r="D2385" s="6">
        <v>11.82666713254681</v>
      </c>
      <c r="E2385" s="6" t="s">
        <v>44</v>
      </c>
      <c r="F2385" s="6" t="s">
        <v>51</v>
      </c>
      <c r="G2385" s="7">
        <v>52021.16753243782</v>
      </c>
      <c r="H2385" s="6">
        <v>615237.0322525937</v>
      </c>
      <c r="I2385" s="6" t="s">
        <v>179</v>
      </c>
      <c r="J2385" s="15">
        <v>101.05</v>
      </c>
    </row>
    <row r="2386" spans="1:10">
      <c r="A2386" s="6" t="s">
        <v>141</v>
      </c>
      <c r="B2386" s="6" t="s">
        <v>86</v>
      </c>
      <c r="C2386" s="6" t="s">
        <v>320</v>
      </c>
      <c r="D2386" s="6">
        <v>5.231525995039626</v>
      </c>
      <c r="E2386" s="6" t="s">
        <v>86</v>
      </c>
      <c r="F2386" s="6" t="s">
        <v>51</v>
      </c>
      <c r="G2386" s="7">
        <v>52021.16753243782</v>
      </c>
      <c r="H2386" s="6">
        <v>272150.0902382598</v>
      </c>
      <c r="I2386" s="6" t="s">
        <v>179</v>
      </c>
      <c r="J2386" s="15">
        <v>101.05</v>
      </c>
    </row>
    <row r="2387" spans="1:10">
      <c r="A2387" s="6" t="s">
        <v>141</v>
      </c>
      <c r="B2387" s="6" t="s">
        <v>86</v>
      </c>
      <c r="C2387" s="6" t="s">
        <v>320</v>
      </c>
      <c r="D2387" s="6">
        <v>1.41125</v>
      </c>
      <c r="E2387" s="6" t="s">
        <v>88</v>
      </c>
      <c r="F2387" s="6" t="s">
        <v>51</v>
      </c>
      <c r="G2387" s="7">
        <v>52021.16753243782</v>
      </c>
      <c r="H2387" s="6">
        <v>73414.87268015285</v>
      </c>
      <c r="I2387" s="6" t="s">
        <v>179</v>
      </c>
      <c r="J2387" s="15">
        <v>101.05</v>
      </c>
    </row>
    <row r="2388" spans="1:10">
      <c r="A2388" s="6" t="s">
        <v>141</v>
      </c>
      <c r="B2388" s="6" t="s">
        <v>86</v>
      </c>
      <c r="C2388" s="6" t="s">
        <v>320</v>
      </c>
      <c r="D2388" s="6">
        <v>0.7342690784960471</v>
      </c>
      <c r="E2388" s="6" t="s">
        <v>90</v>
      </c>
      <c r="F2388" s="6" t="s">
        <v>51</v>
      </c>
      <c r="G2388" s="7">
        <v>52021.16753243782</v>
      </c>
      <c r="H2388" s="6">
        <v>38197.5347463316</v>
      </c>
      <c r="I2388" s="6" t="s">
        <v>179</v>
      </c>
      <c r="J2388" s="15">
        <v>101.05</v>
      </c>
    </row>
    <row r="2389" spans="1:10">
      <c r="A2389" s="6" t="s">
        <v>141</v>
      </c>
      <c r="B2389" s="6" t="s">
        <v>86</v>
      </c>
      <c r="C2389" s="6" t="s">
        <v>321</v>
      </c>
      <c r="D2389" s="6">
        <v>25.23041666666666</v>
      </c>
      <c r="E2389" s="6" t="s">
        <v>44</v>
      </c>
      <c r="F2389" s="6" t="s">
        <v>54</v>
      </c>
      <c r="G2389" s="7">
        <v>84541.41462789</v>
      </c>
      <c r="H2389" s="6">
        <v>2133015.116651093</v>
      </c>
      <c r="I2389" s="6" t="s">
        <v>179</v>
      </c>
      <c r="J2389" s="15">
        <v>45.1</v>
      </c>
    </row>
    <row r="2390" spans="1:10">
      <c r="A2390" s="6" t="s">
        <v>141</v>
      </c>
      <c r="B2390" s="6" t="s">
        <v>86</v>
      </c>
      <c r="C2390" s="6" t="s">
        <v>321</v>
      </c>
      <c r="D2390" s="6">
        <v>6.273416666666667</v>
      </c>
      <c r="E2390" s="6" t="s">
        <v>86</v>
      </c>
      <c r="F2390" s="6" t="s">
        <v>54</v>
      </c>
      <c r="G2390" s="7">
        <v>84541.41462789</v>
      </c>
      <c r="H2390" s="6">
        <v>530363.5195501823</v>
      </c>
      <c r="I2390" s="6" t="s">
        <v>179</v>
      </c>
      <c r="J2390" s="15">
        <v>45.1</v>
      </c>
    </row>
    <row r="2391" spans="1:10">
      <c r="A2391" s="6" t="s">
        <v>141</v>
      </c>
      <c r="B2391" s="6" t="s">
        <v>86</v>
      </c>
      <c r="C2391" s="6" t="s">
        <v>321</v>
      </c>
      <c r="D2391" s="6">
        <v>0.1015833333333333</v>
      </c>
      <c r="E2391" s="6" t="s">
        <v>88</v>
      </c>
      <c r="F2391" s="6" t="s">
        <v>54</v>
      </c>
      <c r="G2391" s="7">
        <v>84541.41462789</v>
      </c>
      <c r="H2391" s="6">
        <v>8587.998702616493</v>
      </c>
      <c r="I2391" s="6" t="s">
        <v>179</v>
      </c>
      <c r="J2391" s="15">
        <v>45.1</v>
      </c>
    </row>
    <row r="2392" spans="1:10">
      <c r="A2392" s="6" t="s">
        <v>141</v>
      </c>
      <c r="B2392" s="6" t="s">
        <v>86</v>
      </c>
      <c r="C2392" s="6" t="s">
        <v>321</v>
      </c>
      <c r="D2392" s="6">
        <v>0.2525</v>
      </c>
      <c r="E2392" s="6" t="s">
        <v>90</v>
      </c>
      <c r="F2392" s="6" t="s">
        <v>54</v>
      </c>
      <c r="G2392" s="7">
        <v>84541.41462789</v>
      </c>
      <c r="H2392" s="6">
        <v>21346.70719354222</v>
      </c>
      <c r="I2392" s="6" t="s">
        <v>179</v>
      </c>
      <c r="J2392" s="15">
        <v>45.1</v>
      </c>
    </row>
    <row r="2393" spans="1:10">
      <c r="A2393" s="6" t="s">
        <v>141</v>
      </c>
      <c r="B2393" s="6" t="s">
        <v>86</v>
      </c>
      <c r="C2393" s="6" t="s">
        <v>322</v>
      </c>
      <c r="D2393" s="6">
        <v>8.509499999999999</v>
      </c>
      <c r="E2393" s="6" t="s">
        <v>86</v>
      </c>
      <c r="F2393" s="6" t="s">
        <v>51</v>
      </c>
      <c r="G2393" s="7">
        <v>45195.78581875691</v>
      </c>
      <c r="H2393" s="6">
        <v>384593.5394247118</v>
      </c>
      <c r="I2393" s="6" t="s">
        <v>179</v>
      </c>
      <c r="J2393" s="15">
        <v>55</v>
      </c>
    </row>
    <row r="2394" spans="1:10">
      <c r="A2394" s="6" t="s">
        <v>141</v>
      </c>
      <c r="B2394" s="6" t="s">
        <v>86</v>
      </c>
      <c r="C2394" s="6" t="s">
        <v>322</v>
      </c>
      <c r="D2394" s="6">
        <v>3.0965</v>
      </c>
      <c r="E2394" s="6" t="s">
        <v>88</v>
      </c>
      <c r="F2394" s="6" t="s">
        <v>51</v>
      </c>
      <c r="G2394" s="7">
        <v>45195.78581875691</v>
      </c>
      <c r="H2394" s="6">
        <v>139948.7507877808</v>
      </c>
      <c r="I2394" s="6" t="s">
        <v>179</v>
      </c>
      <c r="J2394" s="15">
        <v>55</v>
      </c>
    </row>
    <row r="2395" spans="1:10">
      <c r="A2395" s="6" t="s">
        <v>141</v>
      </c>
      <c r="B2395" s="6" t="s">
        <v>86</v>
      </c>
      <c r="C2395" s="6" t="s">
        <v>322</v>
      </c>
      <c r="D2395" s="6">
        <v>0.6647221063245368</v>
      </c>
      <c r="E2395" s="6" t="s">
        <v>90</v>
      </c>
      <c r="F2395" s="6" t="s">
        <v>51</v>
      </c>
      <c r="G2395" s="7">
        <v>45195.78581875691</v>
      </c>
      <c r="H2395" s="6">
        <v>30042.63794643672</v>
      </c>
      <c r="I2395" s="6" t="s">
        <v>179</v>
      </c>
      <c r="J2395" s="15">
        <v>55</v>
      </c>
    </row>
    <row r="2396" spans="1:10">
      <c r="A2396" s="6" t="s">
        <v>141</v>
      </c>
      <c r="B2396" s="6" t="s">
        <v>86</v>
      </c>
      <c r="C2396" s="6" t="s">
        <v>323</v>
      </c>
      <c r="D2396" s="6">
        <v>89.68752922826306</v>
      </c>
      <c r="E2396" s="6" t="s">
        <v>44</v>
      </c>
      <c r="F2396" s="6" t="s">
        <v>55</v>
      </c>
      <c r="G2396" s="7">
        <v>51933.23768987774</v>
      </c>
      <c r="H2396" s="6">
        <v>4657763.773229243</v>
      </c>
      <c r="I2396" s="6" t="s">
        <v>179</v>
      </c>
      <c r="J2396" s="15">
        <v>44.21666666666667</v>
      </c>
    </row>
    <row r="2397" spans="1:10">
      <c r="A2397" s="6" t="s">
        <v>141</v>
      </c>
      <c r="B2397" s="6" t="s">
        <v>86</v>
      </c>
      <c r="C2397" s="6" t="s">
        <v>323</v>
      </c>
      <c r="D2397" s="6">
        <v>21.6078530415593</v>
      </c>
      <c r="E2397" s="6" t="s">
        <v>86</v>
      </c>
      <c r="F2397" s="6" t="s">
        <v>55</v>
      </c>
      <c r="G2397" s="7">
        <v>51933.23768987774</v>
      </c>
      <c r="H2397" s="6">
        <v>1122165.767975247</v>
      </c>
      <c r="I2397" s="6" t="s">
        <v>179</v>
      </c>
      <c r="J2397" s="15">
        <v>44.21666666666667</v>
      </c>
    </row>
    <row r="2398" spans="1:10">
      <c r="A2398" s="6" t="s">
        <v>141</v>
      </c>
      <c r="B2398" s="6" t="s">
        <v>86</v>
      </c>
      <c r="C2398" s="6" t="s">
        <v>323</v>
      </c>
      <c r="D2398" s="6">
        <v>7.876916666666665</v>
      </c>
      <c r="E2398" s="6" t="s">
        <v>88</v>
      </c>
      <c r="F2398" s="6" t="s">
        <v>55</v>
      </c>
      <c r="G2398" s="7">
        <v>51933.23768987774</v>
      </c>
      <c r="H2398" s="6">
        <v>409073.7855133594</v>
      </c>
      <c r="I2398" s="6" t="s">
        <v>179</v>
      </c>
      <c r="J2398" s="15">
        <v>44.21666666666667</v>
      </c>
    </row>
    <row r="2399" spans="1:10">
      <c r="A2399" s="6" t="s">
        <v>141</v>
      </c>
      <c r="B2399" s="6" t="s">
        <v>86</v>
      </c>
      <c r="C2399" s="6" t="s">
        <v>323</v>
      </c>
      <c r="D2399" s="6">
        <v>6.062725151110103</v>
      </c>
      <c r="E2399" s="6" t="s">
        <v>90</v>
      </c>
      <c r="F2399" s="6" t="s">
        <v>55</v>
      </c>
      <c r="G2399" s="7">
        <v>51933.23768987774</v>
      </c>
      <c r="H2399" s="6">
        <v>314856.946321001</v>
      </c>
      <c r="I2399" s="6" t="s">
        <v>179</v>
      </c>
      <c r="J2399" s="15">
        <v>44.21666666666667</v>
      </c>
    </row>
    <row r="2400" spans="1:10">
      <c r="A2400" s="6" t="s">
        <v>141</v>
      </c>
      <c r="B2400" s="6" t="s">
        <v>86</v>
      </c>
      <c r="C2400" s="6" t="s">
        <v>323</v>
      </c>
      <c r="D2400" s="6">
        <v>0.06133333333333333</v>
      </c>
      <c r="E2400" s="6" t="s">
        <v>92</v>
      </c>
      <c r="F2400" s="6" t="s">
        <v>55</v>
      </c>
      <c r="G2400" s="7">
        <v>51933.23768987774</v>
      </c>
      <c r="H2400" s="6">
        <v>3185.238578312501</v>
      </c>
      <c r="I2400" s="6" t="s">
        <v>179</v>
      </c>
      <c r="J2400" s="15">
        <v>44.21666666666667</v>
      </c>
    </row>
    <row r="2401" spans="1:10">
      <c r="A2401" s="6" t="s">
        <v>141</v>
      </c>
      <c r="B2401" s="6" t="s">
        <v>86</v>
      </c>
      <c r="C2401" s="6" t="s">
        <v>324</v>
      </c>
      <c r="D2401" s="6">
        <v>0.3762671676408751</v>
      </c>
      <c r="E2401" s="6" t="s">
        <v>44</v>
      </c>
      <c r="F2401" s="6" t="s">
        <v>51</v>
      </c>
      <c r="G2401" s="7">
        <v>65955.72298493661</v>
      </c>
      <c r="H2401" s="6">
        <v>24816.97307724826</v>
      </c>
      <c r="I2401" s="6" t="s">
        <v>179</v>
      </c>
      <c r="J2401" s="15">
        <v>47.5</v>
      </c>
    </row>
    <row r="2402" spans="1:10">
      <c r="A2402" s="6" t="s">
        <v>141</v>
      </c>
      <c r="B2402" s="6" t="s">
        <v>86</v>
      </c>
      <c r="C2402" s="6" t="s">
        <v>324</v>
      </c>
      <c r="D2402" s="6">
        <v>13.12917227166755</v>
      </c>
      <c r="E2402" s="6" t="s">
        <v>86</v>
      </c>
      <c r="F2402" s="6" t="s">
        <v>51</v>
      </c>
      <c r="G2402" s="7">
        <v>65955.72298493661</v>
      </c>
      <c r="H2402" s="6">
        <v>865944.0493716159</v>
      </c>
      <c r="I2402" s="6" t="s">
        <v>179</v>
      </c>
      <c r="J2402" s="15">
        <v>47.5</v>
      </c>
    </row>
    <row r="2403" spans="1:10">
      <c r="A2403" s="6" t="s">
        <v>141</v>
      </c>
      <c r="B2403" s="6" t="s">
        <v>86</v>
      </c>
      <c r="C2403" s="6" t="s">
        <v>324</v>
      </c>
      <c r="D2403" s="6">
        <v>1.875</v>
      </c>
      <c r="E2403" s="6" t="s">
        <v>88</v>
      </c>
      <c r="F2403" s="6" t="s">
        <v>51</v>
      </c>
      <c r="G2403" s="7">
        <v>65955.72298493661</v>
      </c>
      <c r="H2403" s="6">
        <v>123666.9805967562</v>
      </c>
      <c r="I2403" s="6" t="s">
        <v>179</v>
      </c>
      <c r="J2403" s="15">
        <v>47.5</v>
      </c>
    </row>
    <row r="2404" spans="1:10">
      <c r="A2404" s="6" t="s">
        <v>141</v>
      </c>
      <c r="B2404" s="6" t="s">
        <v>86</v>
      </c>
      <c r="C2404" s="6" t="s">
        <v>324</v>
      </c>
      <c r="D2404" s="6">
        <v>0.5786965062586873</v>
      </c>
      <c r="E2404" s="6" t="s">
        <v>90</v>
      </c>
      <c r="F2404" s="6" t="s">
        <v>51</v>
      </c>
      <c r="G2404" s="7">
        <v>65955.72298493661</v>
      </c>
      <c r="H2404" s="6">
        <v>38168.34645914862</v>
      </c>
      <c r="I2404" s="6" t="s">
        <v>179</v>
      </c>
      <c r="J2404" s="15">
        <v>47.5</v>
      </c>
    </row>
    <row r="2405" spans="1:10">
      <c r="A2405" s="6" t="s">
        <v>141</v>
      </c>
      <c r="B2405" s="6" t="s">
        <v>86</v>
      </c>
      <c r="C2405" s="6" t="s">
        <v>364</v>
      </c>
      <c r="D2405" s="6">
        <v>81.24499431567611</v>
      </c>
      <c r="E2405" s="6" t="s">
        <v>44</v>
      </c>
      <c r="F2405" s="6" t="s">
        <v>52</v>
      </c>
      <c r="G2405" s="7">
        <v>56618.13707440715</v>
      </c>
      <c r="H2405" s="6">
        <v>4599940.224774379</v>
      </c>
      <c r="I2405" s="6" t="s">
        <v>179</v>
      </c>
      <c r="J2405" s="15">
        <v>40.41666666666667</v>
      </c>
    </row>
    <row r="2406" spans="1:10">
      <c r="A2406" s="6" t="s">
        <v>141</v>
      </c>
      <c r="B2406" s="6" t="s">
        <v>86</v>
      </c>
      <c r="C2406" s="6" t="s">
        <v>364</v>
      </c>
      <c r="D2406" s="6">
        <v>14.9867763039999</v>
      </c>
      <c r="E2406" s="6" t="s">
        <v>86</v>
      </c>
      <c r="F2406" s="6" t="s">
        <v>52</v>
      </c>
      <c r="G2406" s="7">
        <v>56618.13707440715</v>
      </c>
      <c r="H2406" s="6">
        <v>848523.3550833435</v>
      </c>
      <c r="I2406" s="6" t="s">
        <v>179</v>
      </c>
      <c r="J2406" s="15">
        <v>40.41666666666667</v>
      </c>
    </row>
    <row r="2407" spans="1:10">
      <c r="A2407" s="6" t="s">
        <v>141</v>
      </c>
      <c r="B2407" s="6" t="s">
        <v>86</v>
      </c>
      <c r="C2407" s="6" t="s">
        <v>364</v>
      </c>
      <c r="D2407" s="6">
        <v>4.74625</v>
      </c>
      <c r="E2407" s="6" t="s">
        <v>88</v>
      </c>
      <c r="F2407" s="6" t="s">
        <v>52</v>
      </c>
      <c r="G2407" s="7">
        <v>56618.13707440715</v>
      </c>
      <c r="H2407" s="6">
        <v>268723.8330894049</v>
      </c>
      <c r="I2407" s="6" t="s">
        <v>179</v>
      </c>
      <c r="J2407" s="15">
        <v>40.41666666666667</v>
      </c>
    </row>
    <row r="2408" spans="1:10">
      <c r="A2408" s="6" t="s">
        <v>141</v>
      </c>
      <c r="B2408" s="6" t="s">
        <v>86</v>
      </c>
      <c r="C2408" s="6" t="s">
        <v>364</v>
      </c>
      <c r="D2408" s="6">
        <v>4.250755057569701</v>
      </c>
      <c r="E2408" s="6" t="s">
        <v>90</v>
      </c>
      <c r="F2408" s="6" t="s">
        <v>52</v>
      </c>
      <c r="G2408" s="7">
        <v>56618.13707440715</v>
      </c>
      <c r="H2408" s="6">
        <v>240669.8325192108</v>
      </c>
      <c r="I2408" s="6" t="s">
        <v>179</v>
      </c>
      <c r="J2408" s="15">
        <v>40.41666666666667</v>
      </c>
    </row>
    <row r="2409" spans="1:10">
      <c r="A2409" s="6" t="s">
        <v>141</v>
      </c>
      <c r="B2409" s="6" t="s">
        <v>86</v>
      </c>
      <c r="C2409" s="6" t="s">
        <v>326</v>
      </c>
      <c r="D2409" s="6">
        <v>411.1691478390429</v>
      </c>
      <c r="E2409" s="6" t="s">
        <v>44</v>
      </c>
      <c r="F2409" s="6" t="s">
        <v>54</v>
      </c>
      <c r="G2409" s="7">
        <v>97273.81361845424</v>
      </c>
      <c r="H2409" s="6">
        <v>39995991.05255372</v>
      </c>
      <c r="I2409" s="6" t="s">
        <v>179</v>
      </c>
      <c r="J2409" s="15">
        <v>59.10833333333333</v>
      </c>
    </row>
    <row r="2410" spans="1:10">
      <c r="A2410" s="6" t="s">
        <v>141</v>
      </c>
      <c r="B2410" s="6" t="s">
        <v>86</v>
      </c>
      <c r="C2410" s="6" t="s">
        <v>326</v>
      </c>
      <c r="D2410" s="6">
        <v>196.199811159437</v>
      </c>
      <c r="E2410" s="6" t="s">
        <v>86</v>
      </c>
      <c r="F2410" s="6" t="s">
        <v>54</v>
      </c>
      <c r="G2410" s="7">
        <v>97273.81361845424</v>
      </c>
      <c r="H2410" s="6">
        <v>19085103.86269899</v>
      </c>
      <c r="I2410" s="6" t="s">
        <v>179</v>
      </c>
      <c r="J2410" s="15">
        <v>59.10833333333333</v>
      </c>
    </row>
    <row r="2411" spans="1:10">
      <c r="A2411" s="6" t="s">
        <v>141</v>
      </c>
      <c r="B2411" s="6" t="s">
        <v>86</v>
      </c>
      <c r="C2411" s="6" t="s">
        <v>326</v>
      </c>
      <c r="D2411" s="6">
        <v>183.51625</v>
      </c>
      <c r="E2411" s="6" t="s">
        <v>88</v>
      </c>
      <c r="F2411" s="6" t="s">
        <v>54</v>
      </c>
      <c r="G2411" s="7">
        <v>97273.81361845424</v>
      </c>
      <c r="H2411" s="6">
        <v>17851325.49845766</v>
      </c>
      <c r="I2411" s="6" t="s">
        <v>179</v>
      </c>
      <c r="J2411" s="15">
        <v>59.10833333333333</v>
      </c>
    </row>
    <row r="2412" spans="1:10">
      <c r="A2412" s="6" t="s">
        <v>141</v>
      </c>
      <c r="B2412" s="6" t="s">
        <v>86</v>
      </c>
      <c r="C2412" s="6" t="s">
        <v>326</v>
      </c>
      <c r="D2412" s="6">
        <v>60.80173824809144</v>
      </c>
      <c r="E2412" s="6" t="s">
        <v>90</v>
      </c>
      <c r="F2412" s="6" t="s">
        <v>54</v>
      </c>
      <c r="G2412" s="7">
        <v>97273.81361845424</v>
      </c>
      <c r="H2412" s="6">
        <v>5914416.954022887</v>
      </c>
      <c r="I2412" s="6" t="s">
        <v>179</v>
      </c>
      <c r="J2412" s="15">
        <v>59.10833333333333</v>
      </c>
    </row>
    <row r="2413" spans="1:10">
      <c r="A2413" s="6" t="s">
        <v>141</v>
      </c>
      <c r="B2413" s="6" t="s">
        <v>86</v>
      </c>
      <c r="C2413" s="6" t="s">
        <v>326</v>
      </c>
      <c r="D2413" s="6">
        <v>0.05433333333333334</v>
      </c>
      <c r="E2413" s="6" t="s">
        <v>92</v>
      </c>
      <c r="F2413" s="6" t="s">
        <v>54</v>
      </c>
      <c r="G2413" s="7">
        <v>97273.81361845424</v>
      </c>
      <c r="H2413" s="6">
        <v>5285.210539936014</v>
      </c>
      <c r="I2413" s="6" t="s">
        <v>179</v>
      </c>
      <c r="J2413" s="15">
        <v>59.10833333333333</v>
      </c>
    </row>
    <row r="2414" spans="1:10">
      <c r="A2414" s="6" t="s">
        <v>141</v>
      </c>
      <c r="B2414" s="6" t="s">
        <v>86</v>
      </c>
      <c r="C2414" s="6" t="s">
        <v>327</v>
      </c>
      <c r="D2414" s="6">
        <v>211.8492019643019</v>
      </c>
      <c r="E2414" s="6" t="s">
        <v>44</v>
      </c>
      <c r="F2414" s="6" t="s">
        <v>57</v>
      </c>
      <c r="G2414" s="7">
        <v>42782.89879327323</v>
      </c>
      <c r="H2414" s="6">
        <v>9063522.967074426</v>
      </c>
      <c r="I2414" s="6" t="s">
        <v>179</v>
      </c>
      <c r="J2414" s="15">
        <v>30.675</v>
      </c>
    </row>
    <row r="2415" spans="1:10">
      <c r="A2415" s="6" t="s">
        <v>141</v>
      </c>
      <c r="B2415" s="6" t="s">
        <v>86</v>
      </c>
      <c r="C2415" s="6" t="s">
        <v>327</v>
      </c>
      <c r="D2415" s="6">
        <v>74.8707452699099</v>
      </c>
      <c r="E2415" s="6" t="s">
        <v>86</v>
      </c>
      <c r="F2415" s="6" t="s">
        <v>57</v>
      </c>
      <c r="G2415" s="7">
        <v>42782.89879327323</v>
      </c>
      <c r="H2415" s="6">
        <v>3203187.517459495</v>
      </c>
      <c r="I2415" s="6" t="s">
        <v>179</v>
      </c>
      <c r="J2415" s="15">
        <v>30.675</v>
      </c>
    </row>
    <row r="2416" spans="1:10">
      <c r="A2416" s="6" t="s">
        <v>141</v>
      </c>
      <c r="B2416" s="6" t="s">
        <v>86</v>
      </c>
      <c r="C2416" s="6" t="s">
        <v>327</v>
      </c>
      <c r="D2416" s="6">
        <v>29.48433333333334</v>
      </c>
      <c r="E2416" s="6" t="s">
        <v>88</v>
      </c>
      <c r="F2416" s="6" t="s">
        <v>57</v>
      </c>
      <c r="G2416" s="7">
        <v>42782.89879327323</v>
      </c>
      <c r="H2416" s="6">
        <v>1261425.248987132</v>
      </c>
      <c r="I2416" s="6" t="s">
        <v>179</v>
      </c>
      <c r="J2416" s="15">
        <v>30.675</v>
      </c>
    </row>
    <row r="2417" spans="1:10">
      <c r="A2417" s="6" t="s">
        <v>141</v>
      </c>
      <c r="B2417" s="6" t="s">
        <v>86</v>
      </c>
      <c r="C2417" s="6" t="s">
        <v>327</v>
      </c>
      <c r="D2417" s="6">
        <v>15.00336415750117</v>
      </c>
      <c r="E2417" s="6" t="s">
        <v>90</v>
      </c>
      <c r="F2417" s="6" t="s">
        <v>57</v>
      </c>
      <c r="G2417" s="7">
        <v>42782.89879327323</v>
      </c>
      <c r="H2417" s="6">
        <v>641887.4103089954</v>
      </c>
      <c r="I2417" s="6" t="s">
        <v>179</v>
      </c>
      <c r="J2417" s="15">
        <v>30.675</v>
      </c>
    </row>
    <row r="2418" spans="1:10">
      <c r="A2418" s="6" t="s">
        <v>141</v>
      </c>
      <c r="B2418" s="6" t="s">
        <v>86</v>
      </c>
      <c r="C2418" s="6" t="s">
        <v>329</v>
      </c>
      <c r="D2418" s="6">
        <v>69.76645913330697</v>
      </c>
      <c r="E2418" s="6" t="s">
        <v>44</v>
      </c>
      <c r="F2418" s="6" t="s">
        <v>58</v>
      </c>
      <c r="G2418" s="7">
        <v>85146.30891396021</v>
      </c>
      <c r="H2418" s="6">
        <v>5940356.481197735</v>
      </c>
      <c r="I2418" s="6" t="s">
        <v>179</v>
      </c>
      <c r="J2418" s="15">
        <v>40.19166666666666</v>
      </c>
    </row>
    <row r="2419" spans="1:10">
      <c r="A2419" s="6" t="s">
        <v>141</v>
      </c>
      <c r="B2419" s="6" t="s">
        <v>86</v>
      </c>
      <c r="C2419" s="6" t="s">
        <v>329</v>
      </c>
      <c r="D2419" s="6">
        <v>4.157154516952795</v>
      </c>
      <c r="E2419" s="6" t="s">
        <v>86</v>
      </c>
      <c r="F2419" s="6" t="s">
        <v>58</v>
      </c>
      <c r="G2419" s="7">
        <v>85146.30891396021</v>
      </c>
      <c r="H2419" s="6">
        <v>353966.3627035277</v>
      </c>
      <c r="I2419" s="6" t="s">
        <v>179</v>
      </c>
      <c r="J2419" s="15">
        <v>40.19166666666666</v>
      </c>
    </row>
    <row r="2420" spans="1:10">
      <c r="A2420" s="6" t="s">
        <v>141</v>
      </c>
      <c r="B2420" s="6" t="s">
        <v>86</v>
      </c>
      <c r="C2420" s="6" t="s">
        <v>329</v>
      </c>
      <c r="D2420" s="6">
        <v>2.26525</v>
      </c>
      <c r="E2420" s="6" t="s">
        <v>88</v>
      </c>
      <c r="F2420" s="6" t="s">
        <v>58</v>
      </c>
      <c r="G2420" s="7">
        <v>85146.30891396021</v>
      </c>
      <c r="H2420" s="6">
        <v>192877.6762673484</v>
      </c>
      <c r="I2420" s="6" t="s">
        <v>179</v>
      </c>
      <c r="J2420" s="15">
        <v>40.19166666666666</v>
      </c>
    </row>
    <row r="2421" spans="1:10">
      <c r="A2421" s="6" t="s">
        <v>141</v>
      </c>
      <c r="B2421" s="6" t="s">
        <v>86</v>
      </c>
      <c r="C2421" s="6" t="s">
        <v>329</v>
      </c>
      <c r="D2421" s="6">
        <v>3.998055717274114</v>
      </c>
      <c r="E2421" s="6" t="s">
        <v>90</v>
      </c>
      <c r="F2421" s="6" t="s">
        <v>58</v>
      </c>
      <c r="G2421" s="7">
        <v>85146.30891396021</v>
      </c>
      <c r="H2421" s="6">
        <v>340419.6871582465</v>
      </c>
      <c r="I2421" s="6" t="s">
        <v>179</v>
      </c>
      <c r="J2421" s="15">
        <v>40.19166666666666</v>
      </c>
    </row>
    <row r="2422" spans="1:10">
      <c r="A2422" s="6" t="s">
        <v>141</v>
      </c>
      <c r="B2422" s="6" t="s">
        <v>86</v>
      </c>
      <c r="C2422" s="6" t="s">
        <v>330</v>
      </c>
      <c r="D2422" s="6">
        <v>53.41686351246961</v>
      </c>
      <c r="E2422" s="6" t="s">
        <v>44</v>
      </c>
      <c r="F2422" s="6" t="s">
        <v>52</v>
      </c>
      <c r="G2422" s="7">
        <v>68396.7450959322</v>
      </c>
      <c r="H2422" s="6">
        <v>3653539.597486585</v>
      </c>
      <c r="I2422" s="6" t="s">
        <v>179</v>
      </c>
      <c r="J2422" s="15">
        <v>71.97499999999999</v>
      </c>
    </row>
    <row r="2423" spans="1:10">
      <c r="A2423" s="6" t="s">
        <v>141</v>
      </c>
      <c r="B2423" s="6" t="s">
        <v>86</v>
      </c>
      <c r="C2423" s="6" t="s">
        <v>330</v>
      </c>
      <c r="D2423" s="6">
        <v>20.93616666666667</v>
      </c>
      <c r="E2423" s="6" t="s">
        <v>86</v>
      </c>
      <c r="F2423" s="6" t="s">
        <v>52</v>
      </c>
      <c r="G2423" s="7">
        <v>68396.7450959322</v>
      </c>
      <c r="H2423" s="6">
        <v>1431965.654785953</v>
      </c>
      <c r="I2423" s="6" t="s">
        <v>179</v>
      </c>
      <c r="J2423" s="15">
        <v>71.97499999999999</v>
      </c>
    </row>
    <row r="2424" spans="1:10">
      <c r="A2424" s="6" t="s">
        <v>141</v>
      </c>
      <c r="B2424" s="6" t="s">
        <v>86</v>
      </c>
      <c r="C2424" s="6" t="s">
        <v>330</v>
      </c>
      <c r="D2424" s="6">
        <v>5.202666666666667</v>
      </c>
      <c r="E2424" s="6" t="s">
        <v>88</v>
      </c>
      <c r="F2424" s="6" t="s">
        <v>52</v>
      </c>
      <c r="G2424" s="7">
        <v>68396.7450959322</v>
      </c>
      <c r="H2424" s="6">
        <v>355845.4658191032</v>
      </c>
      <c r="I2424" s="6" t="s">
        <v>179</v>
      </c>
      <c r="J2424" s="15">
        <v>71.97499999999999</v>
      </c>
    </row>
    <row r="2425" spans="1:10">
      <c r="A2425" s="6" t="s">
        <v>141</v>
      </c>
      <c r="B2425" s="6" t="s">
        <v>86</v>
      </c>
      <c r="C2425" s="6" t="s">
        <v>330</v>
      </c>
      <c r="D2425" s="6">
        <v>1.309098881304513</v>
      </c>
      <c r="E2425" s="6" t="s">
        <v>90</v>
      </c>
      <c r="F2425" s="6" t="s">
        <v>52</v>
      </c>
      <c r="G2425" s="7">
        <v>68396.7450959322</v>
      </c>
      <c r="H2425" s="6">
        <v>89538.10248995475</v>
      </c>
      <c r="I2425" s="6" t="s">
        <v>179</v>
      </c>
      <c r="J2425" s="15">
        <v>71.97499999999999</v>
      </c>
    </row>
    <row r="2426" spans="1:10">
      <c r="A2426" s="6" t="s">
        <v>141</v>
      </c>
      <c r="B2426" s="6" t="s">
        <v>86</v>
      </c>
      <c r="C2426" s="6" t="s">
        <v>330</v>
      </c>
      <c r="D2426" s="6">
        <v>0.0375</v>
      </c>
      <c r="E2426" s="6" t="s">
        <v>92</v>
      </c>
      <c r="F2426" s="6" t="s">
        <v>52</v>
      </c>
      <c r="G2426" s="7">
        <v>68396.7450959322</v>
      </c>
      <c r="H2426" s="6">
        <v>2564.877941097458</v>
      </c>
      <c r="I2426" s="6" t="s">
        <v>179</v>
      </c>
      <c r="J2426" s="15">
        <v>71.97499999999999</v>
      </c>
    </row>
    <row r="2427" spans="1:10">
      <c r="A2427" s="6" t="s">
        <v>141</v>
      </c>
      <c r="B2427" s="6" t="s">
        <v>86</v>
      </c>
      <c r="C2427" s="6" t="s">
        <v>365</v>
      </c>
      <c r="D2427" s="6">
        <v>19.64816680995942</v>
      </c>
      <c r="E2427" s="6" t="s">
        <v>44</v>
      </c>
      <c r="F2427" s="6" t="s">
        <v>53</v>
      </c>
      <c r="G2427" s="7">
        <v>49907.27415437595</v>
      </c>
      <c r="H2427" s="6">
        <v>980586.4476155553</v>
      </c>
      <c r="I2427" s="6" t="s">
        <v>179</v>
      </c>
      <c r="J2427" s="15">
        <v>8</v>
      </c>
    </row>
    <row r="2428" spans="1:10">
      <c r="A2428" s="6" t="s">
        <v>141</v>
      </c>
      <c r="B2428" s="6" t="s">
        <v>86</v>
      </c>
      <c r="C2428" s="6" t="s">
        <v>365</v>
      </c>
      <c r="D2428" s="6">
        <v>0.024</v>
      </c>
      <c r="E2428" s="6" t="s">
        <v>86</v>
      </c>
      <c r="F2428" s="6" t="s">
        <v>53</v>
      </c>
      <c r="G2428" s="7">
        <v>49907.27415437595</v>
      </c>
      <c r="H2428" s="6">
        <v>1197.774579705023</v>
      </c>
      <c r="I2428" s="6" t="s">
        <v>179</v>
      </c>
      <c r="J2428" s="15">
        <v>8</v>
      </c>
    </row>
    <row r="2429" spans="1:10">
      <c r="A2429" s="6" t="s">
        <v>141</v>
      </c>
      <c r="B2429" s="6" t="s">
        <v>86</v>
      </c>
      <c r="C2429" s="6" t="s">
        <v>365</v>
      </c>
      <c r="D2429" s="6">
        <v>0.7355831900405806</v>
      </c>
      <c r="E2429" s="6" t="s">
        <v>90</v>
      </c>
      <c r="F2429" s="6" t="s">
        <v>53</v>
      </c>
      <c r="G2429" s="7">
        <v>49907.27415437595</v>
      </c>
      <c r="H2429" s="6">
        <v>36710.95192870568</v>
      </c>
      <c r="I2429" s="6" t="s">
        <v>179</v>
      </c>
      <c r="J2429" s="15">
        <v>8</v>
      </c>
    </row>
    <row r="2430" spans="1:10">
      <c r="A2430" s="6" t="s">
        <v>141</v>
      </c>
      <c r="B2430" s="6" t="s">
        <v>86</v>
      </c>
      <c r="C2430" s="6" t="s">
        <v>331</v>
      </c>
      <c r="D2430" s="6">
        <v>4.82409096061531</v>
      </c>
      <c r="E2430" s="6" t="s">
        <v>44</v>
      </c>
      <c r="F2430" s="6" t="s">
        <v>58</v>
      </c>
      <c r="G2430" s="7">
        <v>93097.07632539523</v>
      </c>
      <c r="H2430" s="6">
        <v>449108.7643610527</v>
      </c>
      <c r="I2430" s="6" t="s">
        <v>179</v>
      </c>
      <c r="J2430" s="15">
        <v>78.25</v>
      </c>
    </row>
    <row r="2431" spans="1:10">
      <c r="A2431" s="6" t="s">
        <v>141</v>
      </c>
      <c r="B2431" s="6" t="s">
        <v>86</v>
      </c>
      <c r="C2431" s="6" t="s">
        <v>331</v>
      </c>
      <c r="D2431" s="6">
        <v>1.869511324297189</v>
      </c>
      <c r="E2431" s="6" t="s">
        <v>86</v>
      </c>
      <c r="F2431" s="6" t="s">
        <v>58</v>
      </c>
      <c r="G2431" s="7">
        <v>93097.07632539523</v>
      </c>
      <c r="H2431" s="6">
        <v>174046.0384492862</v>
      </c>
      <c r="I2431" s="6" t="s">
        <v>179</v>
      </c>
      <c r="J2431" s="15">
        <v>78.25</v>
      </c>
    </row>
    <row r="2432" spans="1:10">
      <c r="A2432" s="6" t="s">
        <v>141</v>
      </c>
      <c r="B2432" s="6" t="s">
        <v>86</v>
      </c>
      <c r="C2432" s="6" t="s">
        <v>331</v>
      </c>
      <c r="D2432" s="6">
        <v>0.02333333333333334</v>
      </c>
      <c r="E2432" s="6" t="s">
        <v>88</v>
      </c>
      <c r="F2432" s="6" t="s">
        <v>58</v>
      </c>
      <c r="G2432" s="7">
        <v>93097.07632539523</v>
      </c>
      <c r="H2432" s="6">
        <v>2172.265114259223</v>
      </c>
      <c r="I2432" s="6" t="s">
        <v>179</v>
      </c>
      <c r="J2432" s="15">
        <v>78.25</v>
      </c>
    </row>
    <row r="2433" spans="1:10">
      <c r="A2433" s="6" t="s">
        <v>141</v>
      </c>
      <c r="B2433" s="6" t="s">
        <v>86</v>
      </c>
      <c r="C2433" s="6" t="s">
        <v>331</v>
      </c>
      <c r="D2433" s="6">
        <v>0.1457208522378237</v>
      </c>
      <c r="E2433" s="6" t="s">
        <v>90</v>
      </c>
      <c r="F2433" s="6" t="s">
        <v>58</v>
      </c>
      <c r="G2433" s="7">
        <v>93097.07632539523</v>
      </c>
      <c r="H2433" s="6">
        <v>13566.18530298632</v>
      </c>
      <c r="I2433" s="6" t="s">
        <v>179</v>
      </c>
      <c r="J2433" s="15">
        <v>78.25</v>
      </c>
    </row>
    <row r="2434" spans="1:10">
      <c r="A2434" s="6" t="s">
        <v>141</v>
      </c>
      <c r="B2434" s="6" t="s">
        <v>86</v>
      </c>
      <c r="C2434" s="6" t="s">
        <v>332</v>
      </c>
      <c r="D2434" s="6">
        <v>476.5297860436052</v>
      </c>
      <c r="E2434" s="6" t="s">
        <v>44</v>
      </c>
      <c r="F2434" s="6" t="s">
        <v>55</v>
      </c>
      <c r="G2434" s="7">
        <v>52935.75827117996</v>
      </c>
      <c r="H2434" s="6">
        <v>25225465.56302139</v>
      </c>
      <c r="I2434" s="6" t="s">
        <v>179</v>
      </c>
      <c r="J2434" s="15">
        <v>39.75833333333333</v>
      </c>
    </row>
    <row r="2435" spans="1:10">
      <c r="A2435" s="6" t="s">
        <v>141</v>
      </c>
      <c r="B2435" s="6" t="s">
        <v>86</v>
      </c>
      <c r="C2435" s="6" t="s">
        <v>332</v>
      </c>
      <c r="D2435" s="6">
        <v>245.1210785719726</v>
      </c>
      <c r="E2435" s="6" t="s">
        <v>86</v>
      </c>
      <c r="F2435" s="6" t="s">
        <v>55</v>
      </c>
      <c r="G2435" s="7">
        <v>52935.75827117996</v>
      </c>
      <c r="H2435" s="6">
        <v>12975670.16245685</v>
      </c>
      <c r="I2435" s="6" t="s">
        <v>179</v>
      </c>
      <c r="J2435" s="15">
        <v>39.75833333333333</v>
      </c>
    </row>
    <row r="2436" spans="1:10">
      <c r="A2436" s="6" t="s">
        <v>141</v>
      </c>
      <c r="B2436" s="6" t="s">
        <v>86</v>
      </c>
      <c r="C2436" s="6" t="s">
        <v>332</v>
      </c>
      <c r="D2436" s="6">
        <v>45.71875</v>
      </c>
      <c r="E2436" s="6" t="s">
        <v>88</v>
      </c>
      <c r="F2436" s="6" t="s">
        <v>55</v>
      </c>
      <c r="G2436" s="7">
        <v>52935.75827117996</v>
      </c>
      <c r="H2436" s="6">
        <v>2420156.698460509</v>
      </c>
      <c r="I2436" s="6" t="s">
        <v>179</v>
      </c>
      <c r="J2436" s="15">
        <v>39.75833333333333</v>
      </c>
    </row>
    <row r="2437" spans="1:10">
      <c r="A2437" s="6" t="s">
        <v>141</v>
      </c>
      <c r="B2437" s="6" t="s">
        <v>86</v>
      </c>
      <c r="C2437" s="6" t="s">
        <v>332</v>
      </c>
      <c r="D2437" s="6">
        <v>43.12210016870953</v>
      </c>
      <c r="E2437" s="6" t="s">
        <v>90</v>
      </c>
      <c r="F2437" s="6" t="s">
        <v>55</v>
      </c>
      <c r="G2437" s="7">
        <v>52935.75827117996</v>
      </c>
      <c r="H2437" s="6">
        <v>2282701.070676416</v>
      </c>
      <c r="I2437" s="6" t="s">
        <v>179</v>
      </c>
      <c r="J2437" s="15">
        <v>39.75833333333333</v>
      </c>
    </row>
    <row r="2438" spans="1:10">
      <c r="A2438" s="6" t="s">
        <v>141</v>
      </c>
      <c r="B2438" s="6" t="s">
        <v>86</v>
      </c>
      <c r="C2438" s="6" t="s">
        <v>332</v>
      </c>
      <c r="D2438" s="6">
        <v>0.0025</v>
      </c>
      <c r="E2438" s="6" t="s">
        <v>92</v>
      </c>
      <c r="F2438" s="6" t="s">
        <v>55</v>
      </c>
      <c r="G2438" s="7">
        <v>52935.75827117996</v>
      </c>
      <c r="H2438" s="6">
        <v>132.3393956779499</v>
      </c>
      <c r="I2438" s="6" t="s">
        <v>179</v>
      </c>
      <c r="J2438" s="15">
        <v>39.75833333333333</v>
      </c>
    </row>
    <row r="2439" spans="1:10">
      <c r="A2439" s="6" t="s">
        <v>141</v>
      </c>
      <c r="B2439" s="6" t="s">
        <v>86</v>
      </c>
      <c r="C2439" s="6" t="s">
        <v>333</v>
      </c>
      <c r="D2439" s="6">
        <v>0.821097472893472</v>
      </c>
      <c r="E2439" s="6" t="s">
        <v>44</v>
      </c>
      <c r="F2439" s="6" t="s">
        <v>51</v>
      </c>
      <c r="G2439" s="7">
        <v>51556.63499677741</v>
      </c>
      <c r="H2439" s="6">
        <v>42333.02270674508</v>
      </c>
      <c r="I2439" s="6" t="s">
        <v>180</v>
      </c>
      <c r="J2439" s="15">
        <v>8.73308859897227</v>
      </c>
    </row>
    <row r="2440" spans="1:10">
      <c r="A2440" s="6" t="s">
        <v>141</v>
      </c>
      <c r="B2440" s="6" t="s">
        <v>86</v>
      </c>
      <c r="C2440" s="6" t="s">
        <v>333</v>
      </c>
      <c r="D2440" s="6">
        <v>0.6034202440817585</v>
      </c>
      <c r="E2440" s="6" t="s">
        <v>86</v>
      </c>
      <c r="F2440" s="6" t="s">
        <v>51</v>
      </c>
      <c r="G2440" s="7">
        <v>51556.63499677741</v>
      </c>
      <c r="H2440" s="6">
        <v>31110.31727378956</v>
      </c>
      <c r="I2440" s="6" t="s">
        <v>180</v>
      </c>
      <c r="J2440" s="15">
        <v>8.73308859897227</v>
      </c>
    </row>
    <row r="2441" spans="1:10">
      <c r="A2441" s="6" t="s">
        <v>141</v>
      </c>
      <c r="B2441" s="6" t="s">
        <v>88</v>
      </c>
      <c r="C2441" s="6" t="s">
        <v>335</v>
      </c>
      <c r="D2441" s="6">
        <v>802.7560833333334</v>
      </c>
      <c r="E2441" s="6" t="s">
        <v>88</v>
      </c>
      <c r="F2441" s="6" t="s">
        <v>52</v>
      </c>
      <c r="G2441" s="7">
        <v>44280.88015614714</v>
      </c>
      <c r="H2441" s="6">
        <v>35546745.92070141</v>
      </c>
      <c r="I2441" s="6" t="s">
        <v>179</v>
      </c>
      <c r="J2441" s="15">
        <v>39</v>
      </c>
    </row>
    <row r="2442" spans="1:10">
      <c r="A2442" s="6" t="s">
        <v>141</v>
      </c>
      <c r="B2442" s="6" t="s">
        <v>88</v>
      </c>
      <c r="C2442" s="6" t="s">
        <v>200</v>
      </c>
      <c r="D2442" s="6">
        <v>0.3666666666666667</v>
      </c>
      <c r="E2442" s="6" t="s">
        <v>86</v>
      </c>
      <c r="F2442" s="6" t="s">
        <v>52</v>
      </c>
      <c r="G2442" s="7">
        <v>32832.77265499769</v>
      </c>
      <c r="H2442" s="6">
        <v>12038.68330683249</v>
      </c>
      <c r="I2442" s="6" t="s">
        <v>179</v>
      </c>
      <c r="J2442" s="15">
        <v>28.025</v>
      </c>
    </row>
    <row r="2443" spans="1:10">
      <c r="A2443" s="6" t="s">
        <v>141</v>
      </c>
      <c r="B2443" s="6" t="s">
        <v>88</v>
      </c>
      <c r="C2443" s="6" t="s">
        <v>200</v>
      </c>
      <c r="D2443" s="6">
        <v>129.18875</v>
      </c>
      <c r="E2443" s="6" t="s">
        <v>88</v>
      </c>
      <c r="F2443" s="6" t="s">
        <v>52</v>
      </c>
      <c r="G2443" s="7">
        <v>32832.77265499769</v>
      </c>
      <c r="H2443" s="6">
        <v>4241624.858333334</v>
      </c>
      <c r="I2443" s="6" t="s">
        <v>179</v>
      </c>
      <c r="J2443" s="15">
        <v>28.025</v>
      </c>
    </row>
    <row r="2444" spans="1:10">
      <c r="A2444" s="6" t="s">
        <v>141</v>
      </c>
      <c r="B2444" s="6" t="s">
        <v>88</v>
      </c>
      <c r="C2444" s="6" t="s">
        <v>204</v>
      </c>
      <c r="D2444" s="6">
        <v>195.6755</v>
      </c>
      <c r="E2444" s="6" t="s">
        <v>88</v>
      </c>
      <c r="F2444" s="6" t="s">
        <v>51</v>
      </c>
      <c r="G2444" s="7">
        <v>47515.6825465949</v>
      </c>
      <c r="H2444" s="6">
        <v>9297654.940146232</v>
      </c>
      <c r="I2444" s="6" t="s">
        <v>179</v>
      </c>
      <c r="J2444" s="15">
        <v>37.5</v>
      </c>
    </row>
    <row r="2445" spans="1:10">
      <c r="A2445" s="6" t="s">
        <v>141</v>
      </c>
      <c r="B2445" s="6" t="s">
        <v>88</v>
      </c>
      <c r="C2445" s="6" t="s">
        <v>340</v>
      </c>
      <c r="D2445" s="6">
        <v>118.7876666666667</v>
      </c>
      <c r="E2445" s="6" t="s">
        <v>88</v>
      </c>
      <c r="F2445" s="6" t="s">
        <v>52</v>
      </c>
      <c r="G2445" s="7">
        <v>114043.8535439901</v>
      </c>
      <c r="H2445" s="6">
        <v>13547003.26016565</v>
      </c>
      <c r="I2445" s="6" t="s">
        <v>179</v>
      </c>
      <c r="J2445" s="15">
        <v>54.28333333333333</v>
      </c>
    </row>
    <row r="2446" spans="1:10">
      <c r="A2446" s="6" t="s">
        <v>141</v>
      </c>
      <c r="B2446" s="6" t="s">
        <v>88</v>
      </c>
      <c r="C2446" s="6" t="s">
        <v>223</v>
      </c>
      <c r="D2446" s="6">
        <v>14.206</v>
      </c>
      <c r="E2446" s="6" t="s">
        <v>88</v>
      </c>
      <c r="F2446" s="6" t="s">
        <v>53</v>
      </c>
      <c r="G2446" s="7">
        <v>30106.99676564071</v>
      </c>
      <c r="H2446" s="6">
        <v>427699.996052692</v>
      </c>
      <c r="I2446" s="6" t="s">
        <v>180</v>
      </c>
      <c r="J2446" s="15">
        <v>46</v>
      </c>
    </row>
    <row r="2447" spans="1:10">
      <c r="A2447" s="6" t="s">
        <v>141</v>
      </c>
      <c r="B2447" s="6" t="s">
        <v>88</v>
      </c>
      <c r="C2447" s="6" t="s">
        <v>236</v>
      </c>
      <c r="D2447" s="6">
        <v>70.36858333333333</v>
      </c>
      <c r="E2447" s="6" t="s">
        <v>88</v>
      </c>
      <c r="F2447" s="6" t="s">
        <v>51</v>
      </c>
      <c r="G2447" s="7">
        <v>39132.52854279902</v>
      </c>
      <c r="H2447" s="6">
        <v>2753700.595807998</v>
      </c>
      <c r="I2447" s="6" t="s">
        <v>179</v>
      </c>
      <c r="J2447" s="15">
        <v>44</v>
      </c>
    </row>
    <row r="2448" spans="1:10">
      <c r="A2448" s="6" t="s">
        <v>141</v>
      </c>
      <c r="B2448" s="6" t="s">
        <v>88</v>
      </c>
      <c r="C2448" s="6" t="s">
        <v>260</v>
      </c>
      <c r="D2448" s="6">
        <v>2052.496583333334</v>
      </c>
      <c r="E2448" s="6" t="s">
        <v>88</v>
      </c>
      <c r="F2448" s="6" t="s">
        <v>52</v>
      </c>
      <c r="G2448" s="7">
        <v>32200.609517864</v>
      </c>
      <c r="H2448" s="6">
        <v>66091641.01666668</v>
      </c>
      <c r="I2448" s="6" t="s">
        <v>179</v>
      </c>
      <c r="J2448" s="15">
        <v>31.95</v>
      </c>
    </row>
    <row r="2449" spans="1:10">
      <c r="A2449" s="6" t="s">
        <v>141</v>
      </c>
      <c r="B2449" s="6" t="s">
        <v>88</v>
      </c>
      <c r="C2449" s="6" t="s">
        <v>289</v>
      </c>
      <c r="D2449" s="6">
        <v>1567.901166666666</v>
      </c>
      <c r="E2449" s="6" t="s">
        <v>88</v>
      </c>
      <c r="F2449" s="6" t="s">
        <v>52</v>
      </c>
      <c r="G2449" s="7">
        <v>34757.37314593359</v>
      </c>
      <c r="H2449" s="6">
        <v>54496125.90577793</v>
      </c>
      <c r="I2449" s="6" t="s">
        <v>179</v>
      </c>
      <c r="J2449" s="15">
        <v>49</v>
      </c>
    </row>
    <row r="2450" spans="1:10">
      <c r="A2450" s="6" t="s">
        <v>141</v>
      </c>
      <c r="B2450" s="6" t="s">
        <v>88</v>
      </c>
      <c r="C2450" s="6" t="s">
        <v>302</v>
      </c>
      <c r="D2450" s="6">
        <v>1068.198083333333</v>
      </c>
      <c r="E2450" s="6" t="s">
        <v>88</v>
      </c>
      <c r="F2450" s="6" t="s">
        <v>52</v>
      </c>
      <c r="G2450" s="7">
        <v>33240.74338740388</v>
      </c>
      <c r="H2450" s="6">
        <v>35507698.375</v>
      </c>
      <c r="I2450" s="6" t="s">
        <v>179</v>
      </c>
      <c r="J2450" s="15">
        <v>34</v>
      </c>
    </row>
    <row r="2451" spans="1:10">
      <c r="A2451" s="6" t="s">
        <v>141</v>
      </c>
      <c r="B2451" s="6" t="s">
        <v>88</v>
      </c>
      <c r="C2451" s="6" t="s">
        <v>361</v>
      </c>
      <c r="D2451" s="6">
        <v>59.64275</v>
      </c>
      <c r="E2451" s="6" t="s">
        <v>88</v>
      </c>
      <c r="F2451" s="6" t="s">
        <v>52</v>
      </c>
      <c r="G2451" s="7">
        <v>41929.97821752574</v>
      </c>
      <c r="H2451" s="6">
        <v>2500819.208333333</v>
      </c>
      <c r="I2451" s="6" t="s">
        <v>179</v>
      </c>
      <c r="J2451" s="15">
        <v>39.98333333333333</v>
      </c>
    </row>
    <row r="2452" spans="1:10">
      <c r="A2452" s="6" t="s">
        <v>141</v>
      </c>
      <c r="B2452" s="6" t="s">
        <v>88</v>
      </c>
      <c r="C2452" s="6" t="s">
        <v>362</v>
      </c>
      <c r="D2452" s="6">
        <v>181.5828333333333</v>
      </c>
      <c r="E2452" s="6" t="s">
        <v>88</v>
      </c>
      <c r="F2452" s="6" t="s">
        <v>52</v>
      </c>
      <c r="G2452" s="7">
        <v>36106.29405129155</v>
      </c>
      <c r="H2452" s="6">
        <v>6556283.174999999</v>
      </c>
      <c r="I2452" s="6" t="s">
        <v>179</v>
      </c>
      <c r="J2452" s="15">
        <v>34.25</v>
      </c>
    </row>
    <row r="2453" spans="1:10">
      <c r="A2453" s="6" t="s">
        <v>141</v>
      </c>
      <c r="B2453" s="6" t="s">
        <v>88</v>
      </c>
      <c r="C2453" s="6" t="s">
        <v>309</v>
      </c>
      <c r="D2453" s="6">
        <v>343.2818333333333</v>
      </c>
      <c r="E2453" s="6" t="s">
        <v>88</v>
      </c>
      <c r="F2453" s="6" t="s">
        <v>52</v>
      </c>
      <c r="G2453" s="7">
        <v>43401.39202919273</v>
      </c>
      <c r="H2453" s="6">
        <v>14898909.425</v>
      </c>
      <c r="I2453" s="6" t="s">
        <v>179</v>
      </c>
      <c r="J2453" s="15">
        <v>37.5</v>
      </c>
    </row>
    <row r="2454" spans="1:10">
      <c r="A2454" s="6" t="s">
        <v>141</v>
      </c>
      <c r="B2454" s="6" t="s">
        <v>88</v>
      </c>
      <c r="C2454" s="6" t="s">
        <v>310</v>
      </c>
      <c r="D2454" s="6">
        <v>35.30658333333333</v>
      </c>
      <c r="E2454" s="6" t="s">
        <v>88</v>
      </c>
      <c r="F2454" s="6" t="s">
        <v>52</v>
      </c>
      <c r="G2454" s="7">
        <v>169203.8684495049</v>
      </c>
      <c r="H2454" s="6">
        <v>5974010.481734816</v>
      </c>
      <c r="I2454" s="6" t="s">
        <v>179</v>
      </c>
      <c r="J2454" s="15">
        <v>82.45</v>
      </c>
    </row>
    <row r="2455" spans="1:10">
      <c r="A2455" s="6" t="s">
        <v>141</v>
      </c>
      <c r="B2455" s="6" t="s">
        <v>88</v>
      </c>
      <c r="C2455" s="6" t="s">
        <v>320</v>
      </c>
      <c r="D2455" s="6">
        <v>3.271666666666666</v>
      </c>
      <c r="E2455" s="6" t="s">
        <v>88</v>
      </c>
      <c r="F2455" s="6" t="s">
        <v>51</v>
      </c>
      <c r="G2455" s="7">
        <v>27933.36261537085</v>
      </c>
      <c r="H2455" s="6">
        <v>91388.6513566216</v>
      </c>
      <c r="I2455" s="6" t="s">
        <v>180</v>
      </c>
      <c r="J2455" s="15">
        <v>12.0455378640304</v>
      </c>
    </row>
    <row r="2456" spans="1:10">
      <c r="A2456" s="6" t="s">
        <v>141</v>
      </c>
      <c r="B2456" s="6" t="s">
        <v>90</v>
      </c>
      <c r="C2456" s="6" t="s">
        <v>194</v>
      </c>
      <c r="D2456" s="6">
        <v>0.004415514521666511</v>
      </c>
      <c r="E2456" s="6" t="s">
        <v>44</v>
      </c>
      <c r="F2456" s="6" t="s">
        <v>58</v>
      </c>
      <c r="G2456" s="7">
        <v>59839.94997846646</v>
      </c>
      <c r="H2456" s="6">
        <v>264.2241681057163</v>
      </c>
      <c r="I2456" s="6" t="s">
        <v>180</v>
      </c>
      <c r="J2456" s="15">
        <v>69.98333333333333</v>
      </c>
    </row>
    <row r="2457" spans="1:10">
      <c r="A2457" s="6" t="s">
        <v>141</v>
      </c>
      <c r="B2457" s="6" t="s">
        <v>90</v>
      </c>
      <c r="C2457" s="6" t="s">
        <v>194</v>
      </c>
      <c r="D2457" s="6">
        <v>0.02008471745383687</v>
      </c>
      <c r="E2457" s="6" t="s">
        <v>86</v>
      </c>
      <c r="F2457" s="6" t="s">
        <v>58</v>
      </c>
      <c r="G2457" s="7">
        <v>59839.94997846646</v>
      </c>
      <c r="H2457" s="6">
        <v>1201.868487769231</v>
      </c>
      <c r="I2457" s="6" t="s">
        <v>180</v>
      </c>
      <c r="J2457" s="15">
        <v>69.98333333333333</v>
      </c>
    </row>
    <row r="2458" spans="1:10">
      <c r="A2458" s="6" t="s">
        <v>141</v>
      </c>
      <c r="B2458" s="6" t="s">
        <v>90</v>
      </c>
      <c r="C2458" s="6" t="s">
        <v>194</v>
      </c>
      <c r="D2458" s="6">
        <v>0.015767692134325</v>
      </c>
      <c r="E2458" s="6" t="s">
        <v>90</v>
      </c>
      <c r="F2458" s="6" t="s">
        <v>58</v>
      </c>
      <c r="G2458" s="7">
        <v>59839.94997846646</v>
      </c>
      <c r="H2458" s="6">
        <v>943.5379085938667</v>
      </c>
      <c r="I2458" s="6" t="s">
        <v>180</v>
      </c>
      <c r="J2458" s="15">
        <v>69.98333333333333</v>
      </c>
    </row>
    <row r="2459" spans="1:10">
      <c r="A2459" s="6" t="s">
        <v>141</v>
      </c>
      <c r="B2459" s="6" t="s">
        <v>90</v>
      </c>
      <c r="C2459" s="6" t="s">
        <v>335</v>
      </c>
      <c r="D2459" s="6">
        <v>136.4593333333333</v>
      </c>
      <c r="E2459" s="6" t="s">
        <v>86</v>
      </c>
      <c r="F2459" s="6" t="s">
        <v>52</v>
      </c>
      <c r="G2459" s="7">
        <v>95698.07693963528</v>
      </c>
      <c r="H2459" s="6">
        <v>13058895.78046467</v>
      </c>
      <c r="I2459" s="6" t="s">
        <v>179</v>
      </c>
      <c r="J2459" s="15">
        <v>62.25</v>
      </c>
    </row>
    <row r="2460" spans="1:10">
      <c r="A2460" s="6" t="s">
        <v>141</v>
      </c>
      <c r="B2460" s="6" t="s">
        <v>90</v>
      </c>
      <c r="C2460" s="6" t="s">
        <v>335</v>
      </c>
      <c r="D2460" s="6">
        <v>295.1966666666667</v>
      </c>
      <c r="E2460" s="6" t="s">
        <v>90</v>
      </c>
      <c r="F2460" s="6" t="s">
        <v>52</v>
      </c>
      <c r="G2460" s="7">
        <v>95698.07693963528</v>
      </c>
      <c r="H2460" s="6">
        <v>28249753.31899054</v>
      </c>
      <c r="I2460" s="6" t="s">
        <v>179</v>
      </c>
      <c r="J2460" s="15">
        <v>62.25</v>
      </c>
    </row>
    <row r="2461" spans="1:10">
      <c r="A2461" s="6" t="s">
        <v>141</v>
      </c>
      <c r="B2461" s="6" t="s">
        <v>90</v>
      </c>
      <c r="C2461" s="6" t="s">
        <v>197</v>
      </c>
      <c r="D2461" s="6">
        <v>5.07785636497429</v>
      </c>
      <c r="E2461" s="6" t="s">
        <v>44</v>
      </c>
      <c r="F2461" s="6" t="s">
        <v>53</v>
      </c>
      <c r="G2461" s="7">
        <v>24873.23941462196</v>
      </c>
      <c r="H2461" s="6">
        <v>126302.7370790675</v>
      </c>
      <c r="I2461" s="6" t="s">
        <v>179</v>
      </c>
      <c r="J2461" s="15">
        <v>27</v>
      </c>
    </row>
    <row r="2462" spans="1:10">
      <c r="A2462" s="6" t="s">
        <v>141</v>
      </c>
      <c r="B2462" s="6" t="s">
        <v>90</v>
      </c>
      <c r="C2462" s="6" t="s">
        <v>197</v>
      </c>
      <c r="D2462" s="6">
        <v>1.035612915957929</v>
      </c>
      <c r="E2462" s="6" t="s">
        <v>86</v>
      </c>
      <c r="F2462" s="6" t="s">
        <v>53</v>
      </c>
      <c r="G2462" s="7">
        <v>24873.23941462196</v>
      </c>
      <c r="H2462" s="6">
        <v>25759.04799949632</v>
      </c>
      <c r="I2462" s="6" t="s">
        <v>179</v>
      </c>
      <c r="J2462" s="15">
        <v>27</v>
      </c>
    </row>
    <row r="2463" spans="1:10">
      <c r="A2463" s="6" t="s">
        <v>141</v>
      </c>
      <c r="B2463" s="6" t="s">
        <v>90</v>
      </c>
      <c r="C2463" s="6" t="s">
        <v>197</v>
      </c>
      <c r="D2463" s="6">
        <v>1.049583333333334</v>
      </c>
      <c r="E2463" s="6" t="s">
        <v>88</v>
      </c>
      <c r="F2463" s="6" t="s">
        <v>53</v>
      </c>
      <c r="G2463" s="7">
        <v>24873.23941462196</v>
      </c>
      <c r="H2463" s="6">
        <v>26106.53753559697</v>
      </c>
      <c r="I2463" s="6" t="s">
        <v>179</v>
      </c>
      <c r="J2463" s="15">
        <v>27</v>
      </c>
    </row>
    <row r="2464" spans="1:10">
      <c r="A2464" s="6" t="s">
        <v>141</v>
      </c>
      <c r="B2464" s="6" t="s">
        <v>90</v>
      </c>
      <c r="C2464" s="6" t="s">
        <v>197</v>
      </c>
      <c r="D2464" s="6">
        <v>0.6280430519635641</v>
      </c>
      <c r="E2464" s="6" t="s">
        <v>90</v>
      </c>
      <c r="F2464" s="6" t="s">
        <v>53</v>
      </c>
      <c r="G2464" s="7">
        <v>24873.23941462196</v>
      </c>
      <c r="H2464" s="6">
        <v>15621.46519417959</v>
      </c>
      <c r="I2464" s="6" t="s">
        <v>179</v>
      </c>
      <c r="J2464" s="15">
        <v>27</v>
      </c>
    </row>
    <row r="2465" spans="1:10">
      <c r="A2465" s="6" t="s">
        <v>141</v>
      </c>
      <c r="B2465" s="6" t="s">
        <v>90</v>
      </c>
      <c r="C2465" s="6" t="s">
        <v>199</v>
      </c>
      <c r="D2465" s="6">
        <v>37.1778872927855</v>
      </c>
      <c r="E2465" s="6" t="s">
        <v>44</v>
      </c>
      <c r="F2465" s="6" t="s">
        <v>57</v>
      </c>
      <c r="G2465" s="7">
        <v>56186.72410453543</v>
      </c>
      <c r="H2465" s="6">
        <v>2088903.696109253</v>
      </c>
      <c r="I2465" s="6" t="s">
        <v>179</v>
      </c>
      <c r="J2465" s="15">
        <v>8.999964910367698</v>
      </c>
    </row>
    <row r="2466" spans="1:10">
      <c r="A2466" s="6" t="s">
        <v>141</v>
      </c>
      <c r="B2466" s="6" t="s">
        <v>90</v>
      </c>
      <c r="C2466" s="6" t="s">
        <v>199</v>
      </c>
      <c r="D2466" s="6">
        <v>6.639642982457351</v>
      </c>
      <c r="E2466" s="6" t="s">
        <v>86</v>
      </c>
      <c r="F2466" s="6" t="s">
        <v>57</v>
      </c>
      <c r="G2466" s="7">
        <v>56186.72410453543</v>
      </c>
      <c r="H2466" s="6">
        <v>373059.788407946</v>
      </c>
      <c r="I2466" s="6" t="s">
        <v>179</v>
      </c>
      <c r="J2466" s="15">
        <v>8.999964910367698</v>
      </c>
    </row>
    <row r="2467" spans="1:10">
      <c r="A2467" s="6" t="s">
        <v>141</v>
      </c>
      <c r="B2467" s="6" t="s">
        <v>90</v>
      </c>
      <c r="C2467" s="6" t="s">
        <v>199</v>
      </c>
      <c r="D2467" s="6">
        <v>5.070833333333334</v>
      </c>
      <c r="E2467" s="6" t="s">
        <v>88</v>
      </c>
      <c r="F2467" s="6" t="s">
        <v>57</v>
      </c>
      <c r="G2467" s="7">
        <v>56186.72410453543</v>
      </c>
      <c r="H2467" s="6">
        <v>284913.5134800817</v>
      </c>
      <c r="I2467" s="6" t="s">
        <v>179</v>
      </c>
      <c r="J2467" s="15">
        <v>8.999964910367698</v>
      </c>
    </row>
    <row r="2468" spans="1:10">
      <c r="A2468" s="6" t="s">
        <v>141</v>
      </c>
      <c r="B2468" s="6" t="s">
        <v>90</v>
      </c>
      <c r="C2468" s="6" t="s">
        <v>199</v>
      </c>
      <c r="D2468" s="6">
        <v>3.984826239305503</v>
      </c>
      <c r="E2468" s="6" t="s">
        <v>90</v>
      </c>
      <c r="F2468" s="6" t="s">
        <v>57</v>
      </c>
      <c r="G2468" s="7">
        <v>56186.72410453543</v>
      </c>
      <c r="H2468" s="6">
        <v>223894.3325123717</v>
      </c>
      <c r="I2468" s="6" t="s">
        <v>179</v>
      </c>
      <c r="J2468" s="15">
        <v>8.999964910367698</v>
      </c>
    </row>
    <row r="2469" spans="1:10">
      <c r="A2469" s="6" t="s">
        <v>141</v>
      </c>
      <c r="B2469" s="6" t="s">
        <v>90</v>
      </c>
      <c r="C2469" s="6" t="s">
        <v>199</v>
      </c>
      <c r="D2469" s="6">
        <v>0.01666666666666667</v>
      </c>
      <c r="E2469" s="6" t="s">
        <v>92</v>
      </c>
      <c r="F2469" s="6" t="s">
        <v>57</v>
      </c>
      <c r="G2469" s="7">
        <v>56186.72410453543</v>
      </c>
      <c r="H2469" s="6">
        <v>936.4454017422572</v>
      </c>
      <c r="I2469" s="6" t="s">
        <v>179</v>
      </c>
      <c r="J2469" s="15">
        <v>8.999964910367698</v>
      </c>
    </row>
    <row r="2470" spans="1:10">
      <c r="A2470" s="6" t="s">
        <v>141</v>
      </c>
      <c r="B2470" s="6" t="s">
        <v>90</v>
      </c>
      <c r="C2470" s="6" t="s">
        <v>337</v>
      </c>
      <c r="D2470" s="6">
        <v>0.047</v>
      </c>
      <c r="E2470" s="6" t="s">
        <v>90</v>
      </c>
      <c r="F2470" s="6" t="s">
        <v>52</v>
      </c>
      <c r="G2470" s="7">
        <v>59918.03179942394</v>
      </c>
      <c r="H2470" s="6">
        <v>2816.147494572925</v>
      </c>
      <c r="I2470" s="6" t="s">
        <v>180</v>
      </c>
      <c r="J2470" s="15">
        <v>12.43871031134531</v>
      </c>
    </row>
    <row r="2471" spans="1:10">
      <c r="A2471" s="6" t="s">
        <v>141</v>
      </c>
      <c r="B2471" s="6" t="s">
        <v>90</v>
      </c>
      <c r="C2471" s="6" t="s">
        <v>202</v>
      </c>
      <c r="D2471" s="6">
        <v>50.82898592938132</v>
      </c>
      <c r="E2471" s="6" t="s">
        <v>44</v>
      </c>
      <c r="F2471" s="6" t="s">
        <v>54</v>
      </c>
      <c r="G2471" s="7">
        <v>97561.06954083586</v>
      </c>
      <c r="H2471" s="6">
        <v>4958930.230946538</v>
      </c>
      <c r="I2471" s="6" t="s">
        <v>179</v>
      </c>
      <c r="J2471" s="15">
        <v>17.88099969416268</v>
      </c>
    </row>
    <row r="2472" spans="1:10">
      <c r="A2472" s="6" t="s">
        <v>141</v>
      </c>
      <c r="B2472" s="6" t="s">
        <v>90</v>
      </c>
      <c r="C2472" s="6" t="s">
        <v>202</v>
      </c>
      <c r="D2472" s="6">
        <v>10.35356496627993</v>
      </c>
      <c r="E2472" s="6" t="s">
        <v>86</v>
      </c>
      <c r="F2472" s="6" t="s">
        <v>54</v>
      </c>
      <c r="G2472" s="7">
        <v>97561.06954083586</v>
      </c>
      <c r="H2472" s="6">
        <v>1010104.871670798</v>
      </c>
      <c r="I2472" s="6" t="s">
        <v>179</v>
      </c>
      <c r="J2472" s="15">
        <v>17.88099969416268</v>
      </c>
    </row>
    <row r="2473" spans="1:10">
      <c r="A2473" s="6" t="s">
        <v>141</v>
      </c>
      <c r="B2473" s="6" t="s">
        <v>90</v>
      </c>
      <c r="C2473" s="6" t="s">
        <v>202</v>
      </c>
      <c r="D2473" s="6">
        <v>12.54266666666667</v>
      </c>
      <c r="E2473" s="6" t="s">
        <v>88</v>
      </c>
      <c r="F2473" s="6" t="s">
        <v>54</v>
      </c>
      <c r="G2473" s="7">
        <v>97561.06954083586</v>
      </c>
      <c r="H2473" s="6">
        <v>1223675.974894191</v>
      </c>
      <c r="I2473" s="6" t="s">
        <v>179</v>
      </c>
      <c r="J2473" s="15">
        <v>17.88099969416268</v>
      </c>
    </row>
    <row r="2474" spans="1:10">
      <c r="A2474" s="6" t="s">
        <v>141</v>
      </c>
      <c r="B2474" s="6" t="s">
        <v>90</v>
      </c>
      <c r="C2474" s="6" t="s">
        <v>202</v>
      </c>
      <c r="D2474" s="6">
        <v>8.173634163921971</v>
      </c>
      <c r="E2474" s="6" t="s">
        <v>90</v>
      </c>
      <c r="F2474" s="6" t="s">
        <v>54</v>
      </c>
      <c r="G2474" s="7">
        <v>97561.06954083586</v>
      </c>
      <c r="H2474" s="6">
        <v>797428.4910677432</v>
      </c>
      <c r="I2474" s="6" t="s">
        <v>179</v>
      </c>
      <c r="J2474" s="15">
        <v>17.88099969416268</v>
      </c>
    </row>
    <row r="2475" spans="1:10">
      <c r="A2475" s="6" t="s">
        <v>141</v>
      </c>
      <c r="B2475" s="6" t="s">
        <v>90</v>
      </c>
      <c r="C2475" s="6" t="s">
        <v>203</v>
      </c>
      <c r="D2475" s="6">
        <v>1090.940518838443</v>
      </c>
      <c r="E2475" s="6" t="s">
        <v>44</v>
      </c>
      <c r="F2475" s="6" t="s">
        <v>53</v>
      </c>
      <c r="G2475" s="7">
        <v>17844.00974373058</v>
      </c>
      <c r="H2475" s="6">
        <v>19466753.24798366</v>
      </c>
      <c r="I2475" s="6" t="s">
        <v>179</v>
      </c>
      <c r="J2475" s="15">
        <v>12</v>
      </c>
    </row>
    <row r="2476" spans="1:10">
      <c r="A2476" s="6" t="s">
        <v>141</v>
      </c>
      <c r="B2476" s="6" t="s">
        <v>90</v>
      </c>
      <c r="C2476" s="6" t="s">
        <v>203</v>
      </c>
      <c r="D2476" s="6">
        <v>19.0385863647199</v>
      </c>
      <c r="E2476" s="6" t="s">
        <v>86</v>
      </c>
      <c r="F2476" s="6" t="s">
        <v>53</v>
      </c>
      <c r="G2476" s="7">
        <v>17844.00974373058</v>
      </c>
      <c r="H2476" s="6">
        <v>339724.720598918</v>
      </c>
      <c r="I2476" s="6" t="s">
        <v>179</v>
      </c>
      <c r="J2476" s="15">
        <v>12</v>
      </c>
    </row>
    <row r="2477" spans="1:10">
      <c r="A2477" s="6" t="s">
        <v>141</v>
      </c>
      <c r="B2477" s="6" t="s">
        <v>90</v>
      </c>
      <c r="C2477" s="6" t="s">
        <v>203</v>
      </c>
      <c r="D2477" s="6">
        <v>9.961</v>
      </c>
      <c r="E2477" s="6" t="s">
        <v>88</v>
      </c>
      <c r="F2477" s="6" t="s">
        <v>53</v>
      </c>
      <c r="G2477" s="7">
        <v>17844.00974373058</v>
      </c>
      <c r="H2477" s="6">
        <v>177744.1810573003</v>
      </c>
      <c r="I2477" s="6" t="s">
        <v>179</v>
      </c>
      <c r="J2477" s="15">
        <v>12</v>
      </c>
    </row>
    <row r="2478" spans="1:10">
      <c r="A2478" s="6" t="s">
        <v>141</v>
      </c>
      <c r="B2478" s="6" t="s">
        <v>90</v>
      </c>
      <c r="C2478" s="6" t="s">
        <v>203</v>
      </c>
      <c r="D2478" s="6">
        <v>40.63280699873993</v>
      </c>
      <c r="E2478" s="6" t="s">
        <v>90</v>
      </c>
      <c r="F2478" s="6" t="s">
        <v>53</v>
      </c>
      <c r="G2478" s="7">
        <v>17844.00974373058</v>
      </c>
      <c r="H2478" s="6">
        <v>725052.2040006394</v>
      </c>
      <c r="I2478" s="6" t="s">
        <v>179</v>
      </c>
      <c r="J2478" s="15">
        <v>12</v>
      </c>
    </row>
    <row r="2479" spans="1:10">
      <c r="A2479" s="6" t="s">
        <v>141</v>
      </c>
      <c r="B2479" s="6" t="s">
        <v>90</v>
      </c>
      <c r="C2479" s="6" t="s">
        <v>204</v>
      </c>
      <c r="D2479" s="6">
        <v>20.55627165645141</v>
      </c>
      <c r="E2479" s="6" t="s">
        <v>44</v>
      </c>
      <c r="F2479" s="6" t="s">
        <v>51</v>
      </c>
      <c r="G2479" s="7">
        <v>48521.48309148364</v>
      </c>
      <c r="H2479" s="6">
        <v>997420.7876024517</v>
      </c>
      <c r="I2479" s="6" t="s">
        <v>179</v>
      </c>
      <c r="J2479" s="15">
        <v>44.48333333333333</v>
      </c>
    </row>
    <row r="2480" spans="1:10">
      <c r="A2480" s="6" t="s">
        <v>141</v>
      </c>
      <c r="B2480" s="6" t="s">
        <v>90</v>
      </c>
      <c r="C2480" s="6" t="s">
        <v>204</v>
      </c>
      <c r="D2480" s="6">
        <v>10.01803828966339</v>
      </c>
      <c r="E2480" s="6" t="s">
        <v>86</v>
      </c>
      <c r="F2480" s="6" t="s">
        <v>51</v>
      </c>
      <c r="G2480" s="7">
        <v>48521.48309148364</v>
      </c>
      <c r="H2480" s="6">
        <v>486090.0754817378</v>
      </c>
      <c r="I2480" s="6" t="s">
        <v>179</v>
      </c>
      <c r="J2480" s="15">
        <v>44.48333333333333</v>
      </c>
    </row>
    <row r="2481" spans="1:10">
      <c r="A2481" s="6" t="s">
        <v>141</v>
      </c>
      <c r="B2481" s="6" t="s">
        <v>90</v>
      </c>
      <c r="C2481" s="6" t="s">
        <v>204</v>
      </c>
      <c r="D2481" s="6">
        <v>5.453166666666666</v>
      </c>
      <c r="E2481" s="6" t="s">
        <v>88</v>
      </c>
      <c r="F2481" s="6" t="s">
        <v>51</v>
      </c>
      <c r="G2481" s="7">
        <v>48521.48309148364</v>
      </c>
      <c r="H2481" s="6">
        <v>264595.7342117089</v>
      </c>
      <c r="I2481" s="6" t="s">
        <v>179</v>
      </c>
      <c r="J2481" s="15">
        <v>44.48333333333333</v>
      </c>
    </row>
    <row r="2482" spans="1:10">
      <c r="A2482" s="6" t="s">
        <v>141</v>
      </c>
      <c r="B2482" s="6" t="s">
        <v>90</v>
      </c>
      <c r="C2482" s="6" t="s">
        <v>204</v>
      </c>
      <c r="D2482" s="6">
        <v>16.90862731175127</v>
      </c>
      <c r="E2482" s="6" t="s">
        <v>90</v>
      </c>
      <c r="F2482" s="6" t="s">
        <v>51</v>
      </c>
      <c r="G2482" s="7">
        <v>48521.48309148364</v>
      </c>
      <c r="H2482" s="6">
        <v>820431.6742073377</v>
      </c>
      <c r="I2482" s="6" t="s">
        <v>179</v>
      </c>
      <c r="J2482" s="15">
        <v>44.48333333333333</v>
      </c>
    </row>
    <row r="2483" spans="1:10">
      <c r="A2483" s="6" t="s">
        <v>141</v>
      </c>
      <c r="B2483" s="6" t="s">
        <v>90</v>
      </c>
      <c r="C2483" s="6" t="s">
        <v>206</v>
      </c>
      <c r="D2483" s="6">
        <v>0.025933694157507</v>
      </c>
      <c r="E2483" s="6" t="s">
        <v>44</v>
      </c>
      <c r="F2483" s="6" t="s">
        <v>55</v>
      </c>
      <c r="G2483" s="7">
        <v>60123.96801866899</v>
      </c>
      <c r="H2483" s="6">
        <v>1559.236598131894</v>
      </c>
      <c r="I2483" s="6" t="s">
        <v>180</v>
      </c>
      <c r="J2483" s="15">
        <v>12.5046970418405</v>
      </c>
    </row>
    <row r="2484" spans="1:10">
      <c r="A2484" s="6" t="s">
        <v>141</v>
      </c>
      <c r="B2484" s="6" t="s">
        <v>90</v>
      </c>
      <c r="C2484" s="6" t="s">
        <v>206</v>
      </c>
      <c r="D2484" s="6">
        <v>0.1628525052056284</v>
      </c>
      <c r="E2484" s="6" t="s">
        <v>86</v>
      </c>
      <c r="F2484" s="6" t="s">
        <v>55</v>
      </c>
      <c r="G2484" s="7">
        <v>60123.96801866899</v>
      </c>
      <c r="H2484" s="6">
        <v>9791.338814743329</v>
      </c>
      <c r="I2484" s="6" t="s">
        <v>180</v>
      </c>
      <c r="J2484" s="15">
        <v>12.5046970418405</v>
      </c>
    </row>
    <row r="2485" spans="1:10">
      <c r="A2485" s="6" t="s">
        <v>141</v>
      </c>
      <c r="B2485" s="6" t="s">
        <v>90</v>
      </c>
      <c r="C2485" s="6" t="s">
        <v>206</v>
      </c>
      <c r="D2485" s="6">
        <v>0.0055</v>
      </c>
      <c r="E2485" s="6" t="s">
        <v>88</v>
      </c>
      <c r="F2485" s="6" t="s">
        <v>55</v>
      </c>
      <c r="G2485" s="7">
        <v>60123.96801866899</v>
      </c>
      <c r="H2485" s="6">
        <v>330.6818241026794</v>
      </c>
      <c r="I2485" s="6" t="s">
        <v>180</v>
      </c>
      <c r="J2485" s="15">
        <v>12.5046970418405</v>
      </c>
    </row>
    <row r="2486" spans="1:10">
      <c r="A2486" s="6" t="s">
        <v>141</v>
      </c>
      <c r="B2486" s="6" t="s">
        <v>90</v>
      </c>
      <c r="C2486" s="6" t="s">
        <v>206</v>
      </c>
      <c r="D2486" s="6">
        <v>0.1043799656773672</v>
      </c>
      <c r="E2486" s="6" t="s">
        <v>90</v>
      </c>
      <c r="F2486" s="6" t="s">
        <v>55</v>
      </c>
      <c r="G2486" s="7">
        <v>60123.96801866899</v>
      </c>
      <c r="H2486" s="6">
        <v>6275.737718175795</v>
      </c>
      <c r="I2486" s="6" t="s">
        <v>180</v>
      </c>
      <c r="J2486" s="15">
        <v>12.5046970418405</v>
      </c>
    </row>
    <row r="2487" spans="1:10">
      <c r="A2487" s="6" t="s">
        <v>141</v>
      </c>
      <c r="B2487" s="6" t="s">
        <v>90</v>
      </c>
      <c r="C2487" s="6" t="s">
        <v>340</v>
      </c>
      <c r="D2487" s="6">
        <v>0.3473333333333334</v>
      </c>
      <c r="E2487" s="6" t="s">
        <v>86</v>
      </c>
      <c r="F2487" s="6" t="s">
        <v>52</v>
      </c>
      <c r="G2487" s="7">
        <v>93021.31304779231</v>
      </c>
      <c r="H2487" s="6">
        <v>32309.4027319332</v>
      </c>
      <c r="I2487" s="6" t="s">
        <v>179</v>
      </c>
      <c r="J2487" s="15">
        <v>76.88333333333334</v>
      </c>
    </row>
    <row r="2488" spans="1:10">
      <c r="A2488" s="6" t="s">
        <v>141</v>
      </c>
      <c r="B2488" s="6" t="s">
        <v>90</v>
      </c>
      <c r="C2488" s="6" t="s">
        <v>340</v>
      </c>
      <c r="D2488" s="6">
        <v>2.17225</v>
      </c>
      <c r="E2488" s="6" t="s">
        <v>90</v>
      </c>
      <c r="F2488" s="6" t="s">
        <v>52</v>
      </c>
      <c r="G2488" s="7">
        <v>93021.31304779231</v>
      </c>
      <c r="H2488" s="6">
        <v>202065.5472680668</v>
      </c>
      <c r="I2488" s="6" t="s">
        <v>179</v>
      </c>
      <c r="J2488" s="15">
        <v>76.88333333333334</v>
      </c>
    </row>
    <row r="2489" spans="1:10">
      <c r="A2489" s="6" t="s">
        <v>141</v>
      </c>
      <c r="B2489" s="6" t="s">
        <v>90</v>
      </c>
      <c r="C2489" s="6" t="s">
        <v>207</v>
      </c>
      <c r="D2489" s="6">
        <v>2.2284523744192</v>
      </c>
      <c r="E2489" s="6" t="s">
        <v>44</v>
      </c>
      <c r="F2489" s="6" t="s">
        <v>55</v>
      </c>
      <c r="G2489" s="7">
        <v>51379.92992151718</v>
      </c>
      <c r="H2489" s="6">
        <v>114497.7268310971</v>
      </c>
      <c r="I2489" s="6" t="s">
        <v>180</v>
      </c>
      <c r="J2489" s="15">
        <v>46</v>
      </c>
    </row>
    <row r="2490" spans="1:10">
      <c r="A2490" s="6" t="s">
        <v>141</v>
      </c>
      <c r="B2490" s="6" t="s">
        <v>90</v>
      </c>
      <c r="C2490" s="6" t="s">
        <v>207</v>
      </c>
      <c r="D2490" s="6">
        <v>0.4458744100537811</v>
      </c>
      <c r="E2490" s="6" t="s">
        <v>86</v>
      </c>
      <c r="F2490" s="6" t="s">
        <v>55</v>
      </c>
      <c r="G2490" s="7">
        <v>51379.92992151718</v>
      </c>
      <c r="H2490" s="6">
        <v>22908.99594236109</v>
      </c>
      <c r="I2490" s="6" t="s">
        <v>180</v>
      </c>
      <c r="J2490" s="15">
        <v>46</v>
      </c>
    </row>
    <row r="2491" spans="1:10">
      <c r="A2491" s="6" t="s">
        <v>141</v>
      </c>
      <c r="B2491" s="6" t="s">
        <v>90</v>
      </c>
      <c r="C2491" s="6" t="s">
        <v>207</v>
      </c>
      <c r="D2491" s="6">
        <v>0.2558333333333334</v>
      </c>
      <c r="E2491" s="6" t="s">
        <v>88</v>
      </c>
      <c r="F2491" s="6" t="s">
        <v>55</v>
      </c>
      <c r="G2491" s="7">
        <v>51379.92992151718</v>
      </c>
      <c r="H2491" s="6">
        <v>13144.69873825481</v>
      </c>
      <c r="I2491" s="6" t="s">
        <v>180</v>
      </c>
      <c r="J2491" s="15">
        <v>46</v>
      </c>
    </row>
    <row r="2492" spans="1:10">
      <c r="A2492" s="6" t="s">
        <v>141</v>
      </c>
      <c r="B2492" s="6" t="s">
        <v>90</v>
      </c>
      <c r="C2492" s="6" t="s">
        <v>207</v>
      </c>
      <c r="D2492" s="6">
        <v>0.2111666666666667</v>
      </c>
      <c r="E2492" s="6" t="s">
        <v>90</v>
      </c>
      <c r="F2492" s="6" t="s">
        <v>55</v>
      </c>
      <c r="G2492" s="7">
        <v>51379.92992151718</v>
      </c>
      <c r="H2492" s="6">
        <v>10849.72853509371</v>
      </c>
      <c r="I2492" s="6" t="s">
        <v>180</v>
      </c>
      <c r="J2492" s="15">
        <v>46</v>
      </c>
    </row>
    <row r="2493" spans="1:10">
      <c r="A2493" s="6" t="s">
        <v>141</v>
      </c>
      <c r="B2493" s="6" t="s">
        <v>90</v>
      </c>
      <c r="C2493" s="6" t="s">
        <v>208</v>
      </c>
      <c r="D2493" s="6">
        <v>0.1360811225685681</v>
      </c>
      <c r="E2493" s="6" t="s">
        <v>44</v>
      </c>
      <c r="F2493" s="6" t="s">
        <v>51</v>
      </c>
      <c r="G2493" s="7">
        <v>50863.64364522683</v>
      </c>
      <c r="H2493" s="6">
        <v>6921.581725170082</v>
      </c>
      <c r="I2493" s="6" t="s">
        <v>180</v>
      </c>
      <c r="J2493" s="15">
        <v>49.81666666666667</v>
      </c>
    </row>
    <row r="2494" spans="1:10">
      <c r="A2494" s="6" t="s">
        <v>141</v>
      </c>
      <c r="B2494" s="6" t="s">
        <v>90</v>
      </c>
      <c r="C2494" s="6" t="s">
        <v>208</v>
      </c>
      <c r="D2494" s="6">
        <v>0.05447878803372615</v>
      </c>
      <c r="E2494" s="6" t="s">
        <v>86</v>
      </c>
      <c r="F2494" s="6" t="s">
        <v>51</v>
      </c>
      <c r="G2494" s="7">
        <v>50863.64364522683</v>
      </c>
      <c r="H2494" s="6">
        <v>2770.989660771295</v>
      </c>
      <c r="I2494" s="6" t="s">
        <v>180</v>
      </c>
      <c r="J2494" s="15">
        <v>49.81666666666667</v>
      </c>
    </row>
    <row r="2495" spans="1:10">
      <c r="A2495" s="6" t="s">
        <v>141</v>
      </c>
      <c r="B2495" s="6" t="s">
        <v>90</v>
      </c>
      <c r="C2495" s="6" t="s">
        <v>208</v>
      </c>
      <c r="D2495" s="6">
        <v>0.014</v>
      </c>
      <c r="E2495" s="6" t="s">
        <v>88</v>
      </c>
      <c r="F2495" s="6" t="s">
        <v>51</v>
      </c>
      <c r="G2495" s="7">
        <v>50863.64364522683</v>
      </c>
      <c r="H2495" s="6">
        <v>712.0910110331756</v>
      </c>
      <c r="I2495" s="6" t="s">
        <v>180</v>
      </c>
      <c r="J2495" s="15">
        <v>49.81666666666667</v>
      </c>
    </row>
    <row r="2496" spans="1:10">
      <c r="A2496" s="6" t="s">
        <v>141</v>
      </c>
      <c r="B2496" s="6" t="s">
        <v>90</v>
      </c>
      <c r="C2496" s="6" t="s">
        <v>208</v>
      </c>
      <c r="D2496" s="6">
        <v>0.04032085778689357</v>
      </c>
      <c r="E2496" s="6" t="s">
        <v>90</v>
      </c>
      <c r="F2496" s="6" t="s">
        <v>51</v>
      </c>
      <c r="G2496" s="7">
        <v>50863.64364522683</v>
      </c>
      <c r="H2496" s="6">
        <v>2050.865741942424</v>
      </c>
      <c r="I2496" s="6" t="s">
        <v>180</v>
      </c>
      <c r="J2496" s="15">
        <v>49.81666666666667</v>
      </c>
    </row>
    <row r="2497" spans="1:10">
      <c r="A2497" s="6" t="s">
        <v>141</v>
      </c>
      <c r="B2497" s="6" t="s">
        <v>90</v>
      </c>
      <c r="C2497" s="6" t="s">
        <v>209</v>
      </c>
      <c r="D2497" s="6">
        <v>2.720174234210793</v>
      </c>
      <c r="E2497" s="6" t="s">
        <v>44</v>
      </c>
      <c r="F2497" s="6" t="s">
        <v>57</v>
      </c>
      <c r="G2497" s="7">
        <v>49159.54940532756</v>
      </c>
      <c r="H2497" s="6">
        <v>133722.5396577845</v>
      </c>
      <c r="I2497" s="6" t="s">
        <v>180</v>
      </c>
      <c r="J2497" s="15">
        <v>8.991443575659162</v>
      </c>
    </row>
    <row r="2498" spans="1:10">
      <c r="A2498" s="6" t="s">
        <v>141</v>
      </c>
      <c r="B2498" s="6" t="s">
        <v>90</v>
      </c>
      <c r="C2498" s="6" t="s">
        <v>209</v>
      </c>
      <c r="D2498" s="6">
        <v>0.4035485240759213</v>
      </c>
      <c r="E2498" s="6" t="s">
        <v>86</v>
      </c>
      <c r="F2498" s="6" t="s">
        <v>57</v>
      </c>
      <c r="G2498" s="7">
        <v>49159.54940532756</v>
      </c>
      <c r="H2498" s="6">
        <v>19838.26360675727</v>
      </c>
      <c r="I2498" s="6" t="s">
        <v>180</v>
      </c>
      <c r="J2498" s="15">
        <v>8.991443575659162</v>
      </c>
    </row>
    <row r="2499" spans="1:10">
      <c r="A2499" s="6" t="s">
        <v>141</v>
      </c>
      <c r="B2499" s="6" t="s">
        <v>90</v>
      </c>
      <c r="C2499" s="6" t="s">
        <v>209</v>
      </c>
      <c r="D2499" s="6">
        <v>0.2238333333333333</v>
      </c>
      <c r="E2499" s="6" t="s">
        <v>88</v>
      </c>
      <c r="F2499" s="6" t="s">
        <v>57</v>
      </c>
      <c r="G2499" s="7">
        <v>49159.54940532756</v>
      </c>
      <c r="H2499" s="6">
        <v>11003.54580855915</v>
      </c>
      <c r="I2499" s="6" t="s">
        <v>180</v>
      </c>
      <c r="J2499" s="15">
        <v>8.991443575659162</v>
      </c>
    </row>
    <row r="2500" spans="1:10">
      <c r="A2500" s="6" t="s">
        <v>141</v>
      </c>
      <c r="B2500" s="6" t="s">
        <v>90</v>
      </c>
      <c r="C2500" s="6" t="s">
        <v>209</v>
      </c>
      <c r="D2500" s="6">
        <v>0.2245833333333333</v>
      </c>
      <c r="E2500" s="6" t="s">
        <v>90</v>
      </c>
      <c r="F2500" s="6" t="s">
        <v>57</v>
      </c>
      <c r="G2500" s="7">
        <v>49159.54940532756</v>
      </c>
      <c r="H2500" s="6">
        <v>11040.41547061315</v>
      </c>
      <c r="I2500" s="6" t="s">
        <v>180</v>
      </c>
      <c r="J2500" s="15">
        <v>8.991443575659162</v>
      </c>
    </row>
    <row r="2501" spans="1:10">
      <c r="A2501" s="6" t="s">
        <v>141</v>
      </c>
      <c r="B2501" s="6" t="s">
        <v>90</v>
      </c>
      <c r="C2501" s="6" t="s">
        <v>210</v>
      </c>
      <c r="D2501" s="6">
        <v>0.8873924797839954</v>
      </c>
      <c r="E2501" s="6" t="s">
        <v>44</v>
      </c>
      <c r="F2501" s="6" t="s">
        <v>53</v>
      </c>
      <c r="G2501" s="7">
        <v>33962.09735450833</v>
      </c>
      <c r="H2501" s="6">
        <v>30137.70979008262</v>
      </c>
      <c r="I2501" s="6" t="s">
        <v>180</v>
      </c>
      <c r="J2501" s="15">
        <v>12</v>
      </c>
    </row>
    <row r="2502" spans="1:10">
      <c r="A2502" s="6" t="s">
        <v>141</v>
      </c>
      <c r="B2502" s="6" t="s">
        <v>90</v>
      </c>
      <c r="C2502" s="6" t="s">
        <v>210</v>
      </c>
      <c r="D2502" s="6">
        <v>0.1778114988109698</v>
      </c>
      <c r="E2502" s="6" t="s">
        <v>86</v>
      </c>
      <c r="F2502" s="6" t="s">
        <v>53</v>
      </c>
      <c r="G2502" s="7">
        <v>33962.09735450833</v>
      </c>
      <c r="H2502" s="6">
        <v>6038.851433369198</v>
      </c>
      <c r="I2502" s="6" t="s">
        <v>180</v>
      </c>
      <c r="J2502" s="15">
        <v>12</v>
      </c>
    </row>
    <row r="2503" spans="1:10">
      <c r="A2503" s="6" t="s">
        <v>141</v>
      </c>
      <c r="B2503" s="6" t="s">
        <v>90</v>
      </c>
      <c r="C2503" s="6" t="s">
        <v>210</v>
      </c>
      <c r="D2503" s="6">
        <v>0.12625</v>
      </c>
      <c r="E2503" s="6" t="s">
        <v>88</v>
      </c>
      <c r="F2503" s="6" t="s">
        <v>53</v>
      </c>
      <c r="G2503" s="7">
        <v>33962.09735450833</v>
      </c>
      <c r="H2503" s="6">
        <v>4287.714791006677</v>
      </c>
      <c r="I2503" s="6" t="s">
        <v>180</v>
      </c>
      <c r="J2503" s="15">
        <v>12</v>
      </c>
    </row>
    <row r="2504" spans="1:10">
      <c r="A2504" s="6" t="s">
        <v>141</v>
      </c>
      <c r="B2504" s="6" t="s">
        <v>90</v>
      </c>
      <c r="C2504" s="6" t="s">
        <v>210</v>
      </c>
      <c r="D2504" s="6">
        <v>0.08475862785862785</v>
      </c>
      <c r="E2504" s="6" t="s">
        <v>90</v>
      </c>
      <c r="F2504" s="6" t="s">
        <v>53</v>
      </c>
      <c r="G2504" s="7">
        <v>33962.09735450833</v>
      </c>
      <c r="H2504" s="6">
        <v>2878.580770969261</v>
      </c>
      <c r="I2504" s="6" t="s">
        <v>180</v>
      </c>
      <c r="J2504" s="15">
        <v>12</v>
      </c>
    </row>
    <row r="2505" spans="1:10">
      <c r="A2505" s="6" t="s">
        <v>141</v>
      </c>
      <c r="B2505" s="6" t="s">
        <v>90</v>
      </c>
      <c r="C2505" s="6" t="s">
        <v>211</v>
      </c>
      <c r="D2505" s="6">
        <v>13.8067537347033</v>
      </c>
      <c r="E2505" s="6" t="s">
        <v>44</v>
      </c>
      <c r="F2505" s="6" t="s">
        <v>55</v>
      </c>
      <c r="G2505" s="7">
        <v>46692.76242695332</v>
      </c>
      <c r="H2505" s="6">
        <v>644675.4720219519</v>
      </c>
      <c r="I2505" s="6" t="s">
        <v>179</v>
      </c>
      <c r="J2505" s="15">
        <v>27.95</v>
      </c>
    </row>
    <row r="2506" spans="1:10">
      <c r="A2506" s="6" t="s">
        <v>141</v>
      </c>
      <c r="B2506" s="6" t="s">
        <v>90</v>
      </c>
      <c r="C2506" s="6" t="s">
        <v>211</v>
      </c>
      <c r="D2506" s="6">
        <v>3.656879327747985</v>
      </c>
      <c r="E2506" s="6" t="s">
        <v>86</v>
      </c>
      <c r="F2506" s="6" t="s">
        <v>55</v>
      </c>
      <c r="G2506" s="7">
        <v>46692.76242695332</v>
      </c>
      <c r="H2506" s="6">
        <v>170749.7976745734</v>
      </c>
      <c r="I2506" s="6" t="s">
        <v>179</v>
      </c>
      <c r="J2506" s="15">
        <v>27.95</v>
      </c>
    </row>
    <row r="2507" spans="1:10">
      <c r="A2507" s="6" t="s">
        <v>141</v>
      </c>
      <c r="B2507" s="6" t="s">
        <v>90</v>
      </c>
      <c r="C2507" s="6" t="s">
        <v>211</v>
      </c>
      <c r="D2507" s="6">
        <v>0.05925000000000001</v>
      </c>
      <c r="E2507" s="6" t="s">
        <v>88</v>
      </c>
      <c r="F2507" s="6" t="s">
        <v>55</v>
      </c>
      <c r="G2507" s="7">
        <v>46692.76242695332</v>
      </c>
      <c r="H2507" s="6">
        <v>2766.546173796984</v>
      </c>
      <c r="I2507" s="6" t="s">
        <v>179</v>
      </c>
      <c r="J2507" s="15">
        <v>27.95</v>
      </c>
    </row>
    <row r="2508" spans="1:10">
      <c r="A2508" s="6" t="s">
        <v>141</v>
      </c>
      <c r="B2508" s="6" t="s">
        <v>90</v>
      </c>
      <c r="C2508" s="6" t="s">
        <v>211</v>
      </c>
      <c r="D2508" s="6">
        <v>2.856100275659764</v>
      </c>
      <c r="E2508" s="6" t="s">
        <v>90</v>
      </c>
      <c r="F2508" s="6" t="s">
        <v>55</v>
      </c>
      <c r="G2508" s="7">
        <v>46692.76242695332</v>
      </c>
      <c r="H2508" s="6">
        <v>133359.2116389373</v>
      </c>
      <c r="I2508" s="6" t="s">
        <v>179</v>
      </c>
      <c r="J2508" s="15">
        <v>27.95</v>
      </c>
    </row>
    <row r="2509" spans="1:10">
      <c r="A2509" s="6" t="s">
        <v>141</v>
      </c>
      <c r="B2509" s="6" t="s">
        <v>90</v>
      </c>
      <c r="C2509" s="6" t="s">
        <v>212</v>
      </c>
      <c r="D2509" s="6">
        <v>2.12396325585881</v>
      </c>
      <c r="E2509" s="6" t="s">
        <v>44</v>
      </c>
      <c r="F2509" s="6" t="s">
        <v>55</v>
      </c>
      <c r="G2509" s="7">
        <v>50564.67204652241</v>
      </c>
      <c r="H2509" s="6">
        <v>107397.5054713647</v>
      </c>
      <c r="I2509" s="6" t="s">
        <v>179</v>
      </c>
      <c r="J2509" s="15">
        <v>30.11666666666667</v>
      </c>
    </row>
    <row r="2510" spans="1:10">
      <c r="A2510" s="6" t="s">
        <v>141</v>
      </c>
      <c r="B2510" s="6" t="s">
        <v>90</v>
      </c>
      <c r="C2510" s="6" t="s">
        <v>212</v>
      </c>
      <c r="D2510" s="6">
        <v>0.01805324082939357</v>
      </c>
      <c r="E2510" s="6" t="s">
        <v>86</v>
      </c>
      <c r="F2510" s="6" t="s">
        <v>55</v>
      </c>
      <c r="G2510" s="7">
        <v>50564.67204652241</v>
      </c>
      <c r="H2510" s="6">
        <v>912.856201915174</v>
      </c>
      <c r="I2510" s="6" t="s">
        <v>179</v>
      </c>
      <c r="J2510" s="15">
        <v>30.11666666666667</v>
      </c>
    </row>
    <row r="2511" spans="1:10">
      <c r="A2511" s="6" t="s">
        <v>141</v>
      </c>
      <c r="B2511" s="6" t="s">
        <v>90</v>
      </c>
      <c r="C2511" s="6" t="s">
        <v>212</v>
      </c>
      <c r="D2511" s="6">
        <v>0.4816666666666666</v>
      </c>
      <c r="E2511" s="6" t="s">
        <v>88</v>
      </c>
      <c r="F2511" s="6" t="s">
        <v>55</v>
      </c>
      <c r="G2511" s="7">
        <v>50564.67204652241</v>
      </c>
      <c r="H2511" s="6">
        <v>24355.31703574162</v>
      </c>
      <c r="I2511" s="6" t="s">
        <v>179</v>
      </c>
      <c r="J2511" s="15">
        <v>30.11666666666667</v>
      </c>
    </row>
    <row r="2512" spans="1:10">
      <c r="A2512" s="6" t="s">
        <v>141</v>
      </c>
      <c r="B2512" s="6" t="s">
        <v>90</v>
      </c>
      <c r="C2512" s="6" t="s">
        <v>212</v>
      </c>
      <c r="D2512" s="6">
        <v>1.506337278913567</v>
      </c>
      <c r="E2512" s="6" t="s">
        <v>90</v>
      </c>
      <c r="F2512" s="6" t="s">
        <v>55</v>
      </c>
      <c r="G2512" s="7">
        <v>50564.67204652241</v>
      </c>
      <c r="H2512" s="6">
        <v>76167.45049971546</v>
      </c>
      <c r="I2512" s="6" t="s">
        <v>179</v>
      </c>
      <c r="J2512" s="15">
        <v>30.11666666666667</v>
      </c>
    </row>
    <row r="2513" spans="1:10">
      <c r="A2513" s="6" t="s">
        <v>141</v>
      </c>
      <c r="B2513" s="6" t="s">
        <v>90</v>
      </c>
      <c r="C2513" s="6" t="s">
        <v>213</v>
      </c>
      <c r="D2513" s="6">
        <v>5.515090951737939</v>
      </c>
      <c r="E2513" s="6" t="s">
        <v>44</v>
      </c>
      <c r="F2513" s="6" t="s">
        <v>52</v>
      </c>
      <c r="G2513" s="7">
        <v>87922.06742521108</v>
      </c>
      <c r="H2513" s="6">
        <v>484898.1985148746</v>
      </c>
      <c r="I2513" s="6" t="s">
        <v>179</v>
      </c>
      <c r="J2513" s="15">
        <v>49.5</v>
      </c>
    </row>
    <row r="2514" spans="1:10">
      <c r="A2514" s="6" t="s">
        <v>141</v>
      </c>
      <c r="B2514" s="6" t="s">
        <v>90</v>
      </c>
      <c r="C2514" s="6" t="s">
        <v>213</v>
      </c>
      <c r="D2514" s="6">
        <v>29.65633213347618</v>
      </c>
      <c r="E2514" s="6" t="s">
        <v>86</v>
      </c>
      <c r="F2514" s="6" t="s">
        <v>52</v>
      </c>
      <c r="G2514" s="7">
        <v>87922.06742521108</v>
      </c>
      <c r="H2514" s="6">
        <v>2607446.033423947</v>
      </c>
      <c r="I2514" s="6" t="s">
        <v>179</v>
      </c>
      <c r="J2514" s="15">
        <v>49.5</v>
      </c>
    </row>
    <row r="2515" spans="1:10">
      <c r="A2515" s="6" t="s">
        <v>141</v>
      </c>
      <c r="B2515" s="6" t="s">
        <v>90</v>
      </c>
      <c r="C2515" s="6" t="s">
        <v>213</v>
      </c>
      <c r="D2515" s="6">
        <v>6.861666666666666</v>
      </c>
      <c r="E2515" s="6" t="s">
        <v>88</v>
      </c>
      <c r="F2515" s="6" t="s">
        <v>52</v>
      </c>
      <c r="G2515" s="7">
        <v>87922.06742521108</v>
      </c>
      <c r="H2515" s="6">
        <v>603291.9193159899</v>
      </c>
      <c r="I2515" s="6" t="s">
        <v>179</v>
      </c>
      <c r="J2515" s="15">
        <v>49.5</v>
      </c>
    </row>
    <row r="2516" spans="1:10">
      <c r="A2516" s="6" t="s">
        <v>141</v>
      </c>
      <c r="B2516" s="6" t="s">
        <v>90</v>
      </c>
      <c r="C2516" s="6" t="s">
        <v>213</v>
      </c>
      <c r="D2516" s="6">
        <v>0.4740408080480286</v>
      </c>
      <c r="E2516" s="6" t="s">
        <v>90</v>
      </c>
      <c r="F2516" s="6" t="s">
        <v>52</v>
      </c>
      <c r="G2516" s="7">
        <v>87922.06742521108</v>
      </c>
      <c r="H2516" s="6">
        <v>41678.64788750031</v>
      </c>
      <c r="I2516" s="6" t="s">
        <v>179</v>
      </c>
      <c r="J2516" s="15">
        <v>49.5</v>
      </c>
    </row>
    <row r="2517" spans="1:10">
      <c r="A2517" s="6" t="s">
        <v>141</v>
      </c>
      <c r="B2517" s="6" t="s">
        <v>90</v>
      </c>
      <c r="C2517" s="6" t="s">
        <v>214</v>
      </c>
      <c r="D2517" s="6">
        <v>2.111150314540823</v>
      </c>
      <c r="E2517" s="6" t="s">
        <v>44</v>
      </c>
      <c r="F2517" s="6" t="s">
        <v>53</v>
      </c>
      <c r="G2517" s="7">
        <v>29230.07315219457</v>
      </c>
      <c r="H2517" s="6">
        <v>61709.07812930683</v>
      </c>
      <c r="I2517" s="6" t="s">
        <v>179</v>
      </c>
      <c r="J2517" s="15">
        <v>27</v>
      </c>
    </row>
    <row r="2518" spans="1:10">
      <c r="A2518" s="6" t="s">
        <v>141</v>
      </c>
      <c r="B2518" s="6" t="s">
        <v>90</v>
      </c>
      <c r="C2518" s="6" t="s">
        <v>214</v>
      </c>
      <c r="D2518" s="6">
        <v>0.2793270123715613</v>
      </c>
      <c r="E2518" s="6" t="s">
        <v>86</v>
      </c>
      <c r="F2518" s="6" t="s">
        <v>53</v>
      </c>
      <c r="G2518" s="7">
        <v>29230.07315219457</v>
      </c>
      <c r="H2518" s="6">
        <v>8164.749005004693</v>
      </c>
      <c r="I2518" s="6" t="s">
        <v>179</v>
      </c>
      <c r="J2518" s="15">
        <v>27</v>
      </c>
    </row>
    <row r="2519" spans="1:10">
      <c r="A2519" s="6" t="s">
        <v>141</v>
      </c>
      <c r="B2519" s="6" t="s">
        <v>90</v>
      </c>
      <c r="C2519" s="6" t="s">
        <v>214</v>
      </c>
      <c r="D2519" s="6">
        <v>0.349</v>
      </c>
      <c r="E2519" s="6" t="s">
        <v>88</v>
      </c>
      <c r="F2519" s="6" t="s">
        <v>53</v>
      </c>
      <c r="G2519" s="7">
        <v>29230.07315219457</v>
      </c>
      <c r="H2519" s="6">
        <v>10201.2955301159</v>
      </c>
      <c r="I2519" s="6" t="s">
        <v>179</v>
      </c>
      <c r="J2519" s="15">
        <v>27</v>
      </c>
    </row>
    <row r="2520" spans="1:10">
      <c r="A2520" s="6" t="s">
        <v>141</v>
      </c>
      <c r="B2520" s="6" t="s">
        <v>90</v>
      </c>
      <c r="C2520" s="6" t="s">
        <v>214</v>
      </c>
      <c r="D2520" s="6">
        <v>0.1873186274509804</v>
      </c>
      <c r="E2520" s="6" t="s">
        <v>90</v>
      </c>
      <c r="F2520" s="6" t="s">
        <v>53</v>
      </c>
      <c r="G2520" s="7">
        <v>29230.07315219457</v>
      </c>
      <c r="H2520" s="6">
        <v>5475.337183160838</v>
      </c>
      <c r="I2520" s="6" t="s">
        <v>179</v>
      </c>
      <c r="J2520" s="15">
        <v>27</v>
      </c>
    </row>
    <row r="2521" spans="1:10">
      <c r="A2521" s="6" t="s">
        <v>141</v>
      </c>
      <c r="B2521" s="6" t="s">
        <v>90</v>
      </c>
      <c r="C2521" s="6" t="s">
        <v>215</v>
      </c>
      <c r="D2521" s="6">
        <v>51.03715394782608</v>
      </c>
      <c r="E2521" s="6" t="s">
        <v>44</v>
      </c>
      <c r="F2521" s="6" t="s">
        <v>54</v>
      </c>
      <c r="G2521" s="7">
        <v>98451.26614065717</v>
      </c>
      <c r="H2521" s="6">
        <v>5024672.426379118</v>
      </c>
      <c r="I2521" s="6" t="s">
        <v>179</v>
      </c>
      <c r="J2521" s="15">
        <v>57.11666666666667</v>
      </c>
    </row>
    <row r="2522" spans="1:10">
      <c r="A2522" s="6" t="s">
        <v>141</v>
      </c>
      <c r="B2522" s="6" t="s">
        <v>90</v>
      </c>
      <c r="C2522" s="6" t="s">
        <v>215</v>
      </c>
      <c r="D2522" s="6">
        <v>9.189638114792109</v>
      </c>
      <c r="E2522" s="6" t="s">
        <v>86</v>
      </c>
      <c r="F2522" s="6" t="s">
        <v>54</v>
      </c>
      <c r="G2522" s="7">
        <v>98451.26614065717</v>
      </c>
      <c r="H2522" s="6">
        <v>904731.507775725</v>
      </c>
      <c r="I2522" s="6" t="s">
        <v>179</v>
      </c>
      <c r="J2522" s="15">
        <v>57.11666666666667</v>
      </c>
    </row>
    <row r="2523" spans="1:10">
      <c r="A2523" s="6" t="s">
        <v>141</v>
      </c>
      <c r="B2523" s="6" t="s">
        <v>90</v>
      </c>
      <c r="C2523" s="6" t="s">
        <v>215</v>
      </c>
      <c r="D2523" s="6">
        <v>9.211166666666665</v>
      </c>
      <c r="E2523" s="6" t="s">
        <v>88</v>
      </c>
      <c r="F2523" s="6" t="s">
        <v>54</v>
      </c>
      <c r="G2523" s="7">
        <v>98451.26614065717</v>
      </c>
      <c r="H2523" s="6">
        <v>906851.0209659499</v>
      </c>
      <c r="I2523" s="6" t="s">
        <v>179</v>
      </c>
      <c r="J2523" s="15">
        <v>57.11666666666667</v>
      </c>
    </row>
    <row r="2524" spans="1:10">
      <c r="A2524" s="6" t="s">
        <v>141</v>
      </c>
      <c r="B2524" s="6" t="s">
        <v>90</v>
      </c>
      <c r="C2524" s="6" t="s">
        <v>215</v>
      </c>
      <c r="D2524" s="6">
        <v>6.022630187733284</v>
      </c>
      <c r="E2524" s="6" t="s">
        <v>90</v>
      </c>
      <c r="F2524" s="6" t="s">
        <v>54</v>
      </c>
      <c r="G2524" s="7">
        <v>98451.26614065717</v>
      </c>
      <c r="H2524" s="6">
        <v>592935.5674792855</v>
      </c>
      <c r="I2524" s="6" t="s">
        <v>179</v>
      </c>
      <c r="J2524" s="15">
        <v>57.11666666666667</v>
      </c>
    </row>
    <row r="2525" spans="1:10">
      <c r="A2525" s="6" t="s">
        <v>141</v>
      </c>
      <c r="B2525" s="6" t="s">
        <v>90</v>
      </c>
      <c r="C2525" s="6" t="s">
        <v>216</v>
      </c>
      <c r="D2525" s="6">
        <v>8.035213977239511</v>
      </c>
      <c r="E2525" s="6" t="s">
        <v>44</v>
      </c>
      <c r="F2525" s="6" t="s">
        <v>55</v>
      </c>
      <c r="G2525" s="7">
        <v>59347.09149684771</v>
      </c>
      <c r="H2525" s="6">
        <v>476866.5791039828</v>
      </c>
      <c r="I2525" s="6" t="s">
        <v>179</v>
      </c>
      <c r="J2525" s="15">
        <v>8.461003645555749</v>
      </c>
    </row>
    <row r="2526" spans="1:10">
      <c r="A2526" s="6" t="s">
        <v>141</v>
      </c>
      <c r="B2526" s="6" t="s">
        <v>90</v>
      </c>
      <c r="C2526" s="6" t="s">
        <v>216</v>
      </c>
      <c r="D2526" s="6">
        <v>2.135773924819321</v>
      </c>
      <c r="E2526" s="6" t="s">
        <v>86</v>
      </c>
      <c r="F2526" s="6" t="s">
        <v>55</v>
      </c>
      <c r="G2526" s="7">
        <v>59347.09149684771</v>
      </c>
      <c r="H2526" s="6">
        <v>126751.9705328338</v>
      </c>
      <c r="I2526" s="6" t="s">
        <v>179</v>
      </c>
      <c r="J2526" s="15">
        <v>8.461003645555749</v>
      </c>
    </row>
    <row r="2527" spans="1:10">
      <c r="A2527" s="6" t="s">
        <v>141</v>
      </c>
      <c r="B2527" s="6" t="s">
        <v>90</v>
      </c>
      <c r="C2527" s="6" t="s">
        <v>216</v>
      </c>
      <c r="D2527" s="6">
        <v>0.9012499999999999</v>
      </c>
      <c r="E2527" s="6" t="s">
        <v>88</v>
      </c>
      <c r="F2527" s="6" t="s">
        <v>55</v>
      </c>
      <c r="G2527" s="7">
        <v>59347.09149684771</v>
      </c>
      <c r="H2527" s="6">
        <v>53486.56621153399</v>
      </c>
      <c r="I2527" s="6" t="s">
        <v>179</v>
      </c>
      <c r="J2527" s="15">
        <v>8.461003645555749</v>
      </c>
    </row>
    <row r="2528" spans="1:10">
      <c r="A2528" s="6" t="s">
        <v>141</v>
      </c>
      <c r="B2528" s="6" t="s">
        <v>90</v>
      </c>
      <c r="C2528" s="6" t="s">
        <v>216</v>
      </c>
      <c r="D2528" s="6">
        <v>1.130722867940673</v>
      </c>
      <c r="E2528" s="6" t="s">
        <v>90</v>
      </c>
      <c r="F2528" s="6" t="s">
        <v>55</v>
      </c>
      <c r="G2528" s="7">
        <v>59347.09149684771</v>
      </c>
      <c r="H2528" s="6">
        <v>67105.11350125317</v>
      </c>
      <c r="I2528" s="6" t="s">
        <v>179</v>
      </c>
      <c r="J2528" s="15">
        <v>8.461003645555749</v>
      </c>
    </row>
    <row r="2529" spans="1:10">
      <c r="A2529" s="6" t="s">
        <v>141</v>
      </c>
      <c r="B2529" s="6" t="s">
        <v>90</v>
      </c>
      <c r="C2529" s="6" t="s">
        <v>217</v>
      </c>
      <c r="D2529" s="6">
        <v>8.873385428802155</v>
      </c>
      <c r="E2529" s="6" t="s">
        <v>44</v>
      </c>
      <c r="F2529" s="6" t="s">
        <v>53</v>
      </c>
      <c r="G2529" s="7">
        <v>29595.99008532836</v>
      </c>
      <c r="H2529" s="6">
        <v>262616.6271741257</v>
      </c>
      <c r="I2529" s="6" t="s">
        <v>179</v>
      </c>
      <c r="J2529" s="15">
        <v>15</v>
      </c>
    </row>
    <row r="2530" spans="1:10">
      <c r="A2530" s="6" t="s">
        <v>141</v>
      </c>
      <c r="B2530" s="6" t="s">
        <v>90</v>
      </c>
      <c r="C2530" s="6" t="s">
        <v>217</v>
      </c>
      <c r="D2530" s="6">
        <v>1.404801546740826</v>
      </c>
      <c r="E2530" s="6" t="s">
        <v>86</v>
      </c>
      <c r="F2530" s="6" t="s">
        <v>53</v>
      </c>
      <c r="G2530" s="7">
        <v>29595.99008532836</v>
      </c>
      <c r="H2530" s="6">
        <v>41576.49264919543</v>
      </c>
      <c r="I2530" s="6" t="s">
        <v>179</v>
      </c>
      <c r="J2530" s="15">
        <v>15</v>
      </c>
    </row>
    <row r="2531" spans="1:10">
      <c r="A2531" s="6" t="s">
        <v>141</v>
      </c>
      <c r="B2531" s="6" t="s">
        <v>90</v>
      </c>
      <c r="C2531" s="6" t="s">
        <v>217</v>
      </c>
      <c r="D2531" s="6">
        <v>1.42225</v>
      </c>
      <c r="E2531" s="6" t="s">
        <v>88</v>
      </c>
      <c r="F2531" s="6" t="s">
        <v>53</v>
      </c>
      <c r="G2531" s="7">
        <v>29595.99008532836</v>
      </c>
      <c r="H2531" s="6">
        <v>42092.89689885826</v>
      </c>
      <c r="I2531" s="6" t="s">
        <v>179</v>
      </c>
      <c r="J2531" s="15">
        <v>15</v>
      </c>
    </row>
    <row r="2532" spans="1:10">
      <c r="A2532" s="6" t="s">
        <v>141</v>
      </c>
      <c r="B2532" s="6" t="s">
        <v>90</v>
      </c>
      <c r="C2532" s="6" t="s">
        <v>217</v>
      </c>
      <c r="D2532" s="6">
        <v>0.943129247451918</v>
      </c>
      <c r="E2532" s="6" t="s">
        <v>90</v>
      </c>
      <c r="F2532" s="6" t="s">
        <v>53</v>
      </c>
      <c r="G2532" s="7">
        <v>29595.99008532836</v>
      </c>
      <c r="H2532" s="6">
        <v>27912.84385677016</v>
      </c>
      <c r="I2532" s="6" t="s">
        <v>179</v>
      </c>
      <c r="J2532" s="15">
        <v>15</v>
      </c>
    </row>
    <row r="2533" spans="1:10">
      <c r="A2533" s="6" t="s">
        <v>141</v>
      </c>
      <c r="B2533" s="6" t="s">
        <v>90</v>
      </c>
      <c r="C2533" s="6" t="s">
        <v>219</v>
      </c>
      <c r="D2533" s="6">
        <v>0.5989697474504152</v>
      </c>
      <c r="E2533" s="6" t="s">
        <v>44</v>
      </c>
      <c r="F2533" s="6" t="s">
        <v>51</v>
      </c>
      <c r="G2533" s="7">
        <v>51094.03428788485</v>
      </c>
      <c r="H2533" s="6">
        <v>30603.78081363724</v>
      </c>
      <c r="I2533" s="6" t="s">
        <v>180</v>
      </c>
      <c r="J2533" s="15">
        <v>34</v>
      </c>
    </row>
    <row r="2534" spans="1:10">
      <c r="A2534" s="6" t="s">
        <v>141</v>
      </c>
      <c r="B2534" s="6" t="s">
        <v>90</v>
      </c>
      <c r="C2534" s="6" t="s">
        <v>219</v>
      </c>
      <c r="D2534" s="6">
        <v>0.4532864525962478</v>
      </c>
      <c r="E2534" s="6" t="s">
        <v>86</v>
      </c>
      <c r="F2534" s="6" t="s">
        <v>51</v>
      </c>
      <c r="G2534" s="7">
        <v>51094.03428788485</v>
      </c>
      <c r="H2534" s="6">
        <v>23160.23355118637</v>
      </c>
      <c r="I2534" s="6" t="s">
        <v>180</v>
      </c>
      <c r="J2534" s="15">
        <v>34</v>
      </c>
    </row>
    <row r="2535" spans="1:10">
      <c r="A2535" s="6" t="s">
        <v>141</v>
      </c>
      <c r="B2535" s="6" t="s">
        <v>90</v>
      </c>
      <c r="C2535" s="6" t="s">
        <v>219</v>
      </c>
      <c r="D2535" s="6">
        <v>0.02816666666666667</v>
      </c>
      <c r="E2535" s="6" t="s">
        <v>88</v>
      </c>
      <c r="F2535" s="6" t="s">
        <v>51</v>
      </c>
      <c r="G2535" s="7">
        <v>51094.03428788485</v>
      </c>
      <c r="H2535" s="6">
        <v>1439.14863244209</v>
      </c>
      <c r="I2535" s="6" t="s">
        <v>180</v>
      </c>
      <c r="J2535" s="15">
        <v>34</v>
      </c>
    </row>
    <row r="2536" spans="1:10">
      <c r="A2536" s="6" t="s">
        <v>141</v>
      </c>
      <c r="B2536" s="6" t="s">
        <v>90</v>
      </c>
      <c r="C2536" s="6" t="s">
        <v>219</v>
      </c>
      <c r="D2536" s="6">
        <v>0.1522232227825766</v>
      </c>
      <c r="E2536" s="6" t="s">
        <v>90</v>
      </c>
      <c r="F2536" s="6" t="s">
        <v>51</v>
      </c>
      <c r="G2536" s="7">
        <v>51094.03428788485</v>
      </c>
      <c r="H2536" s="6">
        <v>7777.698564265302</v>
      </c>
      <c r="I2536" s="6" t="s">
        <v>180</v>
      </c>
      <c r="J2536" s="15">
        <v>34</v>
      </c>
    </row>
    <row r="2537" spans="1:10">
      <c r="A2537" s="6" t="s">
        <v>141</v>
      </c>
      <c r="B2537" s="6" t="s">
        <v>90</v>
      </c>
      <c r="C2537" s="6" t="s">
        <v>220</v>
      </c>
      <c r="D2537" s="6">
        <v>6.414572905406435</v>
      </c>
      <c r="E2537" s="6" t="s">
        <v>44</v>
      </c>
      <c r="F2537" s="6" t="s">
        <v>57</v>
      </c>
      <c r="G2537" s="7">
        <v>53924.04503825644</v>
      </c>
      <c r="H2537" s="6">
        <v>345899.7182523161</v>
      </c>
      <c r="I2537" s="6" t="s">
        <v>179</v>
      </c>
      <c r="J2537" s="15">
        <v>7.538540506713255</v>
      </c>
    </row>
    <row r="2538" spans="1:10">
      <c r="A2538" s="6" t="s">
        <v>141</v>
      </c>
      <c r="B2538" s="6" t="s">
        <v>90</v>
      </c>
      <c r="C2538" s="6" t="s">
        <v>220</v>
      </c>
      <c r="D2538" s="6">
        <v>1.572097735586711</v>
      </c>
      <c r="E2538" s="6" t="s">
        <v>86</v>
      </c>
      <c r="F2538" s="6" t="s">
        <v>57</v>
      </c>
      <c r="G2538" s="7">
        <v>53924.04503825644</v>
      </c>
      <c r="H2538" s="6">
        <v>84773.86909831876</v>
      </c>
      <c r="I2538" s="6" t="s">
        <v>179</v>
      </c>
      <c r="J2538" s="15">
        <v>7.538540506713255</v>
      </c>
    </row>
    <row r="2539" spans="1:10">
      <c r="A2539" s="6" t="s">
        <v>141</v>
      </c>
      <c r="B2539" s="6" t="s">
        <v>90</v>
      </c>
      <c r="C2539" s="6" t="s">
        <v>220</v>
      </c>
      <c r="D2539" s="6">
        <v>0.6130833333333333</v>
      </c>
      <c r="E2539" s="6" t="s">
        <v>88</v>
      </c>
      <c r="F2539" s="6" t="s">
        <v>57</v>
      </c>
      <c r="G2539" s="7">
        <v>53924.04503825644</v>
      </c>
      <c r="H2539" s="6">
        <v>33059.93327887105</v>
      </c>
      <c r="I2539" s="6" t="s">
        <v>179</v>
      </c>
      <c r="J2539" s="15">
        <v>7.538540506713255</v>
      </c>
    </row>
    <row r="2540" spans="1:10">
      <c r="A2540" s="6" t="s">
        <v>141</v>
      </c>
      <c r="B2540" s="6" t="s">
        <v>90</v>
      </c>
      <c r="C2540" s="6" t="s">
        <v>220</v>
      </c>
      <c r="D2540" s="6">
        <v>0.4412389339473503</v>
      </c>
      <c r="E2540" s="6" t="s">
        <v>90</v>
      </c>
      <c r="F2540" s="6" t="s">
        <v>57</v>
      </c>
      <c r="G2540" s="7">
        <v>53924.04503825644</v>
      </c>
      <c r="H2540" s="6">
        <v>23793.38814680917</v>
      </c>
      <c r="I2540" s="6" t="s">
        <v>179</v>
      </c>
      <c r="J2540" s="15">
        <v>7.538540506713255</v>
      </c>
    </row>
    <row r="2541" spans="1:10">
      <c r="A2541" s="6" t="s">
        <v>141</v>
      </c>
      <c r="B2541" s="6" t="s">
        <v>90</v>
      </c>
      <c r="C2541" s="6" t="s">
        <v>221</v>
      </c>
      <c r="D2541" s="6">
        <v>0.05800645589127116</v>
      </c>
      <c r="E2541" s="6" t="s">
        <v>44</v>
      </c>
      <c r="F2541" s="6" t="s">
        <v>51</v>
      </c>
      <c r="G2541" s="7">
        <v>48425.8383555996</v>
      </c>
      <c r="H2541" s="6">
        <v>2809.011256571915</v>
      </c>
      <c r="I2541" s="6" t="s">
        <v>180</v>
      </c>
      <c r="J2541" s="15">
        <v>8.756345575524822</v>
      </c>
    </row>
    <row r="2542" spans="1:10">
      <c r="A2542" s="6" t="s">
        <v>141</v>
      </c>
      <c r="B2542" s="6" t="s">
        <v>90</v>
      </c>
      <c r="C2542" s="6" t="s">
        <v>221</v>
      </c>
      <c r="D2542" s="6">
        <v>0.1255909162203709</v>
      </c>
      <c r="E2542" s="6" t="s">
        <v>86</v>
      </c>
      <c r="F2542" s="6" t="s">
        <v>51</v>
      </c>
      <c r="G2542" s="7">
        <v>48425.8383555996</v>
      </c>
      <c r="H2542" s="6">
        <v>6081.845407819331</v>
      </c>
      <c r="I2542" s="6" t="s">
        <v>180</v>
      </c>
      <c r="J2542" s="15">
        <v>8.756345575524822</v>
      </c>
    </row>
    <row r="2543" spans="1:10">
      <c r="A2543" s="6" t="s">
        <v>141</v>
      </c>
      <c r="B2543" s="6" t="s">
        <v>90</v>
      </c>
      <c r="C2543" s="6" t="s">
        <v>221</v>
      </c>
      <c r="D2543" s="6">
        <v>0.006166666666666668</v>
      </c>
      <c r="E2543" s="6" t="s">
        <v>88</v>
      </c>
      <c r="F2543" s="6" t="s">
        <v>51</v>
      </c>
      <c r="G2543" s="7">
        <v>48425.8383555996</v>
      </c>
      <c r="H2543" s="6">
        <v>298.6260031928642</v>
      </c>
      <c r="I2543" s="6" t="s">
        <v>180</v>
      </c>
      <c r="J2543" s="15">
        <v>8.756345575524822</v>
      </c>
    </row>
    <row r="2544" spans="1:10">
      <c r="A2544" s="6" t="s">
        <v>141</v>
      </c>
      <c r="B2544" s="6" t="s">
        <v>90</v>
      </c>
      <c r="C2544" s="6" t="s">
        <v>221</v>
      </c>
      <c r="D2544" s="6">
        <v>0.03516526704248271</v>
      </c>
      <c r="E2544" s="6" t="s">
        <v>90</v>
      </c>
      <c r="F2544" s="6" t="s">
        <v>51</v>
      </c>
      <c r="G2544" s="7">
        <v>48425.8383555996</v>
      </c>
      <c r="H2544" s="6">
        <v>1702.907537530762</v>
      </c>
      <c r="I2544" s="6" t="s">
        <v>180</v>
      </c>
      <c r="J2544" s="15">
        <v>8.756345575524822</v>
      </c>
    </row>
    <row r="2545" spans="1:10">
      <c r="A2545" s="6" t="s">
        <v>141</v>
      </c>
      <c r="B2545" s="6" t="s">
        <v>90</v>
      </c>
      <c r="C2545" s="6" t="s">
        <v>222</v>
      </c>
      <c r="D2545" s="6">
        <v>2.71585129969419</v>
      </c>
      <c r="E2545" s="6" t="s">
        <v>44</v>
      </c>
      <c r="F2545" s="6" t="s">
        <v>57</v>
      </c>
      <c r="G2545" s="7">
        <v>48262.84075043558</v>
      </c>
      <c r="H2545" s="6">
        <v>131074.6987790042</v>
      </c>
      <c r="I2545" s="6" t="s">
        <v>180</v>
      </c>
      <c r="J2545" s="15">
        <v>8.704117370681843</v>
      </c>
    </row>
    <row r="2546" spans="1:10">
      <c r="A2546" s="6" t="s">
        <v>141</v>
      </c>
      <c r="B2546" s="6" t="s">
        <v>90</v>
      </c>
      <c r="C2546" s="6" t="s">
        <v>222</v>
      </c>
      <c r="D2546" s="6">
        <v>0.4963013081889228</v>
      </c>
      <c r="E2546" s="6" t="s">
        <v>86</v>
      </c>
      <c r="F2546" s="6" t="s">
        <v>57</v>
      </c>
      <c r="G2546" s="7">
        <v>48262.84075043558</v>
      </c>
      <c r="H2546" s="6">
        <v>23952.91100135483</v>
      </c>
      <c r="I2546" s="6" t="s">
        <v>180</v>
      </c>
      <c r="J2546" s="15">
        <v>8.704117370681843</v>
      </c>
    </row>
    <row r="2547" spans="1:10">
      <c r="A2547" s="6" t="s">
        <v>141</v>
      </c>
      <c r="B2547" s="6" t="s">
        <v>90</v>
      </c>
      <c r="C2547" s="6" t="s">
        <v>222</v>
      </c>
      <c r="D2547" s="6">
        <v>0.31025</v>
      </c>
      <c r="E2547" s="6" t="s">
        <v>88</v>
      </c>
      <c r="F2547" s="6" t="s">
        <v>57</v>
      </c>
      <c r="G2547" s="7">
        <v>48262.84075043558</v>
      </c>
      <c r="H2547" s="6">
        <v>14973.54634282264</v>
      </c>
      <c r="I2547" s="6" t="s">
        <v>180</v>
      </c>
      <c r="J2547" s="15">
        <v>8.704117370681843</v>
      </c>
    </row>
    <row r="2548" spans="1:10">
      <c r="A2548" s="6" t="s">
        <v>141</v>
      </c>
      <c r="B2548" s="6" t="s">
        <v>90</v>
      </c>
      <c r="C2548" s="6" t="s">
        <v>222</v>
      </c>
      <c r="D2548" s="6">
        <v>0.1701666666666667</v>
      </c>
      <c r="E2548" s="6" t="s">
        <v>90</v>
      </c>
      <c r="F2548" s="6" t="s">
        <v>57</v>
      </c>
      <c r="G2548" s="7">
        <v>48262.84075043558</v>
      </c>
      <c r="H2548" s="6">
        <v>8212.726734365788</v>
      </c>
      <c r="I2548" s="6" t="s">
        <v>180</v>
      </c>
      <c r="J2548" s="15">
        <v>8.704117370681843</v>
      </c>
    </row>
    <row r="2549" spans="1:10">
      <c r="A2549" s="6" t="s">
        <v>141</v>
      </c>
      <c r="B2549" s="6" t="s">
        <v>90</v>
      </c>
      <c r="C2549" s="6" t="s">
        <v>342</v>
      </c>
      <c r="D2549" s="6">
        <v>9.752071391953956</v>
      </c>
      <c r="E2549" s="6" t="s">
        <v>44</v>
      </c>
      <c r="F2549" s="6" t="s">
        <v>53</v>
      </c>
      <c r="G2549" s="7">
        <v>31674.534542392</v>
      </c>
      <c r="H2549" s="6">
        <v>308892.3221643185</v>
      </c>
      <c r="I2549" s="6" t="s">
        <v>179</v>
      </c>
      <c r="J2549" s="15">
        <v>16</v>
      </c>
    </row>
    <row r="2550" spans="1:10">
      <c r="A2550" s="6" t="s">
        <v>141</v>
      </c>
      <c r="B2550" s="6" t="s">
        <v>90</v>
      </c>
      <c r="C2550" s="6" t="s">
        <v>342</v>
      </c>
      <c r="D2550" s="6">
        <v>0.5291256679073384</v>
      </c>
      <c r="E2550" s="6" t="s">
        <v>86</v>
      </c>
      <c r="F2550" s="6" t="s">
        <v>53</v>
      </c>
      <c r="G2550" s="7">
        <v>31674.534542392</v>
      </c>
      <c r="H2550" s="6">
        <v>16759.80924539723</v>
      </c>
      <c r="I2550" s="6" t="s">
        <v>179</v>
      </c>
      <c r="J2550" s="15">
        <v>16</v>
      </c>
    </row>
    <row r="2551" spans="1:10">
      <c r="A2551" s="6" t="s">
        <v>141</v>
      </c>
      <c r="B2551" s="6" t="s">
        <v>90</v>
      </c>
      <c r="C2551" s="6" t="s">
        <v>342</v>
      </c>
      <c r="D2551" s="6">
        <v>0.2765833333333334</v>
      </c>
      <c r="E2551" s="6" t="s">
        <v>88</v>
      </c>
      <c r="F2551" s="6" t="s">
        <v>53</v>
      </c>
      <c r="G2551" s="7">
        <v>31674.534542392</v>
      </c>
      <c r="H2551" s="6">
        <v>8760.648345516591</v>
      </c>
      <c r="I2551" s="6" t="s">
        <v>179</v>
      </c>
      <c r="J2551" s="15">
        <v>16</v>
      </c>
    </row>
    <row r="2552" spans="1:10">
      <c r="A2552" s="6" t="s">
        <v>141</v>
      </c>
      <c r="B2552" s="6" t="s">
        <v>90</v>
      </c>
      <c r="C2552" s="6" t="s">
        <v>342</v>
      </c>
      <c r="D2552" s="6">
        <v>0.190182671307422</v>
      </c>
      <c r="E2552" s="6" t="s">
        <v>90</v>
      </c>
      <c r="F2552" s="6" t="s">
        <v>53</v>
      </c>
      <c r="G2552" s="7">
        <v>31674.534542392</v>
      </c>
      <c r="H2552" s="6">
        <v>6023.947591691323</v>
      </c>
      <c r="I2552" s="6" t="s">
        <v>179</v>
      </c>
      <c r="J2552" s="15">
        <v>16</v>
      </c>
    </row>
    <row r="2553" spans="1:10">
      <c r="A2553" s="6" t="s">
        <v>141</v>
      </c>
      <c r="B2553" s="6" t="s">
        <v>90</v>
      </c>
      <c r="C2553" s="6" t="s">
        <v>342</v>
      </c>
      <c r="D2553" s="6">
        <v>0.003166666666666667</v>
      </c>
      <c r="E2553" s="6" t="s">
        <v>92</v>
      </c>
      <c r="F2553" s="6" t="s">
        <v>53</v>
      </c>
      <c r="G2553" s="7">
        <v>31674.534542392</v>
      </c>
      <c r="H2553" s="6">
        <v>100.3026927175747</v>
      </c>
      <c r="I2553" s="6" t="s">
        <v>179</v>
      </c>
      <c r="J2553" s="15">
        <v>16</v>
      </c>
    </row>
    <row r="2554" spans="1:10">
      <c r="A2554" s="6" t="s">
        <v>141</v>
      </c>
      <c r="B2554" s="6" t="s">
        <v>90</v>
      </c>
      <c r="C2554" s="6" t="s">
        <v>223</v>
      </c>
      <c r="D2554" s="6">
        <v>6.166911909383754</v>
      </c>
      <c r="E2554" s="6" t="s">
        <v>44</v>
      </c>
      <c r="F2554" s="6" t="s">
        <v>53</v>
      </c>
      <c r="G2554" s="7">
        <v>25083.95562381905</v>
      </c>
      <c r="H2554" s="6">
        <v>154690.5446709833</v>
      </c>
      <c r="I2554" s="6" t="s">
        <v>179</v>
      </c>
      <c r="J2554" s="15">
        <v>13.5</v>
      </c>
    </row>
    <row r="2555" spans="1:10">
      <c r="A2555" s="6" t="s">
        <v>141</v>
      </c>
      <c r="B2555" s="6" t="s">
        <v>90</v>
      </c>
      <c r="C2555" s="6" t="s">
        <v>223</v>
      </c>
      <c r="D2555" s="6">
        <v>0.4691436662825866</v>
      </c>
      <c r="E2555" s="6" t="s">
        <v>86</v>
      </c>
      <c r="F2555" s="6" t="s">
        <v>53</v>
      </c>
      <c r="G2555" s="7">
        <v>25083.95562381905</v>
      </c>
      <c r="H2555" s="6">
        <v>11767.97890622818</v>
      </c>
      <c r="I2555" s="6" t="s">
        <v>179</v>
      </c>
      <c r="J2555" s="15">
        <v>13.5</v>
      </c>
    </row>
    <row r="2556" spans="1:10">
      <c r="A2556" s="6" t="s">
        <v>141</v>
      </c>
      <c r="B2556" s="6" t="s">
        <v>90</v>
      </c>
      <c r="C2556" s="6" t="s">
        <v>223</v>
      </c>
      <c r="D2556" s="6">
        <v>0.05024999999999999</v>
      </c>
      <c r="E2556" s="6" t="s">
        <v>88</v>
      </c>
      <c r="F2556" s="6" t="s">
        <v>53</v>
      </c>
      <c r="G2556" s="7">
        <v>25083.95562381905</v>
      </c>
      <c r="H2556" s="6">
        <v>1260.468770096907</v>
      </c>
      <c r="I2556" s="6" t="s">
        <v>179</v>
      </c>
      <c r="J2556" s="15">
        <v>13.5</v>
      </c>
    </row>
    <row r="2557" spans="1:10">
      <c r="A2557" s="6" t="s">
        <v>141</v>
      </c>
      <c r="B2557" s="6" t="s">
        <v>90</v>
      </c>
      <c r="C2557" s="6" t="s">
        <v>223</v>
      </c>
      <c r="D2557" s="6">
        <v>0.9806711436478148</v>
      </c>
      <c r="E2557" s="6" t="s">
        <v>90</v>
      </c>
      <c r="F2557" s="6" t="s">
        <v>53</v>
      </c>
      <c r="G2557" s="7">
        <v>25083.95562381905</v>
      </c>
      <c r="H2557" s="6">
        <v>24599.11144882166</v>
      </c>
      <c r="I2557" s="6" t="s">
        <v>179</v>
      </c>
      <c r="J2557" s="15">
        <v>13.5</v>
      </c>
    </row>
    <row r="2558" spans="1:10">
      <c r="A2558" s="6" t="s">
        <v>141</v>
      </c>
      <c r="B2558" s="6" t="s">
        <v>90</v>
      </c>
      <c r="C2558" s="6" t="s">
        <v>224</v>
      </c>
      <c r="D2558" s="6">
        <v>2.081263723710283</v>
      </c>
      <c r="E2558" s="6" t="s">
        <v>44</v>
      </c>
      <c r="F2558" s="6" t="s">
        <v>51</v>
      </c>
      <c r="G2558" s="7">
        <v>42799.40931898241</v>
      </c>
      <c r="H2558" s="6">
        <v>89076.85801182591</v>
      </c>
      <c r="I2558" s="6" t="s">
        <v>179</v>
      </c>
      <c r="J2558" s="15">
        <v>35.01666666666667</v>
      </c>
    </row>
    <row r="2559" spans="1:10">
      <c r="A2559" s="6" t="s">
        <v>141</v>
      </c>
      <c r="B2559" s="6" t="s">
        <v>90</v>
      </c>
      <c r="C2559" s="6" t="s">
        <v>224</v>
      </c>
      <c r="D2559" s="6">
        <v>0.7354904624778872</v>
      </c>
      <c r="E2559" s="6" t="s">
        <v>86</v>
      </c>
      <c r="F2559" s="6" t="s">
        <v>51</v>
      </c>
      <c r="G2559" s="7">
        <v>42799.40931898241</v>
      </c>
      <c r="H2559" s="6">
        <v>31478.55735379877</v>
      </c>
      <c r="I2559" s="6" t="s">
        <v>179</v>
      </c>
      <c r="J2559" s="15">
        <v>35.01666666666667</v>
      </c>
    </row>
    <row r="2560" spans="1:10">
      <c r="A2560" s="6" t="s">
        <v>141</v>
      </c>
      <c r="B2560" s="6" t="s">
        <v>90</v>
      </c>
      <c r="C2560" s="6" t="s">
        <v>224</v>
      </c>
      <c r="D2560" s="6">
        <v>0.725</v>
      </c>
      <c r="E2560" s="6" t="s">
        <v>88</v>
      </c>
      <c r="F2560" s="6" t="s">
        <v>51</v>
      </c>
      <c r="G2560" s="7">
        <v>42799.40931898241</v>
      </c>
      <c r="H2560" s="6">
        <v>31029.57175626225</v>
      </c>
      <c r="I2560" s="6" t="s">
        <v>179</v>
      </c>
      <c r="J2560" s="15">
        <v>35.01666666666667</v>
      </c>
    </row>
    <row r="2561" spans="1:10">
      <c r="A2561" s="6" t="s">
        <v>141</v>
      </c>
      <c r="B2561" s="6" t="s">
        <v>90</v>
      </c>
      <c r="C2561" s="6" t="s">
        <v>224</v>
      </c>
      <c r="D2561" s="6">
        <v>19.68168205734636</v>
      </c>
      <c r="E2561" s="6" t="s">
        <v>90</v>
      </c>
      <c r="F2561" s="6" t="s">
        <v>51</v>
      </c>
      <c r="G2561" s="7">
        <v>42799.40931898241</v>
      </c>
      <c r="H2561" s="6">
        <v>842364.3664584388</v>
      </c>
      <c r="I2561" s="6" t="s">
        <v>179</v>
      </c>
      <c r="J2561" s="15">
        <v>35.01666666666667</v>
      </c>
    </row>
    <row r="2562" spans="1:10">
      <c r="A2562" s="6" t="s">
        <v>141</v>
      </c>
      <c r="B2562" s="6" t="s">
        <v>90</v>
      </c>
      <c r="C2562" s="6" t="s">
        <v>225</v>
      </c>
      <c r="D2562" s="6">
        <v>0.05775</v>
      </c>
      <c r="E2562" s="6" t="s">
        <v>44</v>
      </c>
      <c r="F2562" s="6" t="s">
        <v>54</v>
      </c>
      <c r="G2562" s="7">
        <v>60801.11682439398</v>
      </c>
      <c r="H2562" s="6">
        <v>3511.264496608753</v>
      </c>
      <c r="I2562" s="6" t="s">
        <v>180</v>
      </c>
      <c r="J2562" s="15">
        <v>12.72167119001276</v>
      </c>
    </row>
    <row r="2563" spans="1:10">
      <c r="A2563" s="6" t="s">
        <v>141</v>
      </c>
      <c r="B2563" s="6" t="s">
        <v>90</v>
      </c>
      <c r="C2563" s="6" t="s">
        <v>225</v>
      </c>
      <c r="D2563" s="6">
        <v>0.007666666666666667</v>
      </c>
      <c r="E2563" s="6" t="s">
        <v>86</v>
      </c>
      <c r="F2563" s="6" t="s">
        <v>54</v>
      </c>
      <c r="G2563" s="7">
        <v>60801.11682439398</v>
      </c>
      <c r="H2563" s="6">
        <v>466.1418956536872</v>
      </c>
      <c r="I2563" s="6" t="s">
        <v>180</v>
      </c>
      <c r="J2563" s="15">
        <v>12.72167119001276</v>
      </c>
    </row>
    <row r="2564" spans="1:10">
      <c r="A2564" s="6" t="s">
        <v>141</v>
      </c>
      <c r="B2564" s="6" t="s">
        <v>90</v>
      </c>
      <c r="C2564" s="6" t="s">
        <v>225</v>
      </c>
      <c r="D2564" s="6">
        <v>0.004666666666666667</v>
      </c>
      <c r="E2564" s="6" t="s">
        <v>88</v>
      </c>
      <c r="F2564" s="6" t="s">
        <v>54</v>
      </c>
      <c r="G2564" s="7">
        <v>60801.11682439398</v>
      </c>
      <c r="H2564" s="6">
        <v>283.7385451805053</v>
      </c>
      <c r="I2564" s="6" t="s">
        <v>180</v>
      </c>
      <c r="J2564" s="15">
        <v>12.72167119001276</v>
      </c>
    </row>
    <row r="2565" spans="1:10">
      <c r="A2565" s="6" t="s">
        <v>141</v>
      </c>
      <c r="B2565" s="6" t="s">
        <v>90</v>
      </c>
      <c r="C2565" s="6" t="s">
        <v>225</v>
      </c>
      <c r="D2565" s="6">
        <v>0.0025</v>
      </c>
      <c r="E2565" s="6" t="s">
        <v>90</v>
      </c>
      <c r="F2565" s="6" t="s">
        <v>54</v>
      </c>
      <c r="G2565" s="7">
        <v>60801.11682439398</v>
      </c>
      <c r="H2565" s="6">
        <v>152.002792060985</v>
      </c>
      <c r="I2565" s="6" t="s">
        <v>180</v>
      </c>
      <c r="J2565" s="15">
        <v>12.72167119001276</v>
      </c>
    </row>
    <row r="2566" spans="1:10">
      <c r="A2566" s="6" t="s">
        <v>141</v>
      </c>
      <c r="B2566" s="6" t="s">
        <v>90</v>
      </c>
      <c r="C2566" s="6" t="s">
        <v>227</v>
      </c>
      <c r="D2566" s="6">
        <v>12.47985425589599</v>
      </c>
      <c r="E2566" s="6" t="s">
        <v>44</v>
      </c>
      <c r="F2566" s="6" t="s">
        <v>57</v>
      </c>
      <c r="G2566" s="7">
        <v>55105.68966338142</v>
      </c>
      <c r="H2566" s="6">
        <v>687710.9756696343</v>
      </c>
      <c r="I2566" s="6" t="s">
        <v>179</v>
      </c>
      <c r="J2566" s="15">
        <v>105.6833333333333</v>
      </c>
    </row>
    <row r="2567" spans="1:10">
      <c r="A2567" s="6" t="s">
        <v>141</v>
      </c>
      <c r="B2567" s="6" t="s">
        <v>90</v>
      </c>
      <c r="C2567" s="6" t="s">
        <v>227</v>
      </c>
      <c r="D2567" s="6">
        <v>1.485175978380183</v>
      </c>
      <c r="E2567" s="6" t="s">
        <v>86</v>
      </c>
      <c r="F2567" s="6" t="s">
        <v>57</v>
      </c>
      <c r="G2567" s="7">
        <v>55105.68966338142</v>
      </c>
      <c r="H2567" s="6">
        <v>81841.64656012722</v>
      </c>
      <c r="I2567" s="6" t="s">
        <v>179</v>
      </c>
      <c r="J2567" s="15">
        <v>105.6833333333333</v>
      </c>
    </row>
    <row r="2568" spans="1:10">
      <c r="A2568" s="6" t="s">
        <v>141</v>
      </c>
      <c r="B2568" s="6" t="s">
        <v>90</v>
      </c>
      <c r="C2568" s="6" t="s">
        <v>227</v>
      </c>
      <c r="D2568" s="6">
        <v>1.402916666666667</v>
      </c>
      <c r="E2568" s="6" t="s">
        <v>88</v>
      </c>
      <c r="F2568" s="6" t="s">
        <v>57</v>
      </c>
      <c r="G2568" s="7">
        <v>55105.68966338142</v>
      </c>
      <c r="H2568" s="6">
        <v>77308.69045691888</v>
      </c>
      <c r="I2568" s="6" t="s">
        <v>179</v>
      </c>
      <c r="J2568" s="15">
        <v>105.6833333333333</v>
      </c>
    </row>
    <row r="2569" spans="1:10">
      <c r="A2569" s="6" t="s">
        <v>141</v>
      </c>
      <c r="B2569" s="6" t="s">
        <v>90</v>
      </c>
      <c r="C2569" s="6" t="s">
        <v>227</v>
      </c>
      <c r="D2569" s="6">
        <v>0.7975603233876472</v>
      </c>
      <c r="E2569" s="6" t="s">
        <v>90</v>
      </c>
      <c r="F2569" s="6" t="s">
        <v>57</v>
      </c>
      <c r="G2569" s="7">
        <v>55105.68966338142</v>
      </c>
      <c r="H2569" s="6">
        <v>43950.11166842582</v>
      </c>
      <c r="I2569" s="6" t="s">
        <v>179</v>
      </c>
      <c r="J2569" s="15">
        <v>105.6833333333333</v>
      </c>
    </row>
    <row r="2570" spans="1:10">
      <c r="A2570" s="6" t="s">
        <v>141</v>
      </c>
      <c r="B2570" s="6" t="s">
        <v>90</v>
      </c>
      <c r="C2570" s="6" t="s">
        <v>227</v>
      </c>
      <c r="D2570" s="6">
        <v>0.003333333333333334</v>
      </c>
      <c r="E2570" s="6" t="s">
        <v>92</v>
      </c>
      <c r="F2570" s="6" t="s">
        <v>57</v>
      </c>
      <c r="G2570" s="7">
        <v>55105.68966338142</v>
      </c>
      <c r="H2570" s="6">
        <v>183.6856322112714</v>
      </c>
      <c r="I2570" s="6" t="s">
        <v>179</v>
      </c>
      <c r="J2570" s="15">
        <v>105.6833333333333</v>
      </c>
    </row>
    <row r="2571" spans="1:10">
      <c r="A2571" s="6" t="s">
        <v>141</v>
      </c>
      <c r="B2571" s="6" t="s">
        <v>90</v>
      </c>
      <c r="C2571" s="6" t="s">
        <v>228</v>
      </c>
      <c r="D2571" s="6">
        <v>0.04633658757729006</v>
      </c>
      <c r="E2571" s="6" t="s">
        <v>44</v>
      </c>
      <c r="F2571" s="6" t="s">
        <v>51</v>
      </c>
      <c r="G2571" s="7">
        <v>55221.41986499156</v>
      </c>
      <c r="H2571" s="6">
        <v>2558.772157716487</v>
      </c>
      <c r="I2571" s="6" t="s">
        <v>180</v>
      </c>
      <c r="J2571" s="15">
        <v>10.933807156893</v>
      </c>
    </row>
    <row r="2572" spans="1:10">
      <c r="A2572" s="6" t="s">
        <v>141</v>
      </c>
      <c r="B2572" s="6" t="s">
        <v>90</v>
      </c>
      <c r="C2572" s="6" t="s">
        <v>228</v>
      </c>
      <c r="D2572" s="6">
        <v>0.04242018871842711</v>
      </c>
      <c r="E2572" s="6" t="s">
        <v>86</v>
      </c>
      <c r="F2572" s="6" t="s">
        <v>51</v>
      </c>
      <c r="G2572" s="7">
        <v>55221.41986499156</v>
      </c>
      <c r="H2572" s="6">
        <v>2342.503051972442</v>
      </c>
      <c r="I2572" s="6" t="s">
        <v>180</v>
      </c>
      <c r="J2572" s="15">
        <v>10.933807156893</v>
      </c>
    </row>
    <row r="2573" spans="1:10">
      <c r="A2573" s="6" t="s">
        <v>141</v>
      </c>
      <c r="B2573" s="6" t="s">
        <v>90</v>
      </c>
      <c r="C2573" s="6" t="s">
        <v>228</v>
      </c>
      <c r="D2573" s="6">
        <v>0.002833333333333334</v>
      </c>
      <c r="E2573" s="6" t="s">
        <v>88</v>
      </c>
      <c r="F2573" s="6" t="s">
        <v>51</v>
      </c>
      <c r="G2573" s="7">
        <v>55221.41986499156</v>
      </c>
      <c r="H2573" s="6">
        <v>156.4606896174761</v>
      </c>
      <c r="I2573" s="6" t="s">
        <v>180</v>
      </c>
      <c r="J2573" s="15">
        <v>10.933807156893</v>
      </c>
    </row>
    <row r="2574" spans="1:10">
      <c r="A2574" s="6" t="s">
        <v>141</v>
      </c>
      <c r="B2574" s="6" t="s">
        <v>90</v>
      </c>
      <c r="C2574" s="6" t="s">
        <v>228</v>
      </c>
      <c r="D2574" s="6">
        <v>0.01918282691192046</v>
      </c>
      <c r="E2574" s="6" t="s">
        <v>90</v>
      </c>
      <c r="F2574" s="6" t="s">
        <v>51</v>
      </c>
      <c r="G2574" s="7">
        <v>55221.41986499156</v>
      </c>
      <c r="H2574" s="6">
        <v>1059.302939100619</v>
      </c>
      <c r="I2574" s="6" t="s">
        <v>180</v>
      </c>
      <c r="J2574" s="15">
        <v>10.933807156893</v>
      </c>
    </row>
    <row r="2575" spans="1:10">
      <c r="A2575" s="6" t="s">
        <v>141</v>
      </c>
      <c r="B2575" s="6" t="s">
        <v>90</v>
      </c>
      <c r="C2575" s="6" t="s">
        <v>230</v>
      </c>
      <c r="D2575" s="6">
        <v>137.7581598617486</v>
      </c>
      <c r="E2575" s="6" t="s">
        <v>44</v>
      </c>
      <c r="F2575" s="6" t="s">
        <v>53</v>
      </c>
      <c r="G2575" s="7">
        <v>26357.64880300622</v>
      </c>
      <c r="H2575" s="6">
        <v>3630981.197384358</v>
      </c>
      <c r="I2575" s="6" t="s">
        <v>179</v>
      </c>
      <c r="J2575" s="15">
        <v>20</v>
      </c>
    </row>
    <row r="2576" spans="1:10">
      <c r="A2576" s="6" t="s">
        <v>141</v>
      </c>
      <c r="B2576" s="6" t="s">
        <v>90</v>
      </c>
      <c r="C2576" s="6" t="s">
        <v>230</v>
      </c>
      <c r="D2576" s="6">
        <v>19.44770373024171</v>
      </c>
      <c r="E2576" s="6" t="s">
        <v>86</v>
      </c>
      <c r="F2576" s="6" t="s">
        <v>53</v>
      </c>
      <c r="G2576" s="7">
        <v>26357.64880300622</v>
      </c>
      <c r="H2576" s="6">
        <v>512595.7449466249</v>
      </c>
      <c r="I2576" s="6" t="s">
        <v>179</v>
      </c>
      <c r="J2576" s="15">
        <v>20</v>
      </c>
    </row>
    <row r="2577" spans="1:10">
      <c r="A2577" s="6" t="s">
        <v>141</v>
      </c>
      <c r="B2577" s="6" t="s">
        <v>90</v>
      </c>
      <c r="C2577" s="6" t="s">
        <v>230</v>
      </c>
      <c r="D2577" s="6">
        <v>14.99266666666667</v>
      </c>
      <c r="E2577" s="6" t="s">
        <v>88</v>
      </c>
      <c r="F2577" s="6" t="s">
        <v>53</v>
      </c>
      <c r="G2577" s="7">
        <v>26357.64880300622</v>
      </c>
      <c r="H2577" s="6">
        <v>395171.4426205379</v>
      </c>
      <c r="I2577" s="6" t="s">
        <v>179</v>
      </c>
      <c r="J2577" s="15">
        <v>20</v>
      </c>
    </row>
    <row r="2578" spans="1:10">
      <c r="A2578" s="6" t="s">
        <v>141</v>
      </c>
      <c r="B2578" s="6" t="s">
        <v>90</v>
      </c>
      <c r="C2578" s="6" t="s">
        <v>230</v>
      </c>
      <c r="D2578" s="6">
        <v>11.07896757504014</v>
      </c>
      <c r="E2578" s="6" t="s">
        <v>90</v>
      </c>
      <c r="F2578" s="6" t="s">
        <v>53</v>
      </c>
      <c r="G2578" s="7">
        <v>26357.64880300622</v>
      </c>
      <c r="H2578" s="6">
        <v>292015.5364428014</v>
      </c>
      <c r="I2578" s="6" t="s">
        <v>179</v>
      </c>
      <c r="J2578" s="15">
        <v>20</v>
      </c>
    </row>
    <row r="2579" spans="1:10">
      <c r="A2579" s="6" t="s">
        <v>141</v>
      </c>
      <c r="B2579" s="6" t="s">
        <v>90</v>
      </c>
      <c r="C2579" s="6" t="s">
        <v>231</v>
      </c>
      <c r="D2579" s="6">
        <v>3.000209860714086</v>
      </c>
      <c r="E2579" s="6" t="s">
        <v>44</v>
      </c>
      <c r="F2579" s="6" t="s">
        <v>52</v>
      </c>
      <c r="G2579" s="7">
        <v>82232.89172108902</v>
      </c>
      <c r="H2579" s="6">
        <v>246715.932616645</v>
      </c>
      <c r="I2579" s="6" t="s">
        <v>179</v>
      </c>
      <c r="J2579" s="15">
        <v>52</v>
      </c>
    </row>
    <row r="2580" spans="1:10">
      <c r="A2580" s="6" t="s">
        <v>141</v>
      </c>
      <c r="B2580" s="6" t="s">
        <v>90</v>
      </c>
      <c r="C2580" s="6" t="s">
        <v>231</v>
      </c>
      <c r="D2580" s="6">
        <v>11.7567710261406</v>
      </c>
      <c r="E2580" s="6" t="s">
        <v>86</v>
      </c>
      <c r="F2580" s="6" t="s">
        <v>52</v>
      </c>
      <c r="G2580" s="7">
        <v>82232.89172108902</v>
      </c>
      <c r="H2580" s="6">
        <v>966793.278782257</v>
      </c>
      <c r="I2580" s="6" t="s">
        <v>179</v>
      </c>
      <c r="J2580" s="15">
        <v>52</v>
      </c>
    </row>
    <row r="2581" spans="1:10">
      <c r="A2581" s="6" t="s">
        <v>141</v>
      </c>
      <c r="B2581" s="6" t="s">
        <v>90</v>
      </c>
      <c r="C2581" s="6" t="s">
        <v>231</v>
      </c>
      <c r="D2581" s="6">
        <v>0.723</v>
      </c>
      <c r="E2581" s="6" t="s">
        <v>88</v>
      </c>
      <c r="F2581" s="6" t="s">
        <v>52</v>
      </c>
      <c r="G2581" s="7">
        <v>82232.89172108902</v>
      </c>
      <c r="H2581" s="6">
        <v>59454.38071434736</v>
      </c>
      <c r="I2581" s="6" t="s">
        <v>179</v>
      </c>
      <c r="J2581" s="15">
        <v>52</v>
      </c>
    </row>
    <row r="2582" spans="1:10">
      <c r="A2582" s="6" t="s">
        <v>141</v>
      </c>
      <c r="B2582" s="6" t="s">
        <v>90</v>
      </c>
      <c r="C2582" s="6" t="s">
        <v>231</v>
      </c>
      <c r="D2582" s="6">
        <v>0.05916666666666668</v>
      </c>
      <c r="E2582" s="6" t="s">
        <v>90</v>
      </c>
      <c r="F2582" s="6" t="s">
        <v>52</v>
      </c>
      <c r="G2582" s="7">
        <v>82232.89172108902</v>
      </c>
      <c r="H2582" s="6">
        <v>4865.446093497768</v>
      </c>
      <c r="I2582" s="6" t="s">
        <v>179</v>
      </c>
      <c r="J2582" s="15">
        <v>52</v>
      </c>
    </row>
    <row r="2583" spans="1:10">
      <c r="A2583" s="6" t="s">
        <v>141</v>
      </c>
      <c r="B2583" s="6" t="s">
        <v>90</v>
      </c>
      <c r="C2583" s="6" t="s">
        <v>346</v>
      </c>
      <c r="D2583" s="6">
        <v>2.209919006377309</v>
      </c>
      <c r="E2583" s="6" t="s">
        <v>44</v>
      </c>
      <c r="F2583" s="6" t="s">
        <v>52</v>
      </c>
      <c r="G2583" s="7">
        <v>91163.5527628312</v>
      </c>
      <c r="H2583" s="6">
        <v>201464.0679394613</v>
      </c>
      <c r="I2583" s="6" t="s">
        <v>179</v>
      </c>
      <c r="J2583" s="15">
        <v>48.5</v>
      </c>
    </row>
    <row r="2584" spans="1:10">
      <c r="A2584" s="6" t="s">
        <v>141</v>
      </c>
      <c r="B2584" s="6" t="s">
        <v>90</v>
      </c>
      <c r="C2584" s="6" t="s">
        <v>346</v>
      </c>
      <c r="D2584" s="6">
        <v>7.6670123668872</v>
      </c>
      <c r="E2584" s="6" t="s">
        <v>86</v>
      </c>
      <c r="F2584" s="6" t="s">
        <v>52</v>
      </c>
      <c r="G2584" s="7">
        <v>91163.5527628312</v>
      </c>
      <c r="H2584" s="6">
        <v>698952.0864420006</v>
      </c>
      <c r="I2584" s="6" t="s">
        <v>179</v>
      </c>
      <c r="J2584" s="15">
        <v>48.5</v>
      </c>
    </row>
    <row r="2585" spans="1:10">
      <c r="A2585" s="6" t="s">
        <v>141</v>
      </c>
      <c r="B2585" s="6" t="s">
        <v>90</v>
      </c>
      <c r="C2585" s="6" t="s">
        <v>346</v>
      </c>
      <c r="D2585" s="6">
        <v>0.39125</v>
      </c>
      <c r="E2585" s="6" t="s">
        <v>88</v>
      </c>
      <c r="F2585" s="6" t="s">
        <v>52</v>
      </c>
      <c r="G2585" s="7">
        <v>91163.5527628312</v>
      </c>
      <c r="H2585" s="6">
        <v>35667.74001845771</v>
      </c>
      <c r="I2585" s="6" t="s">
        <v>179</v>
      </c>
      <c r="J2585" s="15">
        <v>48.5</v>
      </c>
    </row>
    <row r="2586" spans="1:10">
      <c r="A2586" s="6" t="s">
        <v>141</v>
      </c>
      <c r="B2586" s="6" t="s">
        <v>90</v>
      </c>
      <c r="C2586" s="6" t="s">
        <v>346</v>
      </c>
      <c r="D2586" s="6">
        <v>0.01604217479674797</v>
      </c>
      <c r="E2586" s="6" t="s">
        <v>90</v>
      </c>
      <c r="F2586" s="6" t="s">
        <v>52</v>
      </c>
      <c r="G2586" s="7">
        <v>91163.5527628312</v>
      </c>
      <c r="H2586" s="6">
        <v>1462.461648513894</v>
      </c>
      <c r="I2586" s="6" t="s">
        <v>179</v>
      </c>
      <c r="J2586" s="15">
        <v>48.5</v>
      </c>
    </row>
    <row r="2587" spans="1:10">
      <c r="A2587" s="6" t="s">
        <v>141</v>
      </c>
      <c r="B2587" s="6" t="s">
        <v>90</v>
      </c>
      <c r="C2587" s="6" t="s">
        <v>232</v>
      </c>
      <c r="D2587" s="6">
        <v>0.04335008864315391</v>
      </c>
      <c r="E2587" s="6" t="s">
        <v>44</v>
      </c>
      <c r="F2587" s="6" t="s">
        <v>51</v>
      </c>
      <c r="G2587" s="7">
        <v>49666.97485574454</v>
      </c>
      <c r="H2587" s="6">
        <v>2153.067762633822</v>
      </c>
      <c r="I2587" s="6" t="s">
        <v>180</v>
      </c>
      <c r="J2587" s="15">
        <v>9.154034432992617</v>
      </c>
    </row>
    <row r="2588" spans="1:10">
      <c r="A2588" s="6" t="s">
        <v>141</v>
      </c>
      <c r="B2588" s="6" t="s">
        <v>90</v>
      </c>
      <c r="C2588" s="6" t="s">
        <v>232</v>
      </c>
      <c r="D2588" s="6">
        <v>0.09646270180261517</v>
      </c>
      <c r="E2588" s="6" t="s">
        <v>86</v>
      </c>
      <c r="F2588" s="6" t="s">
        <v>51</v>
      </c>
      <c r="G2588" s="7">
        <v>49666.97485574454</v>
      </c>
      <c r="H2588" s="6">
        <v>4791.010584947671</v>
      </c>
      <c r="I2588" s="6" t="s">
        <v>180</v>
      </c>
      <c r="J2588" s="15">
        <v>9.154034432992617</v>
      </c>
    </row>
    <row r="2589" spans="1:10">
      <c r="A2589" s="6" t="s">
        <v>141</v>
      </c>
      <c r="B2589" s="6" t="s">
        <v>90</v>
      </c>
      <c r="C2589" s="6" t="s">
        <v>232</v>
      </c>
      <c r="D2589" s="6">
        <v>0.00275</v>
      </c>
      <c r="E2589" s="6" t="s">
        <v>88</v>
      </c>
      <c r="F2589" s="6" t="s">
        <v>51</v>
      </c>
      <c r="G2589" s="7">
        <v>49666.97485574454</v>
      </c>
      <c r="H2589" s="6">
        <v>136.5841808532975</v>
      </c>
      <c r="I2589" s="6" t="s">
        <v>180</v>
      </c>
      <c r="J2589" s="15">
        <v>9.154034432992617</v>
      </c>
    </row>
    <row r="2590" spans="1:10">
      <c r="A2590" s="6" t="s">
        <v>141</v>
      </c>
      <c r="B2590" s="6" t="s">
        <v>90</v>
      </c>
      <c r="C2590" s="6" t="s">
        <v>232</v>
      </c>
      <c r="D2590" s="6">
        <v>0.02117084152709026</v>
      </c>
      <c r="E2590" s="6" t="s">
        <v>90</v>
      </c>
      <c r="F2590" s="6" t="s">
        <v>51</v>
      </c>
      <c r="G2590" s="7">
        <v>49666.97485574454</v>
      </c>
      <c r="H2590" s="6">
        <v>1051.491653800944</v>
      </c>
      <c r="I2590" s="6" t="s">
        <v>180</v>
      </c>
      <c r="J2590" s="15">
        <v>9.154034432992617</v>
      </c>
    </row>
    <row r="2591" spans="1:10">
      <c r="A2591" s="6" t="s">
        <v>141</v>
      </c>
      <c r="B2591" s="6" t="s">
        <v>90</v>
      </c>
      <c r="C2591" s="6" t="s">
        <v>233</v>
      </c>
      <c r="D2591" s="6">
        <v>10.86775270038311</v>
      </c>
      <c r="E2591" s="6" t="s">
        <v>44</v>
      </c>
      <c r="F2591" s="6" t="s">
        <v>59</v>
      </c>
      <c r="G2591" s="7">
        <v>45010.3800065543</v>
      </c>
      <c r="H2591" s="6">
        <v>489161.6788615006</v>
      </c>
      <c r="I2591" s="6" t="s">
        <v>179</v>
      </c>
      <c r="J2591" s="15">
        <v>30.75</v>
      </c>
    </row>
    <row r="2592" spans="1:10">
      <c r="A2592" s="6" t="s">
        <v>141</v>
      </c>
      <c r="B2592" s="6" t="s">
        <v>90</v>
      </c>
      <c r="C2592" s="6" t="s">
        <v>233</v>
      </c>
      <c r="D2592" s="6">
        <v>0.6889122609743019</v>
      </c>
      <c r="E2592" s="6" t="s">
        <v>86</v>
      </c>
      <c r="F2592" s="6" t="s">
        <v>59</v>
      </c>
      <c r="G2592" s="7">
        <v>45010.3800065543</v>
      </c>
      <c r="H2592" s="6">
        <v>31008.20265762783</v>
      </c>
      <c r="I2592" s="6" t="s">
        <v>179</v>
      </c>
      <c r="J2592" s="15">
        <v>30.75</v>
      </c>
    </row>
    <row r="2593" spans="1:10">
      <c r="A2593" s="6" t="s">
        <v>141</v>
      </c>
      <c r="B2593" s="6" t="s">
        <v>90</v>
      </c>
      <c r="C2593" s="6" t="s">
        <v>233</v>
      </c>
      <c r="D2593" s="6">
        <v>0.31825</v>
      </c>
      <c r="E2593" s="6" t="s">
        <v>88</v>
      </c>
      <c r="F2593" s="6" t="s">
        <v>59</v>
      </c>
      <c r="G2593" s="7">
        <v>45010.3800065543</v>
      </c>
      <c r="H2593" s="6">
        <v>14324.55343708591</v>
      </c>
      <c r="I2593" s="6" t="s">
        <v>179</v>
      </c>
      <c r="J2593" s="15">
        <v>30.75</v>
      </c>
    </row>
    <row r="2594" spans="1:10">
      <c r="A2594" s="6" t="s">
        <v>141</v>
      </c>
      <c r="B2594" s="6" t="s">
        <v>90</v>
      </c>
      <c r="C2594" s="6" t="s">
        <v>233</v>
      </c>
      <c r="D2594" s="6">
        <v>0.2511122204328967</v>
      </c>
      <c r="E2594" s="6" t="s">
        <v>90</v>
      </c>
      <c r="F2594" s="6" t="s">
        <v>59</v>
      </c>
      <c r="G2594" s="7">
        <v>45010.3800065543</v>
      </c>
      <c r="H2594" s="6">
        <v>11302.65646597431</v>
      </c>
      <c r="I2594" s="6" t="s">
        <v>179</v>
      </c>
      <c r="J2594" s="15">
        <v>30.75</v>
      </c>
    </row>
    <row r="2595" spans="1:10">
      <c r="A2595" s="6" t="s">
        <v>141</v>
      </c>
      <c r="B2595" s="6" t="s">
        <v>90</v>
      </c>
      <c r="C2595" s="6" t="s">
        <v>234</v>
      </c>
      <c r="D2595" s="6">
        <v>39.08044911738361</v>
      </c>
      <c r="E2595" s="6" t="s">
        <v>44</v>
      </c>
      <c r="F2595" s="6" t="s">
        <v>56</v>
      </c>
      <c r="G2595" s="7">
        <v>133441.6069260497</v>
      </c>
      <c r="H2595" s="6">
        <v>5214957.929615388</v>
      </c>
      <c r="I2595" s="6" t="s">
        <v>179</v>
      </c>
      <c r="J2595" s="15">
        <v>28</v>
      </c>
    </row>
    <row r="2596" spans="1:10">
      <c r="A2596" s="6" t="s">
        <v>141</v>
      </c>
      <c r="B2596" s="6" t="s">
        <v>90</v>
      </c>
      <c r="C2596" s="6" t="s">
        <v>234</v>
      </c>
      <c r="D2596" s="6">
        <v>1.341741639290712</v>
      </c>
      <c r="E2596" s="6" t="s">
        <v>86</v>
      </c>
      <c r="F2596" s="6" t="s">
        <v>56</v>
      </c>
      <c r="G2596" s="7">
        <v>133441.6069260497</v>
      </c>
      <c r="H2596" s="6">
        <v>179044.1604265447</v>
      </c>
      <c r="I2596" s="6" t="s">
        <v>179</v>
      </c>
      <c r="J2596" s="15">
        <v>28</v>
      </c>
    </row>
    <row r="2597" spans="1:10">
      <c r="A2597" s="6" t="s">
        <v>141</v>
      </c>
      <c r="B2597" s="6" t="s">
        <v>90</v>
      </c>
      <c r="C2597" s="6" t="s">
        <v>234</v>
      </c>
      <c r="D2597" s="6">
        <v>0.4121666666666666</v>
      </c>
      <c r="E2597" s="6" t="s">
        <v>88</v>
      </c>
      <c r="F2597" s="6" t="s">
        <v>56</v>
      </c>
      <c r="G2597" s="7">
        <v>133441.6069260497</v>
      </c>
      <c r="H2597" s="6">
        <v>55000.18232135346</v>
      </c>
      <c r="I2597" s="6" t="s">
        <v>179</v>
      </c>
      <c r="J2597" s="15">
        <v>28</v>
      </c>
    </row>
    <row r="2598" spans="1:10">
      <c r="A2598" s="6" t="s">
        <v>141</v>
      </c>
      <c r="B2598" s="6" t="s">
        <v>90</v>
      </c>
      <c r="C2598" s="6" t="s">
        <v>234</v>
      </c>
      <c r="D2598" s="6">
        <v>18.29253509315728</v>
      </c>
      <c r="E2598" s="6" t="s">
        <v>90</v>
      </c>
      <c r="F2598" s="6" t="s">
        <v>56</v>
      </c>
      <c r="G2598" s="7">
        <v>133441.6069260497</v>
      </c>
      <c r="H2598" s="6">
        <v>2440985.277582063</v>
      </c>
      <c r="I2598" s="6" t="s">
        <v>179</v>
      </c>
      <c r="J2598" s="15">
        <v>28</v>
      </c>
    </row>
    <row r="2599" spans="1:10">
      <c r="A2599" s="6" t="s">
        <v>141</v>
      </c>
      <c r="B2599" s="6" t="s">
        <v>90</v>
      </c>
      <c r="C2599" s="6" t="s">
        <v>235</v>
      </c>
      <c r="D2599" s="6">
        <v>1.00175</v>
      </c>
      <c r="E2599" s="6" t="s">
        <v>44</v>
      </c>
      <c r="F2599" s="6" t="s">
        <v>53</v>
      </c>
      <c r="G2599" s="7">
        <v>35566.8159439669</v>
      </c>
      <c r="H2599" s="6">
        <v>35629.05787186885</v>
      </c>
      <c r="I2599" s="6" t="s">
        <v>180</v>
      </c>
      <c r="J2599" s="15">
        <v>38</v>
      </c>
    </row>
    <row r="2600" spans="1:10">
      <c r="A2600" s="6" t="s">
        <v>141</v>
      </c>
      <c r="B2600" s="6" t="s">
        <v>90</v>
      </c>
      <c r="C2600" s="6" t="s">
        <v>235</v>
      </c>
      <c r="D2600" s="6">
        <v>0.11575</v>
      </c>
      <c r="E2600" s="6" t="s">
        <v>86</v>
      </c>
      <c r="F2600" s="6" t="s">
        <v>53</v>
      </c>
      <c r="G2600" s="7">
        <v>35566.8159439669</v>
      </c>
      <c r="H2600" s="6">
        <v>4116.858945514169</v>
      </c>
      <c r="I2600" s="6" t="s">
        <v>180</v>
      </c>
      <c r="J2600" s="15">
        <v>38</v>
      </c>
    </row>
    <row r="2601" spans="1:10">
      <c r="A2601" s="6" t="s">
        <v>141</v>
      </c>
      <c r="B2601" s="6" t="s">
        <v>90</v>
      </c>
      <c r="C2601" s="6" t="s">
        <v>235</v>
      </c>
      <c r="D2601" s="6">
        <v>0.07575</v>
      </c>
      <c r="E2601" s="6" t="s">
        <v>88</v>
      </c>
      <c r="F2601" s="6" t="s">
        <v>53</v>
      </c>
      <c r="G2601" s="7">
        <v>35566.8159439669</v>
      </c>
      <c r="H2601" s="6">
        <v>2694.186307755493</v>
      </c>
      <c r="I2601" s="6" t="s">
        <v>180</v>
      </c>
      <c r="J2601" s="15">
        <v>38</v>
      </c>
    </row>
    <row r="2602" spans="1:10">
      <c r="A2602" s="6" t="s">
        <v>141</v>
      </c>
      <c r="B2602" s="6" t="s">
        <v>90</v>
      </c>
      <c r="C2602" s="6" t="s">
        <v>235</v>
      </c>
      <c r="D2602" s="6">
        <v>0.08866666666666669</v>
      </c>
      <c r="E2602" s="6" t="s">
        <v>90</v>
      </c>
      <c r="F2602" s="6" t="s">
        <v>53</v>
      </c>
      <c r="G2602" s="7">
        <v>35566.8159439669</v>
      </c>
      <c r="H2602" s="6">
        <v>3153.591013698399</v>
      </c>
      <c r="I2602" s="6" t="s">
        <v>180</v>
      </c>
      <c r="J2602" s="15">
        <v>38</v>
      </c>
    </row>
    <row r="2603" spans="1:10">
      <c r="A2603" s="6" t="s">
        <v>141</v>
      </c>
      <c r="B2603" s="6" t="s">
        <v>90</v>
      </c>
      <c r="C2603" s="6" t="s">
        <v>236</v>
      </c>
      <c r="D2603" s="6">
        <v>29.70918515228617</v>
      </c>
      <c r="E2603" s="6" t="s">
        <v>44</v>
      </c>
      <c r="F2603" s="6" t="s">
        <v>51</v>
      </c>
      <c r="G2603" s="7">
        <v>47804.16828302459</v>
      </c>
      <c r="H2603" s="6">
        <v>1420222.886571424</v>
      </c>
      <c r="I2603" s="6" t="s">
        <v>179</v>
      </c>
      <c r="J2603" s="15">
        <v>46.93333333333333</v>
      </c>
    </row>
    <row r="2604" spans="1:10">
      <c r="A2604" s="6" t="s">
        <v>141</v>
      </c>
      <c r="B2604" s="6" t="s">
        <v>90</v>
      </c>
      <c r="C2604" s="6" t="s">
        <v>236</v>
      </c>
      <c r="D2604" s="6">
        <v>3.156777864246494</v>
      </c>
      <c r="E2604" s="6" t="s">
        <v>86</v>
      </c>
      <c r="F2604" s="6" t="s">
        <v>51</v>
      </c>
      <c r="G2604" s="7">
        <v>47804.16828302459</v>
      </c>
      <c r="H2604" s="6">
        <v>150907.1402545664</v>
      </c>
      <c r="I2604" s="6" t="s">
        <v>179</v>
      </c>
      <c r="J2604" s="15">
        <v>46.93333333333333</v>
      </c>
    </row>
    <row r="2605" spans="1:10">
      <c r="A2605" s="6" t="s">
        <v>141</v>
      </c>
      <c r="B2605" s="6" t="s">
        <v>90</v>
      </c>
      <c r="C2605" s="6" t="s">
        <v>236</v>
      </c>
      <c r="D2605" s="6">
        <v>0.9330833333333332</v>
      </c>
      <c r="E2605" s="6" t="s">
        <v>88</v>
      </c>
      <c r="F2605" s="6" t="s">
        <v>51</v>
      </c>
      <c r="G2605" s="7">
        <v>47804.16828302459</v>
      </c>
      <c r="H2605" s="6">
        <v>44605.27268875219</v>
      </c>
      <c r="I2605" s="6" t="s">
        <v>179</v>
      </c>
      <c r="J2605" s="15">
        <v>46.93333333333333</v>
      </c>
    </row>
    <row r="2606" spans="1:10">
      <c r="A2606" s="6" t="s">
        <v>141</v>
      </c>
      <c r="B2606" s="6" t="s">
        <v>90</v>
      </c>
      <c r="C2606" s="6" t="s">
        <v>236</v>
      </c>
      <c r="D2606" s="6">
        <v>23.43053941985622</v>
      </c>
      <c r="E2606" s="6" t="s">
        <v>90</v>
      </c>
      <c r="F2606" s="6" t="s">
        <v>51</v>
      </c>
      <c r="G2606" s="7">
        <v>47804.16828302459</v>
      </c>
      <c r="H2606" s="6">
        <v>1120077.449388848</v>
      </c>
      <c r="I2606" s="6" t="s">
        <v>179</v>
      </c>
      <c r="J2606" s="15">
        <v>46.93333333333333</v>
      </c>
    </row>
    <row r="2607" spans="1:10">
      <c r="A2607" s="6" t="s">
        <v>141</v>
      </c>
      <c r="B2607" s="6" t="s">
        <v>90</v>
      </c>
      <c r="C2607" s="6" t="s">
        <v>237</v>
      </c>
      <c r="D2607" s="6">
        <v>0.4258696894689872</v>
      </c>
      <c r="E2607" s="6" t="s">
        <v>44</v>
      </c>
      <c r="F2607" s="6" t="s">
        <v>51</v>
      </c>
      <c r="G2607" s="7">
        <v>53666.69833269802</v>
      </c>
      <c r="H2607" s="6">
        <v>22855.02015377192</v>
      </c>
      <c r="I2607" s="6" t="s">
        <v>180</v>
      </c>
      <c r="J2607" s="15">
        <v>10.43563839802869</v>
      </c>
    </row>
    <row r="2608" spans="1:10">
      <c r="A2608" s="6" t="s">
        <v>141</v>
      </c>
      <c r="B2608" s="6" t="s">
        <v>90</v>
      </c>
      <c r="C2608" s="6" t="s">
        <v>237</v>
      </c>
      <c r="D2608" s="6">
        <v>0.3730723940681487</v>
      </c>
      <c r="E2608" s="6" t="s">
        <v>86</v>
      </c>
      <c r="F2608" s="6" t="s">
        <v>51</v>
      </c>
      <c r="G2608" s="7">
        <v>53666.69833269802</v>
      </c>
      <c r="H2608" s="6">
        <v>20021.56362871277</v>
      </c>
      <c r="I2608" s="6" t="s">
        <v>180</v>
      </c>
      <c r="J2608" s="15">
        <v>10.43563839802869</v>
      </c>
    </row>
    <row r="2609" spans="1:10">
      <c r="A2609" s="6" t="s">
        <v>141</v>
      </c>
      <c r="B2609" s="6" t="s">
        <v>90</v>
      </c>
      <c r="C2609" s="6" t="s">
        <v>237</v>
      </c>
      <c r="D2609" s="6">
        <v>0.01291666666666667</v>
      </c>
      <c r="E2609" s="6" t="s">
        <v>88</v>
      </c>
      <c r="F2609" s="6" t="s">
        <v>51</v>
      </c>
      <c r="G2609" s="7">
        <v>53666.69833269802</v>
      </c>
      <c r="H2609" s="6">
        <v>693.1948534640161</v>
      </c>
      <c r="I2609" s="6" t="s">
        <v>180</v>
      </c>
      <c r="J2609" s="15">
        <v>10.43563839802869</v>
      </c>
    </row>
    <row r="2610" spans="1:10">
      <c r="A2610" s="6" t="s">
        <v>141</v>
      </c>
      <c r="B2610" s="6" t="s">
        <v>90</v>
      </c>
      <c r="C2610" s="6" t="s">
        <v>237</v>
      </c>
      <c r="D2610" s="6">
        <v>0.05230118440335945</v>
      </c>
      <c r="E2610" s="6" t="s">
        <v>90</v>
      </c>
      <c r="F2610" s="6" t="s">
        <v>51</v>
      </c>
      <c r="G2610" s="7">
        <v>53666.69833269802</v>
      </c>
      <c r="H2610" s="6">
        <v>2806.831885817902</v>
      </c>
      <c r="I2610" s="6" t="s">
        <v>180</v>
      </c>
      <c r="J2610" s="15">
        <v>10.43563839802869</v>
      </c>
    </row>
    <row r="2611" spans="1:10">
      <c r="A2611" s="6" t="s">
        <v>141</v>
      </c>
      <c r="B2611" s="6" t="s">
        <v>90</v>
      </c>
      <c r="C2611" s="6" t="s">
        <v>238</v>
      </c>
      <c r="D2611" s="6">
        <v>0.01177009271017745</v>
      </c>
      <c r="E2611" s="6" t="s">
        <v>44</v>
      </c>
      <c r="F2611" s="6" t="s">
        <v>51</v>
      </c>
      <c r="G2611" s="7">
        <v>51511.99694495334</v>
      </c>
      <c r="H2611" s="6">
        <v>606.3009797284785</v>
      </c>
      <c r="I2611" s="6" t="s">
        <v>180</v>
      </c>
      <c r="J2611" s="15">
        <v>9.745222208531091</v>
      </c>
    </row>
    <row r="2612" spans="1:10">
      <c r="A2612" s="6" t="s">
        <v>141</v>
      </c>
      <c r="B2612" s="6" t="s">
        <v>90</v>
      </c>
      <c r="C2612" s="6" t="s">
        <v>238</v>
      </c>
      <c r="D2612" s="6">
        <v>5.004454518059249E-05</v>
      </c>
      <c r="E2612" s="6" t="s">
        <v>86</v>
      </c>
      <c r="F2612" s="6" t="s">
        <v>51</v>
      </c>
      <c r="G2612" s="7">
        <v>51511.99694495334</v>
      </c>
      <c r="H2612" s="6">
        <v>2.57789445845426</v>
      </c>
      <c r="I2612" s="6" t="s">
        <v>180</v>
      </c>
      <c r="J2612" s="15">
        <v>9.745222208531091</v>
      </c>
    </row>
    <row r="2613" spans="1:10">
      <c r="A2613" s="6" t="s">
        <v>141</v>
      </c>
      <c r="B2613" s="6" t="s">
        <v>90</v>
      </c>
      <c r="C2613" s="6" t="s">
        <v>238</v>
      </c>
      <c r="D2613" s="6">
        <v>0.007749308557663451</v>
      </c>
      <c r="E2613" s="6" t="s">
        <v>90</v>
      </c>
      <c r="F2613" s="6" t="s">
        <v>51</v>
      </c>
      <c r="G2613" s="7">
        <v>51511.99694495334</v>
      </c>
      <c r="H2613" s="6">
        <v>399.1823587478605</v>
      </c>
      <c r="I2613" s="6" t="s">
        <v>180</v>
      </c>
      <c r="J2613" s="15">
        <v>9.745222208531091</v>
      </c>
    </row>
    <row r="2614" spans="1:10">
      <c r="A2614" s="6" t="s">
        <v>141</v>
      </c>
      <c r="B2614" s="6" t="s">
        <v>90</v>
      </c>
      <c r="C2614" s="6" t="s">
        <v>239</v>
      </c>
      <c r="D2614" s="6">
        <v>1.974019512733956</v>
      </c>
      <c r="E2614" s="6" t="s">
        <v>44</v>
      </c>
      <c r="F2614" s="6" t="s">
        <v>54</v>
      </c>
      <c r="G2614" s="7">
        <v>77876.19751626256</v>
      </c>
      <c r="H2614" s="6">
        <v>153729.133474626</v>
      </c>
      <c r="I2614" s="6" t="s">
        <v>179</v>
      </c>
      <c r="J2614" s="15">
        <v>17.61605692581799</v>
      </c>
    </row>
    <row r="2615" spans="1:10">
      <c r="A2615" s="6" t="s">
        <v>141</v>
      </c>
      <c r="B2615" s="6" t="s">
        <v>90</v>
      </c>
      <c r="C2615" s="6" t="s">
        <v>239</v>
      </c>
      <c r="D2615" s="6">
        <v>0.4618494012266121</v>
      </c>
      <c r="E2615" s="6" t="s">
        <v>86</v>
      </c>
      <c r="F2615" s="6" t="s">
        <v>54</v>
      </c>
      <c r="G2615" s="7">
        <v>77876.19751626256</v>
      </c>
      <c r="H2615" s="6">
        <v>35967.07519269123</v>
      </c>
      <c r="I2615" s="6" t="s">
        <v>179</v>
      </c>
      <c r="J2615" s="15">
        <v>17.61605692581799</v>
      </c>
    </row>
    <row r="2616" spans="1:10">
      <c r="A2616" s="6" t="s">
        <v>141</v>
      </c>
      <c r="B2616" s="6" t="s">
        <v>90</v>
      </c>
      <c r="C2616" s="6" t="s">
        <v>239</v>
      </c>
      <c r="D2616" s="6">
        <v>0.3290000000000001</v>
      </c>
      <c r="E2616" s="6" t="s">
        <v>88</v>
      </c>
      <c r="F2616" s="6" t="s">
        <v>54</v>
      </c>
      <c r="G2616" s="7">
        <v>77876.19751626256</v>
      </c>
      <c r="H2616" s="6">
        <v>25621.26898285039</v>
      </c>
      <c r="I2616" s="6" t="s">
        <v>179</v>
      </c>
      <c r="J2616" s="15">
        <v>17.61605692581799</v>
      </c>
    </row>
    <row r="2617" spans="1:10">
      <c r="A2617" s="6" t="s">
        <v>141</v>
      </c>
      <c r="B2617" s="6" t="s">
        <v>90</v>
      </c>
      <c r="C2617" s="6" t="s">
        <v>239</v>
      </c>
      <c r="D2617" s="6">
        <v>0.01460681476619496</v>
      </c>
      <c r="E2617" s="6" t="s">
        <v>90</v>
      </c>
      <c r="F2617" s="6" t="s">
        <v>54</v>
      </c>
      <c r="G2617" s="7">
        <v>77876.19751626256</v>
      </c>
      <c r="H2617" s="6">
        <v>1137.523191815659</v>
      </c>
      <c r="I2617" s="6" t="s">
        <v>179</v>
      </c>
      <c r="J2617" s="15">
        <v>17.61605692581799</v>
      </c>
    </row>
    <row r="2618" spans="1:10">
      <c r="A2618" s="6" t="s">
        <v>141</v>
      </c>
      <c r="B2618" s="6" t="s">
        <v>90</v>
      </c>
      <c r="C2618" s="6" t="s">
        <v>240</v>
      </c>
      <c r="D2618" s="6">
        <v>0.225972929346877</v>
      </c>
      <c r="E2618" s="6" t="s">
        <v>44</v>
      </c>
      <c r="F2618" s="6" t="s">
        <v>51</v>
      </c>
      <c r="G2618" s="7">
        <v>52330.78471449605</v>
      </c>
      <c r="H2618" s="6">
        <v>11825.34071695545</v>
      </c>
      <c r="I2618" s="6" t="s">
        <v>180</v>
      </c>
      <c r="J2618" s="15">
        <v>42</v>
      </c>
    </row>
    <row r="2619" spans="1:10">
      <c r="A2619" s="6" t="s">
        <v>141</v>
      </c>
      <c r="B2619" s="6" t="s">
        <v>90</v>
      </c>
      <c r="C2619" s="6" t="s">
        <v>240</v>
      </c>
      <c r="D2619" s="6">
        <v>0.4295822328585349</v>
      </c>
      <c r="E2619" s="6" t="s">
        <v>86</v>
      </c>
      <c r="F2619" s="6" t="s">
        <v>51</v>
      </c>
      <c r="G2619" s="7">
        <v>52330.78471449605</v>
      </c>
      <c r="H2619" s="6">
        <v>22480.3753448925</v>
      </c>
      <c r="I2619" s="6" t="s">
        <v>180</v>
      </c>
      <c r="J2619" s="15">
        <v>42</v>
      </c>
    </row>
    <row r="2620" spans="1:10">
      <c r="A2620" s="6" t="s">
        <v>141</v>
      </c>
      <c r="B2620" s="6" t="s">
        <v>90</v>
      </c>
      <c r="C2620" s="6" t="s">
        <v>240</v>
      </c>
      <c r="D2620" s="6">
        <v>0.009166666666666667</v>
      </c>
      <c r="E2620" s="6" t="s">
        <v>88</v>
      </c>
      <c r="F2620" s="6" t="s">
        <v>51</v>
      </c>
      <c r="G2620" s="7">
        <v>52330.78471449605</v>
      </c>
      <c r="H2620" s="6">
        <v>479.6988598828805</v>
      </c>
      <c r="I2620" s="6" t="s">
        <v>180</v>
      </c>
      <c r="J2620" s="15">
        <v>42</v>
      </c>
    </row>
    <row r="2621" spans="1:10">
      <c r="A2621" s="6" t="s">
        <v>141</v>
      </c>
      <c r="B2621" s="6" t="s">
        <v>90</v>
      </c>
      <c r="C2621" s="6" t="s">
        <v>240</v>
      </c>
      <c r="D2621" s="6">
        <v>0.1129288120856429</v>
      </c>
      <c r="E2621" s="6" t="s">
        <v>90</v>
      </c>
      <c r="F2621" s="6" t="s">
        <v>51</v>
      </c>
      <c r="G2621" s="7">
        <v>52330.78471449605</v>
      </c>
      <c r="H2621" s="6">
        <v>5909.653353317557</v>
      </c>
      <c r="I2621" s="6" t="s">
        <v>180</v>
      </c>
      <c r="J2621" s="15">
        <v>42</v>
      </c>
    </row>
    <row r="2622" spans="1:10">
      <c r="A2622" s="6" t="s">
        <v>141</v>
      </c>
      <c r="B2622" s="6" t="s">
        <v>90</v>
      </c>
      <c r="C2622" s="6" t="s">
        <v>241</v>
      </c>
      <c r="D2622" s="6">
        <v>6.326480964173068</v>
      </c>
      <c r="E2622" s="6" t="s">
        <v>44</v>
      </c>
      <c r="F2622" s="6" t="s">
        <v>53</v>
      </c>
      <c r="G2622" s="7">
        <v>26388.49277067184</v>
      </c>
      <c r="H2622" s="6">
        <v>166946.297186874</v>
      </c>
      <c r="I2622" s="6" t="s">
        <v>179</v>
      </c>
      <c r="J2622" s="15">
        <v>14.36666666666667</v>
      </c>
    </row>
    <row r="2623" spans="1:10">
      <c r="A2623" s="6" t="s">
        <v>141</v>
      </c>
      <c r="B2623" s="6" t="s">
        <v>90</v>
      </c>
      <c r="C2623" s="6" t="s">
        <v>241</v>
      </c>
      <c r="D2623" s="6">
        <v>0.3398225661806113</v>
      </c>
      <c r="E2623" s="6" t="s">
        <v>86</v>
      </c>
      <c r="F2623" s="6" t="s">
        <v>53</v>
      </c>
      <c r="G2623" s="7">
        <v>26388.49277067184</v>
      </c>
      <c r="H2623" s="6">
        <v>8967.405330968215</v>
      </c>
      <c r="I2623" s="6" t="s">
        <v>179</v>
      </c>
      <c r="J2623" s="15">
        <v>14.36666666666667</v>
      </c>
    </row>
    <row r="2624" spans="1:10">
      <c r="A2624" s="6" t="s">
        <v>141</v>
      </c>
      <c r="B2624" s="6" t="s">
        <v>90</v>
      </c>
      <c r="C2624" s="6" t="s">
        <v>241</v>
      </c>
      <c r="D2624" s="6">
        <v>0.16275</v>
      </c>
      <c r="E2624" s="6" t="s">
        <v>88</v>
      </c>
      <c r="F2624" s="6" t="s">
        <v>53</v>
      </c>
      <c r="G2624" s="7">
        <v>26388.49277067184</v>
      </c>
      <c r="H2624" s="6">
        <v>4294.727198426843</v>
      </c>
      <c r="I2624" s="6" t="s">
        <v>179</v>
      </c>
      <c r="J2624" s="15">
        <v>14.36666666666667</v>
      </c>
    </row>
    <row r="2625" spans="1:10">
      <c r="A2625" s="6" t="s">
        <v>141</v>
      </c>
      <c r="B2625" s="6" t="s">
        <v>90</v>
      </c>
      <c r="C2625" s="6" t="s">
        <v>241</v>
      </c>
      <c r="D2625" s="6">
        <v>0.3914652574124385</v>
      </c>
      <c r="E2625" s="6" t="s">
        <v>90</v>
      </c>
      <c r="F2625" s="6" t="s">
        <v>53</v>
      </c>
      <c r="G2625" s="7">
        <v>26388.49277067184</v>
      </c>
      <c r="H2625" s="6">
        <v>10330.17811519733</v>
      </c>
      <c r="I2625" s="6" t="s">
        <v>179</v>
      </c>
      <c r="J2625" s="15">
        <v>14.36666666666667</v>
      </c>
    </row>
    <row r="2626" spans="1:10">
      <c r="A2626" s="6" t="s">
        <v>141</v>
      </c>
      <c r="B2626" s="6" t="s">
        <v>90</v>
      </c>
      <c r="C2626" s="6" t="s">
        <v>242</v>
      </c>
      <c r="D2626" s="6">
        <v>10.90640226677786</v>
      </c>
      <c r="E2626" s="6" t="s">
        <v>44</v>
      </c>
      <c r="F2626" s="6" t="s">
        <v>56</v>
      </c>
      <c r="G2626" s="7">
        <v>48613.69532428356</v>
      </c>
      <c r="H2626" s="6">
        <v>530200.5168812146</v>
      </c>
      <c r="I2626" s="6" t="s">
        <v>179</v>
      </c>
      <c r="J2626" s="15">
        <v>6.75</v>
      </c>
    </row>
    <row r="2627" spans="1:10">
      <c r="A2627" s="6" t="s">
        <v>141</v>
      </c>
      <c r="B2627" s="6" t="s">
        <v>90</v>
      </c>
      <c r="C2627" s="6" t="s">
        <v>242</v>
      </c>
      <c r="D2627" s="6">
        <v>0.05711554957083809</v>
      </c>
      <c r="E2627" s="6" t="s">
        <v>86</v>
      </c>
      <c r="F2627" s="6" t="s">
        <v>56</v>
      </c>
      <c r="G2627" s="7">
        <v>48613.69532428356</v>
      </c>
      <c r="H2627" s="6">
        <v>2776.597925115737</v>
      </c>
      <c r="I2627" s="6" t="s">
        <v>179</v>
      </c>
      <c r="J2627" s="15">
        <v>6.75</v>
      </c>
    </row>
    <row r="2628" spans="1:10">
      <c r="A2628" s="6" t="s">
        <v>141</v>
      </c>
      <c r="B2628" s="6" t="s">
        <v>90</v>
      </c>
      <c r="C2628" s="6" t="s">
        <v>243</v>
      </c>
      <c r="D2628" s="6">
        <v>0.008846473719228212</v>
      </c>
      <c r="E2628" s="6" t="s">
        <v>44</v>
      </c>
      <c r="F2628" s="6" t="s">
        <v>58</v>
      </c>
      <c r="G2628" s="7">
        <v>63812.70248767162</v>
      </c>
      <c r="H2628" s="6">
        <v>564.5173955101158</v>
      </c>
      <c r="I2628" s="6" t="s">
        <v>180</v>
      </c>
      <c r="J2628" s="15">
        <v>13.68665293171113</v>
      </c>
    </row>
    <row r="2629" spans="1:10">
      <c r="A2629" s="6" t="s">
        <v>141</v>
      </c>
      <c r="B2629" s="6" t="s">
        <v>90</v>
      </c>
      <c r="C2629" s="6" t="s">
        <v>243</v>
      </c>
      <c r="D2629" s="6">
        <v>0.01366916167664671</v>
      </c>
      <c r="E2629" s="6" t="s">
        <v>86</v>
      </c>
      <c r="F2629" s="6" t="s">
        <v>58</v>
      </c>
      <c r="G2629" s="7">
        <v>63812.70248767162</v>
      </c>
      <c r="H2629" s="6">
        <v>872.2661473277391</v>
      </c>
      <c r="I2629" s="6" t="s">
        <v>180</v>
      </c>
      <c r="J2629" s="15">
        <v>13.68665293171113</v>
      </c>
    </row>
    <row r="2630" spans="1:10">
      <c r="A2630" s="6" t="s">
        <v>141</v>
      </c>
      <c r="B2630" s="6" t="s">
        <v>90</v>
      </c>
      <c r="C2630" s="6" t="s">
        <v>243</v>
      </c>
      <c r="D2630" s="6">
        <v>0.00275</v>
      </c>
      <c r="E2630" s="6" t="s">
        <v>88</v>
      </c>
      <c r="F2630" s="6" t="s">
        <v>58</v>
      </c>
      <c r="G2630" s="7">
        <v>63812.70248767162</v>
      </c>
      <c r="H2630" s="6">
        <v>175.484931841097</v>
      </c>
      <c r="I2630" s="6" t="s">
        <v>180</v>
      </c>
      <c r="J2630" s="15">
        <v>13.68665293171113</v>
      </c>
    </row>
    <row r="2631" spans="1:10">
      <c r="A2631" s="6" t="s">
        <v>141</v>
      </c>
      <c r="B2631" s="6" t="s">
        <v>90</v>
      </c>
      <c r="C2631" s="6" t="s">
        <v>244</v>
      </c>
      <c r="D2631" s="6">
        <v>0.07229964125118379</v>
      </c>
      <c r="E2631" s="6" t="s">
        <v>44</v>
      </c>
      <c r="F2631" s="6" t="s">
        <v>55</v>
      </c>
      <c r="G2631" s="7">
        <v>56778.78135882129</v>
      </c>
      <c r="H2631" s="6">
        <v>4105.085522922181</v>
      </c>
      <c r="I2631" s="6" t="s">
        <v>180</v>
      </c>
      <c r="J2631" s="15">
        <v>11.43282182052843</v>
      </c>
    </row>
    <row r="2632" spans="1:10">
      <c r="A2632" s="6" t="s">
        <v>141</v>
      </c>
      <c r="B2632" s="6" t="s">
        <v>90</v>
      </c>
      <c r="C2632" s="6" t="s">
        <v>244</v>
      </c>
      <c r="D2632" s="6">
        <v>0.1012214316339207</v>
      </c>
      <c r="E2632" s="6" t="s">
        <v>86</v>
      </c>
      <c r="F2632" s="6" t="s">
        <v>55</v>
      </c>
      <c r="G2632" s="7">
        <v>56778.78135882129</v>
      </c>
      <c r="H2632" s="6">
        <v>5747.229535569259</v>
      </c>
      <c r="I2632" s="6" t="s">
        <v>180</v>
      </c>
      <c r="J2632" s="15">
        <v>11.43282182052843</v>
      </c>
    </row>
    <row r="2633" spans="1:10">
      <c r="A2633" s="6" t="s">
        <v>141</v>
      </c>
      <c r="B2633" s="6" t="s">
        <v>90</v>
      </c>
      <c r="C2633" s="6" t="s">
        <v>244</v>
      </c>
      <c r="D2633" s="6">
        <v>0.01062704444002675</v>
      </c>
      <c r="E2633" s="6" t="s">
        <v>90</v>
      </c>
      <c r="F2633" s="6" t="s">
        <v>55</v>
      </c>
      <c r="G2633" s="7">
        <v>56778.78135882129</v>
      </c>
      <c r="H2633" s="6">
        <v>603.3906327507561</v>
      </c>
      <c r="I2633" s="6" t="s">
        <v>180</v>
      </c>
      <c r="J2633" s="15">
        <v>11.43282182052843</v>
      </c>
    </row>
    <row r="2634" spans="1:10">
      <c r="A2634" s="6" t="s">
        <v>141</v>
      </c>
      <c r="B2634" s="6" t="s">
        <v>90</v>
      </c>
      <c r="C2634" s="6" t="s">
        <v>245</v>
      </c>
      <c r="D2634" s="6">
        <v>2.71711724643746</v>
      </c>
      <c r="E2634" s="6" t="s">
        <v>44</v>
      </c>
      <c r="F2634" s="6" t="s">
        <v>53</v>
      </c>
      <c r="G2634" s="7">
        <v>15981.96816829709</v>
      </c>
      <c r="H2634" s="6">
        <v>43424.88134209454</v>
      </c>
      <c r="I2634" s="6" t="s">
        <v>179</v>
      </c>
      <c r="J2634" s="15">
        <v>38</v>
      </c>
    </row>
    <row r="2635" spans="1:10">
      <c r="A2635" s="6" t="s">
        <v>141</v>
      </c>
      <c r="B2635" s="6" t="s">
        <v>90</v>
      </c>
      <c r="C2635" s="6" t="s">
        <v>245</v>
      </c>
      <c r="D2635" s="6">
        <v>0.0001598408742382066</v>
      </c>
      <c r="E2635" s="6" t="s">
        <v>86</v>
      </c>
      <c r="F2635" s="6" t="s">
        <v>53</v>
      </c>
      <c r="G2635" s="7">
        <v>15981.96816829709</v>
      </c>
      <c r="H2635" s="6">
        <v>2.554571764067798</v>
      </c>
      <c r="I2635" s="6" t="s">
        <v>179</v>
      </c>
      <c r="J2635" s="15">
        <v>38</v>
      </c>
    </row>
    <row r="2636" spans="1:10">
      <c r="A2636" s="6" t="s">
        <v>141</v>
      </c>
      <c r="B2636" s="6" t="s">
        <v>90</v>
      </c>
      <c r="C2636" s="6" t="s">
        <v>246</v>
      </c>
      <c r="D2636" s="6">
        <v>0.47675</v>
      </c>
      <c r="E2636" s="6" t="s">
        <v>44</v>
      </c>
      <c r="F2636" s="6" t="s">
        <v>53</v>
      </c>
      <c r="G2636" s="7">
        <v>33731.16398827116</v>
      </c>
      <c r="H2636" s="6">
        <v>16081.33243140828</v>
      </c>
      <c r="I2636" s="6" t="s">
        <v>180</v>
      </c>
      <c r="J2636" s="15">
        <v>34.44166666666666</v>
      </c>
    </row>
    <row r="2637" spans="1:10">
      <c r="A2637" s="6" t="s">
        <v>141</v>
      </c>
      <c r="B2637" s="6" t="s">
        <v>90</v>
      </c>
      <c r="C2637" s="6" t="s">
        <v>246</v>
      </c>
      <c r="D2637" s="6">
        <v>0.05316666666666667</v>
      </c>
      <c r="E2637" s="6" t="s">
        <v>86</v>
      </c>
      <c r="F2637" s="6" t="s">
        <v>53</v>
      </c>
      <c r="G2637" s="7">
        <v>33731.16398827116</v>
      </c>
      <c r="H2637" s="6">
        <v>1793.373552043084</v>
      </c>
      <c r="I2637" s="6" t="s">
        <v>180</v>
      </c>
      <c r="J2637" s="15">
        <v>34.44166666666666</v>
      </c>
    </row>
    <row r="2638" spans="1:10">
      <c r="A2638" s="6" t="s">
        <v>141</v>
      </c>
      <c r="B2638" s="6" t="s">
        <v>90</v>
      </c>
      <c r="C2638" s="6" t="s">
        <v>246</v>
      </c>
      <c r="D2638" s="6">
        <v>0.06108333333333333</v>
      </c>
      <c r="E2638" s="6" t="s">
        <v>88</v>
      </c>
      <c r="F2638" s="6" t="s">
        <v>53</v>
      </c>
      <c r="G2638" s="7">
        <v>33731.16398827116</v>
      </c>
      <c r="H2638" s="6">
        <v>2060.411933616896</v>
      </c>
      <c r="I2638" s="6" t="s">
        <v>180</v>
      </c>
      <c r="J2638" s="15">
        <v>34.44166666666666</v>
      </c>
    </row>
    <row r="2639" spans="1:10">
      <c r="A2639" s="6" t="s">
        <v>141</v>
      </c>
      <c r="B2639" s="6" t="s">
        <v>90</v>
      </c>
      <c r="C2639" s="6" t="s">
        <v>246</v>
      </c>
      <c r="D2639" s="6">
        <v>0.05258333333333334</v>
      </c>
      <c r="E2639" s="6" t="s">
        <v>90</v>
      </c>
      <c r="F2639" s="6" t="s">
        <v>53</v>
      </c>
      <c r="G2639" s="7">
        <v>33731.16398827116</v>
      </c>
      <c r="H2639" s="6">
        <v>1773.697039716592</v>
      </c>
      <c r="I2639" s="6" t="s">
        <v>180</v>
      </c>
      <c r="J2639" s="15">
        <v>34.44166666666666</v>
      </c>
    </row>
    <row r="2640" spans="1:10">
      <c r="A2640" s="6" t="s">
        <v>141</v>
      </c>
      <c r="B2640" s="6" t="s">
        <v>90</v>
      </c>
      <c r="C2640" s="6" t="s">
        <v>348</v>
      </c>
      <c r="D2640" s="6">
        <v>0.9735988958281794</v>
      </c>
      <c r="E2640" s="6" t="s">
        <v>44</v>
      </c>
      <c r="F2640" s="6" t="s">
        <v>52</v>
      </c>
      <c r="G2640" s="7">
        <v>84173.86100654831</v>
      </c>
      <c r="H2640" s="6">
        <v>81951.57813357007</v>
      </c>
      <c r="I2640" s="6" t="s">
        <v>179</v>
      </c>
      <c r="J2640" s="15">
        <v>51</v>
      </c>
    </row>
    <row r="2641" spans="1:10">
      <c r="A2641" s="6" t="s">
        <v>141</v>
      </c>
      <c r="B2641" s="6" t="s">
        <v>90</v>
      </c>
      <c r="C2641" s="6" t="s">
        <v>348</v>
      </c>
      <c r="D2641" s="6">
        <v>47.64814979962784</v>
      </c>
      <c r="E2641" s="6" t="s">
        <v>86</v>
      </c>
      <c r="F2641" s="6" t="s">
        <v>52</v>
      </c>
      <c r="G2641" s="7">
        <v>84173.86100654831</v>
      </c>
      <c r="H2641" s="6">
        <v>4010728.738453067</v>
      </c>
      <c r="I2641" s="6" t="s">
        <v>179</v>
      </c>
      <c r="J2641" s="15">
        <v>51</v>
      </c>
    </row>
    <row r="2642" spans="1:10">
      <c r="A2642" s="6" t="s">
        <v>141</v>
      </c>
      <c r="B2642" s="6" t="s">
        <v>90</v>
      </c>
      <c r="C2642" s="6" t="s">
        <v>348</v>
      </c>
      <c r="D2642" s="6">
        <v>5.640833333333332</v>
      </c>
      <c r="E2642" s="6" t="s">
        <v>88</v>
      </c>
      <c r="F2642" s="6" t="s">
        <v>52</v>
      </c>
      <c r="G2642" s="7">
        <v>84173.86100654831</v>
      </c>
      <c r="H2642" s="6">
        <v>474810.7209611045</v>
      </c>
      <c r="I2642" s="6" t="s">
        <v>179</v>
      </c>
      <c r="J2642" s="15">
        <v>51</v>
      </c>
    </row>
    <row r="2643" spans="1:10">
      <c r="A2643" s="6" t="s">
        <v>141</v>
      </c>
      <c r="B2643" s="6" t="s">
        <v>90</v>
      </c>
      <c r="C2643" s="6" t="s">
        <v>348</v>
      </c>
      <c r="D2643" s="6">
        <v>2.938842834598612</v>
      </c>
      <c r="E2643" s="6" t="s">
        <v>90</v>
      </c>
      <c r="F2643" s="6" t="s">
        <v>52</v>
      </c>
      <c r="G2643" s="7">
        <v>84173.86100654831</v>
      </c>
      <c r="H2643" s="6">
        <v>247373.748279594</v>
      </c>
      <c r="I2643" s="6" t="s">
        <v>179</v>
      </c>
      <c r="J2643" s="15">
        <v>51</v>
      </c>
    </row>
    <row r="2644" spans="1:10">
      <c r="A2644" s="6" t="s">
        <v>141</v>
      </c>
      <c r="B2644" s="6" t="s">
        <v>90</v>
      </c>
      <c r="C2644" s="6" t="s">
        <v>247</v>
      </c>
      <c r="D2644" s="6">
        <v>19.32371949393364</v>
      </c>
      <c r="E2644" s="6" t="s">
        <v>44</v>
      </c>
      <c r="F2644" s="6" t="s">
        <v>51</v>
      </c>
      <c r="G2644" s="7">
        <v>47607.91710069619</v>
      </c>
      <c r="H2644" s="6">
        <v>919962.0357442995</v>
      </c>
      <c r="I2644" s="6" t="s">
        <v>179</v>
      </c>
      <c r="J2644" s="15">
        <v>22.81666666666667</v>
      </c>
    </row>
    <row r="2645" spans="1:10">
      <c r="A2645" s="6" t="s">
        <v>141</v>
      </c>
      <c r="B2645" s="6" t="s">
        <v>90</v>
      </c>
      <c r="C2645" s="6" t="s">
        <v>247</v>
      </c>
      <c r="D2645" s="6">
        <v>0.8147063873782577</v>
      </c>
      <c r="E2645" s="6" t="s">
        <v>86</v>
      </c>
      <c r="F2645" s="6" t="s">
        <v>51</v>
      </c>
      <c r="G2645" s="7">
        <v>47607.91710069619</v>
      </c>
      <c r="H2645" s="6">
        <v>38786.47415171177</v>
      </c>
      <c r="I2645" s="6" t="s">
        <v>179</v>
      </c>
      <c r="J2645" s="15">
        <v>22.81666666666667</v>
      </c>
    </row>
    <row r="2646" spans="1:10">
      <c r="A2646" s="6" t="s">
        <v>141</v>
      </c>
      <c r="B2646" s="6" t="s">
        <v>90</v>
      </c>
      <c r="C2646" s="6" t="s">
        <v>247</v>
      </c>
      <c r="D2646" s="6">
        <v>0.1183333333333334</v>
      </c>
      <c r="E2646" s="6" t="s">
        <v>88</v>
      </c>
      <c r="F2646" s="6" t="s">
        <v>51</v>
      </c>
      <c r="G2646" s="7">
        <v>47607.91710069619</v>
      </c>
      <c r="H2646" s="6">
        <v>5633.603523582385</v>
      </c>
      <c r="I2646" s="6" t="s">
        <v>179</v>
      </c>
      <c r="J2646" s="15">
        <v>22.81666666666667</v>
      </c>
    </row>
    <row r="2647" spans="1:10">
      <c r="A2647" s="6" t="s">
        <v>141</v>
      </c>
      <c r="B2647" s="6" t="s">
        <v>90</v>
      </c>
      <c r="C2647" s="6" t="s">
        <v>247</v>
      </c>
      <c r="D2647" s="6">
        <v>0.8737495395171289</v>
      </c>
      <c r="E2647" s="6" t="s">
        <v>90</v>
      </c>
      <c r="F2647" s="6" t="s">
        <v>51</v>
      </c>
      <c r="G2647" s="7">
        <v>47607.91710069619</v>
      </c>
      <c r="H2647" s="6">
        <v>41597.39564410294</v>
      </c>
      <c r="I2647" s="6" t="s">
        <v>179</v>
      </c>
      <c r="J2647" s="15">
        <v>22.81666666666667</v>
      </c>
    </row>
    <row r="2648" spans="1:10">
      <c r="A2648" s="6" t="s">
        <v>141</v>
      </c>
      <c r="B2648" s="6" t="s">
        <v>90</v>
      </c>
      <c r="C2648" s="6" t="s">
        <v>248</v>
      </c>
      <c r="D2648" s="6">
        <v>10.70540776891735</v>
      </c>
      <c r="E2648" s="6" t="s">
        <v>44</v>
      </c>
      <c r="F2648" s="6" t="s">
        <v>55</v>
      </c>
      <c r="G2648" s="7">
        <v>105730.4534899073</v>
      </c>
      <c r="H2648" s="6">
        <v>1131887.618202008</v>
      </c>
      <c r="I2648" s="6" t="s">
        <v>179</v>
      </c>
      <c r="J2648" s="15">
        <v>62</v>
      </c>
    </row>
    <row r="2649" spans="1:10">
      <c r="A2649" s="6" t="s">
        <v>141</v>
      </c>
      <c r="B2649" s="6" t="s">
        <v>90</v>
      </c>
      <c r="C2649" s="6" t="s">
        <v>248</v>
      </c>
      <c r="D2649" s="6">
        <v>0.2749344761714207</v>
      </c>
      <c r="E2649" s="6" t="s">
        <v>86</v>
      </c>
      <c r="F2649" s="6" t="s">
        <v>55</v>
      </c>
      <c r="G2649" s="7">
        <v>105730.4534899073</v>
      </c>
      <c r="H2649" s="6">
        <v>29068.94684561444</v>
      </c>
      <c r="I2649" s="6" t="s">
        <v>179</v>
      </c>
      <c r="J2649" s="15">
        <v>62</v>
      </c>
    </row>
    <row r="2650" spans="1:10">
      <c r="A2650" s="6" t="s">
        <v>141</v>
      </c>
      <c r="B2650" s="6" t="s">
        <v>90</v>
      </c>
      <c r="C2650" s="6" t="s">
        <v>248</v>
      </c>
      <c r="D2650" s="6">
        <v>0.1459652053384428</v>
      </c>
      <c r="E2650" s="6" t="s">
        <v>90</v>
      </c>
      <c r="F2650" s="6" t="s">
        <v>55</v>
      </c>
      <c r="G2650" s="7">
        <v>105730.4534899073</v>
      </c>
      <c r="H2650" s="6">
        <v>15432.967354181</v>
      </c>
      <c r="I2650" s="6" t="s">
        <v>179</v>
      </c>
      <c r="J2650" s="15">
        <v>62</v>
      </c>
    </row>
    <row r="2651" spans="1:10">
      <c r="A2651" s="6" t="s">
        <v>141</v>
      </c>
      <c r="B2651" s="6" t="s">
        <v>90</v>
      </c>
      <c r="C2651" s="6" t="s">
        <v>249</v>
      </c>
      <c r="D2651" s="6">
        <v>48.85117315692841</v>
      </c>
      <c r="E2651" s="6" t="s">
        <v>44</v>
      </c>
      <c r="F2651" s="6" t="s">
        <v>53</v>
      </c>
      <c r="G2651" s="7">
        <v>24606.21147932586</v>
      </c>
      <c r="H2651" s="6">
        <v>1202042.297712547</v>
      </c>
      <c r="I2651" s="6" t="s">
        <v>179</v>
      </c>
      <c r="J2651" s="15">
        <v>18</v>
      </c>
    </row>
    <row r="2652" spans="1:10">
      <c r="A2652" s="6" t="s">
        <v>141</v>
      </c>
      <c r="B2652" s="6" t="s">
        <v>90</v>
      </c>
      <c r="C2652" s="6" t="s">
        <v>249</v>
      </c>
      <c r="D2652" s="6">
        <v>4.228493556057458</v>
      </c>
      <c r="E2652" s="6" t="s">
        <v>86</v>
      </c>
      <c r="F2652" s="6" t="s">
        <v>53</v>
      </c>
      <c r="G2652" s="7">
        <v>24606.21147932586</v>
      </c>
      <c r="H2652" s="6">
        <v>104047.2066793165</v>
      </c>
      <c r="I2652" s="6" t="s">
        <v>179</v>
      </c>
      <c r="J2652" s="15">
        <v>18</v>
      </c>
    </row>
    <row r="2653" spans="1:10">
      <c r="A2653" s="6" t="s">
        <v>141</v>
      </c>
      <c r="B2653" s="6" t="s">
        <v>90</v>
      </c>
      <c r="C2653" s="6" t="s">
        <v>249</v>
      </c>
      <c r="D2653" s="6">
        <v>3.89475</v>
      </c>
      <c r="E2653" s="6" t="s">
        <v>88</v>
      </c>
      <c r="F2653" s="6" t="s">
        <v>53</v>
      </c>
      <c r="G2653" s="7">
        <v>24606.21147932586</v>
      </c>
      <c r="H2653" s="6">
        <v>95835.0421591044</v>
      </c>
      <c r="I2653" s="6" t="s">
        <v>179</v>
      </c>
      <c r="J2653" s="15">
        <v>18</v>
      </c>
    </row>
    <row r="2654" spans="1:10">
      <c r="A2654" s="6" t="s">
        <v>141</v>
      </c>
      <c r="B2654" s="6" t="s">
        <v>90</v>
      </c>
      <c r="C2654" s="6" t="s">
        <v>249</v>
      </c>
      <c r="D2654" s="6">
        <v>2.474137615221925</v>
      </c>
      <c r="E2654" s="6" t="s">
        <v>90</v>
      </c>
      <c r="F2654" s="6" t="s">
        <v>53</v>
      </c>
      <c r="G2654" s="7">
        <v>24606.21147932586</v>
      </c>
      <c r="H2654" s="6">
        <v>60879.15338910564</v>
      </c>
      <c r="I2654" s="6" t="s">
        <v>179</v>
      </c>
      <c r="J2654" s="15">
        <v>18</v>
      </c>
    </row>
    <row r="2655" spans="1:10">
      <c r="A2655" s="6" t="s">
        <v>141</v>
      </c>
      <c r="B2655" s="6" t="s">
        <v>90</v>
      </c>
      <c r="C2655" s="6" t="s">
        <v>351</v>
      </c>
      <c r="D2655" s="6">
        <v>0.9333333333333333</v>
      </c>
      <c r="E2655" s="6" t="s">
        <v>90</v>
      </c>
      <c r="F2655" s="6" t="s">
        <v>53</v>
      </c>
      <c r="G2655" s="7">
        <v>38920.81072942021</v>
      </c>
      <c r="H2655" s="6">
        <v>36326.09001412553</v>
      </c>
      <c r="I2655" s="6" t="s">
        <v>180</v>
      </c>
      <c r="J2655" s="15">
        <v>57</v>
      </c>
    </row>
    <row r="2656" spans="1:10">
      <c r="A2656" s="6" t="s">
        <v>141</v>
      </c>
      <c r="B2656" s="6" t="s">
        <v>90</v>
      </c>
      <c r="C2656" s="6" t="s">
        <v>250</v>
      </c>
      <c r="D2656" s="6">
        <v>0.1490836235397013</v>
      </c>
      <c r="E2656" s="6" t="s">
        <v>44</v>
      </c>
      <c r="F2656" s="6" t="s">
        <v>55</v>
      </c>
      <c r="G2656" s="7">
        <v>63627.67337809179</v>
      </c>
      <c r="H2656" s="6">
        <v>9485.844104606507</v>
      </c>
      <c r="I2656" s="6" t="s">
        <v>180</v>
      </c>
      <c r="J2656" s="15">
        <v>13.62736532299243</v>
      </c>
    </row>
    <row r="2657" spans="1:10">
      <c r="A2657" s="6" t="s">
        <v>141</v>
      </c>
      <c r="B2657" s="6" t="s">
        <v>90</v>
      </c>
      <c r="C2657" s="6" t="s">
        <v>250</v>
      </c>
      <c r="D2657" s="6">
        <v>0.1357592342384071</v>
      </c>
      <c r="E2657" s="6" t="s">
        <v>86</v>
      </c>
      <c r="F2657" s="6" t="s">
        <v>55</v>
      </c>
      <c r="G2657" s="7">
        <v>63627.67337809179</v>
      </c>
      <c r="H2657" s="6">
        <v>8638.044214181224</v>
      </c>
      <c r="I2657" s="6" t="s">
        <v>180</v>
      </c>
      <c r="J2657" s="15">
        <v>13.62736532299243</v>
      </c>
    </row>
    <row r="2658" spans="1:10">
      <c r="A2658" s="6" t="s">
        <v>141</v>
      </c>
      <c r="B2658" s="6" t="s">
        <v>90</v>
      </c>
      <c r="C2658" s="6" t="s">
        <v>250</v>
      </c>
      <c r="D2658" s="6">
        <v>0.005500000000000001</v>
      </c>
      <c r="E2658" s="6" t="s">
        <v>88</v>
      </c>
      <c r="F2658" s="6" t="s">
        <v>55</v>
      </c>
      <c r="G2658" s="7">
        <v>63627.67337809179</v>
      </c>
      <c r="H2658" s="6">
        <v>349.9522035795048</v>
      </c>
      <c r="I2658" s="6" t="s">
        <v>180</v>
      </c>
      <c r="J2658" s="15">
        <v>13.62736532299243</v>
      </c>
    </row>
    <row r="2659" spans="1:10">
      <c r="A2659" s="6" t="s">
        <v>141</v>
      </c>
      <c r="B2659" s="6" t="s">
        <v>90</v>
      </c>
      <c r="C2659" s="6" t="s">
        <v>250</v>
      </c>
      <c r="D2659" s="6">
        <v>0.1806467334613125</v>
      </c>
      <c r="E2659" s="6" t="s">
        <v>90</v>
      </c>
      <c r="F2659" s="6" t="s">
        <v>55</v>
      </c>
      <c r="G2659" s="7">
        <v>63627.67337809179</v>
      </c>
      <c r="H2659" s="6">
        <v>11494.1313534956</v>
      </c>
      <c r="I2659" s="6" t="s">
        <v>180</v>
      </c>
      <c r="J2659" s="15">
        <v>13.62736532299243</v>
      </c>
    </row>
    <row r="2660" spans="1:10">
      <c r="A2660" s="6" t="s">
        <v>141</v>
      </c>
      <c r="B2660" s="6" t="s">
        <v>90</v>
      </c>
      <c r="C2660" s="6" t="s">
        <v>251</v>
      </c>
      <c r="D2660" s="6">
        <v>10.92271825396825</v>
      </c>
      <c r="E2660" s="6" t="s">
        <v>44</v>
      </c>
      <c r="F2660" s="6" t="s">
        <v>53</v>
      </c>
      <c r="G2660" s="7">
        <v>23642.19568206914</v>
      </c>
      <c r="H2660" s="6">
        <v>258237.042340426</v>
      </c>
      <c r="I2660" s="6" t="s">
        <v>179</v>
      </c>
      <c r="J2660" s="15">
        <v>18.675</v>
      </c>
    </row>
    <row r="2661" spans="1:10">
      <c r="A2661" s="6" t="s">
        <v>141</v>
      </c>
      <c r="B2661" s="6" t="s">
        <v>90</v>
      </c>
      <c r="C2661" s="6" t="s">
        <v>251</v>
      </c>
      <c r="D2661" s="6">
        <v>1.847830221481936</v>
      </c>
      <c r="E2661" s="6" t="s">
        <v>86</v>
      </c>
      <c r="F2661" s="6" t="s">
        <v>53</v>
      </c>
      <c r="G2661" s="7">
        <v>23642.19568206914</v>
      </c>
      <c r="H2661" s="6">
        <v>43686.7636835171</v>
      </c>
      <c r="I2661" s="6" t="s">
        <v>179</v>
      </c>
      <c r="J2661" s="15">
        <v>18.675</v>
      </c>
    </row>
    <row r="2662" spans="1:10">
      <c r="A2662" s="6" t="s">
        <v>141</v>
      </c>
      <c r="B2662" s="6" t="s">
        <v>90</v>
      </c>
      <c r="C2662" s="6" t="s">
        <v>251</v>
      </c>
      <c r="D2662" s="6">
        <v>1.145583333333333</v>
      </c>
      <c r="E2662" s="6" t="s">
        <v>88</v>
      </c>
      <c r="F2662" s="6" t="s">
        <v>53</v>
      </c>
      <c r="G2662" s="7">
        <v>23642.19568206914</v>
      </c>
      <c r="H2662" s="6">
        <v>27084.1053367837</v>
      </c>
      <c r="I2662" s="6" t="s">
        <v>179</v>
      </c>
      <c r="J2662" s="15">
        <v>18.675</v>
      </c>
    </row>
    <row r="2663" spans="1:10">
      <c r="A2663" s="6" t="s">
        <v>141</v>
      </c>
      <c r="B2663" s="6" t="s">
        <v>90</v>
      </c>
      <c r="C2663" s="6" t="s">
        <v>251</v>
      </c>
      <c r="D2663" s="6">
        <v>0.9649779874213837</v>
      </c>
      <c r="E2663" s="6" t="s">
        <v>90</v>
      </c>
      <c r="F2663" s="6" t="s">
        <v>53</v>
      </c>
      <c r="G2663" s="7">
        <v>23642.19568206914</v>
      </c>
      <c r="H2663" s="6">
        <v>22814.19840750561</v>
      </c>
      <c r="I2663" s="6" t="s">
        <v>179</v>
      </c>
      <c r="J2663" s="15">
        <v>18.675</v>
      </c>
    </row>
    <row r="2664" spans="1:10">
      <c r="A2664" s="6" t="s">
        <v>141</v>
      </c>
      <c r="B2664" s="6" t="s">
        <v>90</v>
      </c>
      <c r="C2664" s="6" t="s">
        <v>252</v>
      </c>
      <c r="D2664" s="6">
        <v>0.03807212063818942</v>
      </c>
      <c r="E2664" s="6" t="s">
        <v>44</v>
      </c>
      <c r="F2664" s="6" t="s">
        <v>57</v>
      </c>
      <c r="G2664" s="7">
        <v>42694.47301830137</v>
      </c>
      <c r="H2664" s="6">
        <v>1625.469127336693</v>
      </c>
      <c r="I2664" s="6" t="s">
        <v>180</v>
      </c>
      <c r="J2664" s="15">
        <v>6.919883484163813</v>
      </c>
    </row>
    <row r="2665" spans="1:10">
      <c r="A2665" s="6" t="s">
        <v>141</v>
      </c>
      <c r="B2665" s="6" t="s">
        <v>90</v>
      </c>
      <c r="C2665" s="6" t="s">
        <v>252</v>
      </c>
      <c r="D2665" s="6">
        <v>0.09015662710355871</v>
      </c>
      <c r="E2665" s="6" t="s">
        <v>86</v>
      </c>
      <c r="F2665" s="6" t="s">
        <v>57</v>
      </c>
      <c r="G2665" s="7">
        <v>42694.47301830137</v>
      </c>
      <c r="H2665" s="6">
        <v>3849.189683293945</v>
      </c>
      <c r="I2665" s="6" t="s">
        <v>180</v>
      </c>
      <c r="J2665" s="15">
        <v>6.919883484163813</v>
      </c>
    </row>
    <row r="2666" spans="1:10">
      <c r="A2666" s="6" t="s">
        <v>141</v>
      </c>
      <c r="B2666" s="6" t="s">
        <v>90</v>
      </c>
      <c r="C2666" s="6" t="s">
        <v>252</v>
      </c>
      <c r="D2666" s="6">
        <v>0.003250000000000001</v>
      </c>
      <c r="E2666" s="6" t="s">
        <v>88</v>
      </c>
      <c r="F2666" s="6" t="s">
        <v>57</v>
      </c>
      <c r="G2666" s="7">
        <v>42694.47301830137</v>
      </c>
      <c r="H2666" s="6">
        <v>138.7570373094795</v>
      </c>
      <c r="I2666" s="6" t="s">
        <v>180</v>
      </c>
      <c r="J2666" s="15">
        <v>6.919883484163813</v>
      </c>
    </row>
    <row r="2667" spans="1:10">
      <c r="A2667" s="6" t="s">
        <v>141</v>
      </c>
      <c r="B2667" s="6" t="s">
        <v>90</v>
      </c>
      <c r="C2667" s="6" t="s">
        <v>252</v>
      </c>
      <c r="D2667" s="6">
        <v>0.02376395181519435</v>
      </c>
      <c r="E2667" s="6" t="s">
        <v>90</v>
      </c>
      <c r="F2667" s="6" t="s">
        <v>57</v>
      </c>
      <c r="G2667" s="7">
        <v>42694.47301830137</v>
      </c>
      <c r="H2667" s="6">
        <v>1014.589399582029</v>
      </c>
      <c r="I2667" s="6" t="s">
        <v>180</v>
      </c>
      <c r="J2667" s="15">
        <v>6.919883484163813</v>
      </c>
    </row>
    <row r="2668" spans="1:10">
      <c r="A2668" s="6" t="s">
        <v>141</v>
      </c>
      <c r="B2668" s="6" t="s">
        <v>90</v>
      </c>
      <c r="C2668" s="6" t="s">
        <v>253</v>
      </c>
      <c r="D2668" s="6">
        <v>9.699328194434965</v>
      </c>
      <c r="E2668" s="6" t="s">
        <v>44</v>
      </c>
      <c r="F2668" s="6" t="s">
        <v>53</v>
      </c>
      <c r="G2668" s="7">
        <v>32446.79249986879</v>
      </c>
      <c r="H2668" s="6">
        <v>314712.0893129583</v>
      </c>
      <c r="I2668" s="6" t="s">
        <v>179</v>
      </c>
      <c r="J2668" s="15">
        <v>16</v>
      </c>
    </row>
    <row r="2669" spans="1:10">
      <c r="A2669" s="6" t="s">
        <v>141</v>
      </c>
      <c r="B2669" s="6" t="s">
        <v>90</v>
      </c>
      <c r="C2669" s="6" t="s">
        <v>253</v>
      </c>
      <c r="D2669" s="6">
        <v>0.5866919722073877</v>
      </c>
      <c r="E2669" s="6" t="s">
        <v>86</v>
      </c>
      <c r="F2669" s="6" t="s">
        <v>53</v>
      </c>
      <c r="G2669" s="7">
        <v>32446.79249986879</v>
      </c>
      <c r="H2669" s="6">
        <v>19036.2726835519</v>
      </c>
      <c r="I2669" s="6" t="s">
        <v>179</v>
      </c>
      <c r="J2669" s="15">
        <v>16</v>
      </c>
    </row>
    <row r="2670" spans="1:10">
      <c r="A2670" s="6" t="s">
        <v>141</v>
      </c>
      <c r="B2670" s="6" t="s">
        <v>90</v>
      </c>
      <c r="C2670" s="6" t="s">
        <v>253</v>
      </c>
      <c r="D2670" s="6">
        <v>0.85925</v>
      </c>
      <c r="E2670" s="6" t="s">
        <v>88</v>
      </c>
      <c r="F2670" s="6" t="s">
        <v>53</v>
      </c>
      <c r="G2670" s="7">
        <v>32446.79249986879</v>
      </c>
      <c r="H2670" s="6">
        <v>27879.90645551226</v>
      </c>
      <c r="I2670" s="6" t="s">
        <v>179</v>
      </c>
      <c r="J2670" s="15">
        <v>16</v>
      </c>
    </row>
    <row r="2671" spans="1:10">
      <c r="A2671" s="6" t="s">
        <v>141</v>
      </c>
      <c r="B2671" s="6" t="s">
        <v>90</v>
      </c>
      <c r="C2671" s="6" t="s">
        <v>253</v>
      </c>
      <c r="D2671" s="6">
        <v>1.062625274652508</v>
      </c>
      <c r="E2671" s="6" t="s">
        <v>90</v>
      </c>
      <c r="F2671" s="6" t="s">
        <v>53</v>
      </c>
      <c r="G2671" s="7">
        <v>32446.79249986879</v>
      </c>
      <c r="H2671" s="6">
        <v>34478.78179176601</v>
      </c>
      <c r="I2671" s="6" t="s">
        <v>179</v>
      </c>
      <c r="J2671" s="15">
        <v>16</v>
      </c>
    </row>
    <row r="2672" spans="1:10">
      <c r="A2672" s="6" t="s">
        <v>141</v>
      </c>
      <c r="B2672" s="6" t="s">
        <v>90</v>
      </c>
      <c r="C2672" s="6" t="s">
        <v>253</v>
      </c>
      <c r="D2672" s="6">
        <v>0.01083333333333333</v>
      </c>
      <c r="E2672" s="6" t="s">
        <v>92</v>
      </c>
      <c r="F2672" s="6" t="s">
        <v>53</v>
      </c>
      <c r="G2672" s="7">
        <v>32446.79249986879</v>
      </c>
      <c r="H2672" s="6">
        <v>351.5069187485785</v>
      </c>
      <c r="I2672" s="6" t="s">
        <v>179</v>
      </c>
      <c r="J2672" s="15">
        <v>16</v>
      </c>
    </row>
    <row r="2673" spans="1:10">
      <c r="A2673" s="6" t="s">
        <v>141</v>
      </c>
      <c r="B2673" s="6" t="s">
        <v>90</v>
      </c>
      <c r="C2673" s="6" t="s">
        <v>254</v>
      </c>
      <c r="D2673" s="6">
        <v>0.02179123274400582</v>
      </c>
      <c r="E2673" s="6" t="s">
        <v>44</v>
      </c>
      <c r="F2673" s="6" t="s">
        <v>51</v>
      </c>
      <c r="G2673" s="7">
        <v>50623.2876601551</v>
      </c>
      <c r="H2673" s="6">
        <v>1103.143843669197</v>
      </c>
      <c r="I2673" s="6" t="s">
        <v>180</v>
      </c>
      <c r="J2673" s="15">
        <v>9.460459186856067</v>
      </c>
    </row>
    <row r="2674" spans="1:10">
      <c r="A2674" s="6" t="s">
        <v>141</v>
      </c>
      <c r="B2674" s="6" t="s">
        <v>90</v>
      </c>
      <c r="C2674" s="6" t="s">
        <v>254</v>
      </c>
      <c r="D2674" s="6">
        <v>0.03594678174816292</v>
      </c>
      <c r="E2674" s="6" t="s">
        <v>86</v>
      </c>
      <c r="F2674" s="6" t="s">
        <v>51</v>
      </c>
      <c r="G2674" s="7">
        <v>50623.2876601551</v>
      </c>
      <c r="H2674" s="6">
        <v>1819.744272894064</v>
      </c>
      <c r="I2674" s="6" t="s">
        <v>180</v>
      </c>
      <c r="J2674" s="15">
        <v>9.460459186856067</v>
      </c>
    </row>
    <row r="2675" spans="1:10">
      <c r="A2675" s="6" t="s">
        <v>141</v>
      </c>
      <c r="B2675" s="6" t="s">
        <v>90</v>
      </c>
      <c r="C2675" s="6" t="s">
        <v>254</v>
      </c>
      <c r="D2675" s="6">
        <v>0.004025837712606657</v>
      </c>
      <c r="E2675" s="6" t="s">
        <v>90</v>
      </c>
      <c r="F2675" s="6" t="s">
        <v>51</v>
      </c>
      <c r="G2675" s="7">
        <v>50623.2876601551</v>
      </c>
      <c r="H2675" s="6">
        <v>203.8011405983876</v>
      </c>
      <c r="I2675" s="6" t="s">
        <v>180</v>
      </c>
      <c r="J2675" s="15">
        <v>9.460459186856067</v>
      </c>
    </row>
    <row r="2676" spans="1:10">
      <c r="A2676" s="6" t="s">
        <v>141</v>
      </c>
      <c r="B2676" s="6" t="s">
        <v>90</v>
      </c>
      <c r="C2676" s="6" t="s">
        <v>256</v>
      </c>
      <c r="D2676" s="6">
        <v>1.360404732911187</v>
      </c>
      <c r="E2676" s="6" t="s">
        <v>44</v>
      </c>
      <c r="F2676" s="6" t="s">
        <v>57</v>
      </c>
      <c r="G2676" s="7">
        <v>50139.25135563286</v>
      </c>
      <c r="H2676" s="6">
        <v>68209.6748488266</v>
      </c>
      <c r="I2676" s="6" t="s">
        <v>180</v>
      </c>
      <c r="J2676" s="15">
        <v>64</v>
      </c>
    </row>
    <row r="2677" spans="1:10">
      <c r="A2677" s="6" t="s">
        <v>141</v>
      </c>
      <c r="B2677" s="6" t="s">
        <v>90</v>
      </c>
      <c r="C2677" s="6" t="s">
        <v>256</v>
      </c>
      <c r="D2677" s="6">
        <v>0.2647458759538887</v>
      </c>
      <c r="E2677" s="6" t="s">
        <v>86</v>
      </c>
      <c r="F2677" s="6" t="s">
        <v>57</v>
      </c>
      <c r="G2677" s="7">
        <v>50139.25135563286</v>
      </c>
      <c r="H2677" s="6">
        <v>13274.16001981922</v>
      </c>
      <c r="I2677" s="6" t="s">
        <v>180</v>
      </c>
      <c r="J2677" s="15">
        <v>64</v>
      </c>
    </row>
    <row r="2678" spans="1:10">
      <c r="A2678" s="6" t="s">
        <v>141</v>
      </c>
      <c r="B2678" s="6" t="s">
        <v>90</v>
      </c>
      <c r="C2678" s="6" t="s">
        <v>256</v>
      </c>
      <c r="D2678" s="6">
        <v>0.1535</v>
      </c>
      <c r="E2678" s="6" t="s">
        <v>88</v>
      </c>
      <c r="F2678" s="6" t="s">
        <v>57</v>
      </c>
      <c r="G2678" s="7">
        <v>50139.25135563286</v>
      </c>
      <c r="H2678" s="6">
        <v>7696.375083089644</v>
      </c>
      <c r="I2678" s="6" t="s">
        <v>180</v>
      </c>
      <c r="J2678" s="15">
        <v>64</v>
      </c>
    </row>
    <row r="2679" spans="1:10">
      <c r="A2679" s="6" t="s">
        <v>141</v>
      </c>
      <c r="B2679" s="6" t="s">
        <v>90</v>
      </c>
      <c r="C2679" s="6" t="s">
        <v>256</v>
      </c>
      <c r="D2679" s="6">
        <v>0.1334166666666667</v>
      </c>
      <c r="E2679" s="6" t="s">
        <v>90</v>
      </c>
      <c r="F2679" s="6" t="s">
        <v>57</v>
      </c>
      <c r="G2679" s="7">
        <v>50139.25135563286</v>
      </c>
      <c r="H2679" s="6">
        <v>6689.411785030686</v>
      </c>
      <c r="I2679" s="6" t="s">
        <v>180</v>
      </c>
      <c r="J2679" s="15">
        <v>64</v>
      </c>
    </row>
    <row r="2680" spans="1:10">
      <c r="A2680" s="6" t="s">
        <v>141</v>
      </c>
      <c r="B2680" s="6" t="s">
        <v>90</v>
      </c>
      <c r="C2680" s="6" t="s">
        <v>257</v>
      </c>
      <c r="D2680" s="6">
        <v>5.125588883787823</v>
      </c>
      <c r="E2680" s="6" t="s">
        <v>44</v>
      </c>
      <c r="F2680" s="6" t="s">
        <v>52</v>
      </c>
      <c r="G2680" s="7">
        <v>85265.7273803006</v>
      </c>
      <c r="H2680" s="6">
        <v>437037.0644285518</v>
      </c>
      <c r="I2680" s="6" t="s">
        <v>179</v>
      </c>
      <c r="J2680" s="15">
        <v>44</v>
      </c>
    </row>
    <row r="2681" spans="1:10">
      <c r="A2681" s="6" t="s">
        <v>141</v>
      </c>
      <c r="B2681" s="6" t="s">
        <v>90</v>
      </c>
      <c r="C2681" s="6" t="s">
        <v>257</v>
      </c>
      <c r="D2681" s="6">
        <v>10.67858081117928</v>
      </c>
      <c r="E2681" s="6" t="s">
        <v>86</v>
      </c>
      <c r="F2681" s="6" t="s">
        <v>52</v>
      </c>
      <c r="G2681" s="7">
        <v>85265.7273803006</v>
      </c>
      <c r="H2681" s="6">
        <v>910516.9602545216</v>
      </c>
      <c r="I2681" s="6" t="s">
        <v>179</v>
      </c>
      <c r="J2681" s="15">
        <v>44</v>
      </c>
    </row>
    <row r="2682" spans="1:10">
      <c r="A2682" s="6" t="s">
        <v>141</v>
      </c>
      <c r="B2682" s="6" t="s">
        <v>90</v>
      </c>
      <c r="C2682" s="6" t="s">
        <v>257</v>
      </c>
      <c r="D2682" s="6">
        <v>1.134</v>
      </c>
      <c r="E2682" s="6" t="s">
        <v>88</v>
      </c>
      <c r="F2682" s="6" t="s">
        <v>52</v>
      </c>
      <c r="G2682" s="7">
        <v>85265.7273803006</v>
      </c>
      <c r="H2682" s="6">
        <v>96691.33484926088</v>
      </c>
      <c r="I2682" s="6" t="s">
        <v>179</v>
      </c>
      <c r="J2682" s="15">
        <v>44</v>
      </c>
    </row>
    <row r="2683" spans="1:10">
      <c r="A2683" s="6" t="s">
        <v>141</v>
      </c>
      <c r="B2683" s="6" t="s">
        <v>90</v>
      </c>
      <c r="C2683" s="6" t="s">
        <v>257</v>
      </c>
      <c r="D2683" s="6">
        <v>0.02626666666666666</v>
      </c>
      <c r="E2683" s="6" t="s">
        <v>90</v>
      </c>
      <c r="F2683" s="6" t="s">
        <v>52</v>
      </c>
      <c r="G2683" s="7">
        <v>85265.7273803006</v>
      </c>
      <c r="H2683" s="6">
        <v>2239.646439189229</v>
      </c>
      <c r="I2683" s="6" t="s">
        <v>179</v>
      </c>
      <c r="J2683" s="15">
        <v>44</v>
      </c>
    </row>
    <row r="2684" spans="1:10">
      <c r="A2684" s="6" t="s">
        <v>141</v>
      </c>
      <c r="B2684" s="6" t="s">
        <v>90</v>
      </c>
      <c r="C2684" s="6" t="s">
        <v>258</v>
      </c>
      <c r="D2684" s="6">
        <v>5.824416666666667</v>
      </c>
      <c r="E2684" s="6" t="s">
        <v>86</v>
      </c>
      <c r="F2684" s="6" t="s">
        <v>52</v>
      </c>
      <c r="G2684" s="7">
        <v>82626.29734022004</v>
      </c>
      <c r="H2684" s="6">
        <v>481249.9833333333</v>
      </c>
      <c r="I2684" s="6" t="s">
        <v>179</v>
      </c>
      <c r="J2684" s="15">
        <v>47</v>
      </c>
    </row>
    <row r="2685" spans="1:10">
      <c r="A2685" s="6" t="s">
        <v>141</v>
      </c>
      <c r="B2685" s="6" t="s">
        <v>90</v>
      </c>
      <c r="C2685" s="6" t="s">
        <v>260</v>
      </c>
      <c r="D2685" s="6">
        <v>33.6980704953063</v>
      </c>
      <c r="E2685" s="6" t="s">
        <v>44</v>
      </c>
      <c r="F2685" s="6" t="s">
        <v>52</v>
      </c>
      <c r="G2685" s="7">
        <v>55804.87767627013</v>
      </c>
      <c r="H2685" s="6">
        <v>1880516.701916896</v>
      </c>
      <c r="I2685" s="6" t="s">
        <v>179</v>
      </c>
      <c r="J2685" s="15">
        <v>64.03333333333333</v>
      </c>
    </row>
    <row r="2686" spans="1:10">
      <c r="A2686" s="6" t="s">
        <v>141</v>
      </c>
      <c r="B2686" s="6" t="s">
        <v>90</v>
      </c>
      <c r="C2686" s="6" t="s">
        <v>260</v>
      </c>
      <c r="D2686" s="6">
        <v>14.22062251751587</v>
      </c>
      <c r="E2686" s="6" t="s">
        <v>86</v>
      </c>
      <c r="F2686" s="6" t="s">
        <v>52</v>
      </c>
      <c r="G2686" s="7">
        <v>55804.87767627013</v>
      </c>
      <c r="H2686" s="6">
        <v>793580.1000703858</v>
      </c>
      <c r="I2686" s="6" t="s">
        <v>179</v>
      </c>
      <c r="J2686" s="15">
        <v>64.03333333333333</v>
      </c>
    </row>
    <row r="2687" spans="1:10">
      <c r="A2687" s="6" t="s">
        <v>141</v>
      </c>
      <c r="B2687" s="6" t="s">
        <v>90</v>
      </c>
      <c r="C2687" s="6" t="s">
        <v>260</v>
      </c>
      <c r="D2687" s="6">
        <v>324.8758903205112</v>
      </c>
      <c r="E2687" s="6" t="s">
        <v>90</v>
      </c>
      <c r="F2687" s="6" t="s">
        <v>52</v>
      </c>
      <c r="G2687" s="7">
        <v>55804.87767627013</v>
      </c>
      <c r="H2687" s="6">
        <v>18129659.31930548</v>
      </c>
      <c r="I2687" s="6" t="s">
        <v>179</v>
      </c>
      <c r="J2687" s="15">
        <v>64.03333333333333</v>
      </c>
    </row>
    <row r="2688" spans="1:10">
      <c r="A2688" s="6" t="s">
        <v>141</v>
      </c>
      <c r="B2688" s="6" t="s">
        <v>90</v>
      </c>
      <c r="C2688" s="6" t="s">
        <v>260</v>
      </c>
      <c r="D2688" s="6">
        <v>1.437833333333333</v>
      </c>
      <c r="E2688" s="6" t="s">
        <v>92</v>
      </c>
      <c r="F2688" s="6" t="s">
        <v>52</v>
      </c>
      <c r="G2688" s="7">
        <v>55804.87767627013</v>
      </c>
      <c r="H2688" s="6">
        <v>80238.11328553039</v>
      </c>
      <c r="I2688" s="6" t="s">
        <v>179</v>
      </c>
      <c r="J2688" s="15">
        <v>64.03333333333333</v>
      </c>
    </row>
    <row r="2689" spans="1:10">
      <c r="A2689" s="6" t="s">
        <v>141</v>
      </c>
      <c r="B2689" s="6" t="s">
        <v>90</v>
      </c>
      <c r="C2689" s="6" t="s">
        <v>261</v>
      </c>
      <c r="D2689" s="6">
        <v>1.090133263881999</v>
      </c>
      <c r="E2689" s="6" t="s">
        <v>44</v>
      </c>
      <c r="F2689" s="6" t="s">
        <v>54</v>
      </c>
      <c r="G2689" s="7">
        <v>59278.32258850268</v>
      </c>
      <c r="H2689" s="6">
        <v>64621.27128085447</v>
      </c>
      <c r="I2689" s="6" t="s">
        <v>180</v>
      </c>
      <c r="J2689" s="15">
        <v>12.23373267578856</v>
      </c>
    </row>
    <row r="2690" spans="1:10">
      <c r="A2690" s="6" t="s">
        <v>141</v>
      </c>
      <c r="B2690" s="6" t="s">
        <v>90</v>
      </c>
      <c r="C2690" s="6" t="s">
        <v>261</v>
      </c>
      <c r="D2690" s="6">
        <v>0.3882282220458379</v>
      </c>
      <c r="E2690" s="6" t="s">
        <v>86</v>
      </c>
      <c r="F2690" s="6" t="s">
        <v>54</v>
      </c>
      <c r="G2690" s="7">
        <v>59278.32258850268</v>
      </c>
      <c r="H2690" s="6">
        <v>23013.51778439403</v>
      </c>
      <c r="I2690" s="6" t="s">
        <v>180</v>
      </c>
      <c r="J2690" s="15">
        <v>12.23373267578856</v>
      </c>
    </row>
    <row r="2691" spans="1:10">
      <c r="A2691" s="6" t="s">
        <v>141</v>
      </c>
      <c r="B2691" s="6" t="s">
        <v>90</v>
      </c>
      <c r="C2691" s="6" t="s">
        <v>261</v>
      </c>
      <c r="D2691" s="6">
        <v>0.3685833333333334</v>
      </c>
      <c r="E2691" s="6" t="s">
        <v>88</v>
      </c>
      <c r="F2691" s="6" t="s">
        <v>54</v>
      </c>
      <c r="G2691" s="7">
        <v>59278.32258850268</v>
      </c>
      <c r="H2691" s="6">
        <v>21849.00173407895</v>
      </c>
      <c r="I2691" s="6" t="s">
        <v>180</v>
      </c>
      <c r="J2691" s="15">
        <v>12.23373267578856</v>
      </c>
    </row>
    <row r="2692" spans="1:10">
      <c r="A2692" s="6" t="s">
        <v>141</v>
      </c>
      <c r="B2692" s="6" t="s">
        <v>90</v>
      </c>
      <c r="C2692" s="6" t="s">
        <v>261</v>
      </c>
      <c r="D2692" s="6">
        <v>0.3043333333333333</v>
      </c>
      <c r="E2692" s="6" t="s">
        <v>90</v>
      </c>
      <c r="F2692" s="6" t="s">
        <v>54</v>
      </c>
      <c r="G2692" s="7">
        <v>59278.32258850268</v>
      </c>
      <c r="H2692" s="6">
        <v>18040.36950776765</v>
      </c>
      <c r="I2692" s="6" t="s">
        <v>180</v>
      </c>
      <c r="J2692" s="15">
        <v>12.23373267578856</v>
      </c>
    </row>
    <row r="2693" spans="1:10">
      <c r="A2693" s="6" t="s">
        <v>141</v>
      </c>
      <c r="B2693" s="6" t="s">
        <v>90</v>
      </c>
      <c r="C2693" s="6" t="s">
        <v>263</v>
      </c>
      <c r="D2693" s="6">
        <v>17.63467485144747</v>
      </c>
      <c r="E2693" s="6" t="s">
        <v>44</v>
      </c>
      <c r="F2693" s="6" t="s">
        <v>54</v>
      </c>
      <c r="G2693" s="7">
        <v>65896.61824279206</v>
      </c>
      <c r="H2693" s="6">
        <v>1162065.4365216</v>
      </c>
      <c r="I2693" s="6" t="s">
        <v>179</v>
      </c>
      <c r="J2693" s="15">
        <v>46.91666666666666</v>
      </c>
    </row>
    <row r="2694" spans="1:10">
      <c r="A2694" s="6" t="s">
        <v>141</v>
      </c>
      <c r="B2694" s="6" t="s">
        <v>90</v>
      </c>
      <c r="C2694" s="6" t="s">
        <v>263</v>
      </c>
      <c r="D2694" s="6">
        <v>0.3655021111153777</v>
      </c>
      <c r="E2694" s="6" t="s">
        <v>86</v>
      </c>
      <c r="F2694" s="6" t="s">
        <v>54</v>
      </c>
      <c r="G2694" s="7">
        <v>65896.61824279206</v>
      </c>
      <c r="H2694" s="6">
        <v>24085.3530831046</v>
      </c>
      <c r="I2694" s="6" t="s">
        <v>179</v>
      </c>
      <c r="J2694" s="15">
        <v>46.91666666666666</v>
      </c>
    </row>
    <row r="2695" spans="1:10">
      <c r="A2695" s="6" t="s">
        <v>141</v>
      </c>
      <c r="B2695" s="6" t="s">
        <v>90</v>
      </c>
      <c r="C2695" s="6" t="s">
        <v>263</v>
      </c>
      <c r="D2695" s="6">
        <v>0.25025</v>
      </c>
      <c r="E2695" s="6" t="s">
        <v>88</v>
      </c>
      <c r="F2695" s="6" t="s">
        <v>54</v>
      </c>
      <c r="G2695" s="7">
        <v>65896.61824279206</v>
      </c>
      <c r="H2695" s="6">
        <v>16490.62871525871</v>
      </c>
      <c r="I2695" s="6" t="s">
        <v>179</v>
      </c>
      <c r="J2695" s="15">
        <v>46.91666666666666</v>
      </c>
    </row>
    <row r="2696" spans="1:10">
      <c r="A2696" s="6" t="s">
        <v>141</v>
      </c>
      <c r="B2696" s="6" t="s">
        <v>90</v>
      </c>
      <c r="C2696" s="6" t="s">
        <v>263</v>
      </c>
      <c r="D2696" s="6">
        <v>0.2857314181343271</v>
      </c>
      <c r="E2696" s="6" t="s">
        <v>90</v>
      </c>
      <c r="F2696" s="6" t="s">
        <v>54</v>
      </c>
      <c r="G2696" s="7">
        <v>65896.61824279206</v>
      </c>
      <c r="H2696" s="6">
        <v>18828.73418076934</v>
      </c>
      <c r="I2696" s="6" t="s">
        <v>179</v>
      </c>
      <c r="J2696" s="15">
        <v>46.91666666666666</v>
      </c>
    </row>
    <row r="2697" spans="1:10">
      <c r="A2697" s="6" t="s">
        <v>141</v>
      </c>
      <c r="B2697" s="6" t="s">
        <v>90</v>
      </c>
      <c r="C2697" s="6" t="s">
        <v>265</v>
      </c>
      <c r="D2697" s="6">
        <v>9.783400191330067</v>
      </c>
      <c r="E2697" s="6" t="s">
        <v>44</v>
      </c>
      <c r="F2697" s="6" t="s">
        <v>54</v>
      </c>
      <c r="G2697" s="7">
        <v>88348.04007123776</v>
      </c>
      <c r="H2697" s="6">
        <v>864344.2321365839</v>
      </c>
      <c r="I2697" s="6" t="s">
        <v>179</v>
      </c>
      <c r="J2697" s="15">
        <v>17.53537223567039</v>
      </c>
    </row>
    <row r="2698" spans="1:10">
      <c r="A2698" s="6" t="s">
        <v>141</v>
      </c>
      <c r="B2698" s="6" t="s">
        <v>90</v>
      </c>
      <c r="C2698" s="6" t="s">
        <v>265</v>
      </c>
      <c r="D2698" s="6">
        <v>0.2873546560017529</v>
      </c>
      <c r="E2698" s="6" t="s">
        <v>86</v>
      </c>
      <c r="F2698" s="6" t="s">
        <v>54</v>
      </c>
      <c r="G2698" s="7">
        <v>88348.04007123776</v>
      </c>
      <c r="H2698" s="6">
        <v>25387.2206630996</v>
      </c>
      <c r="I2698" s="6" t="s">
        <v>179</v>
      </c>
      <c r="J2698" s="15">
        <v>17.53537223567039</v>
      </c>
    </row>
    <row r="2699" spans="1:10">
      <c r="A2699" s="6" t="s">
        <v>141</v>
      </c>
      <c r="B2699" s="6" t="s">
        <v>90</v>
      </c>
      <c r="C2699" s="6" t="s">
        <v>265</v>
      </c>
      <c r="D2699" s="6">
        <v>0.1926666666666667</v>
      </c>
      <c r="E2699" s="6" t="s">
        <v>88</v>
      </c>
      <c r="F2699" s="6" t="s">
        <v>54</v>
      </c>
      <c r="G2699" s="7">
        <v>88348.04007123776</v>
      </c>
      <c r="H2699" s="6">
        <v>17021.72238705847</v>
      </c>
      <c r="I2699" s="6" t="s">
        <v>179</v>
      </c>
      <c r="J2699" s="15">
        <v>17.53537223567039</v>
      </c>
    </row>
    <row r="2700" spans="1:10">
      <c r="A2700" s="6" t="s">
        <v>141</v>
      </c>
      <c r="B2700" s="6" t="s">
        <v>90</v>
      </c>
      <c r="C2700" s="6" t="s">
        <v>265</v>
      </c>
      <c r="D2700" s="6">
        <v>0.1665362955959978</v>
      </c>
      <c r="E2700" s="6" t="s">
        <v>90</v>
      </c>
      <c r="F2700" s="6" t="s">
        <v>54</v>
      </c>
      <c r="G2700" s="7">
        <v>88348.04007123776</v>
      </c>
      <c r="H2700" s="6">
        <v>14713.15531663071</v>
      </c>
      <c r="I2700" s="6" t="s">
        <v>179</v>
      </c>
      <c r="J2700" s="15">
        <v>17.53537223567039</v>
      </c>
    </row>
    <row r="2701" spans="1:10">
      <c r="A2701" s="6" t="s">
        <v>141</v>
      </c>
      <c r="B2701" s="6" t="s">
        <v>90</v>
      </c>
      <c r="C2701" s="6" t="s">
        <v>266</v>
      </c>
      <c r="D2701" s="6">
        <v>41.76886501153152</v>
      </c>
      <c r="E2701" s="6" t="s">
        <v>44</v>
      </c>
      <c r="F2701" s="6" t="s">
        <v>57</v>
      </c>
      <c r="G2701" s="7">
        <v>59085.91288749369</v>
      </c>
      <c r="H2701" s="6">
        <v>2467951.519480835</v>
      </c>
      <c r="I2701" s="6" t="s">
        <v>179</v>
      </c>
      <c r="J2701" s="15">
        <v>7.229441618985901</v>
      </c>
    </row>
    <row r="2702" spans="1:10">
      <c r="A2702" s="6" t="s">
        <v>141</v>
      </c>
      <c r="B2702" s="6" t="s">
        <v>90</v>
      </c>
      <c r="C2702" s="6" t="s">
        <v>266</v>
      </c>
      <c r="D2702" s="6">
        <v>5.553869462037738</v>
      </c>
      <c r="E2702" s="6" t="s">
        <v>86</v>
      </c>
      <c r="F2702" s="6" t="s">
        <v>57</v>
      </c>
      <c r="G2702" s="7">
        <v>59085.91288749369</v>
      </c>
      <c r="H2702" s="6">
        <v>328155.4472224732</v>
      </c>
      <c r="I2702" s="6" t="s">
        <v>179</v>
      </c>
      <c r="J2702" s="15">
        <v>7.229441618985901</v>
      </c>
    </row>
    <row r="2703" spans="1:10">
      <c r="A2703" s="6" t="s">
        <v>141</v>
      </c>
      <c r="B2703" s="6" t="s">
        <v>90</v>
      </c>
      <c r="C2703" s="6" t="s">
        <v>266</v>
      </c>
      <c r="D2703" s="6">
        <v>4.449000000000001</v>
      </c>
      <c r="E2703" s="6" t="s">
        <v>88</v>
      </c>
      <c r="F2703" s="6" t="s">
        <v>57</v>
      </c>
      <c r="G2703" s="7">
        <v>59085.91288749369</v>
      </c>
      <c r="H2703" s="6">
        <v>262873.2264364595</v>
      </c>
      <c r="I2703" s="6" t="s">
        <v>179</v>
      </c>
      <c r="J2703" s="15">
        <v>7.229441618985901</v>
      </c>
    </row>
    <row r="2704" spans="1:10">
      <c r="A2704" s="6" t="s">
        <v>141</v>
      </c>
      <c r="B2704" s="6" t="s">
        <v>90</v>
      </c>
      <c r="C2704" s="6" t="s">
        <v>266</v>
      </c>
      <c r="D2704" s="6">
        <v>2.907348004785098</v>
      </c>
      <c r="E2704" s="6" t="s">
        <v>90</v>
      </c>
      <c r="F2704" s="6" t="s">
        <v>57</v>
      </c>
      <c r="G2704" s="7">
        <v>59085.91288749369</v>
      </c>
      <c r="H2704" s="6">
        <v>171783.3109443609</v>
      </c>
      <c r="I2704" s="6" t="s">
        <v>179</v>
      </c>
      <c r="J2704" s="15">
        <v>7.229441618985901</v>
      </c>
    </row>
    <row r="2705" spans="1:10">
      <c r="A2705" s="6" t="s">
        <v>141</v>
      </c>
      <c r="B2705" s="6" t="s">
        <v>90</v>
      </c>
      <c r="C2705" s="6" t="s">
        <v>267</v>
      </c>
      <c r="D2705" s="6">
        <v>749.0218721491681</v>
      </c>
      <c r="E2705" s="6" t="s">
        <v>44</v>
      </c>
      <c r="F2705" s="6" t="s">
        <v>53</v>
      </c>
      <c r="G2705" s="7">
        <v>28187.4549918804</v>
      </c>
      <c r="H2705" s="6">
        <v>21113020.30913867</v>
      </c>
      <c r="I2705" s="6" t="s">
        <v>179</v>
      </c>
      <c r="J2705" s="15">
        <v>17</v>
      </c>
    </row>
    <row r="2706" spans="1:10">
      <c r="A2706" s="6" t="s">
        <v>141</v>
      </c>
      <c r="B2706" s="6" t="s">
        <v>90</v>
      </c>
      <c r="C2706" s="6" t="s">
        <v>267</v>
      </c>
      <c r="D2706" s="6">
        <v>96.29065357478864</v>
      </c>
      <c r="E2706" s="6" t="s">
        <v>86</v>
      </c>
      <c r="F2706" s="6" t="s">
        <v>53</v>
      </c>
      <c r="G2706" s="7">
        <v>28187.4549918804</v>
      </c>
      <c r="H2706" s="6">
        <v>2714188.463778103</v>
      </c>
      <c r="I2706" s="6" t="s">
        <v>179</v>
      </c>
      <c r="J2706" s="15">
        <v>17</v>
      </c>
    </row>
    <row r="2707" spans="1:10">
      <c r="A2707" s="6" t="s">
        <v>141</v>
      </c>
      <c r="B2707" s="6" t="s">
        <v>90</v>
      </c>
      <c r="C2707" s="6" t="s">
        <v>267</v>
      </c>
      <c r="D2707" s="6">
        <v>74.93616666666668</v>
      </c>
      <c r="E2707" s="6" t="s">
        <v>88</v>
      </c>
      <c r="F2707" s="6" t="s">
        <v>53</v>
      </c>
      <c r="G2707" s="7">
        <v>28187.4549918804</v>
      </c>
      <c r="H2707" s="6">
        <v>2112259.825180715</v>
      </c>
      <c r="I2707" s="6" t="s">
        <v>179</v>
      </c>
      <c r="J2707" s="15">
        <v>17</v>
      </c>
    </row>
    <row r="2708" spans="1:10">
      <c r="A2708" s="6" t="s">
        <v>141</v>
      </c>
      <c r="B2708" s="6" t="s">
        <v>90</v>
      </c>
      <c r="C2708" s="6" t="s">
        <v>267</v>
      </c>
      <c r="D2708" s="6">
        <v>128.1468128096804</v>
      </c>
      <c r="E2708" s="6" t="s">
        <v>90</v>
      </c>
      <c r="F2708" s="6" t="s">
        <v>53</v>
      </c>
      <c r="G2708" s="7">
        <v>28187.4549918804</v>
      </c>
      <c r="H2708" s="6">
        <v>3612132.51842579</v>
      </c>
      <c r="I2708" s="6" t="s">
        <v>179</v>
      </c>
      <c r="J2708" s="15">
        <v>17</v>
      </c>
    </row>
    <row r="2709" spans="1:10">
      <c r="A2709" s="6" t="s">
        <v>141</v>
      </c>
      <c r="B2709" s="6" t="s">
        <v>90</v>
      </c>
      <c r="C2709" s="6" t="s">
        <v>366</v>
      </c>
      <c r="D2709" s="6">
        <v>22.40266666666666</v>
      </c>
      <c r="E2709" s="6" t="s">
        <v>90</v>
      </c>
      <c r="F2709" s="6" t="s">
        <v>52</v>
      </c>
      <c r="G2709" s="7">
        <v>78732.78292762766</v>
      </c>
      <c r="H2709" s="6">
        <v>1763824.291666667</v>
      </c>
      <c r="I2709" s="6" t="s">
        <v>179</v>
      </c>
      <c r="J2709" s="15">
        <v>56.95</v>
      </c>
    </row>
    <row r="2710" spans="1:10">
      <c r="A2710" s="6" t="s">
        <v>141</v>
      </c>
      <c r="B2710" s="6" t="s">
        <v>90</v>
      </c>
      <c r="C2710" s="6" t="s">
        <v>268</v>
      </c>
      <c r="D2710" s="6">
        <v>0.05664812992125984</v>
      </c>
      <c r="E2710" s="6" t="s">
        <v>44</v>
      </c>
      <c r="F2710" s="6" t="s">
        <v>51</v>
      </c>
      <c r="G2710" s="7">
        <v>53756.28752738577</v>
      </c>
      <c r="H2710" s="6">
        <v>3045.193159935949</v>
      </c>
      <c r="I2710" s="6" t="s">
        <v>180</v>
      </c>
      <c r="J2710" s="15">
        <v>10.46434484931158</v>
      </c>
    </row>
    <row r="2711" spans="1:10">
      <c r="A2711" s="6" t="s">
        <v>141</v>
      </c>
      <c r="B2711" s="6" t="s">
        <v>90</v>
      </c>
      <c r="C2711" s="6" t="s">
        <v>268</v>
      </c>
      <c r="D2711" s="6">
        <v>0.08572319151537561</v>
      </c>
      <c r="E2711" s="6" t="s">
        <v>86</v>
      </c>
      <c r="F2711" s="6" t="s">
        <v>51</v>
      </c>
      <c r="G2711" s="7">
        <v>53756.28752738577</v>
      </c>
      <c r="H2711" s="6">
        <v>4608.160530865687</v>
      </c>
      <c r="I2711" s="6" t="s">
        <v>180</v>
      </c>
      <c r="J2711" s="15">
        <v>10.46434484931158</v>
      </c>
    </row>
    <row r="2712" spans="1:10">
      <c r="A2712" s="6" t="s">
        <v>141</v>
      </c>
      <c r="B2712" s="6" t="s">
        <v>90</v>
      </c>
      <c r="C2712" s="6" t="s">
        <v>268</v>
      </c>
      <c r="D2712" s="6">
        <v>0.003166666666666667</v>
      </c>
      <c r="E2712" s="6" t="s">
        <v>88</v>
      </c>
      <c r="F2712" s="6" t="s">
        <v>51</v>
      </c>
      <c r="G2712" s="7">
        <v>53756.28752738577</v>
      </c>
      <c r="H2712" s="6">
        <v>170.2282438367216</v>
      </c>
      <c r="I2712" s="6" t="s">
        <v>180</v>
      </c>
      <c r="J2712" s="15">
        <v>10.46434484931158</v>
      </c>
    </row>
    <row r="2713" spans="1:10">
      <c r="A2713" s="6" t="s">
        <v>141</v>
      </c>
      <c r="B2713" s="6" t="s">
        <v>90</v>
      </c>
      <c r="C2713" s="6" t="s">
        <v>268</v>
      </c>
      <c r="D2713" s="6">
        <v>0.01788695508039118</v>
      </c>
      <c r="E2713" s="6" t="s">
        <v>90</v>
      </c>
      <c r="F2713" s="6" t="s">
        <v>51</v>
      </c>
      <c r="G2713" s="7">
        <v>53756.28752738577</v>
      </c>
      <c r="H2713" s="6">
        <v>961.5363002909421</v>
      </c>
      <c r="I2713" s="6" t="s">
        <v>180</v>
      </c>
      <c r="J2713" s="15">
        <v>10.46434484931158</v>
      </c>
    </row>
    <row r="2714" spans="1:10">
      <c r="A2714" s="6" t="s">
        <v>141</v>
      </c>
      <c r="B2714" s="6" t="s">
        <v>90</v>
      </c>
      <c r="C2714" s="6" t="s">
        <v>269</v>
      </c>
      <c r="D2714" s="6">
        <v>4.495613281501291</v>
      </c>
      <c r="E2714" s="6" t="s">
        <v>44</v>
      </c>
      <c r="F2714" s="6" t="s">
        <v>52</v>
      </c>
      <c r="G2714" s="7">
        <v>84417.47941334113</v>
      </c>
      <c r="H2714" s="6">
        <v>379508.3416414782</v>
      </c>
      <c r="I2714" s="6" t="s">
        <v>179</v>
      </c>
      <c r="J2714" s="15">
        <v>68</v>
      </c>
    </row>
    <row r="2715" spans="1:10">
      <c r="A2715" s="6" t="s">
        <v>141</v>
      </c>
      <c r="B2715" s="6" t="s">
        <v>90</v>
      </c>
      <c r="C2715" s="6" t="s">
        <v>269</v>
      </c>
      <c r="D2715" s="6">
        <v>9.168131691608963</v>
      </c>
      <c r="E2715" s="6" t="s">
        <v>86</v>
      </c>
      <c r="F2715" s="6" t="s">
        <v>52</v>
      </c>
      <c r="G2715" s="7">
        <v>84417.47941334113</v>
      </c>
      <c r="H2715" s="6">
        <v>773950.5683352001</v>
      </c>
      <c r="I2715" s="6" t="s">
        <v>179</v>
      </c>
      <c r="J2715" s="15">
        <v>68</v>
      </c>
    </row>
    <row r="2716" spans="1:10">
      <c r="A2716" s="6" t="s">
        <v>141</v>
      </c>
      <c r="B2716" s="6" t="s">
        <v>90</v>
      </c>
      <c r="C2716" s="6" t="s">
        <v>269</v>
      </c>
      <c r="D2716" s="6">
        <v>0.47</v>
      </c>
      <c r="E2716" s="6" t="s">
        <v>88</v>
      </c>
      <c r="F2716" s="6" t="s">
        <v>52</v>
      </c>
      <c r="G2716" s="7">
        <v>84417.47941334113</v>
      </c>
      <c r="H2716" s="6">
        <v>39676.21532427034</v>
      </c>
      <c r="I2716" s="6" t="s">
        <v>179</v>
      </c>
      <c r="J2716" s="15">
        <v>68</v>
      </c>
    </row>
    <row r="2717" spans="1:10">
      <c r="A2717" s="6" t="s">
        <v>141</v>
      </c>
      <c r="B2717" s="6" t="s">
        <v>90</v>
      </c>
      <c r="C2717" s="6" t="s">
        <v>269</v>
      </c>
      <c r="D2717" s="6">
        <v>0.0524481981981982</v>
      </c>
      <c r="E2717" s="6" t="s">
        <v>90</v>
      </c>
      <c r="F2717" s="6" t="s">
        <v>52</v>
      </c>
      <c r="G2717" s="7">
        <v>84417.47941334113</v>
      </c>
      <c r="H2717" s="6">
        <v>4427.544691663233</v>
      </c>
      <c r="I2717" s="6" t="s">
        <v>179</v>
      </c>
      <c r="J2717" s="15">
        <v>68</v>
      </c>
    </row>
    <row r="2718" spans="1:10">
      <c r="A2718" s="6" t="s">
        <v>141</v>
      </c>
      <c r="B2718" s="6" t="s">
        <v>90</v>
      </c>
      <c r="C2718" s="6" t="s">
        <v>270</v>
      </c>
      <c r="D2718" s="6">
        <v>2.826095635049469</v>
      </c>
      <c r="E2718" s="6" t="s">
        <v>44</v>
      </c>
      <c r="F2718" s="6" t="s">
        <v>59</v>
      </c>
      <c r="G2718" s="7">
        <v>54632.02416918429</v>
      </c>
      <c r="H2718" s="6">
        <v>154395.3250384488</v>
      </c>
      <c r="I2718" s="6" t="s">
        <v>179</v>
      </c>
      <c r="J2718" s="15">
        <v>20.25074634581768</v>
      </c>
    </row>
    <row r="2719" spans="1:10">
      <c r="A2719" s="6" t="s">
        <v>141</v>
      </c>
      <c r="B2719" s="6" t="s">
        <v>90</v>
      </c>
      <c r="C2719" s="6" t="s">
        <v>270</v>
      </c>
      <c r="D2719" s="6">
        <v>0.009041027821853563</v>
      </c>
      <c r="E2719" s="6" t="s">
        <v>86</v>
      </c>
      <c r="F2719" s="6" t="s">
        <v>59</v>
      </c>
      <c r="G2719" s="7">
        <v>54632.02416918429</v>
      </c>
      <c r="H2719" s="6">
        <v>493.9296504777714</v>
      </c>
      <c r="I2719" s="6" t="s">
        <v>179</v>
      </c>
      <c r="J2719" s="15">
        <v>20.25074634581768</v>
      </c>
    </row>
    <row r="2720" spans="1:10">
      <c r="A2720" s="6" t="s">
        <v>141</v>
      </c>
      <c r="B2720" s="6" t="s">
        <v>90</v>
      </c>
      <c r="C2720" s="6" t="s">
        <v>271</v>
      </c>
      <c r="D2720" s="6">
        <v>16.84990366503557</v>
      </c>
      <c r="E2720" s="6" t="s">
        <v>44</v>
      </c>
      <c r="F2720" s="6" t="s">
        <v>54</v>
      </c>
      <c r="G2720" s="7">
        <v>103315.9726800454</v>
      </c>
      <c r="H2720" s="6">
        <v>1740864.186718211</v>
      </c>
      <c r="I2720" s="6" t="s">
        <v>179</v>
      </c>
      <c r="J2720" s="15">
        <v>10.72046663415367</v>
      </c>
    </row>
    <row r="2721" spans="1:10">
      <c r="A2721" s="6" t="s">
        <v>141</v>
      </c>
      <c r="B2721" s="6" t="s">
        <v>90</v>
      </c>
      <c r="C2721" s="6" t="s">
        <v>271</v>
      </c>
      <c r="D2721" s="6">
        <v>3.589797613807048</v>
      </c>
      <c r="E2721" s="6" t="s">
        <v>86</v>
      </c>
      <c r="F2721" s="6" t="s">
        <v>54</v>
      </c>
      <c r="G2721" s="7">
        <v>103315.9726800454</v>
      </c>
      <c r="H2721" s="6">
        <v>370883.432194981</v>
      </c>
      <c r="I2721" s="6" t="s">
        <v>179</v>
      </c>
      <c r="J2721" s="15">
        <v>10.72046663415367</v>
      </c>
    </row>
    <row r="2722" spans="1:10">
      <c r="A2722" s="6" t="s">
        <v>141</v>
      </c>
      <c r="B2722" s="6" t="s">
        <v>90</v>
      </c>
      <c r="C2722" s="6" t="s">
        <v>271</v>
      </c>
      <c r="D2722" s="6">
        <v>3.555333333333333</v>
      </c>
      <c r="E2722" s="6" t="s">
        <v>88</v>
      </c>
      <c r="F2722" s="6" t="s">
        <v>54</v>
      </c>
      <c r="G2722" s="7">
        <v>103315.9726800454</v>
      </c>
      <c r="H2722" s="6">
        <v>367322.7215351213</v>
      </c>
      <c r="I2722" s="6" t="s">
        <v>179</v>
      </c>
      <c r="J2722" s="15">
        <v>10.72046663415367</v>
      </c>
    </row>
    <row r="2723" spans="1:10">
      <c r="A2723" s="6" t="s">
        <v>141</v>
      </c>
      <c r="B2723" s="6" t="s">
        <v>90</v>
      </c>
      <c r="C2723" s="6" t="s">
        <v>271</v>
      </c>
      <c r="D2723" s="6">
        <v>2.727976799276673</v>
      </c>
      <c r="E2723" s="6" t="s">
        <v>90</v>
      </c>
      <c r="F2723" s="6" t="s">
        <v>54</v>
      </c>
      <c r="G2723" s="7">
        <v>103315.9726800454</v>
      </c>
      <c r="H2723" s="6">
        <v>281843.5764658664</v>
      </c>
      <c r="I2723" s="6" t="s">
        <v>179</v>
      </c>
      <c r="J2723" s="15">
        <v>10.72046663415367</v>
      </c>
    </row>
    <row r="2724" spans="1:10">
      <c r="A2724" s="6" t="s">
        <v>141</v>
      </c>
      <c r="B2724" s="6" t="s">
        <v>90</v>
      </c>
      <c r="C2724" s="6" t="s">
        <v>273</v>
      </c>
      <c r="D2724" s="6">
        <v>23.87364705387999</v>
      </c>
      <c r="E2724" s="6" t="s">
        <v>44</v>
      </c>
      <c r="F2724" s="6" t="s">
        <v>51</v>
      </c>
      <c r="G2724" s="7">
        <v>68796.23409337111</v>
      </c>
      <c r="H2724" s="6">
        <v>1642417.011381248</v>
      </c>
      <c r="I2724" s="6" t="s">
        <v>179</v>
      </c>
      <c r="J2724" s="15">
        <v>27</v>
      </c>
    </row>
    <row r="2725" spans="1:10">
      <c r="A2725" s="6" t="s">
        <v>141</v>
      </c>
      <c r="B2725" s="6" t="s">
        <v>90</v>
      </c>
      <c r="C2725" s="6" t="s">
        <v>273</v>
      </c>
      <c r="D2725" s="6">
        <v>2.936291481909687</v>
      </c>
      <c r="E2725" s="6" t="s">
        <v>86</v>
      </c>
      <c r="F2725" s="6" t="s">
        <v>51</v>
      </c>
      <c r="G2725" s="7">
        <v>68796.23409337111</v>
      </c>
      <c r="H2725" s="6">
        <v>202005.7961558304</v>
      </c>
      <c r="I2725" s="6" t="s">
        <v>179</v>
      </c>
      <c r="J2725" s="15">
        <v>27</v>
      </c>
    </row>
    <row r="2726" spans="1:10">
      <c r="A2726" s="6" t="s">
        <v>141</v>
      </c>
      <c r="B2726" s="6" t="s">
        <v>90</v>
      </c>
      <c r="C2726" s="6" t="s">
        <v>273</v>
      </c>
      <c r="D2726" s="6">
        <v>1.6245</v>
      </c>
      <c r="E2726" s="6" t="s">
        <v>88</v>
      </c>
      <c r="F2726" s="6" t="s">
        <v>51</v>
      </c>
      <c r="G2726" s="7">
        <v>68796.23409337111</v>
      </c>
      <c r="H2726" s="6">
        <v>111759.4822846814</v>
      </c>
      <c r="I2726" s="6" t="s">
        <v>179</v>
      </c>
      <c r="J2726" s="15">
        <v>27</v>
      </c>
    </row>
    <row r="2727" spans="1:10">
      <c r="A2727" s="6" t="s">
        <v>141</v>
      </c>
      <c r="B2727" s="6" t="s">
        <v>90</v>
      </c>
      <c r="C2727" s="6" t="s">
        <v>273</v>
      </c>
      <c r="D2727" s="6">
        <v>3.512835283243101</v>
      </c>
      <c r="E2727" s="6" t="s">
        <v>90</v>
      </c>
      <c r="F2727" s="6" t="s">
        <v>51</v>
      </c>
      <c r="G2727" s="7">
        <v>68796.23409337111</v>
      </c>
      <c r="H2727" s="6">
        <v>241669.838477446</v>
      </c>
      <c r="I2727" s="6" t="s">
        <v>179</v>
      </c>
      <c r="J2727" s="15">
        <v>27</v>
      </c>
    </row>
    <row r="2728" spans="1:10">
      <c r="A2728" s="6" t="s">
        <v>141</v>
      </c>
      <c r="B2728" s="6" t="s">
        <v>90</v>
      </c>
      <c r="C2728" s="6" t="s">
        <v>276</v>
      </c>
      <c r="D2728" s="6">
        <v>6.452733268794157</v>
      </c>
      <c r="E2728" s="6" t="s">
        <v>44</v>
      </c>
      <c r="F2728" s="6" t="s">
        <v>51</v>
      </c>
      <c r="G2728" s="7">
        <v>63381.90932521886</v>
      </c>
      <c r="H2728" s="6">
        <v>408986.5549425344</v>
      </c>
      <c r="I2728" s="6" t="s">
        <v>179</v>
      </c>
      <c r="J2728" s="15">
        <v>57.28333333333333</v>
      </c>
    </row>
    <row r="2729" spans="1:10">
      <c r="A2729" s="6" t="s">
        <v>141</v>
      </c>
      <c r="B2729" s="6" t="s">
        <v>90</v>
      </c>
      <c r="C2729" s="6" t="s">
        <v>276</v>
      </c>
      <c r="D2729" s="6">
        <v>1.207017439156713</v>
      </c>
      <c r="E2729" s="6" t="s">
        <v>86</v>
      </c>
      <c r="F2729" s="6" t="s">
        <v>51</v>
      </c>
      <c r="G2729" s="7">
        <v>63381.90932521886</v>
      </c>
      <c r="H2729" s="6">
        <v>76503.06988258868</v>
      </c>
      <c r="I2729" s="6" t="s">
        <v>179</v>
      </c>
      <c r="J2729" s="15">
        <v>57.28333333333333</v>
      </c>
    </row>
    <row r="2730" spans="1:10">
      <c r="A2730" s="6" t="s">
        <v>141</v>
      </c>
      <c r="B2730" s="6" t="s">
        <v>90</v>
      </c>
      <c r="C2730" s="6" t="s">
        <v>276</v>
      </c>
      <c r="D2730" s="6">
        <v>0.004166666666666666</v>
      </c>
      <c r="E2730" s="6" t="s">
        <v>88</v>
      </c>
      <c r="F2730" s="6" t="s">
        <v>51</v>
      </c>
      <c r="G2730" s="7">
        <v>63381.90932521886</v>
      </c>
      <c r="H2730" s="6">
        <v>264.0912888550785</v>
      </c>
      <c r="I2730" s="6" t="s">
        <v>179</v>
      </c>
      <c r="J2730" s="15">
        <v>57.28333333333333</v>
      </c>
    </row>
    <row r="2731" spans="1:10">
      <c r="A2731" s="6" t="s">
        <v>141</v>
      </c>
      <c r="B2731" s="6" t="s">
        <v>90</v>
      </c>
      <c r="C2731" s="6" t="s">
        <v>276</v>
      </c>
      <c r="D2731" s="6">
        <v>0.2274670148042993</v>
      </c>
      <c r="E2731" s="6" t="s">
        <v>90</v>
      </c>
      <c r="F2731" s="6" t="s">
        <v>51</v>
      </c>
      <c r="G2731" s="7">
        <v>63381.90932521886</v>
      </c>
      <c r="H2731" s="6">
        <v>14417.29370680431</v>
      </c>
      <c r="I2731" s="6" t="s">
        <v>179</v>
      </c>
      <c r="J2731" s="15">
        <v>57.28333333333333</v>
      </c>
    </row>
    <row r="2732" spans="1:10">
      <c r="A2732" s="6" t="s">
        <v>141</v>
      </c>
      <c r="B2732" s="6" t="s">
        <v>90</v>
      </c>
      <c r="C2732" s="6" t="s">
        <v>277</v>
      </c>
      <c r="D2732" s="6">
        <v>0.7851866197183098</v>
      </c>
      <c r="E2732" s="6" t="s">
        <v>44</v>
      </c>
      <c r="F2732" s="6" t="s">
        <v>57</v>
      </c>
      <c r="G2732" s="7">
        <v>44258.82186038292</v>
      </c>
      <c r="H2732" s="6">
        <v>34751.43472926891</v>
      </c>
      <c r="I2732" s="6" t="s">
        <v>180</v>
      </c>
      <c r="J2732" s="15">
        <v>7.421137055882822</v>
      </c>
    </row>
    <row r="2733" spans="1:10">
      <c r="A2733" s="6" t="s">
        <v>141</v>
      </c>
      <c r="B2733" s="6" t="s">
        <v>90</v>
      </c>
      <c r="C2733" s="6" t="s">
        <v>277</v>
      </c>
      <c r="D2733" s="6">
        <v>0.1662814079868895</v>
      </c>
      <c r="E2733" s="6" t="s">
        <v>86</v>
      </c>
      <c r="F2733" s="6" t="s">
        <v>57</v>
      </c>
      <c r="G2733" s="7">
        <v>44258.82186038292</v>
      </c>
      <c r="H2733" s="6">
        <v>7359.419214785396</v>
      </c>
      <c r="I2733" s="6" t="s">
        <v>180</v>
      </c>
      <c r="J2733" s="15">
        <v>7.421137055882822</v>
      </c>
    </row>
    <row r="2734" spans="1:10">
      <c r="A2734" s="6" t="s">
        <v>141</v>
      </c>
      <c r="B2734" s="6" t="s">
        <v>90</v>
      </c>
      <c r="C2734" s="6" t="s">
        <v>277</v>
      </c>
      <c r="D2734" s="6">
        <v>0.05241666666666667</v>
      </c>
      <c r="E2734" s="6" t="s">
        <v>88</v>
      </c>
      <c r="F2734" s="6" t="s">
        <v>57</v>
      </c>
      <c r="G2734" s="7">
        <v>44258.82186038292</v>
      </c>
      <c r="H2734" s="6">
        <v>2319.899912515072</v>
      </c>
      <c r="I2734" s="6" t="s">
        <v>180</v>
      </c>
      <c r="J2734" s="15">
        <v>7.421137055882822</v>
      </c>
    </row>
    <row r="2735" spans="1:10">
      <c r="A2735" s="6" t="s">
        <v>141</v>
      </c>
      <c r="B2735" s="6" t="s">
        <v>90</v>
      </c>
      <c r="C2735" s="6" t="s">
        <v>277</v>
      </c>
      <c r="D2735" s="6">
        <v>0.05660446395901941</v>
      </c>
      <c r="E2735" s="6" t="s">
        <v>90</v>
      </c>
      <c r="F2735" s="6" t="s">
        <v>57</v>
      </c>
      <c r="G2735" s="7">
        <v>44258.82186038292</v>
      </c>
      <c r="H2735" s="6">
        <v>2505.246886864705</v>
      </c>
      <c r="I2735" s="6" t="s">
        <v>180</v>
      </c>
      <c r="J2735" s="15">
        <v>7.421137055882822</v>
      </c>
    </row>
    <row r="2736" spans="1:10">
      <c r="A2736" s="6" t="s">
        <v>141</v>
      </c>
      <c r="B2736" s="6" t="s">
        <v>90</v>
      </c>
      <c r="C2736" s="6" t="s">
        <v>278</v>
      </c>
      <c r="D2736" s="6">
        <v>4.556439696984143</v>
      </c>
      <c r="E2736" s="6" t="s">
        <v>44</v>
      </c>
      <c r="F2736" s="6" t="s">
        <v>55</v>
      </c>
      <c r="G2736" s="7">
        <v>46621.33394129809</v>
      </c>
      <c r="H2736" s="6">
        <v>212427.2966964848</v>
      </c>
      <c r="I2736" s="6" t="s">
        <v>179</v>
      </c>
      <c r="J2736" s="15">
        <v>47.06666666666667</v>
      </c>
    </row>
    <row r="2737" spans="1:10">
      <c r="A2737" s="6" t="s">
        <v>141</v>
      </c>
      <c r="B2737" s="6" t="s">
        <v>90</v>
      </c>
      <c r="C2737" s="6" t="s">
        <v>278</v>
      </c>
      <c r="D2737" s="6">
        <v>11.8601185904812</v>
      </c>
      <c r="E2737" s="6" t="s">
        <v>86</v>
      </c>
      <c r="F2737" s="6" t="s">
        <v>55</v>
      </c>
      <c r="G2737" s="7">
        <v>46621.33394129809</v>
      </c>
      <c r="H2737" s="6">
        <v>552934.5493902216</v>
      </c>
      <c r="I2737" s="6" t="s">
        <v>179</v>
      </c>
      <c r="J2737" s="15">
        <v>47.06666666666667</v>
      </c>
    </row>
    <row r="2738" spans="1:10">
      <c r="A2738" s="6" t="s">
        <v>141</v>
      </c>
      <c r="B2738" s="6" t="s">
        <v>90</v>
      </c>
      <c r="C2738" s="6" t="s">
        <v>278</v>
      </c>
      <c r="D2738" s="6">
        <v>0.00825</v>
      </c>
      <c r="E2738" s="6" t="s">
        <v>88</v>
      </c>
      <c r="F2738" s="6" t="s">
        <v>55</v>
      </c>
      <c r="G2738" s="7">
        <v>46621.33394129809</v>
      </c>
      <c r="H2738" s="6">
        <v>384.6260050157092</v>
      </c>
      <c r="I2738" s="6" t="s">
        <v>179</v>
      </c>
      <c r="J2738" s="15">
        <v>47.06666666666667</v>
      </c>
    </row>
    <row r="2739" spans="1:10">
      <c r="A2739" s="6" t="s">
        <v>141</v>
      </c>
      <c r="B2739" s="6" t="s">
        <v>90</v>
      </c>
      <c r="C2739" s="6" t="s">
        <v>278</v>
      </c>
      <c r="D2739" s="6">
        <v>2.060181704814668</v>
      </c>
      <c r="E2739" s="6" t="s">
        <v>90</v>
      </c>
      <c r="F2739" s="6" t="s">
        <v>55</v>
      </c>
      <c r="G2739" s="7">
        <v>46621.33394129809</v>
      </c>
      <c r="H2739" s="6">
        <v>96048.41923991745</v>
      </c>
      <c r="I2739" s="6" t="s">
        <v>179</v>
      </c>
      <c r="J2739" s="15">
        <v>47.06666666666667</v>
      </c>
    </row>
    <row r="2740" spans="1:10">
      <c r="A2740" s="6" t="s">
        <v>141</v>
      </c>
      <c r="B2740" s="6" t="s">
        <v>90</v>
      </c>
      <c r="C2740" s="6" t="s">
        <v>280</v>
      </c>
      <c r="D2740" s="6">
        <v>26.6811415465311</v>
      </c>
      <c r="E2740" s="6" t="s">
        <v>44</v>
      </c>
      <c r="F2740" s="6" t="s">
        <v>55</v>
      </c>
      <c r="G2740" s="7">
        <v>88199.71827653726</v>
      </c>
      <c r="H2740" s="6">
        <v>2353269.167700457</v>
      </c>
      <c r="I2740" s="6" t="s">
        <v>179</v>
      </c>
      <c r="J2740" s="15">
        <v>61</v>
      </c>
    </row>
    <row r="2741" spans="1:10">
      <c r="A2741" s="6" t="s">
        <v>141</v>
      </c>
      <c r="B2741" s="6" t="s">
        <v>90</v>
      </c>
      <c r="C2741" s="6" t="s">
        <v>280</v>
      </c>
      <c r="D2741" s="6">
        <v>0.4866282662796146</v>
      </c>
      <c r="E2741" s="6" t="s">
        <v>86</v>
      </c>
      <c r="F2741" s="6" t="s">
        <v>55</v>
      </c>
      <c r="G2741" s="7">
        <v>88199.71827653726</v>
      </c>
      <c r="H2741" s="6">
        <v>42920.47599126177</v>
      </c>
      <c r="I2741" s="6" t="s">
        <v>179</v>
      </c>
      <c r="J2741" s="15">
        <v>61</v>
      </c>
    </row>
    <row r="2742" spans="1:10">
      <c r="A2742" s="6" t="s">
        <v>141</v>
      </c>
      <c r="B2742" s="6" t="s">
        <v>90</v>
      </c>
      <c r="C2742" s="6" t="s">
        <v>280</v>
      </c>
      <c r="D2742" s="6">
        <v>0.008999999999999999</v>
      </c>
      <c r="E2742" s="6" t="s">
        <v>88</v>
      </c>
      <c r="F2742" s="6" t="s">
        <v>55</v>
      </c>
      <c r="G2742" s="7">
        <v>88199.71827653726</v>
      </c>
      <c r="H2742" s="6">
        <v>793.7974644888352</v>
      </c>
      <c r="I2742" s="6" t="s">
        <v>179</v>
      </c>
      <c r="J2742" s="15">
        <v>61</v>
      </c>
    </row>
    <row r="2743" spans="1:10">
      <c r="A2743" s="6" t="s">
        <v>141</v>
      </c>
      <c r="B2743" s="6" t="s">
        <v>90</v>
      </c>
      <c r="C2743" s="6" t="s">
        <v>280</v>
      </c>
      <c r="D2743" s="6">
        <v>0.1557498502315931</v>
      </c>
      <c r="E2743" s="6" t="s">
        <v>90</v>
      </c>
      <c r="F2743" s="6" t="s">
        <v>55</v>
      </c>
      <c r="G2743" s="7">
        <v>88199.71827653726</v>
      </c>
      <c r="H2743" s="6">
        <v>13737.09291203938</v>
      </c>
      <c r="I2743" s="6" t="s">
        <v>179</v>
      </c>
      <c r="J2743" s="15">
        <v>61</v>
      </c>
    </row>
    <row r="2744" spans="1:10">
      <c r="A2744" s="6" t="s">
        <v>141</v>
      </c>
      <c r="B2744" s="6" t="s">
        <v>90</v>
      </c>
      <c r="C2744" s="6" t="s">
        <v>281</v>
      </c>
      <c r="D2744" s="6">
        <v>90.40882998608949</v>
      </c>
      <c r="E2744" s="6" t="s">
        <v>44</v>
      </c>
      <c r="F2744" s="6" t="s">
        <v>57</v>
      </c>
      <c r="G2744" s="7">
        <v>70375.78171760954</v>
      </c>
      <c r="H2744" s="6">
        <v>6362592.084445505</v>
      </c>
      <c r="I2744" s="6" t="s">
        <v>179</v>
      </c>
      <c r="J2744" s="15">
        <v>25</v>
      </c>
    </row>
    <row r="2745" spans="1:10">
      <c r="A2745" s="6" t="s">
        <v>141</v>
      </c>
      <c r="B2745" s="6" t="s">
        <v>90</v>
      </c>
      <c r="C2745" s="6" t="s">
        <v>281</v>
      </c>
      <c r="D2745" s="6">
        <v>13.70511108814741</v>
      </c>
      <c r="E2745" s="6" t="s">
        <v>86</v>
      </c>
      <c r="F2745" s="6" t="s">
        <v>57</v>
      </c>
      <c r="G2745" s="7">
        <v>70375.78171760954</v>
      </c>
      <c r="H2745" s="6">
        <v>964507.9063550525</v>
      </c>
      <c r="I2745" s="6" t="s">
        <v>179</v>
      </c>
      <c r="J2745" s="15">
        <v>25</v>
      </c>
    </row>
    <row r="2746" spans="1:10">
      <c r="A2746" s="6" t="s">
        <v>141</v>
      </c>
      <c r="B2746" s="6" t="s">
        <v>90</v>
      </c>
      <c r="C2746" s="6" t="s">
        <v>281</v>
      </c>
      <c r="D2746" s="6">
        <v>10.62</v>
      </c>
      <c r="E2746" s="6" t="s">
        <v>88</v>
      </c>
      <c r="F2746" s="6" t="s">
        <v>57</v>
      </c>
      <c r="G2746" s="7">
        <v>70375.78171760954</v>
      </c>
      <c r="H2746" s="6">
        <v>747390.8018410132</v>
      </c>
      <c r="I2746" s="6" t="s">
        <v>179</v>
      </c>
      <c r="J2746" s="15">
        <v>25</v>
      </c>
    </row>
    <row r="2747" spans="1:10">
      <c r="A2747" s="6" t="s">
        <v>141</v>
      </c>
      <c r="B2747" s="6" t="s">
        <v>90</v>
      </c>
      <c r="C2747" s="6" t="s">
        <v>281</v>
      </c>
      <c r="D2747" s="6">
        <v>32.71137119355263</v>
      </c>
      <c r="E2747" s="6" t="s">
        <v>90</v>
      </c>
      <c r="F2747" s="6" t="s">
        <v>57</v>
      </c>
      <c r="G2747" s="7">
        <v>70375.78171760954</v>
      </c>
      <c r="H2747" s="6">
        <v>2302088.31880116</v>
      </c>
      <c r="I2747" s="6" t="s">
        <v>179</v>
      </c>
      <c r="J2747" s="15">
        <v>25</v>
      </c>
    </row>
    <row r="2748" spans="1:10">
      <c r="A2748" s="6" t="s">
        <v>141</v>
      </c>
      <c r="B2748" s="6" t="s">
        <v>90</v>
      </c>
      <c r="C2748" s="6" t="s">
        <v>283</v>
      </c>
      <c r="D2748" s="6">
        <v>40.83226331762916</v>
      </c>
      <c r="E2748" s="6" t="s">
        <v>44</v>
      </c>
      <c r="F2748" s="6" t="s">
        <v>51</v>
      </c>
      <c r="G2748" s="7">
        <v>41673.53339700109</v>
      </c>
      <c r="H2748" s="6">
        <v>1701624.689042361</v>
      </c>
      <c r="I2748" s="6" t="s">
        <v>179</v>
      </c>
      <c r="J2748" s="15">
        <v>26.5</v>
      </c>
    </row>
    <row r="2749" spans="1:10">
      <c r="A2749" s="6" t="s">
        <v>141</v>
      </c>
      <c r="B2749" s="6" t="s">
        <v>90</v>
      </c>
      <c r="C2749" s="6" t="s">
        <v>283</v>
      </c>
      <c r="D2749" s="6">
        <v>0.5686147235700065</v>
      </c>
      <c r="E2749" s="6" t="s">
        <v>86</v>
      </c>
      <c r="F2749" s="6" t="s">
        <v>51</v>
      </c>
      <c r="G2749" s="7">
        <v>41673.53339700109</v>
      </c>
      <c r="H2749" s="6">
        <v>23696.18467272121</v>
      </c>
      <c r="I2749" s="6" t="s">
        <v>179</v>
      </c>
      <c r="J2749" s="15">
        <v>26.5</v>
      </c>
    </row>
    <row r="2750" spans="1:10">
      <c r="A2750" s="6" t="s">
        <v>141</v>
      </c>
      <c r="B2750" s="6" t="s">
        <v>90</v>
      </c>
      <c r="C2750" s="6" t="s">
        <v>283</v>
      </c>
      <c r="D2750" s="6">
        <v>1.156416666666666</v>
      </c>
      <c r="E2750" s="6" t="s">
        <v>88</v>
      </c>
      <c r="F2750" s="6" t="s">
        <v>51</v>
      </c>
      <c r="G2750" s="7">
        <v>41673.53339700109</v>
      </c>
      <c r="H2750" s="6">
        <v>48191.968579182</v>
      </c>
      <c r="I2750" s="6" t="s">
        <v>179</v>
      </c>
      <c r="J2750" s="15">
        <v>26.5</v>
      </c>
    </row>
    <row r="2751" spans="1:10">
      <c r="A2751" s="6" t="s">
        <v>141</v>
      </c>
      <c r="B2751" s="6" t="s">
        <v>90</v>
      </c>
      <c r="C2751" s="6" t="s">
        <v>283</v>
      </c>
      <c r="D2751" s="6">
        <v>0.4586310068971723</v>
      </c>
      <c r="E2751" s="6" t="s">
        <v>90</v>
      </c>
      <c r="F2751" s="6" t="s">
        <v>51</v>
      </c>
      <c r="G2751" s="7">
        <v>41673.53339700109</v>
      </c>
      <c r="H2751" s="6">
        <v>19112.77458282955</v>
      </c>
      <c r="I2751" s="6" t="s">
        <v>179</v>
      </c>
      <c r="J2751" s="15">
        <v>26.5</v>
      </c>
    </row>
    <row r="2752" spans="1:10">
      <c r="A2752" s="6" t="s">
        <v>141</v>
      </c>
      <c r="B2752" s="6" t="s">
        <v>90</v>
      </c>
      <c r="C2752" s="6" t="s">
        <v>284</v>
      </c>
      <c r="D2752" s="6">
        <v>0.9194519767448571</v>
      </c>
      <c r="E2752" s="6" t="s">
        <v>44</v>
      </c>
      <c r="F2752" s="6" t="s">
        <v>55</v>
      </c>
      <c r="G2752" s="7">
        <v>71665.2692915682</v>
      </c>
      <c r="H2752" s="6">
        <v>65892.77351408488</v>
      </c>
      <c r="I2752" s="6" t="s">
        <v>180</v>
      </c>
      <c r="J2752" s="15">
        <v>16.20279706256738</v>
      </c>
    </row>
    <row r="2753" spans="1:10">
      <c r="A2753" s="6" t="s">
        <v>141</v>
      </c>
      <c r="B2753" s="6" t="s">
        <v>90</v>
      </c>
      <c r="C2753" s="6" t="s">
        <v>284</v>
      </c>
      <c r="D2753" s="6">
        <v>0.4814767903231738</v>
      </c>
      <c r="E2753" s="6" t="s">
        <v>86</v>
      </c>
      <c r="F2753" s="6" t="s">
        <v>55</v>
      </c>
      <c r="G2753" s="7">
        <v>71665.2692915682</v>
      </c>
      <c r="H2753" s="6">
        <v>34505.16383615017</v>
      </c>
      <c r="I2753" s="6" t="s">
        <v>180</v>
      </c>
      <c r="J2753" s="15">
        <v>16.20279706256738</v>
      </c>
    </row>
    <row r="2754" spans="1:10">
      <c r="A2754" s="6" t="s">
        <v>141</v>
      </c>
      <c r="B2754" s="6" t="s">
        <v>90</v>
      </c>
      <c r="C2754" s="6" t="s">
        <v>284</v>
      </c>
      <c r="D2754" s="6">
        <v>0.00825</v>
      </c>
      <c r="E2754" s="6" t="s">
        <v>88</v>
      </c>
      <c r="F2754" s="6" t="s">
        <v>55</v>
      </c>
      <c r="G2754" s="7">
        <v>71665.2692915682</v>
      </c>
      <c r="H2754" s="6">
        <v>591.2384716554377</v>
      </c>
      <c r="I2754" s="6" t="s">
        <v>180</v>
      </c>
      <c r="J2754" s="15">
        <v>16.20279706256738</v>
      </c>
    </row>
    <row r="2755" spans="1:10">
      <c r="A2755" s="6" t="s">
        <v>141</v>
      </c>
      <c r="B2755" s="6" t="s">
        <v>90</v>
      </c>
      <c r="C2755" s="6" t="s">
        <v>284</v>
      </c>
      <c r="D2755" s="6">
        <v>0.1352271603583711</v>
      </c>
      <c r="E2755" s="6" t="s">
        <v>90</v>
      </c>
      <c r="F2755" s="6" t="s">
        <v>55</v>
      </c>
      <c r="G2755" s="7">
        <v>71665.2692915682</v>
      </c>
      <c r="H2755" s="6">
        <v>9691.090862616738</v>
      </c>
      <c r="I2755" s="6" t="s">
        <v>180</v>
      </c>
      <c r="J2755" s="15">
        <v>16.20279706256738</v>
      </c>
    </row>
    <row r="2756" spans="1:10">
      <c r="A2756" s="6" t="s">
        <v>141</v>
      </c>
      <c r="B2756" s="6" t="s">
        <v>90</v>
      </c>
      <c r="C2756" s="6" t="s">
        <v>287</v>
      </c>
      <c r="D2756" s="6">
        <v>2.827</v>
      </c>
      <c r="E2756" s="6" t="s">
        <v>44</v>
      </c>
      <c r="F2756" s="6" t="s">
        <v>53</v>
      </c>
      <c r="G2756" s="7">
        <v>25443.86066146324</v>
      </c>
      <c r="H2756" s="6">
        <v>71929.79408995659</v>
      </c>
      <c r="I2756" s="6" t="s">
        <v>179</v>
      </c>
      <c r="J2756" s="15">
        <v>16</v>
      </c>
    </row>
    <row r="2757" spans="1:10">
      <c r="A2757" s="6" t="s">
        <v>141</v>
      </c>
      <c r="B2757" s="6" t="s">
        <v>90</v>
      </c>
      <c r="C2757" s="6" t="s">
        <v>287</v>
      </c>
      <c r="D2757" s="6">
        <v>0.5435000000000001</v>
      </c>
      <c r="E2757" s="6" t="s">
        <v>86</v>
      </c>
      <c r="F2757" s="6" t="s">
        <v>53</v>
      </c>
      <c r="G2757" s="7">
        <v>25443.86066146324</v>
      </c>
      <c r="H2757" s="6">
        <v>13828.73826950527</v>
      </c>
      <c r="I2757" s="6" t="s">
        <v>179</v>
      </c>
      <c r="J2757" s="15">
        <v>16</v>
      </c>
    </row>
    <row r="2758" spans="1:10">
      <c r="A2758" s="6" t="s">
        <v>141</v>
      </c>
      <c r="B2758" s="6" t="s">
        <v>90</v>
      </c>
      <c r="C2758" s="6" t="s">
        <v>287</v>
      </c>
      <c r="D2758" s="6">
        <v>0.3669166666666667</v>
      </c>
      <c r="E2758" s="6" t="s">
        <v>88</v>
      </c>
      <c r="F2758" s="6" t="s">
        <v>53</v>
      </c>
      <c r="G2758" s="7">
        <v>25443.86066146324</v>
      </c>
      <c r="H2758" s="6">
        <v>9335.77654103522</v>
      </c>
      <c r="I2758" s="6" t="s">
        <v>179</v>
      </c>
      <c r="J2758" s="15">
        <v>16</v>
      </c>
    </row>
    <row r="2759" spans="1:10">
      <c r="A2759" s="6" t="s">
        <v>141</v>
      </c>
      <c r="B2759" s="6" t="s">
        <v>90</v>
      </c>
      <c r="C2759" s="6" t="s">
        <v>287</v>
      </c>
      <c r="D2759" s="6">
        <v>0.3564166666666667</v>
      </c>
      <c r="E2759" s="6" t="s">
        <v>90</v>
      </c>
      <c r="F2759" s="6" t="s">
        <v>53</v>
      </c>
      <c r="G2759" s="7">
        <v>25443.86066146324</v>
      </c>
      <c r="H2759" s="6">
        <v>9068.616004089856</v>
      </c>
      <c r="I2759" s="6" t="s">
        <v>179</v>
      </c>
      <c r="J2759" s="15">
        <v>16</v>
      </c>
    </row>
    <row r="2760" spans="1:10">
      <c r="A2760" s="6" t="s">
        <v>141</v>
      </c>
      <c r="B2760" s="6" t="s">
        <v>90</v>
      </c>
      <c r="C2760" s="6" t="s">
        <v>357</v>
      </c>
      <c r="D2760" s="6">
        <v>0.03</v>
      </c>
      <c r="E2760" s="6" t="s">
        <v>90</v>
      </c>
      <c r="F2760" s="6" t="s">
        <v>52</v>
      </c>
      <c r="G2760" s="7">
        <v>59918.03179942394</v>
      </c>
      <c r="H2760" s="6">
        <v>1797.540953982718</v>
      </c>
      <c r="I2760" s="6" t="s">
        <v>180</v>
      </c>
      <c r="J2760" s="15">
        <v>27</v>
      </c>
    </row>
    <row r="2761" spans="1:10">
      <c r="A2761" s="6" t="s">
        <v>141</v>
      </c>
      <c r="B2761" s="6" t="s">
        <v>90</v>
      </c>
      <c r="C2761" s="6" t="s">
        <v>288</v>
      </c>
      <c r="D2761" s="6">
        <v>0.009652115836717247</v>
      </c>
      <c r="E2761" s="6" t="s">
        <v>44</v>
      </c>
      <c r="F2761" s="6" t="s">
        <v>58</v>
      </c>
      <c r="G2761" s="7">
        <v>69966.42569413477</v>
      </c>
      <c r="H2761" s="6">
        <v>675.3240454808587</v>
      </c>
      <c r="I2761" s="6" t="s">
        <v>180</v>
      </c>
      <c r="J2761" s="15">
        <v>15.65844825870828</v>
      </c>
    </row>
    <row r="2762" spans="1:10">
      <c r="A2762" s="6" t="s">
        <v>141</v>
      </c>
      <c r="B2762" s="6" t="s">
        <v>90</v>
      </c>
      <c r="C2762" s="6" t="s">
        <v>288</v>
      </c>
      <c r="D2762" s="6">
        <v>0.0266566391297323</v>
      </c>
      <c r="E2762" s="6" t="s">
        <v>86</v>
      </c>
      <c r="F2762" s="6" t="s">
        <v>58</v>
      </c>
      <c r="G2762" s="7">
        <v>69966.42569413477</v>
      </c>
      <c r="H2762" s="6">
        <v>1865.069760925781</v>
      </c>
      <c r="I2762" s="6" t="s">
        <v>180</v>
      </c>
      <c r="J2762" s="15">
        <v>15.65844825870828</v>
      </c>
    </row>
    <row r="2763" spans="1:10">
      <c r="A2763" s="6" t="s">
        <v>141</v>
      </c>
      <c r="B2763" s="6" t="s">
        <v>90</v>
      </c>
      <c r="C2763" s="6" t="s">
        <v>288</v>
      </c>
      <c r="D2763" s="6">
        <v>0.006546840958605665</v>
      </c>
      <c r="E2763" s="6" t="s">
        <v>90</v>
      </c>
      <c r="F2763" s="6" t="s">
        <v>58</v>
      </c>
      <c r="G2763" s="7">
        <v>69966.42569413477</v>
      </c>
      <c r="H2763" s="6">
        <v>458.0590614616013</v>
      </c>
      <c r="I2763" s="6" t="s">
        <v>180</v>
      </c>
      <c r="J2763" s="15">
        <v>15.65844825870828</v>
      </c>
    </row>
    <row r="2764" spans="1:10">
      <c r="A2764" s="6" t="s">
        <v>141</v>
      </c>
      <c r="B2764" s="6" t="s">
        <v>90</v>
      </c>
      <c r="C2764" s="6" t="s">
        <v>289</v>
      </c>
      <c r="D2764" s="6">
        <v>20.16700143690552</v>
      </c>
      <c r="E2764" s="6" t="s">
        <v>44</v>
      </c>
      <c r="F2764" s="6" t="s">
        <v>52</v>
      </c>
      <c r="G2764" s="7">
        <v>67135.49298692077</v>
      </c>
      <c r="H2764" s="6">
        <v>1353921.583534592</v>
      </c>
      <c r="I2764" s="6" t="s">
        <v>179</v>
      </c>
      <c r="J2764" s="15">
        <v>64</v>
      </c>
    </row>
    <row r="2765" spans="1:10">
      <c r="A2765" s="6" t="s">
        <v>141</v>
      </c>
      <c r="B2765" s="6" t="s">
        <v>90</v>
      </c>
      <c r="C2765" s="6" t="s">
        <v>289</v>
      </c>
      <c r="D2765" s="6">
        <v>16.52391782917949</v>
      </c>
      <c r="E2765" s="6" t="s">
        <v>86</v>
      </c>
      <c r="F2765" s="6" t="s">
        <v>52</v>
      </c>
      <c r="G2765" s="7">
        <v>67135.49298692077</v>
      </c>
      <c r="H2765" s="6">
        <v>1109341.369537335</v>
      </c>
      <c r="I2765" s="6" t="s">
        <v>179</v>
      </c>
      <c r="J2765" s="15">
        <v>64</v>
      </c>
    </row>
    <row r="2766" spans="1:10">
      <c r="A2766" s="6" t="s">
        <v>141</v>
      </c>
      <c r="B2766" s="6" t="s">
        <v>90</v>
      </c>
      <c r="C2766" s="6" t="s">
        <v>289</v>
      </c>
      <c r="D2766" s="6">
        <v>2.42325</v>
      </c>
      <c r="E2766" s="6" t="s">
        <v>88</v>
      </c>
      <c r="F2766" s="6" t="s">
        <v>52</v>
      </c>
      <c r="G2766" s="7">
        <v>67135.49298692077</v>
      </c>
      <c r="H2766" s="6">
        <v>162686.0833805558</v>
      </c>
      <c r="I2766" s="6" t="s">
        <v>179</v>
      </c>
      <c r="J2766" s="15">
        <v>64</v>
      </c>
    </row>
    <row r="2767" spans="1:10">
      <c r="A2767" s="6" t="s">
        <v>141</v>
      </c>
      <c r="B2767" s="6" t="s">
        <v>90</v>
      </c>
      <c r="C2767" s="6" t="s">
        <v>289</v>
      </c>
      <c r="D2767" s="6">
        <v>57.43052813777321</v>
      </c>
      <c r="E2767" s="6" t="s">
        <v>90</v>
      </c>
      <c r="F2767" s="6" t="s">
        <v>52</v>
      </c>
      <c r="G2767" s="7">
        <v>67135.49298692077</v>
      </c>
      <c r="H2767" s="6">
        <v>3855626.819028629</v>
      </c>
      <c r="I2767" s="6" t="s">
        <v>179</v>
      </c>
      <c r="J2767" s="15">
        <v>64</v>
      </c>
    </row>
    <row r="2768" spans="1:10">
      <c r="A2768" s="6" t="s">
        <v>141</v>
      </c>
      <c r="B2768" s="6" t="s">
        <v>90</v>
      </c>
      <c r="C2768" s="6" t="s">
        <v>289</v>
      </c>
      <c r="D2768" s="6">
        <v>0.4708333333333334</v>
      </c>
      <c r="E2768" s="6" t="s">
        <v>92</v>
      </c>
      <c r="F2768" s="6" t="s">
        <v>52</v>
      </c>
      <c r="G2768" s="7">
        <v>67135.49298692077</v>
      </c>
      <c r="H2768" s="6">
        <v>31609.62794800853</v>
      </c>
      <c r="I2768" s="6" t="s">
        <v>179</v>
      </c>
      <c r="J2768" s="15">
        <v>64</v>
      </c>
    </row>
    <row r="2769" spans="1:10">
      <c r="A2769" s="6" t="s">
        <v>141</v>
      </c>
      <c r="B2769" s="6" t="s">
        <v>90</v>
      </c>
      <c r="C2769" s="6" t="s">
        <v>290</v>
      </c>
      <c r="D2769" s="6">
        <v>0.1125</v>
      </c>
      <c r="E2769" s="6" t="s">
        <v>44</v>
      </c>
      <c r="F2769" s="6" t="s">
        <v>53</v>
      </c>
      <c r="G2769" s="7">
        <v>33776.0793312915</v>
      </c>
      <c r="H2769" s="6">
        <v>3799.808924770294</v>
      </c>
      <c r="I2769" s="6" t="s">
        <v>180</v>
      </c>
      <c r="J2769" s="15">
        <v>4.062223754214076</v>
      </c>
    </row>
    <row r="2770" spans="1:10">
      <c r="A2770" s="6" t="s">
        <v>141</v>
      </c>
      <c r="B2770" s="6" t="s">
        <v>90</v>
      </c>
      <c r="C2770" s="6" t="s">
        <v>290</v>
      </c>
      <c r="D2770" s="6">
        <v>0.04175</v>
      </c>
      <c r="E2770" s="6" t="s">
        <v>86</v>
      </c>
      <c r="F2770" s="6" t="s">
        <v>53</v>
      </c>
      <c r="G2770" s="7">
        <v>33776.0793312915</v>
      </c>
      <c r="H2770" s="6">
        <v>1410.15131208142</v>
      </c>
      <c r="I2770" s="6" t="s">
        <v>180</v>
      </c>
      <c r="J2770" s="15">
        <v>4.062223754214076</v>
      </c>
    </row>
    <row r="2771" spans="1:10">
      <c r="A2771" s="6" t="s">
        <v>141</v>
      </c>
      <c r="B2771" s="6" t="s">
        <v>90</v>
      </c>
      <c r="C2771" s="6" t="s">
        <v>290</v>
      </c>
      <c r="D2771" s="6">
        <v>0.01425</v>
      </c>
      <c r="E2771" s="6" t="s">
        <v>88</v>
      </c>
      <c r="F2771" s="6" t="s">
        <v>53</v>
      </c>
      <c r="G2771" s="7">
        <v>33776.0793312915</v>
      </c>
      <c r="H2771" s="6">
        <v>481.3091304709039</v>
      </c>
      <c r="I2771" s="6" t="s">
        <v>180</v>
      </c>
      <c r="J2771" s="15">
        <v>4.062223754214076</v>
      </c>
    </row>
    <row r="2772" spans="1:10">
      <c r="A2772" s="6" t="s">
        <v>141</v>
      </c>
      <c r="B2772" s="6" t="s">
        <v>90</v>
      </c>
      <c r="C2772" s="6" t="s">
        <v>290</v>
      </c>
      <c r="D2772" s="6">
        <v>0.006833333333333333</v>
      </c>
      <c r="E2772" s="6" t="s">
        <v>90</v>
      </c>
      <c r="F2772" s="6" t="s">
        <v>53</v>
      </c>
      <c r="G2772" s="7">
        <v>33776.0793312915</v>
      </c>
      <c r="H2772" s="6">
        <v>230.8032087638253</v>
      </c>
      <c r="I2772" s="6" t="s">
        <v>180</v>
      </c>
      <c r="J2772" s="15">
        <v>4.062223754214076</v>
      </c>
    </row>
    <row r="2773" spans="1:10">
      <c r="A2773" s="6" t="s">
        <v>141</v>
      </c>
      <c r="B2773" s="6" t="s">
        <v>90</v>
      </c>
      <c r="C2773" s="6" t="s">
        <v>292</v>
      </c>
      <c r="D2773" s="6">
        <v>6.727869567343996</v>
      </c>
      <c r="E2773" s="6" t="s">
        <v>44</v>
      </c>
      <c r="F2773" s="6" t="s">
        <v>54</v>
      </c>
      <c r="G2773" s="7">
        <v>102155.1088842532</v>
      </c>
      <c r="H2773" s="6">
        <v>687286.2482110795</v>
      </c>
      <c r="I2773" s="6" t="s">
        <v>179</v>
      </c>
      <c r="J2773" s="15">
        <v>55</v>
      </c>
    </row>
    <row r="2774" spans="1:10">
      <c r="A2774" s="6" t="s">
        <v>141</v>
      </c>
      <c r="B2774" s="6" t="s">
        <v>90</v>
      </c>
      <c r="C2774" s="6" t="s">
        <v>292</v>
      </c>
      <c r="D2774" s="6">
        <v>1.532323573282053</v>
      </c>
      <c r="E2774" s="6" t="s">
        <v>86</v>
      </c>
      <c r="F2774" s="6" t="s">
        <v>54</v>
      </c>
      <c r="G2774" s="7">
        <v>102155.1088842532</v>
      </c>
      <c r="H2774" s="6">
        <v>156534.6814745361</v>
      </c>
      <c r="I2774" s="6" t="s">
        <v>179</v>
      </c>
      <c r="J2774" s="15">
        <v>55</v>
      </c>
    </row>
    <row r="2775" spans="1:10">
      <c r="A2775" s="6" t="s">
        <v>141</v>
      </c>
      <c r="B2775" s="6" t="s">
        <v>90</v>
      </c>
      <c r="C2775" s="6" t="s">
        <v>292</v>
      </c>
      <c r="D2775" s="6">
        <v>1.09825</v>
      </c>
      <c r="E2775" s="6" t="s">
        <v>88</v>
      </c>
      <c r="F2775" s="6" t="s">
        <v>54</v>
      </c>
      <c r="G2775" s="7">
        <v>102155.1088842532</v>
      </c>
      <c r="H2775" s="6">
        <v>112191.8483321311</v>
      </c>
      <c r="I2775" s="6" t="s">
        <v>179</v>
      </c>
      <c r="J2775" s="15">
        <v>55</v>
      </c>
    </row>
    <row r="2776" spans="1:10">
      <c r="A2776" s="6" t="s">
        <v>141</v>
      </c>
      <c r="B2776" s="6" t="s">
        <v>90</v>
      </c>
      <c r="C2776" s="6" t="s">
        <v>292</v>
      </c>
      <c r="D2776" s="6">
        <v>1.381104497991968</v>
      </c>
      <c r="E2776" s="6" t="s">
        <v>90</v>
      </c>
      <c r="F2776" s="6" t="s">
        <v>54</v>
      </c>
      <c r="G2776" s="7">
        <v>102155.1088842532</v>
      </c>
      <c r="H2776" s="6">
        <v>141086.8803729014</v>
      </c>
      <c r="I2776" s="6" t="s">
        <v>179</v>
      </c>
      <c r="J2776" s="15">
        <v>55</v>
      </c>
    </row>
    <row r="2777" spans="1:10">
      <c r="A2777" s="6" t="s">
        <v>141</v>
      </c>
      <c r="B2777" s="6" t="s">
        <v>90</v>
      </c>
      <c r="C2777" s="6" t="s">
        <v>293</v>
      </c>
      <c r="D2777" s="6">
        <v>47.69524055682407</v>
      </c>
      <c r="E2777" s="6" t="s">
        <v>44</v>
      </c>
      <c r="F2777" s="6" t="s">
        <v>53</v>
      </c>
      <c r="G2777" s="7">
        <v>41041.87189365314</v>
      </c>
      <c r="H2777" s="6">
        <v>1957501.952870143</v>
      </c>
      <c r="I2777" s="6" t="s">
        <v>179</v>
      </c>
      <c r="J2777" s="15">
        <v>18</v>
      </c>
    </row>
    <row r="2778" spans="1:10">
      <c r="A2778" s="6" t="s">
        <v>141</v>
      </c>
      <c r="B2778" s="6" t="s">
        <v>90</v>
      </c>
      <c r="C2778" s="6" t="s">
        <v>293</v>
      </c>
      <c r="D2778" s="6">
        <v>49.13265516338672</v>
      </c>
      <c r="E2778" s="6" t="s">
        <v>86</v>
      </c>
      <c r="F2778" s="6" t="s">
        <v>53</v>
      </c>
      <c r="G2778" s="7">
        <v>41041.87189365314</v>
      </c>
      <c r="H2778" s="6">
        <v>2016496.139010753</v>
      </c>
      <c r="I2778" s="6" t="s">
        <v>179</v>
      </c>
      <c r="J2778" s="15">
        <v>18</v>
      </c>
    </row>
    <row r="2779" spans="1:10">
      <c r="A2779" s="6" t="s">
        <v>141</v>
      </c>
      <c r="B2779" s="6" t="s">
        <v>90</v>
      </c>
      <c r="C2779" s="6" t="s">
        <v>293</v>
      </c>
      <c r="D2779" s="6">
        <v>42.00783333333333</v>
      </c>
      <c r="E2779" s="6" t="s">
        <v>88</v>
      </c>
      <c r="F2779" s="6" t="s">
        <v>53</v>
      </c>
      <c r="G2779" s="7">
        <v>41041.87189365314</v>
      </c>
      <c r="H2779" s="6">
        <v>1724080.114196599</v>
      </c>
      <c r="I2779" s="6" t="s">
        <v>179</v>
      </c>
      <c r="J2779" s="15">
        <v>18</v>
      </c>
    </row>
    <row r="2780" spans="1:10">
      <c r="A2780" s="6" t="s">
        <v>141</v>
      </c>
      <c r="B2780" s="6" t="s">
        <v>90</v>
      </c>
      <c r="C2780" s="6" t="s">
        <v>293</v>
      </c>
      <c r="D2780" s="6">
        <v>207.8184206043198</v>
      </c>
      <c r="E2780" s="6" t="s">
        <v>90</v>
      </c>
      <c r="F2780" s="6" t="s">
        <v>53</v>
      </c>
      <c r="G2780" s="7">
        <v>41041.87189365314</v>
      </c>
      <c r="H2780" s="6">
        <v>8529256.995583821</v>
      </c>
      <c r="I2780" s="6" t="s">
        <v>179</v>
      </c>
      <c r="J2780" s="15">
        <v>18</v>
      </c>
    </row>
    <row r="2781" spans="1:10">
      <c r="A2781" s="6" t="s">
        <v>141</v>
      </c>
      <c r="B2781" s="6" t="s">
        <v>90</v>
      </c>
      <c r="C2781" s="6" t="s">
        <v>293</v>
      </c>
      <c r="D2781" s="6">
        <v>0.009999999999999998</v>
      </c>
      <c r="E2781" s="6" t="s">
        <v>92</v>
      </c>
      <c r="F2781" s="6" t="s">
        <v>53</v>
      </c>
      <c r="G2781" s="7">
        <v>41041.87189365314</v>
      </c>
      <c r="H2781" s="6">
        <v>410.4187189365313</v>
      </c>
      <c r="I2781" s="6" t="s">
        <v>179</v>
      </c>
      <c r="J2781" s="15">
        <v>18</v>
      </c>
    </row>
    <row r="2782" spans="1:10">
      <c r="A2782" s="6" t="s">
        <v>141</v>
      </c>
      <c r="B2782" s="6" t="s">
        <v>90</v>
      </c>
      <c r="C2782" s="6" t="s">
        <v>294</v>
      </c>
      <c r="D2782" s="6">
        <v>0.8636570075229868</v>
      </c>
      <c r="E2782" s="6" t="s">
        <v>44</v>
      </c>
      <c r="F2782" s="6" t="s">
        <v>54</v>
      </c>
      <c r="G2782" s="7">
        <v>73336.4313640656</v>
      </c>
      <c r="H2782" s="6">
        <v>63337.52285430381</v>
      </c>
      <c r="I2782" s="6" t="s">
        <v>180</v>
      </c>
      <c r="J2782" s="15">
        <v>16.73827606522132</v>
      </c>
    </row>
    <row r="2783" spans="1:10">
      <c r="A2783" s="6" t="s">
        <v>141</v>
      </c>
      <c r="B2783" s="6" t="s">
        <v>90</v>
      </c>
      <c r="C2783" s="6" t="s">
        <v>294</v>
      </c>
      <c r="D2783" s="6">
        <v>0.2743569703724343</v>
      </c>
      <c r="E2783" s="6" t="s">
        <v>86</v>
      </c>
      <c r="F2783" s="6" t="s">
        <v>54</v>
      </c>
      <c r="G2783" s="7">
        <v>73336.4313640656</v>
      </c>
      <c r="H2783" s="6">
        <v>20120.36112697101</v>
      </c>
      <c r="I2783" s="6" t="s">
        <v>180</v>
      </c>
      <c r="J2783" s="15">
        <v>16.73827606522132</v>
      </c>
    </row>
    <row r="2784" spans="1:10">
      <c r="A2784" s="6" t="s">
        <v>141</v>
      </c>
      <c r="B2784" s="6" t="s">
        <v>90</v>
      </c>
      <c r="C2784" s="6" t="s">
        <v>294</v>
      </c>
      <c r="D2784" s="6">
        <v>0.2556666666666667</v>
      </c>
      <c r="E2784" s="6" t="s">
        <v>88</v>
      </c>
      <c r="F2784" s="6" t="s">
        <v>54</v>
      </c>
      <c r="G2784" s="7">
        <v>73336.4313640656</v>
      </c>
      <c r="H2784" s="6">
        <v>18749.68095207944</v>
      </c>
      <c r="I2784" s="6" t="s">
        <v>180</v>
      </c>
      <c r="J2784" s="15">
        <v>16.73827606522132</v>
      </c>
    </row>
    <row r="2785" spans="1:10">
      <c r="A2785" s="6" t="s">
        <v>141</v>
      </c>
      <c r="B2785" s="6" t="s">
        <v>90</v>
      </c>
      <c r="C2785" s="6" t="s">
        <v>294</v>
      </c>
      <c r="D2785" s="6">
        <v>0.21075</v>
      </c>
      <c r="E2785" s="6" t="s">
        <v>90</v>
      </c>
      <c r="F2785" s="6" t="s">
        <v>54</v>
      </c>
      <c r="G2785" s="7">
        <v>73336.4313640656</v>
      </c>
      <c r="H2785" s="6">
        <v>15455.65290997682</v>
      </c>
      <c r="I2785" s="6" t="s">
        <v>180</v>
      </c>
      <c r="J2785" s="15">
        <v>16.73827606522132</v>
      </c>
    </row>
    <row r="2786" spans="1:10">
      <c r="A2786" s="6" t="s">
        <v>141</v>
      </c>
      <c r="B2786" s="6" t="s">
        <v>90</v>
      </c>
      <c r="C2786" s="6" t="s">
        <v>295</v>
      </c>
      <c r="D2786" s="6">
        <v>43.89244041182111</v>
      </c>
      <c r="E2786" s="6" t="s">
        <v>44</v>
      </c>
      <c r="F2786" s="6" t="s">
        <v>53</v>
      </c>
      <c r="G2786" s="7">
        <v>29529.16394109224</v>
      </c>
      <c r="H2786" s="6">
        <v>1296107.068695287</v>
      </c>
      <c r="I2786" s="6" t="s">
        <v>179</v>
      </c>
      <c r="J2786" s="15">
        <v>15</v>
      </c>
    </row>
    <row r="2787" spans="1:10">
      <c r="A2787" s="6" t="s">
        <v>141</v>
      </c>
      <c r="B2787" s="6" t="s">
        <v>90</v>
      </c>
      <c r="C2787" s="6" t="s">
        <v>295</v>
      </c>
      <c r="D2787" s="6">
        <v>7.8490746143799</v>
      </c>
      <c r="E2787" s="6" t="s">
        <v>86</v>
      </c>
      <c r="F2787" s="6" t="s">
        <v>53</v>
      </c>
      <c r="G2787" s="7">
        <v>29529.16394109224</v>
      </c>
      <c r="H2787" s="6">
        <v>231776.6110738894</v>
      </c>
      <c r="I2787" s="6" t="s">
        <v>179</v>
      </c>
      <c r="J2787" s="15">
        <v>15</v>
      </c>
    </row>
    <row r="2788" spans="1:10">
      <c r="A2788" s="6" t="s">
        <v>141</v>
      </c>
      <c r="B2788" s="6" t="s">
        <v>90</v>
      </c>
      <c r="C2788" s="6" t="s">
        <v>295</v>
      </c>
      <c r="D2788" s="6">
        <v>5.196666666666665</v>
      </c>
      <c r="E2788" s="6" t="s">
        <v>88</v>
      </c>
      <c r="F2788" s="6" t="s">
        <v>53</v>
      </c>
      <c r="G2788" s="7">
        <v>29529.16394109224</v>
      </c>
      <c r="H2788" s="6">
        <v>153453.2219472093</v>
      </c>
      <c r="I2788" s="6" t="s">
        <v>179</v>
      </c>
      <c r="J2788" s="15">
        <v>15</v>
      </c>
    </row>
    <row r="2789" spans="1:10">
      <c r="A2789" s="6" t="s">
        <v>141</v>
      </c>
      <c r="B2789" s="6" t="s">
        <v>90</v>
      </c>
      <c r="C2789" s="6" t="s">
        <v>295</v>
      </c>
      <c r="D2789" s="6">
        <v>3.863571240737862</v>
      </c>
      <c r="E2789" s="6" t="s">
        <v>90</v>
      </c>
      <c r="F2789" s="6" t="s">
        <v>53</v>
      </c>
      <c r="G2789" s="7">
        <v>29529.16394109224</v>
      </c>
      <c r="H2789" s="6">
        <v>114088.0285658375</v>
      </c>
      <c r="I2789" s="6" t="s">
        <v>179</v>
      </c>
      <c r="J2789" s="15">
        <v>15</v>
      </c>
    </row>
    <row r="2790" spans="1:10">
      <c r="A2790" s="6" t="s">
        <v>141</v>
      </c>
      <c r="B2790" s="6" t="s">
        <v>90</v>
      </c>
      <c r="C2790" s="6" t="s">
        <v>296</v>
      </c>
      <c r="D2790" s="6">
        <v>1.002120985021763</v>
      </c>
      <c r="E2790" s="6" t="s">
        <v>44</v>
      </c>
      <c r="F2790" s="6" t="s">
        <v>61</v>
      </c>
      <c r="G2790" s="7">
        <v>58003.92647416519</v>
      </c>
      <c r="H2790" s="6">
        <v>58126.95193342034</v>
      </c>
      <c r="I2790" s="6" t="s">
        <v>179</v>
      </c>
      <c r="J2790" s="15">
        <v>13</v>
      </c>
    </row>
    <row r="2791" spans="1:10">
      <c r="A2791" s="6" t="s">
        <v>141</v>
      </c>
      <c r="B2791" s="6" t="s">
        <v>90</v>
      </c>
      <c r="C2791" s="6" t="s">
        <v>296</v>
      </c>
      <c r="D2791" s="6">
        <v>0.09385833184008474</v>
      </c>
      <c r="E2791" s="6" t="s">
        <v>86</v>
      </c>
      <c r="F2791" s="6" t="s">
        <v>61</v>
      </c>
      <c r="G2791" s="7">
        <v>58003.92647416519</v>
      </c>
      <c r="H2791" s="6">
        <v>5444.151779040073</v>
      </c>
      <c r="I2791" s="6" t="s">
        <v>179</v>
      </c>
      <c r="J2791" s="15">
        <v>13</v>
      </c>
    </row>
    <row r="2792" spans="1:10">
      <c r="A2792" s="6" t="s">
        <v>141</v>
      </c>
      <c r="B2792" s="6" t="s">
        <v>90</v>
      </c>
      <c r="C2792" s="6" t="s">
        <v>296</v>
      </c>
      <c r="D2792" s="6">
        <v>0.1456666666666666</v>
      </c>
      <c r="E2792" s="6" t="s">
        <v>88</v>
      </c>
      <c r="F2792" s="6" t="s">
        <v>61</v>
      </c>
      <c r="G2792" s="7">
        <v>58003.92647416519</v>
      </c>
      <c r="H2792" s="6">
        <v>8449.238623070061</v>
      </c>
      <c r="I2792" s="6" t="s">
        <v>179</v>
      </c>
      <c r="J2792" s="15">
        <v>13</v>
      </c>
    </row>
    <row r="2793" spans="1:10">
      <c r="A2793" s="6" t="s">
        <v>141</v>
      </c>
      <c r="B2793" s="6" t="s">
        <v>90</v>
      </c>
      <c r="C2793" s="6" t="s">
        <v>296</v>
      </c>
      <c r="D2793" s="6">
        <v>1.863345581128304</v>
      </c>
      <c r="E2793" s="6" t="s">
        <v>90</v>
      </c>
      <c r="F2793" s="6" t="s">
        <v>61</v>
      </c>
      <c r="G2793" s="7">
        <v>58003.92647416519</v>
      </c>
      <c r="H2793" s="6">
        <v>108081.3600837267</v>
      </c>
      <c r="I2793" s="6" t="s">
        <v>179</v>
      </c>
      <c r="J2793" s="15">
        <v>13</v>
      </c>
    </row>
    <row r="2794" spans="1:10">
      <c r="A2794" s="6" t="s">
        <v>141</v>
      </c>
      <c r="B2794" s="6" t="s">
        <v>90</v>
      </c>
      <c r="C2794" s="6" t="s">
        <v>296</v>
      </c>
      <c r="D2794" s="6">
        <v>0.7223333333333334</v>
      </c>
      <c r="E2794" s="6" t="s">
        <v>92</v>
      </c>
      <c r="F2794" s="6" t="s">
        <v>61</v>
      </c>
      <c r="G2794" s="7">
        <v>58003.92647416519</v>
      </c>
      <c r="H2794" s="6">
        <v>41898.16955650533</v>
      </c>
      <c r="I2794" s="6" t="s">
        <v>179</v>
      </c>
      <c r="J2794" s="15">
        <v>13</v>
      </c>
    </row>
    <row r="2795" spans="1:10">
      <c r="A2795" s="6" t="s">
        <v>141</v>
      </c>
      <c r="B2795" s="6" t="s">
        <v>90</v>
      </c>
      <c r="C2795" s="6" t="s">
        <v>297</v>
      </c>
      <c r="D2795" s="6">
        <v>1.778152638719892</v>
      </c>
      <c r="E2795" s="6" t="s">
        <v>44</v>
      </c>
      <c r="F2795" s="6" t="s">
        <v>52</v>
      </c>
      <c r="G2795" s="7">
        <v>86676.57256067361</v>
      </c>
      <c r="H2795" s="6">
        <v>154124.176213958</v>
      </c>
      <c r="I2795" s="6" t="s">
        <v>179</v>
      </c>
      <c r="J2795" s="15">
        <v>50</v>
      </c>
    </row>
    <row r="2796" spans="1:10">
      <c r="A2796" s="6" t="s">
        <v>141</v>
      </c>
      <c r="B2796" s="6" t="s">
        <v>90</v>
      </c>
      <c r="C2796" s="6" t="s">
        <v>297</v>
      </c>
      <c r="D2796" s="6">
        <v>3.341686094430707</v>
      </c>
      <c r="E2796" s="6" t="s">
        <v>86</v>
      </c>
      <c r="F2796" s="6" t="s">
        <v>52</v>
      </c>
      <c r="G2796" s="7">
        <v>86676.57256067361</v>
      </c>
      <c r="H2796" s="6">
        <v>289645.8972389172</v>
      </c>
      <c r="I2796" s="6" t="s">
        <v>179</v>
      </c>
      <c r="J2796" s="15">
        <v>50</v>
      </c>
    </row>
    <row r="2797" spans="1:10">
      <c r="A2797" s="6" t="s">
        <v>141</v>
      </c>
      <c r="B2797" s="6" t="s">
        <v>90</v>
      </c>
      <c r="C2797" s="6" t="s">
        <v>297</v>
      </c>
      <c r="D2797" s="6">
        <v>0.0145</v>
      </c>
      <c r="E2797" s="6" t="s">
        <v>88</v>
      </c>
      <c r="F2797" s="6" t="s">
        <v>52</v>
      </c>
      <c r="G2797" s="7">
        <v>86676.57256067361</v>
      </c>
      <c r="H2797" s="6">
        <v>1256.810302129767</v>
      </c>
      <c r="I2797" s="6" t="s">
        <v>179</v>
      </c>
      <c r="J2797" s="15">
        <v>50</v>
      </c>
    </row>
    <row r="2798" spans="1:10">
      <c r="A2798" s="6" t="s">
        <v>141</v>
      </c>
      <c r="B2798" s="6" t="s">
        <v>90</v>
      </c>
      <c r="C2798" s="6" t="s">
        <v>298</v>
      </c>
      <c r="D2798" s="6">
        <v>3.621046879193603</v>
      </c>
      <c r="E2798" s="6" t="s">
        <v>44</v>
      </c>
      <c r="F2798" s="6" t="s">
        <v>56</v>
      </c>
      <c r="G2798" s="7">
        <v>48595.16583801468</v>
      </c>
      <c r="H2798" s="6">
        <v>175965.3736016386</v>
      </c>
      <c r="I2798" s="6" t="s">
        <v>179</v>
      </c>
      <c r="J2798" s="15">
        <v>63.75</v>
      </c>
    </row>
    <row r="2799" spans="1:10">
      <c r="A2799" s="6" t="s">
        <v>141</v>
      </c>
      <c r="B2799" s="6" t="s">
        <v>90</v>
      </c>
      <c r="C2799" s="6" t="s">
        <v>298</v>
      </c>
      <c r="D2799" s="6">
        <v>0.02410327158449138</v>
      </c>
      <c r="E2799" s="6" t="s">
        <v>86</v>
      </c>
      <c r="F2799" s="6" t="s">
        <v>56</v>
      </c>
      <c r="G2799" s="7">
        <v>48595.16583801468</v>
      </c>
      <c r="H2799" s="6">
        <v>1171.302479887066</v>
      </c>
      <c r="I2799" s="6" t="s">
        <v>179</v>
      </c>
      <c r="J2799" s="15">
        <v>63.75</v>
      </c>
    </row>
    <row r="2800" spans="1:10">
      <c r="A2800" s="6" t="s">
        <v>141</v>
      </c>
      <c r="B2800" s="6" t="s">
        <v>90</v>
      </c>
      <c r="C2800" s="6" t="s">
        <v>298</v>
      </c>
      <c r="D2800" s="6">
        <v>0.1663220936931241</v>
      </c>
      <c r="E2800" s="6" t="s">
        <v>90</v>
      </c>
      <c r="F2800" s="6" t="s">
        <v>56</v>
      </c>
      <c r="G2800" s="7">
        <v>48595.16583801468</v>
      </c>
      <c r="H2800" s="6">
        <v>8082.449725543182</v>
      </c>
      <c r="I2800" s="6" t="s">
        <v>179</v>
      </c>
      <c r="J2800" s="15">
        <v>63.75</v>
      </c>
    </row>
    <row r="2801" spans="1:10">
      <c r="A2801" s="6" t="s">
        <v>141</v>
      </c>
      <c r="B2801" s="6" t="s">
        <v>90</v>
      </c>
      <c r="C2801" s="6" t="s">
        <v>299</v>
      </c>
      <c r="D2801" s="6">
        <v>2.883333333333333</v>
      </c>
      <c r="E2801" s="6" t="s">
        <v>44</v>
      </c>
      <c r="F2801" s="6" t="s">
        <v>53</v>
      </c>
      <c r="G2801" s="7">
        <v>25973.79370043561</v>
      </c>
      <c r="H2801" s="6">
        <v>74891.10516958934</v>
      </c>
      <c r="I2801" s="6" t="s">
        <v>179</v>
      </c>
      <c r="J2801" s="15">
        <v>14</v>
      </c>
    </row>
    <row r="2802" spans="1:10">
      <c r="A2802" s="6" t="s">
        <v>141</v>
      </c>
      <c r="B2802" s="6" t="s">
        <v>90</v>
      </c>
      <c r="C2802" s="6" t="s">
        <v>299</v>
      </c>
      <c r="D2802" s="6">
        <v>0.4360833333333333</v>
      </c>
      <c r="E2802" s="6" t="s">
        <v>86</v>
      </c>
      <c r="F2802" s="6" t="s">
        <v>53</v>
      </c>
      <c r="G2802" s="7">
        <v>25973.79370043561</v>
      </c>
      <c r="H2802" s="6">
        <v>11326.7385361983</v>
      </c>
      <c r="I2802" s="6" t="s">
        <v>179</v>
      </c>
      <c r="J2802" s="15">
        <v>14</v>
      </c>
    </row>
    <row r="2803" spans="1:10">
      <c r="A2803" s="6" t="s">
        <v>141</v>
      </c>
      <c r="B2803" s="6" t="s">
        <v>90</v>
      </c>
      <c r="C2803" s="6" t="s">
        <v>299</v>
      </c>
      <c r="D2803" s="6">
        <v>0.467</v>
      </c>
      <c r="E2803" s="6" t="s">
        <v>88</v>
      </c>
      <c r="F2803" s="6" t="s">
        <v>53</v>
      </c>
      <c r="G2803" s="7">
        <v>25973.79370043561</v>
      </c>
      <c r="H2803" s="6">
        <v>12129.76165810343</v>
      </c>
      <c r="I2803" s="6" t="s">
        <v>179</v>
      </c>
      <c r="J2803" s="15">
        <v>14</v>
      </c>
    </row>
    <row r="2804" spans="1:10">
      <c r="A2804" s="6" t="s">
        <v>141</v>
      </c>
      <c r="B2804" s="6" t="s">
        <v>90</v>
      </c>
      <c r="C2804" s="6" t="s">
        <v>299</v>
      </c>
      <c r="D2804" s="6">
        <v>0.3615</v>
      </c>
      <c r="E2804" s="6" t="s">
        <v>90</v>
      </c>
      <c r="F2804" s="6" t="s">
        <v>53</v>
      </c>
      <c r="G2804" s="7">
        <v>25973.79370043561</v>
      </c>
      <c r="H2804" s="6">
        <v>9389.526422707475</v>
      </c>
      <c r="I2804" s="6" t="s">
        <v>179</v>
      </c>
      <c r="J2804" s="15">
        <v>14</v>
      </c>
    </row>
    <row r="2805" spans="1:10">
      <c r="A2805" s="6" t="s">
        <v>141</v>
      </c>
      <c r="B2805" s="6" t="s">
        <v>90</v>
      </c>
      <c r="C2805" s="6" t="s">
        <v>302</v>
      </c>
      <c r="D2805" s="6">
        <v>4.115420167620047</v>
      </c>
      <c r="E2805" s="6" t="s">
        <v>44</v>
      </c>
      <c r="F2805" s="6" t="s">
        <v>52</v>
      </c>
      <c r="G2805" s="7">
        <v>75366.35678233257</v>
      </c>
      <c r="H2805" s="6">
        <v>310164.2246620594</v>
      </c>
      <c r="I2805" s="6" t="s">
        <v>179</v>
      </c>
      <c r="J2805" s="15">
        <v>59.01666666666667</v>
      </c>
    </row>
    <row r="2806" spans="1:10">
      <c r="A2806" s="6" t="s">
        <v>141</v>
      </c>
      <c r="B2806" s="6" t="s">
        <v>90</v>
      </c>
      <c r="C2806" s="6" t="s">
        <v>302</v>
      </c>
      <c r="D2806" s="6">
        <v>2.176627300808803</v>
      </c>
      <c r="E2806" s="6" t="s">
        <v>86</v>
      </c>
      <c r="F2806" s="6" t="s">
        <v>52</v>
      </c>
      <c r="G2806" s="7">
        <v>75366.35678233257</v>
      </c>
      <c r="H2806" s="6">
        <v>164044.4697349218</v>
      </c>
      <c r="I2806" s="6" t="s">
        <v>179</v>
      </c>
      <c r="J2806" s="15">
        <v>59.01666666666667</v>
      </c>
    </row>
    <row r="2807" spans="1:10">
      <c r="A2807" s="6" t="s">
        <v>141</v>
      </c>
      <c r="B2807" s="6" t="s">
        <v>90</v>
      </c>
      <c r="C2807" s="6" t="s">
        <v>302</v>
      </c>
      <c r="D2807" s="6">
        <v>0.4727499999999999</v>
      </c>
      <c r="E2807" s="6" t="s">
        <v>88</v>
      </c>
      <c r="F2807" s="6" t="s">
        <v>52</v>
      </c>
      <c r="G2807" s="7">
        <v>75366.35678233257</v>
      </c>
      <c r="H2807" s="6">
        <v>35629.44516884771</v>
      </c>
      <c r="I2807" s="6" t="s">
        <v>179</v>
      </c>
      <c r="J2807" s="15">
        <v>59.01666666666667</v>
      </c>
    </row>
    <row r="2808" spans="1:10">
      <c r="A2808" s="6" t="s">
        <v>141</v>
      </c>
      <c r="B2808" s="6" t="s">
        <v>90</v>
      </c>
      <c r="C2808" s="6" t="s">
        <v>302</v>
      </c>
      <c r="D2808" s="6">
        <v>100.1698333333333</v>
      </c>
      <c r="E2808" s="6" t="s">
        <v>90</v>
      </c>
      <c r="F2808" s="6" t="s">
        <v>52</v>
      </c>
      <c r="G2808" s="7">
        <v>75366.35678233257</v>
      </c>
      <c r="H2808" s="6">
        <v>7549435.397826791</v>
      </c>
      <c r="I2808" s="6" t="s">
        <v>179</v>
      </c>
      <c r="J2808" s="15">
        <v>59.01666666666667</v>
      </c>
    </row>
    <row r="2809" spans="1:10">
      <c r="A2809" s="6" t="s">
        <v>141</v>
      </c>
      <c r="B2809" s="6" t="s">
        <v>90</v>
      </c>
      <c r="C2809" s="6" t="s">
        <v>303</v>
      </c>
      <c r="D2809" s="6">
        <v>1.28525</v>
      </c>
      <c r="E2809" s="6" t="s">
        <v>44</v>
      </c>
      <c r="F2809" s="6" t="s">
        <v>53</v>
      </c>
      <c r="G2809" s="7">
        <v>31792.00581425614</v>
      </c>
      <c r="H2809" s="6">
        <v>40860.67547277271</v>
      </c>
      <c r="I2809" s="6" t="s">
        <v>180</v>
      </c>
      <c r="J2809" s="15">
        <v>14</v>
      </c>
    </row>
    <row r="2810" spans="1:10">
      <c r="A2810" s="6" t="s">
        <v>141</v>
      </c>
      <c r="B2810" s="6" t="s">
        <v>90</v>
      </c>
      <c r="C2810" s="6" t="s">
        <v>303</v>
      </c>
      <c r="D2810" s="6">
        <v>0.26525</v>
      </c>
      <c r="E2810" s="6" t="s">
        <v>86</v>
      </c>
      <c r="F2810" s="6" t="s">
        <v>53</v>
      </c>
      <c r="G2810" s="7">
        <v>31792.00581425614</v>
      </c>
      <c r="H2810" s="6">
        <v>8432.829542231442</v>
      </c>
      <c r="I2810" s="6" t="s">
        <v>180</v>
      </c>
      <c r="J2810" s="15">
        <v>14</v>
      </c>
    </row>
    <row r="2811" spans="1:10">
      <c r="A2811" s="6" t="s">
        <v>141</v>
      </c>
      <c r="B2811" s="6" t="s">
        <v>90</v>
      </c>
      <c r="C2811" s="6" t="s">
        <v>303</v>
      </c>
      <c r="D2811" s="6">
        <v>0.1794166666666667</v>
      </c>
      <c r="E2811" s="6" t="s">
        <v>88</v>
      </c>
      <c r="F2811" s="6" t="s">
        <v>53</v>
      </c>
      <c r="G2811" s="7">
        <v>31792.00581425614</v>
      </c>
      <c r="H2811" s="6">
        <v>5704.015709841123</v>
      </c>
      <c r="I2811" s="6" t="s">
        <v>180</v>
      </c>
      <c r="J2811" s="15">
        <v>14</v>
      </c>
    </row>
    <row r="2812" spans="1:10">
      <c r="A2812" s="6" t="s">
        <v>141</v>
      </c>
      <c r="B2812" s="6" t="s">
        <v>90</v>
      </c>
      <c r="C2812" s="6" t="s">
        <v>303</v>
      </c>
      <c r="D2812" s="6">
        <v>0.172</v>
      </c>
      <c r="E2812" s="6" t="s">
        <v>90</v>
      </c>
      <c r="F2812" s="6" t="s">
        <v>53</v>
      </c>
      <c r="G2812" s="7">
        <v>31792.00581425614</v>
      </c>
      <c r="H2812" s="6">
        <v>5468.225000052056</v>
      </c>
      <c r="I2812" s="6" t="s">
        <v>180</v>
      </c>
      <c r="J2812" s="15">
        <v>14</v>
      </c>
    </row>
    <row r="2813" spans="1:10">
      <c r="A2813" s="6" t="s">
        <v>141</v>
      </c>
      <c r="B2813" s="6" t="s">
        <v>90</v>
      </c>
      <c r="C2813" s="6" t="s">
        <v>361</v>
      </c>
      <c r="D2813" s="6">
        <v>1.116645980719895</v>
      </c>
      <c r="E2813" s="6" t="s">
        <v>44</v>
      </c>
      <c r="F2813" s="6" t="s">
        <v>52</v>
      </c>
      <c r="G2813" s="7">
        <v>77309.29947361469</v>
      </c>
      <c r="H2813" s="6">
        <v>86327.11852948251</v>
      </c>
      <c r="I2813" s="6" t="s">
        <v>179</v>
      </c>
      <c r="J2813" s="15">
        <v>52</v>
      </c>
    </row>
    <row r="2814" spans="1:10">
      <c r="A2814" s="6" t="s">
        <v>141</v>
      </c>
      <c r="B2814" s="6" t="s">
        <v>90</v>
      </c>
      <c r="C2814" s="6" t="s">
        <v>361</v>
      </c>
      <c r="D2814" s="6">
        <v>0.5303540192801057</v>
      </c>
      <c r="E2814" s="6" t="s">
        <v>86</v>
      </c>
      <c r="F2814" s="6" t="s">
        <v>52</v>
      </c>
      <c r="G2814" s="7">
        <v>77309.29947361469</v>
      </c>
      <c r="H2814" s="6">
        <v>41001.29770356091</v>
      </c>
      <c r="I2814" s="6" t="s">
        <v>179</v>
      </c>
      <c r="J2814" s="15">
        <v>52</v>
      </c>
    </row>
    <row r="2815" spans="1:10">
      <c r="A2815" s="6" t="s">
        <v>141</v>
      </c>
      <c r="B2815" s="6" t="s">
        <v>90</v>
      </c>
      <c r="C2815" s="6" t="s">
        <v>361</v>
      </c>
      <c r="D2815" s="6">
        <v>2.769916666666667</v>
      </c>
      <c r="E2815" s="6" t="s">
        <v>90</v>
      </c>
      <c r="F2815" s="6" t="s">
        <v>52</v>
      </c>
      <c r="G2815" s="7">
        <v>77309.29947361469</v>
      </c>
      <c r="H2815" s="6">
        <v>214140.3171002899</v>
      </c>
      <c r="I2815" s="6" t="s">
        <v>179</v>
      </c>
      <c r="J2815" s="15">
        <v>52</v>
      </c>
    </row>
    <row r="2816" spans="1:10">
      <c r="A2816" s="6" t="s">
        <v>141</v>
      </c>
      <c r="B2816" s="6" t="s">
        <v>90</v>
      </c>
      <c r="C2816" s="6" t="s">
        <v>305</v>
      </c>
      <c r="D2816" s="6">
        <v>24.41508243933673</v>
      </c>
      <c r="E2816" s="6" t="s">
        <v>44</v>
      </c>
      <c r="F2816" s="6" t="s">
        <v>54</v>
      </c>
      <c r="G2816" s="7">
        <v>98512.45602947168</v>
      </c>
      <c r="H2816" s="6">
        <v>2405189.735261086</v>
      </c>
      <c r="I2816" s="6" t="s">
        <v>179</v>
      </c>
      <c r="J2816" s="15">
        <v>67</v>
      </c>
    </row>
    <row r="2817" spans="1:10">
      <c r="A2817" s="6" t="s">
        <v>141</v>
      </c>
      <c r="B2817" s="6" t="s">
        <v>90</v>
      </c>
      <c r="C2817" s="6" t="s">
        <v>305</v>
      </c>
      <c r="D2817" s="6">
        <v>5.769432644465299</v>
      </c>
      <c r="E2817" s="6" t="s">
        <v>86</v>
      </c>
      <c r="F2817" s="6" t="s">
        <v>54</v>
      </c>
      <c r="G2817" s="7">
        <v>98512.45602947168</v>
      </c>
      <c r="H2817" s="6">
        <v>568360.9797028863</v>
      </c>
      <c r="I2817" s="6" t="s">
        <v>179</v>
      </c>
      <c r="J2817" s="15">
        <v>67</v>
      </c>
    </row>
    <row r="2818" spans="1:10">
      <c r="A2818" s="6" t="s">
        <v>141</v>
      </c>
      <c r="B2818" s="6" t="s">
        <v>90</v>
      </c>
      <c r="C2818" s="6" t="s">
        <v>305</v>
      </c>
      <c r="D2818" s="6">
        <v>4.702916666666667</v>
      </c>
      <c r="E2818" s="6" t="s">
        <v>88</v>
      </c>
      <c r="F2818" s="6" t="s">
        <v>54</v>
      </c>
      <c r="G2818" s="7">
        <v>98512.45602947168</v>
      </c>
      <c r="H2818" s="6">
        <v>463295.8713352695</v>
      </c>
      <c r="I2818" s="6" t="s">
        <v>179</v>
      </c>
      <c r="J2818" s="15">
        <v>67</v>
      </c>
    </row>
    <row r="2819" spans="1:10">
      <c r="A2819" s="6" t="s">
        <v>141</v>
      </c>
      <c r="B2819" s="6" t="s">
        <v>90</v>
      </c>
      <c r="C2819" s="6" t="s">
        <v>305</v>
      </c>
      <c r="D2819" s="6">
        <v>4.201719289426753</v>
      </c>
      <c r="E2819" s="6" t="s">
        <v>90</v>
      </c>
      <c r="F2819" s="6" t="s">
        <v>54</v>
      </c>
      <c r="G2819" s="7">
        <v>98512.45602947168</v>
      </c>
      <c r="H2819" s="6">
        <v>413921.6867478361</v>
      </c>
      <c r="I2819" s="6" t="s">
        <v>179</v>
      </c>
      <c r="J2819" s="15">
        <v>67</v>
      </c>
    </row>
    <row r="2820" spans="1:10">
      <c r="A2820" s="6" t="s">
        <v>141</v>
      </c>
      <c r="B2820" s="6" t="s">
        <v>90</v>
      </c>
      <c r="C2820" s="6" t="s">
        <v>306</v>
      </c>
      <c r="D2820" s="6">
        <v>3.216358043360662</v>
      </c>
      <c r="E2820" s="6" t="s">
        <v>44</v>
      </c>
      <c r="F2820" s="6" t="s">
        <v>57</v>
      </c>
      <c r="G2820" s="7">
        <v>50865.11911120607</v>
      </c>
      <c r="H2820" s="6">
        <v>163600.4349798258</v>
      </c>
      <c r="I2820" s="6" t="s">
        <v>179</v>
      </c>
      <c r="J2820" s="15">
        <v>39</v>
      </c>
    </row>
    <row r="2821" spans="1:10">
      <c r="A2821" s="6" t="s">
        <v>141</v>
      </c>
      <c r="B2821" s="6" t="s">
        <v>90</v>
      </c>
      <c r="C2821" s="6" t="s">
        <v>306</v>
      </c>
      <c r="D2821" s="6">
        <v>0.9265584795823052</v>
      </c>
      <c r="E2821" s="6" t="s">
        <v>86</v>
      </c>
      <c r="F2821" s="6" t="s">
        <v>57</v>
      </c>
      <c r="G2821" s="7">
        <v>50865.11911120607</v>
      </c>
      <c r="H2821" s="6">
        <v>47129.50742745195</v>
      </c>
      <c r="I2821" s="6" t="s">
        <v>179</v>
      </c>
      <c r="J2821" s="15">
        <v>39</v>
      </c>
    </row>
    <row r="2822" spans="1:10">
      <c r="A2822" s="6" t="s">
        <v>141</v>
      </c>
      <c r="B2822" s="6" t="s">
        <v>90</v>
      </c>
      <c r="C2822" s="6" t="s">
        <v>306</v>
      </c>
      <c r="D2822" s="6">
        <v>1.599083333333333</v>
      </c>
      <c r="E2822" s="6" t="s">
        <v>88</v>
      </c>
      <c r="F2822" s="6" t="s">
        <v>57</v>
      </c>
      <c r="G2822" s="7">
        <v>50865.11911120607</v>
      </c>
      <c r="H2822" s="6">
        <v>81337.56421874443</v>
      </c>
      <c r="I2822" s="6" t="s">
        <v>179</v>
      </c>
      <c r="J2822" s="15">
        <v>39</v>
      </c>
    </row>
    <row r="2823" spans="1:10">
      <c r="A2823" s="6" t="s">
        <v>141</v>
      </c>
      <c r="B2823" s="6" t="s">
        <v>90</v>
      </c>
      <c r="C2823" s="6" t="s">
        <v>306</v>
      </c>
      <c r="D2823" s="6">
        <v>0.3700008076776891</v>
      </c>
      <c r="E2823" s="6" t="s">
        <v>90</v>
      </c>
      <c r="F2823" s="6" t="s">
        <v>57</v>
      </c>
      <c r="G2823" s="7">
        <v>50865.11911120607</v>
      </c>
      <c r="H2823" s="6">
        <v>18820.13515376811</v>
      </c>
      <c r="I2823" s="6" t="s">
        <v>179</v>
      </c>
      <c r="J2823" s="15">
        <v>39</v>
      </c>
    </row>
    <row r="2824" spans="1:10">
      <c r="A2824" s="6" t="s">
        <v>141</v>
      </c>
      <c r="B2824" s="6" t="s">
        <v>90</v>
      </c>
      <c r="C2824" s="6" t="s">
        <v>307</v>
      </c>
      <c r="D2824" s="6">
        <v>1.193666666666667</v>
      </c>
      <c r="E2824" s="6" t="s">
        <v>44</v>
      </c>
      <c r="F2824" s="6" t="s">
        <v>53</v>
      </c>
      <c r="G2824" s="7">
        <v>34610.3479059413</v>
      </c>
      <c r="H2824" s="6">
        <v>41313.2186170586</v>
      </c>
      <c r="I2824" s="6" t="s">
        <v>180</v>
      </c>
      <c r="J2824" s="15">
        <v>13.5</v>
      </c>
    </row>
    <row r="2825" spans="1:10">
      <c r="A2825" s="6" t="s">
        <v>141</v>
      </c>
      <c r="B2825" s="6" t="s">
        <v>90</v>
      </c>
      <c r="C2825" s="6" t="s">
        <v>307</v>
      </c>
      <c r="D2825" s="6">
        <v>0.1625</v>
      </c>
      <c r="E2825" s="6" t="s">
        <v>86</v>
      </c>
      <c r="F2825" s="6" t="s">
        <v>53</v>
      </c>
      <c r="G2825" s="7">
        <v>34610.3479059413</v>
      </c>
      <c r="H2825" s="6">
        <v>5624.181534715462</v>
      </c>
      <c r="I2825" s="6" t="s">
        <v>180</v>
      </c>
      <c r="J2825" s="15">
        <v>13.5</v>
      </c>
    </row>
    <row r="2826" spans="1:10">
      <c r="A2826" s="6" t="s">
        <v>141</v>
      </c>
      <c r="B2826" s="6" t="s">
        <v>90</v>
      </c>
      <c r="C2826" s="6" t="s">
        <v>307</v>
      </c>
      <c r="D2826" s="6">
        <v>0.09666666666666665</v>
      </c>
      <c r="E2826" s="6" t="s">
        <v>88</v>
      </c>
      <c r="F2826" s="6" t="s">
        <v>53</v>
      </c>
      <c r="G2826" s="7">
        <v>34610.3479059413</v>
      </c>
      <c r="H2826" s="6">
        <v>3345.666964240992</v>
      </c>
      <c r="I2826" s="6" t="s">
        <v>180</v>
      </c>
      <c r="J2826" s="15">
        <v>13.5</v>
      </c>
    </row>
    <row r="2827" spans="1:10">
      <c r="A2827" s="6" t="s">
        <v>141</v>
      </c>
      <c r="B2827" s="6" t="s">
        <v>90</v>
      </c>
      <c r="C2827" s="6" t="s">
        <v>307</v>
      </c>
      <c r="D2827" s="6">
        <v>0.09833333333333333</v>
      </c>
      <c r="E2827" s="6" t="s">
        <v>90</v>
      </c>
      <c r="F2827" s="6" t="s">
        <v>53</v>
      </c>
      <c r="G2827" s="7">
        <v>34610.3479059413</v>
      </c>
      <c r="H2827" s="6">
        <v>3403.350877417561</v>
      </c>
      <c r="I2827" s="6" t="s">
        <v>180</v>
      </c>
      <c r="J2827" s="15">
        <v>13.5</v>
      </c>
    </row>
    <row r="2828" spans="1:10">
      <c r="A2828" s="6" t="s">
        <v>141</v>
      </c>
      <c r="B2828" s="6" t="s">
        <v>90</v>
      </c>
      <c r="C2828" s="6" t="s">
        <v>362</v>
      </c>
      <c r="D2828" s="6">
        <v>3.874734178893406</v>
      </c>
      <c r="E2828" s="6" t="s">
        <v>86</v>
      </c>
      <c r="F2828" s="6" t="s">
        <v>52</v>
      </c>
      <c r="G2828" s="7">
        <v>56852.15728722059</v>
      </c>
      <c r="H2828" s="6">
        <v>220286.9969846175</v>
      </c>
      <c r="I2828" s="6" t="s">
        <v>179</v>
      </c>
      <c r="J2828" s="15">
        <v>69</v>
      </c>
    </row>
    <row r="2829" spans="1:10">
      <c r="A2829" s="6" t="s">
        <v>141</v>
      </c>
      <c r="B2829" s="6" t="s">
        <v>90</v>
      </c>
      <c r="C2829" s="6" t="s">
        <v>362</v>
      </c>
      <c r="D2829" s="6">
        <v>105.5425</v>
      </c>
      <c r="E2829" s="6" t="s">
        <v>90</v>
      </c>
      <c r="F2829" s="6" t="s">
        <v>52</v>
      </c>
      <c r="G2829" s="7">
        <v>56852.15728722059</v>
      </c>
      <c r="H2829" s="6">
        <v>6000318.81048648</v>
      </c>
      <c r="I2829" s="6" t="s">
        <v>179</v>
      </c>
      <c r="J2829" s="15">
        <v>69</v>
      </c>
    </row>
    <row r="2830" spans="1:10">
      <c r="A2830" s="6" t="s">
        <v>141</v>
      </c>
      <c r="B2830" s="6" t="s">
        <v>90</v>
      </c>
      <c r="C2830" s="6" t="s">
        <v>308</v>
      </c>
      <c r="D2830" s="6">
        <v>1.58289451631873</v>
      </c>
      <c r="E2830" s="6" t="s">
        <v>44</v>
      </c>
      <c r="F2830" s="6" t="s">
        <v>54</v>
      </c>
      <c r="G2830" s="7">
        <v>61958.4525384317</v>
      </c>
      <c r="H2830" s="6">
        <v>98073.69476267783</v>
      </c>
      <c r="I2830" s="6" t="s">
        <v>180</v>
      </c>
      <c r="J2830" s="15">
        <v>13.09250833626427</v>
      </c>
    </row>
    <row r="2831" spans="1:10">
      <c r="A2831" s="6" t="s">
        <v>141</v>
      </c>
      <c r="B2831" s="6" t="s">
        <v>90</v>
      </c>
      <c r="C2831" s="6" t="s">
        <v>308</v>
      </c>
      <c r="D2831" s="6">
        <v>0.270372463981182</v>
      </c>
      <c r="E2831" s="6" t="s">
        <v>86</v>
      </c>
      <c r="F2831" s="6" t="s">
        <v>54</v>
      </c>
      <c r="G2831" s="7">
        <v>61958.4525384317</v>
      </c>
      <c r="H2831" s="6">
        <v>16751.8594772769</v>
      </c>
      <c r="I2831" s="6" t="s">
        <v>180</v>
      </c>
      <c r="J2831" s="15">
        <v>13.09250833626427</v>
      </c>
    </row>
    <row r="2832" spans="1:10">
      <c r="A2832" s="6" t="s">
        <v>141</v>
      </c>
      <c r="B2832" s="6" t="s">
        <v>90</v>
      </c>
      <c r="C2832" s="6" t="s">
        <v>308</v>
      </c>
      <c r="D2832" s="6">
        <v>0.2456666666666667</v>
      </c>
      <c r="E2832" s="6" t="s">
        <v>88</v>
      </c>
      <c r="F2832" s="6" t="s">
        <v>54</v>
      </c>
      <c r="G2832" s="7">
        <v>61958.4525384317</v>
      </c>
      <c r="H2832" s="6">
        <v>15221.12650694139</v>
      </c>
      <c r="I2832" s="6" t="s">
        <v>180</v>
      </c>
      <c r="J2832" s="15">
        <v>13.09250833626427</v>
      </c>
    </row>
    <row r="2833" spans="1:10">
      <c r="A2833" s="6" t="s">
        <v>141</v>
      </c>
      <c r="B2833" s="6" t="s">
        <v>90</v>
      </c>
      <c r="C2833" s="6" t="s">
        <v>308</v>
      </c>
      <c r="D2833" s="6">
        <v>0.1401666666666667</v>
      </c>
      <c r="E2833" s="6" t="s">
        <v>90</v>
      </c>
      <c r="F2833" s="6" t="s">
        <v>54</v>
      </c>
      <c r="G2833" s="7">
        <v>61958.4525384317</v>
      </c>
      <c r="H2833" s="6">
        <v>8684.509764136843</v>
      </c>
      <c r="I2833" s="6" t="s">
        <v>180</v>
      </c>
      <c r="J2833" s="15">
        <v>13.09250833626427</v>
      </c>
    </row>
    <row r="2834" spans="1:10">
      <c r="A2834" s="6" t="s">
        <v>141</v>
      </c>
      <c r="B2834" s="6" t="s">
        <v>90</v>
      </c>
      <c r="C2834" s="6" t="s">
        <v>309</v>
      </c>
      <c r="D2834" s="6">
        <v>19.51091557251424</v>
      </c>
      <c r="E2834" s="6" t="s">
        <v>44</v>
      </c>
      <c r="F2834" s="6" t="s">
        <v>52</v>
      </c>
      <c r="G2834" s="7">
        <v>73075.41331885532</v>
      </c>
      <c r="H2834" s="6">
        <v>1425768.219690769</v>
      </c>
      <c r="I2834" s="6" t="s">
        <v>179</v>
      </c>
      <c r="J2834" s="15">
        <v>52</v>
      </c>
    </row>
    <row r="2835" spans="1:10">
      <c r="A2835" s="6" t="s">
        <v>141</v>
      </c>
      <c r="B2835" s="6" t="s">
        <v>90</v>
      </c>
      <c r="C2835" s="6" t="s">
        <v>309</v>
      </c>
      <c r="D2835" s="6">
        <v>8.068418809920045</v>
      </c>
      <c r="E2835" s="6" t="s">
        <v>86</v>
      </c>
      <c r="F2835" s="6" t="s">
        <v>52</v>
      </c>
      <c r="G2835" s="7">
        <v>73075.41331885532</v>
      </c>
      <c r="H2835" s="6">
        <v>589603.0393645341</v>
      </c>
      <c r="I2835" s="6" t="s">
        <v>179</v>
      </c>
      <c r="J2835" s="15">
        <v>52</v>
      </c>
    </row>
    <row r="2836" spans="1:10">
      <c r="A2836" s="6" t="s">
        <v>141</v>
      </c>
      <c r="B2836" s="6" t="s">
        <v>90</v>
      </c>
      <c r="C2836" s="6" t="s">
        <v>309</v>
      </c>
      <c r="D2836" s="6">
        <v>1.565166666666667</v>
      </c>
      <c r="E2836" s="6" t="s">
        <v>88</v>
      </c>
      <c r="F2836" s="6" t="s">
        <v>52</v>
      </c>
      <c r="G2836" s="7">
        <v>73075.41331885532</v>
      </c>
      <c r="H2836" s="6">
        <v>114375.2010795617</v>
      </c>
      <c r="I2836" s="6" t="s">
        <v>179</v>
      </c>
      <c r="J2836" s="15">
        <v>52</v>
      </c>
    </row>
    <row r="2837" spans="1:10">
      <c r="A2837" s="6" t="s">
        <v>141</v>
      </c>
      <c r="B2837" s="6" t="s">
        <v>90</v>
      </c>
      <c r="C2837" s="6" t="s">
        <v>309</v>
      </c>
      <c r="D2837" s="6">
        <v>282.5323333333333</v>
      </c>
      <c r="E2837" s="6" t="s">
        <v>90</v>
      </c>
      <c r="F2837" s="6" t="s">
        <v>52</v>
      </c>
      <c r="G2837" s="7">
        <v>73075.41331885532</v>
      </c>
      <c r="H2837" s="6">
        <v>20646167.03427393</v>
      </c>
      <c r="I2837" s="6" t="s">
        <v>179</v>
      </c>
      <c r="J2837" s="15">
        <v>52</v>
      </c>
    </row>
    <row r="2838" spans="1:10">
      <c r="A2838" s="6" t="s">
        <v>141</v>
      </c>
      <c r="B2838" s="6" t="s">
        <v>90</v>
      </c>
      <c r="C2838" s="6" t="s">
        <v>309</v>
      </c>
      <c r="D2838" s="6">
        <v>2.571</v>
      </c>
      <c r="E2838" s="6" t="s">
        <v>92</v>
      </c>
      <c r="F2838" s="6" t="s">
        <v>52</v>
      </c>
      <c r="G2838" s="7">
        <v>73075.41331885532</v>
      </c>
      <c r="H2838" s="6">
        <v>187876.887642777</v>
      </c>
      <c r="I2838" s="6" t="s">
        <v>179</v>
      </c>
      <c r="J2838" s="15">
        <v>52</v>
      </c>
    </row>
    <row r="2839" spans="1:10">
      <c r="A2839" s="6" t="s">
        <v>141</v>
      </c>
      <c r="B2839" s="6" t="s">
        <v>90</v>
      </c>
      <c r="C2839" s="6" t="s">
        <v>310</v>
      </c>
      <c r="D2839" s="6">
        <v>0.3633333333333333</v>
      </c>
      <c r="E2839" s="6" t="s">
        <v>86</v>
      </c>
      <c r="F2839" s="6" t="s">
        <v>52</v>
      </c>
      <c r="G2839" s="7">
        <v>72589.43692380768</v>
      </c>
      <c r="H2839" s="6">
        <v>26374.16208231679</v>
      </c>
      <c r="I2839" s="6" t="s">
        <v>179</v>
      </c>
      <c r="J2839" s="15">
        <v>75.54166666666666</v>
      </c>
    </row>
    <row r="2840" spans="1:10">
      <c r="A2840" s="6" t="s">
        <v>141</v>
      </c>
      <c r="B2840" s="6" t="s">
        <v>90</v>
      </c>
      <c r="C2840" s="6" t="s">
        <v>310</v>
      </c>
      <c r="D2840" s="6">
        <v>15.07566666666667</v>
      </c>
      <c r="E2840" s="6" t="s">
        <v>90</v>
      </c>
      <c r="F2840" s="6" t="s">
        <v>52</v>
      </c>
      <c r="G2840" s="7">
        <v>72589.43692380768</v>
      </c>
      <c r="H2840" s="6">
        <v>1094334.15458435</v>
      </c>
      <c r="I2840" s="6" t="s">
        <v>179</v>
      </c>
      <c r="J2840" s="15">
        <v>75.54166666666666</v>
      </c>
    </row>
    <row r="2841" spans="1:10">
      <c r="A2841" s="6" t="s">
        <v>141</v>
      </c>
      <c r="B2841" s="6" t="s">
        <v>90</v>
      </c>
      <c r="C2841" s="6" t="s">
        <v>312</v>
      </c>
      <c r="D2841" s="6">
        <v>15.65634472913504</v>
      </c>
      <c r="E2841" s="6" t="s">
        <v>44</v>
      </c>
      <c r="F2841" s="6" t="s">
        <v>54</v>
      </c>
      <c r="G2841" s="7">
        <v>98038.89341868946</v>
      </c>
      <c r="H2841" s="6">
        <v>1534930.712225931</v>
      </c>
      <c r="I2841" s="6" t="s">
        <v>179</v>
      </c>
      <c r="J2841" s="15">
        <v>97.98333333333333</v>
      </c>
    </row>
    <row r="2842" spans="1:10">
      <c r="A2842" s="6" t="s">
        <v>141</v>
      </c>
      <c r="B2842" s="6" t="s">
        <v>90</v>
      </c>
      <c r="C2842" s="6" t="s">
        <v>312</v>
      </c>
      <c r="D2842" s="6">
        <v>2.197430586106007</v>
      </c>
      <c r="E2842" s="6" t="s">
        <v>86</v>
      </c>
      <c r="F2842" s="6" t="s">
        <v>54</v>
      </c>
      <c r="G2842" s="7">
        <v>98038.89341868946</v>
      </c>
      <c r="H2842" s="6">
        <v>215433.6630262151</v>
      </c>
      <c r="I2842" s="6" t="s">
        <v>179</v>
      </c>
      <c r="J2842" s="15">
        <v>97.98333333333333</v>
      </c>
    </row>
    <row r="2843" spans="1:10">
      <c r="A2843" s="6" t="s">
        <v>141</v>
      </c>
      <c r="B2843" s="6" t="s">
        <v>90</v>
      </c>
      <c r="C2843" s="6" t="s">
        <v>312</v>
      </c>
      <c r="D2843" s="6">
        <v>1.693666666666667</v>
      </c>
      <c r="E2843" s="6" t="s">
        <v>88</v>
      </c>
      <c r="F2843" s="6" t="s">
        <v>54</v>
      </c>
      <c r="G2843" s="7">
        <v>98038.89341868946</v>
      </c>
      <c r="H2843" s="6">
        <v>166045.2058201204</v>
      </c>
      <c r="I2843" s="6" t="s">
        <v>179</v>
      </c>
      <c r="J2843" s="15">
        <v>97.98333333333333</v>
      </c>
    </row>
    <row r="2844" spans="1:10">
      <c r="A2844" s="6" t="s">
        <v>141</v>
      </c>
      <c r="B2844" s="6" t="s">
        <v>90</v>
      </c>
      <c r="C2844" s="6" t="s">
        <v>312</v>
      </c>
      <c r="D2844" s="6">
        <v>2.052478622681329</v>
      </c>
      <c r="E2844" s="6" t="s">
        <v>90</v>
      </c>
      <c r="F2844" s="6" t="s">
        <v>54</v>
      </c>
      <c r="G2844" s="7">
        <v>98038.89341868946</v>
      </c>
      <c r="H2844" s="6">
        <v>201222.7329331934</v>
      </c>
      <c r="I2844" s="6" t="s">
        <v>179</v>
      </c>
      <c r="J2844" s="15">
        <v>97.98333333333333</v>
      </c>
    </row>
    <row r="2845" spans="1:10">
      <c r="A2845" s="6" t="s">
        <v>141</v>
      </c>
      <c r="B2845" s="6" t="s">
        <v>90</v>
      </c>
      <c r="C2845" s="6" t="s">
        <v>313</v>
      </c>
      <c r="D2845" s="6">
        <v>0.07834804370065014</v>
      </c>
      <c r="E2845" s="6" t="s">
        <v>44</v>
      </c>
      <c r="F2845" s="6" t="s">
        <v>51</v>
      </c>
      <c r="G2845" s="7">
        <v>52321.25291717758</v>
      </c>
      <c r="H2845" s="6">
        <v>4099.267810027798</v>
      </c>
      <c r="I2845" s="6" t="s">
        <v>180</v>
      </c>
      <c r="J2845" s="15">
        <v>10.00452655012064</v>
      </c>
    </row>
    <row r="2846" spans="1:10">
      <c r="A2846" s="6" t="s">
        <v>141</v>
      </c>
      <c r="B2846" s="6" t="s">
        <v>90</v>
      </c>
      <c r="C2846" s="6" t="s">
        <v>313</v>
      </c>
      <c r="D2846" s="6">
        <v>0.2204081050099903</v>
      </c>
      <c r="E2846" s="6" t="s">
        <v>86</v>
      </c>
      <c r="F2846" s="6" t="s">
        <v>51</v>
      </c>
      <c r="G2846" s="7">
        <v>52321.25291717758</v>
      </c>
      <c r="H2846" s="6">
        <v>11532.02820722354</v>
      </c>
      <c r="I2846" s="6" t="s">
        <v>180</v>
      </c>
      <c r="J2846" s="15">
        <v>10.00452655012064</v>
      </c>
    </row>
    <row r="2847" spans="1:10">
      <c r="A2847" s="6" t="s">
        <v>141</v>
      </c>
      <c r="B2847" s="6" t="s">
        <v>90</v>
      </c>
      <c r="C2847" s="6" t="s">
        <v>313</v>
      </c>
      <c r="D2847" s="6">
        <v>0.01133333333333334</v>
      </c>
      <c r="E2847" s="6" t="s">
        <v>88</v>
      </c>
      <c r="F2847" s="6" t="s">
        <v>51</v>
      </c>
      <c r="G2847" s="7">
        <v>52321.25291717758</v>
      </c>
      <c r="H2847" s="6">
        <v>592.9741997280128</v>
      </c>
      <c r="I2847" s="6" t="s">
        <v>180</v>
      </c>
      <c r="J2847" s="15">
        <v>10.00452655012064</v>
      </c>
    </row>
    <row r="2848" spans="1:10">
      <c r="A2848" s="6" t="s">
        <v>141</v>
      </c>
      <c r="B2848" s="6" t="s">
        <v>90</v>
      </c>
      <c r="C2848" s="6" t="s">
        <v>313</v>
      </c>
      <c r="D2848" s="6">
        <v>0.03978252582535238</v>
      </c>
      <c r="E2848" s="6" t="s">
        <v>90</v>
      </c>
      <c r="F2848" s="6" t="s">
        <v>51</v>
      </c>
      <c r="G2848" s="7">
        <v>52321.25291717758</v>
      </c>
      <c r="H2848" s="6">
        <v>2081.471595392411</v>
      </c>
      <c r="I2848" s="6" t="s">
        <v>180</v>
      </c>
      <c r="J2848" s="15">
        <v>10.00452655012064</v>
      </c>
    </row>
    <row r="2849" spans="1:10">
      <c r="A2849" s="6" t="s">
        <v>141</v>
      </c>
      <c r="B2849" s="6" t="s">
        <v>90</v>
      </c>
      <c r="C2849" s="6" t="s">
        <v>315</v>
      </c>
      <c r="D2849" s="6">
        <v>0.09810872695802075</v>
      </c>
      <c r="E2849" s="6" t="s">
        <v>44</v>
      </c>
      <c r="F2849" s="6" t="s">
        <v>51</v>
      </c>
      <c r="G2849" s="7">
        <v>56453.56097958141</v>
      </c>
      <c r="H2849" s="6">
        <v>5538.586999953727</v>
      </c>
      <c r="I2849" s="6" t="s">
        <v>180</v>
      </c>
      <c r="J2849" s="15">
        <v>11.32861368465454</v>
      </c>
    </row>
    <row r="2850" spans="1:10">
      <c r="A2850" s="6" t="s">
        <v>141</v>
      </c>
      <c r="B2850" s="6" t="s">
        <v>90</v>
      </c>
      <c r="C2850" s="6" t="s">
        <v>315</v>
      </c>
      <c r="D2850" s="6">
        <v>0.1490014696088605</v>
      </c>
      <c r="E2850" s="6" t="s">
        <v>86</v>
      </c>
      <c r="F2850" s="6" t="s">
        <v>51</v>
      </c>
      <c r="G2850" s="7">
        <v>56453.56097958141</v>
      </c>
      <c r="H2850" s="6">
        <v>8411.663550611052</v>
      </c>
      <c r="I2850" s="6" t="s">
        <v>180</v>
      </c>
      <c r="J2850" s="15">
        <v>11.32861368465454</v>
      </c>
    </row>
    <row r="2851" spans="1:10">
      <c r="A2851" s="6" t="s">
        <v>141</v>
      </c>
      <c r="B2851" s="6" t="s">
        <v>90</v>
      </c>
      <c r="C2851" s="6" t="s">
        <v>315</v>
      </c>
      <c r="D2851" s="6">
        <v>0.01666666666666667</v>
      </c>
      <c r="E2851" s="6" t="s">
        <v>88</v>
      </c>
      <c r="F2851" s="6" t="s">
        <v>51</v>
      </c>
      <c r="G2851" s="7">
        <v>56453.56097958141</v>
      </c>
      <c r="H2851" s="6">
        <v>940.8926829930234</v>
      </c>
      <c r="I2851" s="6" t="s">
        <v>180</v>
      </c>
      <c r="J2851" s="15">
        <v>11.32861368465454</v>
      </c>
    </row>
    <row r="2852" spans="1:10">
      <c r="A2852" s="6" t="s">
        <v>141</v>
      </c>
      <c r="B2852" s="6" t="s">
        <v>90</v>
      </c>
      <c r="C2852" s="6" t="s">
        <v>315</v>
      </c>
      <c r="D2852" s="6">
        <v>0.03527751844504091</v>
      </c>
      <c r="E2852" s="6" t="s">
        <v>90</v>
      </c>
      <c r="F2852" s="6" t="s">
        <v>51</v>
      </c>
      <c r="G2852" s="7">
        <v>56453.56097958141</v>
      </c>
      <c r="H2852" s="6">
        <v>1991.541538745425</v>
      </c>
      <c r="I2852" s="6" t="s">
        <v>180</v>
      </c>
      <c r="J2852" s="15">
        <v>11.32861368465454</v>
      </c>
    </row>
    <row r="2853" spans="1:10">
      <c r="A2853" s="6" t="s">
        <v>141</v>
      </c>
      <c r="B2853" s="6" t="s">
        <v>90</v>
      </c>
      <c r="C2853" s="6" t="s">
        <v>316</v>
      </c>
      <c r="D2853" s="6">
        <v>2.026736144676596</v>
      </c>
      <c r="E2853" s="6" t="s">
        <v>44</v>
      </c>
      <c r="F2853" s="6" t="s">
        <v>54</v>
      </c>
      <c r="G2853" s="7">
        <v>105094.6368493964</v>
      </c>
      <c r="H2853" s="6">
        <v>212999.0991143326</v>
      </c>
      <c r="I2853" s="6" t="s">
        <v>179</v>
      </c>
      <c r="J2853" s="15">
        <v>17.72597931811622</v>
      </c>
    </row>
    <row r="2854" spans="1:10">
      <c r="A2854" s="6" t="s">
        <v>141</v>
      </c>
      <c r="B2854" s="6" t="s">
        <v>90</v>
      </c>
      <c r="C2854" s="6" t="s">
        <v>316</v>
      </c>
      <c r="D2854" s="6">
        <v>1.15159139680793</v>
      </c>
      <c r="E2854" s="6" t="s">
        <v>86</v>
      </c>
      <c r="F2854" s="6" t="s">
        <v>54</v>
      </c>
      <c r="G2854" s="7">
        <v>105094.6368493964</v>
      </c>
      <c r="H2854" s="6">
        <v>121026.0796464185</v>
      </c>
      <c r="I2854" s="6" t="s">
        <v>179</v>
      </c>
      <c r="J2854" s="15">
        <v>17.72597931811622</v>
      </c>
    </row>
    <row r="2855" spans="1:10">
      <c r="A2855" s="6" t="s">
        <v>141</v>
      </c>
      <c r="B2855" s="6" t="s">
        <v>90</v>
      </c>
      <c r="C2855" s="6" t="s">
        <v>316</v>
      </c>
      <c r="D2855" s="6">
        <v>0.8009999999999999</v>
      </c>
      <c r="E2855" s="6" t="s">
        <v>88</v>
      </c>
      <c r="F2855" s="6" t="s">
        <v>54</v>
      </c>
      <c r="G2855" s="7">
        <v>105094.6368493964</v>
      </c>
      <c r="H2855" s="6">
        <v>84180.8041163665</v>
      </c>
      <c r="I2855" s="6" t="s">
        <v>179</v>
      </c>
      <c r="J2855" s="15">
        <v>17.72597931811622</v>
      </c>
    </row>
    <row r="2856" spans="1:10">
      <c r="A2856" s="6" t="s">
        <v>141</v>
      </c>
      <c r="B2856" s="6" t="s">
        <v>90</v>
      </c>
      <c r="C2856" s="6" t="s">
        <v>316</v>
      </c>
      <c r="D2856" s="6">
        <v>1.039077218035171</v>
      </c>
      <c r="E2856" s="6" t="s">
        <v>90</v>
      </c>
      <c r="F2856" s="6" t="s">
        <v>54</v>
      </c>
      <c r="G2856" s="7">
        <v>105094.6368493964</v>
      </c>
      <c r="H2856" s="6">
        <v>109201.4428878874</v>
      </c>
      <c r="I2856" s="6" t="s">
        <v>179</v>
      </c>
      <c r="J2856" s="15">
        <v>17.72597931811622</v>
      </c>
    </row>
    <row r="2857" spans="1:10">
      <c r="A2857" s="6" t="s">
        <v>141</v>
      </c>
      <c r="B2857" s="6" t="s">
        <v>90</v>
      </c>
      <c r="C2857" s="6" t="s">
        <v>317</v>
      </c>
      <c r="D2857" s="6">
        <v>0.0757838861354683</v>
      </c>
      <c r="E2857" s="6" t="s">
        <v>44</v>
      </c>
      <c r="F2857" s="6" t="s">
        <v>51</v>
      </c>
      <c r="G2857" s="7">
        <v>51588.11271374751</v>
      </c>
      <c r="H2857" s="6">
        <v>3909.547659842346</v>
      </c>
      <c r="I2857" s="6" t="s">
        <v>180</v>
      </c>
      <c r="J2857" s="15">
        <v>9.769611462350877</v>
      </c>
    </row>
    <row r="2858" spans="1:10">
      <c r="A2858" s="6" t="s">
        <v>141</v>
      </c>
      <c r="B2858" s="6" t="s">
        <v>90</v>
      </c>
      <c r="C2858" s="6" t="s">
        <v>317</v>
      </c>
      <c r="D2858" s="6">
        <v>0.04738489155894166</v>
      </c>
      <c r="E2858" s="6" t="s">
        <v>86</v>
      </c>
      <c r="F2858" s="6" t="s">
        <v>51</v>
      </c>
      <c r="G2858" s="7">
        <v>51588.11271374751</v>
      </c>
      <c r="H2858" s="6">
        <v>2444.497126671385</v>
      </c>
      <c r="I2858" s="6" t="s">
        <v>180</v>
      </c>
      <c r="J2858" s="15">
        <v>9.769611462350877</v>
      </c>
    </row>
    <row r="2859" spans="1:10">
      <c r="A2859" s="6" t="s">
        <v>141</v>
      </c>
      <c r="B2859" s="6" t="s">
        <v>90</v>
      </c>
      <c r="C2859" s="6" t="s">
        <v>317</v>
      </c>
      <c r="D2859" s="6">
        <v>0.008416666666666666</v>
      </c>
      <c r="E2859" s="6" t="s">
        <v>88</v>
      </c>
      <c r="F2859" s="6" t="s">
        <v>51</v>
      </c>
      <c r="G2859" s="7">
        <v>51588.11271374751</v>
      </c>
      <c r="H2859" s="6">
        <v>434.1999486740415</v>
      </c>
      <c r="I2859" s="6" t="s">
        <v>180</v>
      </c>
      <c r="J2859" s="15">
        <v>9.769611462350877</v>
      </c>
    </row>
    <row r="2860" spans="1:10">
      <c r="A2860" s="6" t="s">
        <v>141</v>
      </c>
      <c r="B2860" s="6" t="s">
        <v>90</v>
      </c>
      <c r="C2860" s="6" t="s">
        <v>317</v>
      </c>
      <c r="D2860" s="6">
        <v>0.0199200222160511</v>
      </c>
      <c r="E2860" s="6" t="s">
        <v>90</v>
      </c>
      <c r="F2860" s="6" t="s">
        <v>51</v>
      </c>
      <c r="G2860" s="7">
        <v>51588.11271374751</v>
      </c>
      <c r="H2860" s="6">
        <v>1027.636351341999</v>
      </c>
      <c r="I2860" s="6" t="s">
        <v>180</v>
      </c>
      <c r="J2860" s="15">
        <v>9.769611462350877</v>
      </c>
    </row>
    <row r="2861" spans="1:10">
      <c r="A2861" s="6" t="s">
        <v>141</v>
      </c>
      <c r="B2861" s="6" t="s">
        <v>90</v>
      </c>
      <c r="C2861" s="6" t="s">
        <v>320</v>
      </c>
      <c r="D2861" s="6">
        <v>0.6824923508111767</v>
      </c>
      <c r="E2861" s="6" t="s">
        <v>44</v>
      </c>
      <c r="F2861" s="6" t="s">
        <v>51</v>
      </c>
      <c r="G2861" s="7">
        <v>50478.21140108545</v>
      </c>
      <c r="H2861" s="6">
        <v>34450.99316387035</v>
      </c>
      <c r="I2861" s="6" t="s">
        <v>180</v>
      </c>
      <c r="J2861" s="15">
        <v>9.413973396043877</v>
      </c>
    </row>
    <row r="2862" spans="1:10">
      <c r="A2862" s="6" t="s">
        <v>141</v>
      </c>
      <c r="B2862" s="6" t="s">
        <v>90</v>
      </c>
      <c r="C2862" s="6" t="s">
        <v>320</v>
      </c>
      <c r="D2862" s="6">
        <v>0.007275852355386374</v>
      </c>
      <c r="E2862" s="6" t="s">
        <v>86</v>
      </c>
      <c r="F2862" s="6" t="s">
        <v>51</v>
      </c>
      <c r="G2862" s="7">
        <v>50478.21140108545</v>
      </c>
      <c r="H2862" s="6">
        <v>367.2720133182789</v>
      </c>
      <c r="I2862" s="6" t="s">
        <v>180</v>
      </c>
      <c r="J2862" s="15">
        <v>9.413973396043877</v>
      </c>
    </row>
    <row r="2863" spans="1:10">
      <c r="A2863" s="6" t="s">
        <v>141</v>
      </c>
      <c r="B2863" s="6" t="s">
        <v>90</v>
      </c>
      <c r="C2863" s="6" t="s">
        <v>320</v>
      </c>
      <c r="D2863" s="6">
        <v>0.01751039137907903</v>
      </c>
      <c r="E2863" s="6" t="s">
        <v>90</v>
      </c>
      <c r="F2863" s="6" t="s">
        <v>51</v>
      </c>
      <c r="G2863" s="7">
        <v>50478.21140108545</v>
      </c>
      <c r="H2863" s="6">
        <v>883.8932377488952</v>
      </c>
      <c r="I2863" s="6" t="s">
        <v>180</v>
      </c>
      <c r="J2863" s="15">
        <v>9.413973396043877</v>
      </c>
    </row>
    <row r="2864" spans="1:10">
      <c r="A2864" s="6" t="s">
        <v>141</v>
      </c>
      <c r="B2864" s="6" t="s">
        <v>90</v>
      </c>
      <c r="C2864" s="6" t="s">
        <v>322</v>
      </c>
      <c r="D2864" s="6">
        <v>0.005087289433384381</v>
      </c>
      <c r="E2864" s="6" t="s">
        <v>44</v>
      </c>
      <c r="F2864" s="6" t="s">
        <v>51</v>
      </c>
      <c r="G2864" s="7">
        <v>51362.83162893766</v>
      </c>
      <c r="H2864" s="6">
        <v>261.2975906145956</v>
      </c>
      <c r="I2864" s="6" t="s">
        <v>180</v>
      </c>
      <c r="J2864" s="15">
        <v>9.697426189242986</v>
      </c>
    </row>
    <row r="2865" spans="1:10">
      <c r="A2865" s="6" t="s">
        <v>141</v>
      </c>
      <c r="B2865" s="6" t="s">
        <v>90</v>
      </c>
      <c r="C2865" s="6" t="s">
        <v>322</v>
      </c>
      <c r="D2865" s="6">
        <v>0.03401773864216437</v>
      </c>
      <c r="E2865" s="6" t="s">
        <v>86</v>
      </c>
      <c r="F2865" s="6" t="s">
        <v>51</v>
      </c>
      <c r="G2865" s="7">
        <v>51362.83162893766</v>
      </c>
      <c r="H2865" s="6">
        <v>1747.247382274695</v>
      </c>
      <c r="I2865" s="6" t="s">
        <v>180</v>
      </c>
      <c r="J2865" s="15">
        <v>9.697426189242986</v>
      </c>
    </row>
    <row r="2866" spans="1:10">
      <c r="A2866" s="6" t="s">
        <v>141</v>
      </c>
      <c r="B2866" s="6" t="s">
        <v>90</v>
      </c>
      <c r="C2866" s="6" t="s">
        <v>322</v>
      </c>
      <c r="D2866" s="6">
        <v>0.002749999999999999</v>
      </c>
      <c r="E2866" s="6" t="s">
        <v>88</v>
      </c>
      <c r="F2866" s="6" t="s">
        <v>51</v>
      </c>
      <c r="G2866" s="7">
        <v>51362.83162893766</v>
      </c>
      <c r="H2866" s="6">
        <v>141.2477869795785</v>
      </c>
      <c r="I2866" s="6" t="s">
        <v>180</v>
      </c>
      <c r="J2866" s="15">
        <v>9.697426189242986</v>
      </c>
    </row>
    <row r="2867" spans="1:10">
      <c r="A2867" s="6" t="s">
        <v>141</v>
      </c>
      <c r="B2867" s="6" t="s">
        <v>90</v>
      </c>
      <c r="C2867" s="6" t="s">
        <v>322</v>
      </c>
      <c r="D2867" s="6">
        <v>0.009816922221063245</v>
      </c>
      <c r="E2867" s="6" t="s">
        <v>90</v>
      </c>
      <c r="F2867" s="6" t="s">
        <v>51</v>
      </c>
      <c r="G2867" s="7">
        <v>51362.83162893766</v>
      </c>
      <c r="H2867" s="6">
        <v>504.2249231548482</v>
      </c>
      <c r="I2867" s="6" t="s">
        <v>180</v>
      </c>
      <c r="J2867" s="15">
        <v>9.697426189242986</v>
      </c>
    </row>
    <row r="2868" spans="1:10">
      <c r="A2868" s="6" t="s">
        <v>141</v>
      </c>
      <c r="B2868" s="6" t="s">
        <v>90</v>
      </c>
      <c r="C2868" s="6" t="s">
        <v>323</v>
      </c>
      <c r="D2868" s="6">
        <v>1.394505313235659</v>
      </c>
      <c r="E2868" s="6" t="s">
        <v>44</v>
      </c>
      <c r="F2868" s="6" t="s">
        <v>55</v>
      </c>
      <c r="G2868" s="7">
        <v>54663.87536141942</v>
      </c>
      <c r="H2868" s="6">
        <v>76229.06463355123</v>
      </c>
      <c r="I2868" s="6" t="s">
        <v>180</v>
      </c>
      <c r="J2868" s="15">
        <v>20.61666666666667</v>
      </c>
    </row>
    <row r="2869" spans="1:10">
      <c r="A2869" s="6" t="s">
        <v>141</v>
      </c>
      <c r="B2869" s="6" t="s">
        <v>90</v>
      </c>
      <c r="C2869" s="6" t="s">
        <v>323</v>
      </c>
      <c r="D2869" s="6">
        <v>0.8804443750335518</v>
      </c>
      <c r="E2869" s="6" t="s">
        <v>86</v>
      </c>
      <c r="F2869" s="6" t="s">
        <v>55</v>
      </c>
      <c r="G2869" s="7">
        <v>54663.87536141942</v>
      </c>
      <c r="H2869" s="6">
        <v>48128.50157949689</v>
      </c>
      <c r="I2869" s="6" t="s">
        <v>180</v>
      </c>
      <c r="J2869" s="15">
        <v>20.61666666666667</v>
      </c>
    </row>
    <row r="2870" spans="1:10">
      <c r="A2870" s="6" t="s">
        <v>141</v>
      </c>
      <c r="B2870" s="6" t="s">
        <v>90</v>
      </c>
      <c r="C2870" s="6" t="s">
        <v>323</v>
      </c>
      <c r="D2870" s="6">
        <v>0.0055</v>
      </c>
      <c r="E2870" s="6" t="s">
        <v>88</v>
      </c>
      <c r="F2870" s="6" t="s">
        <v>55</v>
      </c>
      <c r="G2870" s="7">
        <v>54663.87536141942</v>
      </c>
      <c r="H2870" s="6">
        <v>300.6513144878068</v>
      </c>
      <c r="I2870" s="6" t="s">
        <v>180</v>
      </c>
      <c r="J2870" s="15">
        <v>20.61666666666667</v>
      </c>
    </row>
    <row r="2871" spans="1:10">
      <c r="A2871" s="6" t="s">
        <v>141</v>
      </c>
      <c r="B2871" s="6" t="s">
        <v>90</v>
      </c>
      <c r="C2871" s="6" t="s">
        <v>323</v>
      </c>
      <c r="D2871" s="6">
        <v>0.2718669546566643</v>
      </c>
      <c r="E2871" s="6" t="s">
        <v>90</v>
      </c>
      <c r="F2871" s="6" t="s">
        <v>55</v>
      </c>
      <c r="G2871" s="7">
        <v>54663.87536141942</v>
      </c>
      <c r="H2871" s="6">
        <v>14861.30132424057</v>
      </c>
      <c r="I2871" s="6" t="s">
        <v>180</v>
      </c>
      <c r="J2871" s="15">
        <v>20.61666666666667</v>
      </c>
    </row>
    <row r="2872" spans="1:10">
      <c r="A2872" s="6" t="s">
        <v>141</v>
      </c>
      <c r="B2872" s="6" t="s">
        <v>90</v>
      </c>
      <c r="C2872" s="6" t="s">
        <v>324</v>
      </c>
      <c r="D2872" s="6">
        <v>0.2319586613738732</v>
      </c>
      <c r="E2872" s="6" t="s">
        <v>44</v>
      </c>
      <c r="F2872" s="6" t="s">
        <v>51</v>
      </c>
      <c r="G2872" s="7">
        <v>52939.45685818696</v>
      </c>
      <c r="H2872" s="6">
        <v>12279.76554668496</v>
      </c>
      <c r="I2872" s="6" t="s">
        <v>180</v>
      </c>
      <c r="J2872" s="15">
        <v>10.20261339951505</v>
      </c>
    </row>
    <row r="2873" spans="1:10">
      <c r="A2873" s="6" t="s">
        <v>141</v>
      </c>
      <c r="B2873" s="6" t="s">
        <v>90</v>
      </c>
      <c r="C2873" s="6" t="s">
        <v>324</v>
      </c>
      <c r="D2873" s="6">
        <v>0.4048292958239451</v>
      </c>
      <c r="E2873" s="6" t="s">
        <v>86</v>
      </c>
      <c r="F2873" s="6" t="s">
        <v>51</v>
      </c>
      <c r="G2873" s="7">
        <v>52939.45685818696</v>
      </c>
      <c r="H2873" s="6">
        <v>21431.44304120195</v>
      </c>
      <c r="I2873" s="6" t="s">
        <v>180</v>
      </c>
      <c r="J2873" s="15">
        <v>10.20261339951505</v>
      </c>
    </row>
    <row r="2874" spans="1:10">
      <c r="A2874" s="6" t="s">
        <v>141</v>
      </c>
      <c r="B2874" s="6" t="s">
        <v>90</v>
      </c>
      <c r="C2874" s="6" t="s">
        <v>324</v>
      </c>
      <c r="D2874" s="6">
        <v>0.008833333333333335</v>
      </c>
      <c r="E2874" s="6" t="s">
        <v>88</v>
      </c>
      <c r="F2874" s="6" t="s">
        <v>51</v>
      </c>
      <c r="G2874" s="7">
        <v>52939.45685818696</v>
      </c>
      <c r="H2874" s="6">
        <v>467.6318689139849</v>
      </c>
      <c r="I2874" s="6" t="s">
        <v>180</v>
      </c>
      <c r="J2874" s="15">
        <v>10.20261339951505</v>
      </c>
    </row>
    <row r="2875" spans="1:10">
      <c r="A2875" s="6" t="s">
        <v>141</v>
      </c>
      <c r="B2875" s="6" t="s">
        <v>90</v>
      </c>
      <c r="C2875" s="6" t="s">
        <v>324</v>
      </c>
      <c r="D2875" s="6">
        <v>0.1119573635033664</v>
      </c>
      <c r="E2875" s="6" t="s">
        <v>90</v>
      </c>
      <c r="F2875" s="6" t="s">
        <v>51</v>
      </c>
      <c r="G2875" s="7">
        <v>52939.45685818696</v>
      </c>
      <c r="H2875" s="6">
        <v>5926.962015142819</v>
      </c>
      <c r="I2875" s="6" t="s">
        <v>180</v>
      </c>
      <c r="J2875" s="15">
        <v>10.20261339951505</v>
      </c>
    </row>
    <row r="2876" spans="1:10">
      <c r="A2876" s="6" t="s">
        <v>141</v>
      </c>
      <c r="B2876" s="6" t="s">
        <v>90</v>
      </c>
      <c r="C2876" s="6" t="s">
        <v>325</v>
      </c>
      <c r="D2876" s="6">
        <v>1.895083333333333</v>
      </c>
      <c r="E2876" s="6" t="s">
        <v>44</v>
      </c>
      <c r="F2876" s="6" t="s">
        <v>53</v>
      </c>
      <c r="G2876" s="7">
        <v>27183.84720656899</v>
      </c>
      <c r="H2876" s="6">
        <v>51515.65577704878</v>
      </c>
      <c r="I2876" s="6" t="s">
        <v>179</v>
      </c>
      <c r="J2876" s="15">
        <v>16</v>
      </c>
    </row>
    <row r="2877" spans="1:10">
      <c r="A2877" s="6" t="s">
        <v>141</v>
      </c>
      <c r="B2877" s="6" t="s">
        <v>90</v>
      </c>
      <c r="C2877" s="6" t="s">
        <v>325</v>
      </c>
      <c r="D2877" s="6">
        <v>0.496</v>
      </c>
      <c r="E2877" s="6" t="s">
        <v>86</v>
      </c>
      <c r="F2877" s="6" t="s">
        <v>53</v>
      </c>
      <c r="G2877" s="7">
        <v>27183.84720656899</v>
      </c>
      <c r="H2877" s="6">
        <v>13483.18821445822</v>
      </c>
      <c r="I2877" s="6" t="s">
        <v>179</v>
      </c>
      <c r="J2877" s="15">
        <v>16</v>
      </c>
    </row>
    <row r="2878" spans="1:10">
      <c r="A2878" s="6" t="s">
        <v>141</v>
      </c>
      <c r="B2878" s="6" t="s">
        <v>90</v>
      </c>
      <c r="C2878" s="6" t="s">
        <v>325</v>
      </c>
      <c r="D2878" s="6">
        <v>0.5704166666666667</v>
      </c>
      <c r="E2878" s="6" t="s">
        <v>88</v>
      </c>
      <c r="F2878" s="6" t="s">
        <v>53</v>
      </c>
      <c r="G2878" s="7">
        <v>27183.84720656899</v>
      </c>
      <c r="H2878" s="6">
        <v>15506.11951074706</v>
      </c>
      <c r="I2878" s="6" t="s">
        <v>179</v>
      </c>
      <c r="J2878" s="15">
        <v>16</v>
      </c>
    </row>
    <row r="2879" spans="1:10">
      <c r="A2879" s="6" t="s">
        <v>141</v>
      </c>
      <c r="B2879" s="6" t="s">
        <v>90</v>
      </c>
      <c r="C2879" s="6" t="s">
        <v>325</v>
      </c>
      <c r="D2879" s="6">
        <v>0.3846666666666667</v>
      </c>
      <c r="E2879" s="6" t="s">
        <v>90</v>
      </c>
      <c r="F2879" s="6" t="s">
        <v>53</v>
      </c>
      <c r="G2879" s="7">
        <v>27183.84720656899</v>
      </c>
      <c r="H2879" s="6">
        <v>10456.71989212687</v>
      </c>
      <c r="I2879" s="6" t="s">
        <v>179</v>
      </c>
      <c r="J2879" s="15">
        <v>16</v>
      </c>
    </row>
    <row r="2880" spans="1:10">
      <c r="A2880" s="6" t="s">
        <v>141</v>
      </c>
      <c r="B2880" s="6" t="s">
        <v>90</v>
      </c>
      <c r="C2880" s="6" t="s">
        <v>364</v>
      </c>
      <c r="D2880" s="6">
        <v>2.544422350990569</v>
      </c>
      <c r="E2880" s="6" t="s">
        <v>44</v>
      </c>
      <c r="F2880" s="6" t="s">
        <v>52</v>
      </c>
      <c r="G2880" s="7">
        <v>51274.29567237874</v>
      </c>
      <c r="H2880" s="6">
        <v>130463.4639400995</v>
      </c>
      <c r="I2880" s="6" t="s">
        <v>179</v>
      </c>
      <c r="J2880" s="15">
        <v>65</v>
      </c>
    </row>
    <row r="2881" spans="1:10">
      <c r="A2881" s="6" t="s">
        <v>141</v>
      </c>
      <c r="B2881" s="6" t="s">
        <v>90</v>
      </c>
      <c r="C2881" s="6" t="s">
        <v>364</v>
      </c>
      <c r="D2881" s="6">
        <v>0.2828903626667629</v>
      </c>
      <c r="E2881" s="6" t="s">
        <v>86</v>
      </c>
      <c r="F2881" s="6" t="s">
        <v>52</v>
      </c>
      <c r="G2881" s="7">
        <v>51274.29567237874</v>
      </c>
      <c r="H2881" s="6">
        <v>14505.00409824205</v>
      </c>
      <c r="I2881" s="6" t="s">
        <v>179</v>
      </c>
      <c r="J2881" s="15">
        <v>65</v>
      </c>
    </row>
    <row r="2882" spans="1:10">
      <c r="A2882" s="6" t="s">
        <v>141</v>
      </c>
      <c r="B2882" s="6" t="s">
        <v>90</v>
      </c>
      <c r="C2882" s="6" t="s">
        <v>364</v>
      </c>
      <c r="D2882" s="6">
        <v>0.06133333333333334</v>
      </c>
      <c r="E2882" s="6" t="s">
        <v>88</v>
      </c>
      <c r="F2882" s="6" t="s">
        <v>52</v>
      </c>
      <c r="G2882" s="7">
        <v>51274.29567237874</v>
      </c>
      <c r="H2882" s="6">
        <v>3144.823467905896</v>
      </c>
      <c r="I2882" s="6" t="s">
        <v>179</v>
      </c>
      <c r="J2882" s="15">
        <v>65</v>
      </c>
    </row>
    <row r="2883" spans="1:10">
      <c r="A2883" s="6" t="s">
        <v>141</v>
      </c>
      <c r="B2883" s="6" t="s">
        <v>90</v>
      </c>
      <c r="C2883" s="6" t="s">
        <v>364</v>
      </c>
      <c r="D2883" s="6">
        <v>0.1114949424302978</v>
      </c>
      <c r="E2883" s="6" t="s">
        <v>90</v>
      </c>
      <c r="F2883" s="6" t="s">
        <v>52</v>
      </c>
      <c r="G2883" s="7">
        <v>51274.29567237874</v>
      </c>
      <c r="H2883" s="6">
        <v>5716.824644145938</v>
      </c>
      <c r="I2883" s="6" t="s">
        <v>179</v>
      </c>
      <c r="J2883" s="15">
        <v>65</v>
      </c>
    </row>
    <row r="2884" spans="1:10">
      <c r="A2884" s="6" t="s">
        <v>141</v>
      </c>
      <c r="B2884" s="6" t="s">
        <v>90</v>
      </c>
      <c r="C2884" s="6" t="s">
        <v>326</v>
      </c>
      <c r="D2884" s="6">
        <v>13.67976576808336</v>
      </c>
      <c r="E2884" s="6" t="s">
        <v>44</v>
      </c>
      <c r="F2884" s="6" t="s">
        <v>54</v>
      </c>
      <c r="G2884" s="7">
        <v>73204.69251441542</v>
      </c>
      <c r="H2884" s="6">
        <v>1001423.046721768</v>
      </c>
      <c r="I2884" s="6" t="s">
        <v>179</v>
      </c>
      <c r="J2884" s="15">
        <v>50.55</v>
      </c>
    </row>
    <row r="2885" spans="1:10">
      <c r="A2885" s="6" t="s">
        <v>141</v>
      </c>
      <c r="B2885" s="6" t="s">
        <v>90</v>
      </c>
      <c r="C2885" s="6" t="s">
        <v>326</v>
      </c>
      <c r="D2885" s="6">
        <v>1.351264226367248</v>
      </c>
      <c r="E2885" s="6" t="s">
        <v>86</v>
      </c>
      <c r="F2885" s="6" t="s">
        <v>54</v>
      </c>
      <c r="G2885" s="7">
        <v>73204.69251441542</v>
      </c>
      <c r="H2885" s="6">
        <v>98918.88219694383</v>
      </c>
      <c r="I2885" s="6" t="s">
        <v>179</v>
      </c>
      <c r="J2885" s="15">
        <v>50.55</v>
      </c>
    </row>
    <row r="2886" spans="1:10">
      <c r="A2886" s="6" t="s">
        <v>141</v>
      </c>
      <c r="B2886" s="6" t="s">
        <v>90</v>
      </c>
      <c r="C2886" s="6" t="s">
        <v>326</v>
      </c>
      <c r="D2886" s="6">
        <v>2.1255</v>
      </c>
      <c r="E2886" s="6" t="s">
        <v>88</v>
      </c>
      <c r="F2886" s="6" t="s">
        <v>54</v>
      </c>
      <c r="G2886" s="7">
        <v>73204.69251441542</v>
      </c>
      <c r="H2886" s="6">
        <v>155596.57393939</v>
      </c>
      <c r="I2886" s="6" t="s">
        <v>179</v>
      </c>
      <c r="J2886" s="15">
        <v>50.55</v>
      </c>
    </row>
    <row r="2887" spans="1:10">
      <c r="A2887" s="6" t="s">
        <v>141</v>
      </c>
      <c r="B2887" s="6" t="s">
        <v>90</v>
      </c>
      <c r="C2887" s="6" t="s">
        <v>326</v>
      </c>
      <c r="D2887" s="6">
        <v>0.9255493693055954</v>
      </c>
      <c r="E2887" s="6" t="s">
        <v>90</v>
      </c>
      <c r="F2887" s="6" t="s">
        <v>54</v>
      </c>
      <c r="G2887" s="7">
        <v>73204.69251441542</v>
      </c>
      <c r="H2887" s="6">
        <v>67754.55698692723</v>
      </c>
      <c r="I2887" s="6" t="s">
        <v>179</v>
      </c>
      <c r="J2887" s="15">
        <v>50.55</v>
      </c>
    </row>
    <row r="2888" spans="1:10">
      <c r="A2888" s="6" t="s">
        <v>141</v>
      </c>
      <c r="B2888" s="6" t="s">
        <v>90</v>
      </c>
      <c r="C2888" s="6" t="s">
        <v>327</v>
      </c>
      <c r="D2888" s="6">
        <v>2.531751557996111</v>
      </c>
      <c r="E2888" s="6" t="s">
        <v>44</v>
      </c>
      <c r="F2888" s="6" t="s">
        <v>57</v>
      </c>
      <c r="G2888" s="7">
        <v>43941.25100916271</v>
      </c>
      <c r="H2888" s="6">
        <v>111248.3307027459</v>
      </c>
      <c r="I2888" s="6" t="s">
        <v>180</v>
      </c>
      <c r="J2888" s="15">
        <v>7.319380005814523</v>
      </c>
    </row>
    <row r="2889" spans="1:10">
      <c r="A2889" s="6" t="s">
        <v>141</v>
      </c>
      <c r="B2889" s="6" t="s">
        <v>90</v>
      </c>
      <c r="C2889" s="6" t="s">
        <v>327</v>
      </c>
      <c r="D2889" s="6">
        <v>0.5134987887994439</v>
      </c>
      <c r="E2889" s="6" t="s">
        <v>86</v>
      </c>
      <c r="F2889" s="6" t="s">
        <v>57</v>
      </c>
      <c r="G2889" s="7">
        <v>43941.25100916271</v>
      </c>
      <c r="H2889" s="6">
        <v>22563.77917153739</v>
      </c>
      <c r="I2889" s="6" t="s">
        <v>180</v>
      </c>
      <c r="J2889" s="15">
        <v>7.319380005814523</v>
      </c>
    </row>
    <row r="2890" spans="1:10">
      <c r="A2890" s="6" t="s">
        <v>141</v>
      </c>
      <c r="B2890" s="6" t="s">
        <v>90</v>
      </c>
      <c r="C2890" s="6" t="s">
        <v>327</v>
      </c>
      <c r="D2890" s="6">
        <v>0.2749166666666667</v>
      </c>
      <c r="E2890" s="6" t="s">
        <v>88</v>
      </c>
      <c r="F2890" s="6" t="s">
        <v>57</v>
      </c>
      <c r="G2890" s="7">
        <v>43941.25100916271</v>
      </c>
      <c r="H2890" s="6">
        <v>12080.18225660232</v>
      </c>
      <c r="I2890" s="6" t="s">
        <v>180</v>
      </c>
      <c r="J2890" s="15">
        <v>7.319380005814523</v>
      </c>
    </row>
    <row r="2891" spans="1:10">
      <c r="A2891" s="6" t="s">
        <v>141</v>
      </c>
      <c r="B2891" s="6" t="s">
        <v>90</v>
      </c>
      <c r="C2891" s="6" t="s">
        <v>327</v>
      </c>
      <c r="D2891" s="6">
        <v>0.1899668186309174</v>
      </c>
      <c r="E2891" s="6" t="s">
        <v>90</v>
      </c>
      <c r="F2891" s="6" t="s">
        <v>57</v>
      </c>
      <c r="G2891" s="7">
        <v>43941.25100916271</v>
      </c>
      <c r="H2891" s="6">
        <v>8347.37966087323</v>
      </c>
      <c r="I2891" s="6" t="s">
        <v>180</v>
      </c>
      <c r="J2891" s="15">
        <v>7.319380005814523</v>
      </c>
    </row>
    <row r="2892" spans="1:10">
      <c r="A2892" s="6" t="s">
        <v>141</v>
      </c>
      <c r="B2892" s="6" t="s">
        <v>90</v>
      </c>
      <c r="C2892" s="6" t="s">
        <v>329</v>
      </c>
      <c r="D2892" s="6">
        <v>0.2930938278172185</v>
      </c>
      <c r="E2892" s="6" t="s">
        <v>44</v>
      </c>
      <c r="F2892" s="6" t="s">
        <v>58</v>
      </c>
      <c r="G2892" s="7">
        <v>59375.40509749136</v>
      </c>
      <c r="H2892" s="6">
        <v>17402.56475822173</v>
      </c>
      <c r="I2892" s="6" t="s">
        <v>180</v>
      </c>
      <c r="J2892" s="15">
        <v>12.2648401583864</v>
      </c>
    </row>
    <row r="2893" spans="1:10">
      <c r="A2893" s="6" t="s">
        <v>141</v>
      </c>
      <c r="B2893" s="6" t="s">
        <v>90</v>
      </c>
      <c r="C2893" s="6" t="s">
        <v>329</v>
      </c>
      <c r="D2893" s="6">
        <v>0.3004379126323496</v>
      </c>
      <c r="E2893" s="6" t="s">
        <v>86</v>
      </c>
      <c r="F2893" s="6" t="s">
        <v>58</v>
      </c>
      <c r="G2893" s="7">
        <v>59375.40509749136</v>
      </c>
      <c r="H2893" s="6">
        <v>17838.62276919048</v>
      </c>
      <c r="I2893" s="6" t="s">
        <v>180</v>
      </c>
      <c r="J2893" s="15">
        <v>12.2648401583864</v>
      </c>
    </row>
    <row r="2894" spans="1:10">
      <c r="A2894" s="6" t="s">
        <v>141</v>
      </c>
      <c r="B2894" s="6" t="s">
        <v>90</v>
      </c>
      <c r="C2894" s="6" t="s">
        <v>329</v>
      </c>
      <c r="D2894" s="6">
        <v>0.01158333333333333</v>
      </c>
      <c r="E2894" s="6" t="s">
        <v>88</v>
      </c>
      <c r="F2894" s="6" t="s">
        <v>58</v>
      </c>
      <c r="G2894" s="7">
        <v>59375.40509749136</v>
      </c>
      <c r="H2894" s="6">
        <v>687.7651090459417</v>
      </c>
      <c r="I2894" s="6" t="s">
        <v>180</v>
      </c>
      <c r="J2894" s="15">
        <v>12.2648401583864</v>
      </c>
    </row>
    <row r="2895" spans="1:10">
      <c r="A2895" s="6" t="s">
        <v>141</v>
      </c>
      <c r="B2895" s="6" t="s">
        <v>90</v>
      </c>
      <c r="C2895" s="6" t="s">
        <v>329</v>
      </c>
      <c r="D2895" s="6">
        <v>0.06804602136331318</v>
      </c>
      <c r="E2895" s="6" t="s">
        <v>90</v>
      </c>
      <c r="F2895" s="6" t="s">
        <v>58</v>
      </c>
      <c r="G2895" s="7">
        <v>59375.40509749136</v>
      </c>
      <c r="H2895" s="6">
        <v>4040.260083719272</v>
      </c>
      <c r="I2895" s="6" t="s">
        <v>180</v>
      </c>
      <c r="J2895" s="15">
        <v>12.2648401583864</v>
      </c>
    </row>
    <row r="2896" spans="1:10">
      <c r="A2896" s="6" t="s">
        <v>141</v>
      </c>
      <c r="B2896" s="6" t="s">
        <v>90</v>
      </c>
      <c r="C2896" s="6" t="s">
        <v>330</v>
      </c>
      <c r="D2896" s="6">
        <v>0.005984452028820629</v>
      </c>
      <c r="E2896" s="6" t="s">
        <v>90</v>
      </c>
      <c r="F2896" s="6" t="s">
        <v>52</v>
      </c>
      <c r="G2896" s="7">
        <v>59918.03179942394</v>
      </c>
      <c r="H2896" s="6">
        <v>358.5765869650015</v>
      </c>
      <c r="I2896" s="6" t="s">
        <v>180</v>
      </c>
      <c r="J2896" s="15">
        <v>47.43333333333333</v>
      </c>
    </row>
    <row r="2897" spans="1:10">
      <c r="A2897" s="6" t="s">
        <v>141</v>
      </c>
      <c r="B2897" s="6" t="s">
        <v>90</v>
      </c>
      <c r="C2897" s="6" t="s">
        <v>365</v>
      </c>
      <c r="D2897" s="6">
        <v>1.893083190040581</v>
      </c>
      <c r="E2897" s="6" t="s">
        <v>44</v>
      </c>
      <c r="F2897" s="6" t="s">
        <v>53</v>
      </c>
      <c r="G2897" s="7">
        <v>52809.46858302614</v>
      </c>
      <c r="H2897" s="6">
        <v>99972.71724950294</v>
      </c>
      <c r="I2897" s="6" t="s">
        <v>179</v>
      </c>
      <c r="J2897" s="15">
        <v>21.15</v>
      </c>
    </row>
    <row r="2898" spans="1:10">
      <c r="A2898" s="6" t="s">
        <v>141</v>
      </c>
      <c r="B2898" s="6" t="s">
        <v>90</v>
      </c>
      <c r="C2898" s="6" t="s">
        <v>365</v>
      </c>
      <c r="D2898" s="6">
        <v>0.1364168099594195</v>
      </c>
      <c r="E2898" s="6" t="s">
        <v>90</v>
      </c>
      <c r="F2898" s="6" t="s">
        <v>53</v>
      </c>
      <c r="G2898" s="7">
        <v>52809.46858302614</v>
      </c>
      <c r="H2898" s="6">
        <v>7204.099239748611</v>
      </c>
      <c r="I2898" s="6" t="s">
        <v>179</v>
      </c>
      <c r="J2898" s="15">
        <v>21.15</v>
      </c>
    </row>
    <row r="2899" spans="1:10">
      <c r="A2899" s="6" t="s">
        <v>141</v>
      </c>
      <c r="B2899" s="6" t="s">
        <v>90</v>
      </c>
      <c r="C2899" s="6" t="s">
        <v>331</v>
      </c>
      <c r="D2899" s="6">
        <v>0.08547515795314344</v>
      </c>
      <c r="E2899" s="6" t="s">
        <v>44</v>
      </c>
      <c r="F2899" s="6" t="s">
        <v>58</v>
      </c>
      <c r="G2899" s="7">
        <v>62490.71047845359</v>
      </c>
      <c r="H2899" s="6">
        <v>5341.403348749976</v>
      </c>
      <c r="I2899" s="6" t="s">
        <v>180</v>
      </c>
      <c r="J2899" s="15">
        <v>13.26305609794943</v>
      </c>
    </row>
    <row r="2900" spans="1:10">
      <c r="A2900" s="6" t="s">
        <v>141</v>
      </c>
      <c r="B2900" s="6" t="s">
        <v>90</v>
      </c>
      <c r="C2900" s="6" t="s">
        <v>331</v>
      </c>
      <c r="D2900" s="6">
        <v>0.1007055169821372</v>
      </c>
      <c r="E2900" s="6" t="s">
        <v>86</v>
      </c>
      <c r="F2900" s="6" t="s">
        <v>58</v>
      </c>
      <c r="G2900" s="7">
        <v>62490.71047845359</v>
      </c>
      <c r="H2900" s="6">
        <v>6293.159305313725</v>
      </c>
      <c r="I2900" s="6" t="s">
        <v>180</v>
      </c>
      <c r="J2900" s="15">
        <v>13.26305609794943</v>
      </c>
    </row>
    <row r="2901" spans="1:10">
      <c r="A2901" s="6" t="s">
        <v>141</v>
      </c>
      <c r="B2901" s="6" t="s">
        <v>90</v>
      </c>
      <c r="C2901" s="6" t="s">
        <v>331</v>
      </c>
      <c r="D2901" s="6">
        <v>0.01166666666666667</v>
      </c>
      <c r="E2901" s="6" t="s">
        <v>88</v>
      </c>
      <c r="F2901" s="6" t="s">
        <v>58</v>
      </c>
      <c r="G2901" s="7">
        <v>62490.71047845359</v>
      </c>
      <c r="H2901" s="6">
        <v>729.0582889152919</v>
      </c>
      <c r="I2901" s="6" t="s">
        <v>180</v>
      </c>
      <c r="J2901" s="15">
        <v>13.26305609794943</v>
      </c>
    </row>
    <row r="2902" spans="1:10">
      <c r="A2902" s="6" t="s">
        <v>141</v>
      </c>
      <c r="B2902" s="6" t="s">
        <v>90</v>
      </c>
      <c r="C2902" s="6" t="s">
        <v>331</v>
      </c>
      <c r="D2902" s="6">
        <v>0.02900861616641328</v>
      </c>
      <c r="E2902" s="6" t="s">
        <v>90</v>
      </c>
      <c r="F2902" s="6" t="s">
        <v>58</v>
      </c>
      <c r="G2902" s="7">
        <v>62490.71047845359</v>
      </c>
      <c r="H2902" s="6">
        <v>1812.769034235921</v>
      </c>
      <c r="I2902" s="6" t="s">
        <v>180</v>
      </c>
      <c r="J2902" s="15">
        <v>13.26305609794943</v>
      </c>
    </row>
    <row r="2903" spans="1:10">
      <c r="A2903" s="6" t="s">
        <v>141</v>
      </c>
      <c r="B2903" s="6" t="s">
        <v>90</v>
      </c>
      <c r="C2903" s="6" t="s">
        <v>332</v>
      </c>
      <c r="D2903" s="6">
        <v>23.87037950166882</v>
      </c>
      <c r="E2903" s="6" t="s">
        <v>44</v>
      </c>
      <c r="F2903" s="6" t="s">
        <v>55</v>
      </c>
      <c r="G2903" s="7">
        <v>51480.939560739</v>
      </c>
      <c r="H2903" s="6">
        <v>1228869.564417316</v>
      </c>
      <c r="I2903" s="6" t="s">
        <v>179</v>
      </c>
      <c r="J2903" s="15">
        <v>30.66666666666666</v>
      </c>
    </row>
    <row r="2904" spans="1:10">
      <c r="A2904" s="6" t="s">
        <v>141</v>
      </c>
      <c r="B2904" s="6" t="s">
        <v>90</v>
      </c>
      <c r="C2904" s="6" t="s">
        <v>332</v>
      </c>
      <c r="D2904" s="6">
        <v>0.9601341074654989</v>
      </c>
      <c r="E2904" s="6" t="s">
        <v>86</v>
      </c>
      <c r="F2904" s="6" t="s">
        <v>55</v>
      </c>
      <c r="G2904" s="7">
        <v>51480.939560739</v>
      </c>
      <c r="H2904" s="6">
        <v>49428.60595663544</v>
      </c>
      <c r="I2904" s="6" t="s">
        <v>179</v>
      </c>
      <c r="J2904" s="15">
        <v>30.66666666666666</v>
      </c>
    </row>
    <row r="2905" spans="1:10">
      <c r="A2905" s="6" t="s">
        <v>141</v>
      </c>
      <c r="B2905" s="6" t="s">
        <v>90</v>
      </c>
      <c r="C2905" s="6" t="s">
        <v>332</v>
      </c>
      <c r="D2905" s="6">
        <v>0.149</v>
      </c>
      <c r="E2905" s="6" t="s">
        <v>88</v>
      </c>
      <c r="F2905" s="6" t="s">
        <v>55</v>
      </c>
      <c r="G2905" s="7">
        <v>51480.939560739</v>
      </c>
      <c r="H2905" s="6">
        <v>7670.659994550113</v>
      </c>
      <c r="I2905" s="6" t="s">
        <v>179</v>
      </c>
      <c r="J2905" s="15">
        <v>30.66666666666666</v>
      </c>
    </row>
    <row r="2906" spans="1:10">
      <c r="A2906" s="6" t="s">
        <v>141</v>
      </c>
      <c r="B2906" s="6" t="s">
        <v>90</v>
      </c>
      <c r="C2906" s="6" t="s">
        <v>332</v>
      </c>
      <c r="D2906" s="6">
        <v>3.256656408948317</v>
      </c>
      <c r="E2906" s="6" t="s">
        <v>90</v>
      </c>
      <c r="F2906" s="6" t="s">
        <v>55</v>
      </c>
      <c r="G2906" s="7">
        <v>51480.939560739</v>
      </c>
      <c r="H2906" s="6">
        <v>167655.7317591616</v>
      </c>
      <c r="I2906" s="6" t="s">
        <v>179</v>
      </c>
      <c r="J2906" s="15">
        <v>30.66666666666666</v>
      </c>
    </row>
    <row r="2907" spans="1:10">
      <c r="A2907" s="6" t="s">
        <v>141</v>
      </c>
      <c r="B2907" s="6" t="s">
        <v>92</v>
      </c>
      <c r="C2907" s="6" t="s">
        <v>194</v>
      </c>
      <c r="D2907" s="6">
        <v>0.007166666666666665</v>
      </c>
      <c r="E2907" s="6" t="s">
        <v>86</v>
      </c>
      <c r="F2907" s="6" t="s">
        <v>58</v>
      </c>
      <c r="G2907" s="7">
        <v>50041.91995236529</v>
      </c>
      <c r="H2907" s="6">
        <v>358.6337596586178</v>
      </c>
      <c r="I2907" s="6" t="s">
        <v>180</v>
      </c>
      <c r="J2907" s="15">
        <v>11.97643504980967</v>
      </c>
    </row>
    <row r="2908" spans="1:10">
      <c r="A2908" s="6" t="s">
        <v>141</v>
      </c>
      <c r="B2908" s="6" t="s">
        <v>92</v>
      </c>
      <c r="C2908" s="6" t="s">
        <v>194</v>
      </c>
      <c r="D2908" s="6">
        <v>0.008833333333333334</v>
      </c>
      <c r="E2908" s="6" t="s">
        <v>88</v>
      </c>
      <c r="F2908" s="6" t="s">
        <v>58</v>
      </c>
      <c r="G2908" s="7">
        <v>50041.91995236529</v>
      </c>
      <c r="H2908" s="6">
        <v>442.0369595792267</v>
      </c>
      <c r="I2908" s="6" t="s">
        <v>180</v>
      </c>
      <c r="J2908" s="15">
        <v>11.97643504980967</v>
      </c>
    </row>
    <row r="2909" spans="1:10">
      <c r="A2909" s="6" t="s">
        <v>141</v>
      </c>
      <c r="B2909" s="6" t="s">
        <v>92</v>
      </c>
      <c r="C2909" s="6" t="s">
        <v>197</v>
      </c>
      <c r="D2909" s="6">
        <v>0.01516666666666667</v>
      </c>
      <c r="E2909" s="6" t="s">
        <v>88</v>
      </c>
      <c r="F2909" s="6" t="s">
        <v>53</v>
      </c>
      <c r="G2909" s="7">
        <v>63461.32463788219</v>
      </c>
      <c r="H2909" s="6">
        <v>962.4967570078798</v>
      </c>
      <c r="I2909" s="6" t="s">
        <v>180</v>
      </c>
      <c r="J2909" s="15">
        <v>17.00096960870551</v>
      </c>
    </row>
    <row r="2910" spans="1:10">
      <c r="A2910" s="6" t="s">
        <v>141</v>
      </c>
      <c r="B2910" s="6" t="s">
        <v>92</v>
      </c>
      <c r="C2910" s="6" t="s">
        <v>199</v>
      </c>
      <c r="D2910" s="6">
        <v>21.20481514978288</v>
      </c>
      <c r="E2910" s="6" t="s">
        <v>44</v>
      </c>
      <c r="F2910" s="6" t="s">
        <v>57</v>
      </c>
      <c r="G2910" s="7">
        <v>45943.9020712533</v>
      </c>
      <c r="H2910" s="6">
        <v>974231.9506806531</v>
      </c>
      <c r="I2910" s="6" t="s">
        <v>179</v>
      </c>
      <c r="J2910" s="15">
        <v>30.95</v>
      </c>
    </row>
    <row r="2911" spans="1:10">
      <c r="A2911" s="6" t="s">
        <v>141</v>
      </c>
      <c r="B2911" s="6" t="s">
        <v>92</v>
      </c>
      <c r="C2911" s="6" t="s">
        <v>199</v>
      </c>
      <c r="D2911" s="6">
        <v>1.112272679562841</v>
      </c>
      <c r="E2911" s="6" t="s">
        <v>86</v>
      </c>
      <c r="F2911" s="6" t="s">
        <v>57</v>
      </c>
      <c r="G2911" s="7">
        <v>45943.9020712533</v>
      </c>
      <c r="H2911" s="6">
        <v>51102.14706636569</v>
      </c>
      <c r="I2911" s="6" t="s">
        <v>179</v>
      </c>
      <c r="J2911" s="15">
        <v>30.95</v>
      </c>
    </row>
    <row r="2912" spans="1:10">
      <c r="A2912" s="6" t="s">
        <v>141</v>
      </c>
      <c r="B2912" s="6" t="s">
        <v>92</v>
      </c>
      <c r="C2912" s="6" t="s">
        <v>199</v>
      </c>
      <c r="D2912" s="6">
        <v>5.9315</v>
      </c>
      <c r="E2912" s="6" t="s">
        <v>88</v>
      </c>
      <c r="F2912" s="6" t="s">
        <v>57</v>
      </c>
      <c r="G2912" s="7">
        <v>45943.9020712533</v>
      </c>
      <c r="H2912" s="6">
        <v>272516.2551356389</v>
      </c>
      <c r="I2912" s="6" t="s">
        <v>179</v>
      </c>
      <c r="J2912" s="15">
        <v>30.95</v>
      </c>
    </row>
    <row r="2913" spans="1:10">
      <c r="A2913" s="6" t="s">
        <v>141</v>
      </c>
      <c r="B2913" s="6" t="s">
        <v>92</v>
      </c>
      <c r="C2913" s="6" t="s">
        <v>199</v>
      </c>
      <c r="D2913" s="6">
        <v>0.8475493436966277</v>
      </c>
      <c r="E2913" s="6" t="s">
        <v>90</v>
      </c>
      <c r="F2913" s="6" t="s">
        <v>57</v>
      </c>
      <c r="G2913" s="7">
        <v>45943.9020712533</v>
      </c>
      <c r="H2913" s="6">
        <v>38939.72404735287</v>
      </c>
      <c r="I2913" s="6" t="s">
        <v>179</v>
      </c>
      <c r="J2913" s="15">
        <v>30.95</v>
      </c>
    </row>
    <row r="2914" spans="1:10">
      <c r="A2914" s="6" t="s">
        <v>141</v>
      </c>
      <c r="B2914" s="6" t="s">
        <v>92</v>
      </c>
      <c r="C2914" s="6" t="s">
        <v>199</v>
      </c>
      <c r="D2914" s="6">
        <v>0.006999999999999998</v>
      </c>
      <c r="E2914" s="6" t="s">
        <v>92</v>
      </c>
      <c r="F2914" s="6" t="s">
        <v>57</v>
      </c>
      <c r="G2914" s="7">
        <v>45943.9020712533</v>
      </c>
      <c r="H2914" s="6">
        <v>321.6073144987731</v>
      </c>
      <c r="I2914" s="6" t="s">
        <v>179</v>
      </c>
      <c r="J2914" s="15">
        <v>30.95</v>
      </c>
    </row>
    <row r="2915" spans="1:10">
      <c r="A2915" s="6" t="s">
        <v>141</v>
      </c>
      <c r="B2915" s="6" t="s">
        <v>92</v>
      </c>
      <c r="C2915" s="6" t="s">
        <v>202</v>
      </c>
      <c r="D2915" s="6">
        <v>0.7211288145749155</v>
      </c>
      <c r="E2915" s="6" t="s">
        <v>44</v>
      </c>
      <c r="F2915" s="6" t="s">
        <v>54</v>
      </c>
      <c r="G2915" s="7">
        <v>116136.3118282046</v>
      </c>
      <c r="H2915" s="6">
        <v>83749.2408777759</v>
      </c>
      <c r="I2915" s="6" t="s">
        <v>179</v>
      </c>
      <c r="J2915" s="15">
        <v>73.68333333333334</v>
      </c>
    </row>
    <row r="2916" spans="1:10">
      <c r="A2916" s="6" t="s">
        <v>141</v>
      </c>
      <c r="B2916" s="6" t="s">
        <v>92</v>
      </c>
      <c r="C2916" s="6" t="s">
        <v>202</v>
      </c>
      <c r="D2916" s="6">
        <v>32.86014472402301</v>
      </c>
      <c r="E2916" s="6" t="s">
        <v>86</v>
      </c>
      <c r="F2916" s="6" t="s">
        <v>54</v>
      </c>
      <c r="G2916" s="7">
        <v>116136.3118282046</v>
      </c>
      <c r="H2916" s="6">
        <v>3816256.014389067</v>
      </c>
      <c r="I2916" s="6" t="s">
        <v>179</v>
      </c>
      <c r="J2916" s="15">
        <v>73.68333333333334</v>
      </c>
    </row>
    <row r="2917" spans="1:10">
      <c r="A2917" s="6" t="s">
        <v>141</v>
      </c>
      <c r="B2917" s="6" t="s">
        <v>92</v>
      </c>
      <c r="C2917" s="6" t="s">
        <v>202</v>
      </c>
      <c r="D2917" s="6">
        <v>528.0871666666667</v>
      </c>
      <c r="E2917" s="6" t="s">
        <v>88</v>
      </c>
      <c r="F2917" s="6" t="s">
        <v>54</v>
      </c>
      <c r="G2917" s="7">
        <v>116136.3118282046</v>
      </c>
      <c r="H2917" s="6">
        <v>61330095.86047304</v>
      </c>
      <c r="I2917" s="6" t="s">
        <v>179</v>
      </c>
      <c r="J2917" s="15">
        <v>73.68333333333334</v>
      </c>
    </row>
    <row r="2918" spans="1:10">
      <c r="A2918" s="6" t="s">
        <v>141</v>
      </c>
      <c r="B2918" s="6" t="s">
        <v>92</v>
      </c>
      <c r="C2918" s="6" t="s">
        <v>202</v>
      </c>
      <c r="D2918" s="6">
        <v>0.02599300958553851</v>
      </c>
      <c r="E2918" s="6" t="s">
        <v>90</v>
      </c>
      <c r="F2918" s="6" t="s">
        <v>54</v>
      </c>
      <c r="G2918" s="7">
        <v>116136.3118282046</v>
      </c>
      <c r="H2918" s="6">
        <v>3018.73226657961</v>
      </c>
      <c r="I2918" s="6" t="s">
        <v>179</v>
      </c>
      <c r="J2918" s="15">
        <v>73.68333333333334</v>
      </c>
    </row>
    <row r="2919" spans="1:10">
      <c r="A2919" s="6" t="s">
        <v>141</v>
      </c>
      <c r="B2919" s="6" t="s">
        <v>92</v>
      </c>
      <c r="C2919" s="6" t="s">
        <v>203</v>
      </c>
      <c r="D2919" s="6">
        <v>15.62292358822111</v>
      </c>
      <c r="E2919" s="6" t="s">
        <v>44</v>
      </c>
      <c r="F2919" s="6" t="s">
        <v>53</v>
      </c>
      <c r="G2919" s="7">
        <v>53637.98510318315</v>
      </c>
      <c r="H2919" s="6">
        <v>837982.1426931724</v>
      </c>
      <c r="I2919" s="6" t="s">
        <v>179</v>
      </c>
      <c r="J2919" s="15">
        <v>51.68333333333333</v>
      </c>
    </row>
    <row r="2920" spans="1:10">
      <c r="A2920" s="6" t="s">
        <v>141</v>
      </c>
      <c r="B2920" s="6" t="s">
        <v>92</v>
      </c>
      <c r="C2920" s="6" t="s">
        <v>203</v>
      </c>
      <c r="D2920" s="6">
        <v>14.00034992211344</v>
      </c>
      <c r="E2920" s="6" t="s">
        <v>86</v>
      </c>
      <c r="F2920" s="6" t="s">
        <v>53</v>
      </c>
      <c r="G2920" s="7">
        <v>53637.98510318315</v>
      </c>
      <c r="H2920" s="6">
        <v>750950.5605616719</v>
      </c>
      <c r="I2920" s="6" t="s">
        <v>179</v>
      </c>
      <c r="J2920" s="15">
        <v>51.68333333333333</v>
      </c>
    </row>
    <row r="2921" spans="1:10">
      <c r="A2921" s="6" t="s">
        <v>141</v>
      </c>
      <c r="B2921" s="6" t="s">
        <v>92</v>
      </c>
      <c r="C2921" s="6" t="s">
        <v>203</v>
      </c>
      <c r="D2921" s="6">
        <v>331.5445833333333</v>
      </c>
      <c r="E2921" s="6" t="s">
        <v>88</v>
      </c>
      <c r="F2921" s="6" t="s">
        <v>53</v>
      </c>
      <c r="G2921" s="7">
        <v>53637.98510318315</v>
      </c>
      <c r="H2921" s="6">
        <v>17783383.4218744</v>
      </c>
      <c r="I2921" s="6" t="s">
        <v>179</v>
      </c>
      <c r="J2921" s="15">
        <v>51.68333333333333</v>
      </c>
    </row>
    <row r="2922" spans="1:10">
      <c r="A2922" s="6" t="s">
        <v>141</v>
      </c>
      <c r="B2922" s="6" t="s">
        <v>92</v>
      </c>
      <c r="C2922" s="6" t="s">
        <v>203</v>
      </c>
      <c r="D2922" s="6">
        <v>10.92698589893361</v>
      </c>
      <c r="E2922" s="6" t="s">
        <v>90</v>
      </c>
      <c r="F2922" s="6" t="s">
        <v>53</v>
      </c>
      <c r="G2922" s="7">
        <v>53637.98510318315</v>
      </c>
      <c r="H2922" s="6">
        <v>586101.5068696934</v>
      </c>
      <c r="I2922" s="6" t="s">
        <v>179</v>
      </c>
      <c r="J2922" s="15">
        <v>51.68333333333333</v>
      </c>
    </row>
    <row r="2923" spans="1:10">
      <c r="A2923" s="6" t="s">
        <v>141</v>
      </c>
      <c r="B2923" s="6" t="s">
        <v>92</v>
      </c>
      <c r="C2923" s="6" t="s">
        <v>204</v>
      </c>
      <c r="D2923" s="6">
        <v>9.208086166984769</v>
      </c>
      <c r="E2923" s="6" t="s">
        <v>44</v>
      </c>
      <c r="F2923" s="6" t="s">
        <v>51</v>
      </c>
      <c r="G2923" s="7">
        <v>45931.03732154475</v>
      </c>
      <c r="H2923" s="6">
        <v>422936.9493957774</v>
      </c>
      <c r="I2923" s="6" t="s">
        <v>179</v>
      </c>
      <c r="J2923" s="15">
        <v>41.54166666666667</v>
      </c>
    </row>
    <row r="2924" spans="1:10">
      <c r="A2924" s="6" t="s">
        <v>141</v>
      </c>
      <c r="B2924" s="6" t="s">
        <v>92</v>
      </c>
      <c r="C2924" s="6" t="s">
        <v>204</v>
      </c>
      <c r="D2924" s="6">
        <v>47.0896734351236</v>
      </c>
      <c r="E2924" s="6" t="s">
        <v>86</v>
      </c>
      <c r="F2924" s="6" t="s">
        <v>51</v>
      </c>
      <c r="G2924" s="7">
        <v>45931.03732154475</v>
      </c>
      <c r="H2924" s="6">
        <v>2162877.548008017</v>
      </c>
      <c r="I2924" s="6" t="s">
        <v>179</v>
      </c>
      <c r="J2924" s="15">
        <v>41.54166666666667</v>
      </c>
    </row>
    <row r="2925" spans="1:10">
      <c r="A2925" s="6" t="s">
        <v>141</v>
      </c>
      <c r="B2925" s="6" t="s">
        <v>92</v>
      </c>
      <c r="C2925" s="6" t="s">
        <v>204</v>
      </c>
      <c r="D2925" s="6">
        <v>1372.728916666667</v>
      </c>
      <c r="E2925" s="6" t="s">
        <v>88</v>
      </c>
      <c r="F2925" s="6" t="s">
        <v>51</v>
      </c>
      <c r="G2925" s="7">
        <v>45931.03732154475</v>
      </c>
      <c r="H2925" s="6">
        <v>63050863.10378037</v>
      </c>
      <c r="I2925" s="6" t="s">
        <v>179</v>
      </c>
      <c r="J2925" s="15">
        <v>41.54166666666667</v>
      </c>
    </row>
    <row r="2926" spans="1:10">
      <c r="A2926" s="6" t="s">
        <v>141</v>
      </c>
      <c r="B2926" s="6" t="s">
        <v>92</v>
      </c>
      <c r="C2926" s="6" t="s">
        <v>204</v>
      </c>
      <c r="D2926" s="6">
        <v>7.443024022489027</v>
      </c>
      <c r="E2926" s="6" t="s">
        <v>90</v>
      </c>
      <c r="F2926" s="6" t="s">
        <v>51</v>
      </c>
      <c r="G2926" s="7">
        <v>45931.03732154475</v>
      </c>
      <c r="H2926" s="6">
        <v>341865.8141620976</v>
      </c>
      <c r="I2926" s="6" t="s">
        <v>179</v>
      </c>
      <c r="J2926" s="15">
        <v>41.54166666666667</v>
      </c>
    </row>
    <row r="2927" spans="1:10">
      <c r="A2927" s="6" t="s">
        <v>141</v>
      </c>
      <c r="B2927" s="6" t="s">
        <v>92</v>
      </c>
      <c r="C2927" s="6" t="s">
        <v>205</v>
      </c>
      <c r="D2927" s="6">
        <v>4.339929489681811</v>
      </c>
      <c r="E2927" s="6" t="s">
        <v>44</v>
      </c>
      <c r="F2927" s="6" t="s">
        <v>56</v>
      </c>
      <c r="G2927" s="7">
        <v>74010.38875195781</v>
      </c>
      <c r="H2927" s="6">
        <v>321199.8686874367</v>
      </c>
      <c r="I2927" s="6" t="s">
        <v>179</v>
      </c>
      <c r="J2927" s="15">
        <v>55</v>
      </c>
    </row>
    <row r="2928" spans="1:10">
      <c r="A2928" s="6" t="s">
        <v>141</v>
      </c>
      <c r="B2928" s="6" t="s">
        <v>92</v>
      </c>
      <c r="C2928" s="6" t="s">
        <v>205</v>
      </c>
      <c r="D2928" s="6">
        <v>50.54789748661622</v>
      </c>
      <c r="E2928" s="6" t="s">
        <v>86</v>
      </c>
      <c r="F2928" s="6" t="s">
        <v>56</v>
      </c>
      <c r="G2928" s="7">
        <v>74010.38875195781</v>
      </c>
      <c r="H2928" s="6">
        <v>3741069.543578578</v>
      </c>
      <c r="I2928" s="6" t="s">
        <v>179</v>
      </c>
      <c r="J2928" s="15">
        <v>55</v>
      </c>
    </row>
    <row r="2929" spans="1:10">
      <c r="A2929" s="6" t="s">
        <v>141</v>
      </c>
      <c r="B2929" s="6" t="s">
        <v>92</v>
      </c>
      <c r="C2929" s="6" t="s">
        <v>205</v>
      </c>
      <c r="D2929" s="6">
        <v>388.2906666666667</v>
      </c>
      <c r="E2929" s="6" t="s">
        <v>88</v>
      </c>
      <c r="F2929" s="6" t="s">
        <v>56</v>
      </c>
      <c r="G2929" s="7">
        <v>74010.38875195781</v>
      </c>
      <c r="H2929" s="6">
        <v>28737543.18875687</v>
      </c>
      <c r="I2929" s="6" t="s">
        <v>179</v>
      </c>
      <c r="J2929" s="15">
        <v>55</v>
      </c>
    </row>
    <row r="2930" spans="1:10">
      <c r="A2930" s="6" t="s">
        <v>141</v>
      </c>
      <c r="B2930" s="6" t="s">
        <v>92</v>
      </c>
      <c r="C2930" s="6" t="s">
        <v>205</v>
      </c>
      <c r="D2930" s="6">
        <v>0.01254118924794339</v>
      </c>
      <c r="E2930" s="6" t="s">
        <v>90</v>
      </c>
      <c r="F2930" s="6" t="s">
        <v>56</v>
      </c>
      <c r="G2930" s="7">
        <v>74010.38875195781</v>
      </c>
      <c r="H2930" s="6">
        <v>928.1782916521639</v>
      </c>
      <c r="I2930" s="6" t="s">
        <v>179</v>
      </c>
      <c r="J2930" s="15">
        <v>55</v>
      </c>
    </row>
    <row r="2931" spans="1:10">
      <c r="A2931" s="6" t="s">
        <v>141</v>
      </c>
      <c r="B2931" s="6" t="s">
        <v>92</v>
      </c>
      <c r="C2931" s="6" t="s">
        <v>206</v>
      </c>
      <c r="D2931" s="6">
        <v>146.9657184886715</v>
      </c>
      <c r="E2931" s="6" t="s">
        <v>44</v>
      </c>
      <c r="F2931" s="6" t="s">
        <v>55</v>
      </c>
      <c r="G2931" s="7">
        <v>31981.7567354776</v>
      </c>
      <c r="H2931" s="6">
        <v>4700221.857159374</v>
      </c>
      <c r="I2931" s="6" t="s">
        <v>179</v>
      </c>
      <c r="J2931" s="15">
        <v>16</v>
      </c>
    </row>
    <row r="2932" spans="1:10">
      <c r="A2932" s="6" t="s">
        <v>141</v>
      </c>
      <c r="B2932" s="6" t="s">
        <v>92</v>
      </c>
      <c r="C2932" s="6" t="s">
        <v>206</v>
      </c>
      <c r="D2932" s="6">
        <v>16.69273761033385</v>
      </c>
      <c r="E2932" s="6" t="s">
        <v>86</v>
      </c>
      <c r="F2932" s="6" t="s">
        <v>55</v>
      </c>
      <c r="G2932" s="7">
        <v>31981.7567354776</v>
      </c>
      <c r="H2932" s="6">
        <v>533863.0735028548</v>
      </c>
      <c r="I2932" s="6" t="s">
        <v>179</v>
      </c>
      <c r="J2932" s="15">
        <v>16</v>
      </c>
    </row>
    <row r="2933" spans="1:10">
      <c r="A2933" s="6" t="s">
        <v>141</v>
      </c>
      <c r="B2933" s="6" t="s">
        <v>92</v>
      </c>
      <c r="C2933" s="6" t="s">
        <v>206</v>
      </c>
      <c r="D2933" s="6">
        <v>6.8205</v>
      </c>
      <c r="E2933" s="6" t="s">
        <v>88</v>
      </c>
      <c r="F2933" s="6" t="s">
        <v>55</v>
      </c>
      <c r="G2933" s="7">
        <v>31981.7567354776</v>
      </c>
      <c r="H2933" s="6">
        <v>218131.571814325</v>
      </c>
      <c r="I2933" s="6" t="s">
        <v>179</v>
      </c>
      <c r="J2933" s="15">
        <v>16</v>
      </c>
    </row>
    <row r="2934" spans="1:10">
      <c r="A2934" s="6" t="s">
        <v>141</v>
      </c>
      <c r="B2934" s="6" t="s">
        <v>92</v>
      </c>
      <c r="C2934" s="6" t="s">
        <v>206</v>
      </c>
      <c r="D2934" s="6">
        <v>6.596183236422369</v>
      </c>
      <c r="E2934" s="6" t="s">
        <v>90</v>
      </c>
      <c r="F2934" s="6" t="s">
        <v>55</v>
      </c>
      <c r="G2934" s="7">
        <v>31981.7567354776</v>
      </c>
      <c r="H2934" s="6">
        <v>210957.5276498955</v>
      </c>
      <c r="I2934" s="6" t="s">
        <v>179</v>
      </c>
      <c r="J2934" s="15">
        <v>16</v>
      </c>
    </row>
    <row r="2935" spans="1:10">
      <c r="A2935" s="6" t="s">
        <v>141</v>
      </c>
      <c r="B2935" s="6" t="s">
        <v>92</v>
      </c>
      <c r="C2935" s="6" t="s">
        <v>208</v>
      </c>
      <c r="D2935" s="6">
        <v>0.0006043099572937739</v>
      </c>
      <c r="E2935" s="6" t="s">
        <v>44</v>
      </c>
      <c r="F2935" s="6" t="s">
        <v>51</v>
      </c>
      <c r="G2935" s="7">
        <v>50504.79293432883</v>
      </c>
      <c r="H2935" s="6">
        <v>30.52054926127515</v>
      </c>
      <c r="I2935" s="6" t="s">
        <v>180</v>
      </c>
      <c r="J2935" s="15">
        <v>12.14974536787207</v>
      </c>
    </row>
    <row r="2936" spans="1:10">
      <c r="A2936" s="6" t="s">
        <v>141</v>
      </c>
      <c r="B2936" s="6" t="s">
        <v>92</v>
      </c>
      <c r="C2936" s="6" t="s">
        <v>208</v>
      </c>
      <c r="D2936" s="6">
        <v>0.002979023376039559</v>
      </c>
      <c r="E2936" s="6" t="s">
        <v>86</v>
      </c>
      <c r="F2936" s="6" t="s">
        <v>51</v>
      </c>
      <c r="G2936" s="7">
        <v>50504.79293432883</v>
      </c>
      <c r="H2936" s="6">
        <v>150.4549587534031</v>
      </c>
      <c r="I2936" s="6" t="s">
        <v>180</v>
      </c>
      <c r="J2936" s="15">
        <v>12.14974536787207</v>
      </c>
    </row>
    <row r="2937" spans="1:10">
      <c r="A2937" s="6" t="s">
        <v>141</v>
      </c>
      <c r="B2937" s="6" t="s">
        <v>92</v>
      </c>
      <c r="C2937" s="6" t="s">
        <v>208</v>
      </c>
      <c r="D2937" s="6">
        <v>0.007916666666666667</v>
      </c>
      <c r="E2937" s="6" t="s">
        <v>88</v>
      </c>
      <c r="F2937" s="6" t="s">
        <v>51</v>
      </c>
      <c r="G2937" s="7">
        <v>50504.79293432883</v>
      </c>
      <c r="H2937" s="6">
        <v>399.8296107301033</v>
      </c>
      <c r="I2937" s="6" t="s">
        <v>180</v>
      </c>
      <c r="J2937" s="15">
        <v>12.14974536787207</v>
      </c>
    </row>
    <row r="2938" spans="1:10">
      <c r="A2938" s="6" t="s">
        <v>141</v>
      </c>
      <c r="B2938" s="6" t="s">
        <v>92</v>
      </c>
      <c r="C2938" s="6" t="s">
        <v>210</v>
      </c>
      <c r="D2938" s="6">
        <v>0.005666666666666667</v>
      </c>
      <c r="E2938" s="6" t="s">
        <v>88</v>
      </c>
      <c r="F2938" s="6" t="s">
        <v>53</v>
      </c>
      <c r="G2938" s="7">
        <v>49345.5773914262</v>
      </c>
      <c r="H2938" s="6">
        <v>279.6249385514151</v>
      </c>
      <c r="I2938" s="6" t="s">
        <v>180</v>
      </c>
      <c r="J2938" s="15">
        <v>11.71570833768923</v>
      </c>
    </row>
    <row r="2939" spans="1:10">
      <c r="A2939" s="6" t="s">
        <v>141</v>
      </c>
      <c r="B2939" s="6" t="s">
        <v>92</v>
      </c>
      <c r="C2939" s="6" t="s">
        <v>211</v>
      </c>
      <c r="D2939" s="6">
        <v>1263.205282616933</v>
      </c>
      <c r="E2939" s="6" t="s">
        <v>44</v>
      </c>
      <c r="F2939" s="6" t="s">
        <v>55</v>
      </c>
      <c r="G2939" s="7">
        <v>25336.04217074411</v>
      </c>
      <c r="H2939" s="6">
        <v>32004622.31068934</v>
      </c>
      <c r="I2939" s="6" t="s">
        <v>179</v>
      </c>
      <c r="J2939" s="15">
        <v>16</v>
      </c>
    </row>
    <row r="2940" spans="1:10">
      <c r="A2940" s="6" t="s">
        <v>141</v>
      </c>
      <c r="B2940" s="6" t="s">
        <v>92</v>
      </c>
      <c r="C2940" s="6" t="s">
        <v>211</v>
      </c>
      <c r="D2940" s="6">
        <v>203.4440647368722</v>
      </c>
      <c r="E2940" s="6" t="s">
        <v>86</v>
      </c>
      <c r="F2940" s="6" t="s">
        <v>55</v>
      </c>
      <c r="G2940" s="7">
        <v>25336.04217074411</v>
      </c>
      <c r="H2940" s="6">
        <v>5154467.40356099</v>
      </c>
      <c r="I2940" s="6" t="s">
        <v>179</v>
      </c>
      <c r="J2940" s="15">
        <v>16</v>
      </c>
    </row>
    <row r="2941" spans="1:10">
      <c r="A2941" s="6" t="s">
        <v>141</v>
      </c>
      <c r="B2941" s="6" t="s">
        <v>92</v>
      </c>
      <c r="C2941" s="6" t="s">
        <v>211</v>
      </c>
      <c r="D2941" s="6">
        <v>393.1431666666667</v>
      </c>
      <c r="E2941" s="6" t="s">
        <v>88</v>
      </c>
      <c r="F2941" s="6" t="s">
        <v>55</v>
      </c>
      <c r="G2941" s="7">
        <v>25336.04217074411</v>
      </c>
      <c r="H2941" s="6">
        <v>9960691.849806547</v>
      </c>
      <c r="I2941" s="6" t="s">
        <v>179</v>
      </c>
      <c r="J2941" s="15">
        <v>16</v>
      </c>
    </row>
    <row r="2942" spans="1:10">
      <c r="A2942" s="6" t="s">
        <v>141</v>
      </c>
      <c r="B2942" s="6" t="s">
        <v>92</v>
      </c>
      <c r="C2942" s="6" t="s">
        <v>211</v>
      </c>
      <c r="D2942" s="6">
        <v>159.0563719046924</v>
      </c>
      <c r="E2942" s="6" t="s">
        <v>90</v>
      </c>
      <c r="F2942" s="6" t="s">
        <v>55</v>
      </c>
      <c r="G2942" s="7">
        <v>25336.04217074411</v>
      </c>
      <c r="H2942" s="6">
        <v>4029858.946102844</v>
      </c>
      <c r="I2942" s="6" t="s">
        <v>179</v>
      </c>
      <c r="J2942" s="15">
        <v>16</v>
      </c>
    </row>
    <row r="2943" spans="1:10">
      <c r="A2943" s="6" t="s">
        <v>141</v>
      </c>
      <c r="B2943" s="6" t="s">
        <v>92</v>
      </c>
      <c r="C2943" s="6" t="s">
        <v>211</v>
      </c>
      <c r="D2943" s="6">
        <v>9.247916666666667</v>
      </c>
      <c r="E2943" s="6" t="s">
        <v>92</v>
      </c>
      <c r="F2943" s="6" t="s">
        <v>55</v>
      </c>
      <c r="G2943" s="7">
        <v>25336.04217074411</v>
      </c>
      <c r="H2943" s="6">
        <v>234305.606658194</v>
      </c>
      <c r="I2943" s="6" t="s">
        <v>179</v>
      </c>
      <c r="J2943" s="15">
        <v>16</v>
      </c>
    </row>
    <row r="2944" spans="1:10">
      <c r="A2944" s="6" t="s">
        <v>141</v>
      </c>
      <c r="B2944" s="6" t="s">
        <v>92</v>
      </c>
      <c r="C2944" s="6" t="s">
        <v>212</v>
      </c>
      <c r="D2944" s="6">
        <v>32.16691363919594</v>
      </c>
      <c r="E2944" s="6" t="s">
        <v>44</v>
      </c>
      <c r="F2944" s="6" t="s">
        <v>55</v>
      </c>
      <c r="G2944" s="7">
        <v>23468.05749758728</v>
      </c>
      <c r="H2944" s="6">
        <v>754894.9788045747</v>
      </c>
      <c r="I2944" s="6" t="s">
        <v>179</v>
      </c>
      <c r="J2944" s="15">
        <v>15</v>
      </c>
    </row>
    <row r="2945" spans="1:10">
      <c r="A2945" s="6" t="s">
        <v>141</v>
      </c>
      <c r="B2945" s="6" t="s">
        <v>92</v>
      </c>
      <c r="C2945" s="6" t="s">
        <v>212</v>
      </c>
      <c r="D2945" s="6">
        <v>4.104975316146048</v>
      </c>
      <c r="E2945" s="6" t="s">
        <v>86</v>
      </c>
      <c r="F2945" s="6" t="s">
        <v>55</v>
      </c>
      <c r="G2945" s="7">
        <v>23468.05749758728</v>
      </c>
      <c r="H2945" s="6">
        <v>96335.79674549197</v>
      </c>
      <c r="I2945" s="6" t="s">
        <v>179</v>
      </c>
      <c r="J2945" s="15">
        <v>15</v>
      </c>
    </row>
    <row r="2946" spans="1:10">
      <c r="A2946" s="6" t="s">
        <v>141</v>
      </c>
      <c r="B2946" s="6" t="s">
        <v>92</v>
      </c>
      <c r="C2946" s="6" t="s">
        <v>212</v>
      </c>
      <c r="D2946" s="6">
        <v>8.9695</v>
      </c>
      <c r="E2946" s="6" t="s">
        <v>88</v>
      </c>
      <c r="F2946" s="6" t="s">
        <v>55</v>
      </c>
      <c r="G2946" s="7">
        <v>23468.05749758728</v>
      </c>
      <c r="H2946" s="6">
        <v>210496.7417246091</v>
      </c>
      <c r="I2946" s="6" t="s">
        <v>179</v>
      </c>
      <c r="J2946" s="15">
        <v>15</v>
      </c>
    </row>
    <row r="2947" spans="1:10">
      <c r="A2947" s="6" t="s">
        <v>141</v>
      </c>
      <c r="B2947" s="6" t="s">
        <v>92</v>
      </c>
      <c r="C2947" s="6" t="s">
        <v>212</v>
      </c>
      <c r="D2947" s="6">
        <v>8.405860787055435</v>
      </c>
      <c r="E2947" s="6" t="s">
        <v>90</v>
      </c>
      <c r="F2947" s="6" t="s">
        <v>55</v>
      </c>
      <c r="G2947" s="7">
        <v>23468.05749758728</v>
      </c>
      <c r="H2947" s="6">
        <v>197269.2242673312</v>
      </c>
      <c r="I2947" s="6" t="s">
        <v>179</v>
      </c>
      <c r="J2947" s="15">
        <v>15</v>
      </c>
    </row>
    <row r="2948" spans="1:10">
      <c r="A2948" s="6" t="s">
        <v>141</v>
      </c>
      <c r="B2948" s="6" t="s">
        <v>92</v>
      </c>
      <c r="C2948" s="6" t="s">
        <v>214</v>
      </c>
      <c r="D2948" s="6">
        <v>0.008916666666666666</v>
      </c>
      <c r="E2948" s="6" t="s">
        <v>88</v>
      </c>
      <c r="F2948" s="6" t="s">
        <v>53</v>
      </c>
      <c r="G2948" s="7">
        <v>62422.24836497094</v>
      </c>
      <c r="H2948" s="6">
        <v>556.5983812543242</v>
      </c>
      <c r="I2948" s="6" t="s">
        <v>180</v>
      </c>
      <c r="J2948" s="15">
        <v>16.61191549155782</v>
      </c>
    </row>
    <row r="2949" spans="1:10">
      <c r="A2949" s="6" t="s">
        <v>141</v>
      </c>
      <c r="B2949" s="6" t="s">
        <v>92</v>
      </c>
      <c r="C2949" s="6" t="s">
        <v>216</v>
      </c>
      <c r="D2949" s="6">
        <v>9.941566202475043</v>
      </c>
      <c r="E2949" s="6" t="s">
        <v>44</v>
      </c>
      <c r="F2949" s="6" t="s">
        <v>55</v>
      </c>
      <c r="G2949" s="7">
        <v>37794.08920614998</v>
      </c>
      <c r="H2949" s="6">
        <v>375732.4399051874</v>
      </c>
      <c r="I2949" s="6" t="s">
        <v>180</v>
      </c>
      <c r="J2949" s="15">
        <v>22.25</v>
      </c>
    </row>
    <row r="2950" spans="1:10">
      <c r="A2950" s="6" t="s">
        <v>141</v>
      </c>
      <c r="B2950" s="6" t="s">
        <v>92</v>
      </c>
      <c r="C2950" s="6" t="s">
        <v>216</v>
      </c>
      <c r="D2950" s="6">
        <v>1.013792938712601</v>
      </c>
      <c r="E2950" s="6" t="s">
        <v>86</v>
      </c>
      <c r="F2950" s="6" t="s">
        <v>55</v>
      </c>
      <c r="G2950" s="7">
        <v>37794.08920614998</v>
      </c>
      <c r="H2950" s="6">
        <v>38315.38076226898</v>
      </c>
      <c r="I2950" s="6" t="s">
        <v>180</v>
      </c>
      <c r="J2950" s="15">
        <v>22.25</v>
      </c>
    </row>
    <row r="2951" spans="1:10">
      <c r="A2951" s="6" t="s">
        <v>141</v>
      </c>
      <c r="B2951" s="6" t="s">
        <v>92</v>
      </c>
      <c r="C2951" s="6" t="s">
        <v>216</v>
      </c>
      <c r="D2951" s="6">
        <v>0.5927500000000001</v>
      </c>
      <c r="E2951" s="6" t="s">
        <v>88</v>
      </c>
      <c r="F2951" s="6" t="s">
        <v>55</v>
      </c>
      <c r="G2951" s="7">
        <v>37794.08920614998</v>
      </c>
      <c r="H2951" s="6">
        <v>22402.4463769454</v>
      </c>
      <c r="I2951" s="6" t="s">
        <v>180</v>
      </c>
      <c r="J2951" s="15">
        <v>22.25</v>
      </c>
    </row>
    <row r="2952" spans="1:10">
      <c r="A2952" s="6" t="s">
        <v>141</v>
      </c>
      <c r="B2952" s="6" t="s">
        <v>92</v>
      </c>
      <c r="C2952" s="6" t="s">
        <v>216</v>
      </c>
      <c r="D2952" s="6">
        <v>0.5230271320593269</v>
      </c>
      <c r="E2952" s="6" t="s">
        <v>90</v>
      </c>
      <c r="F2952" s="6" t="s">
        <v>55</v>
      </c>
      <c r="G2952" s="7">
        <v>37794.08920614998</v>
      </c>
      <c r="H2952" s="6">
        <v>19767.33408628699</v>
      </c>
      <c r="I2952" s="6" t="s">
        <v>180</v>
      </c>
      <c r="J2952" s="15">
        <v>22.25</v>
      </c>
    </row>
    <row r="2953" spans="1:10">
      <c r="A2953" s="6" t="s">
        <v>141</v>
      </c>
      <c r="B2953" s="6" t="s">
        <v>92</v>
      </c>
      <c r="C2953" s="6" t="s">
        <v>217</v>
      </c>
      <c r="D2953" s="6">
        <v>0.03216666666666666</v>
      </c>
      <c r="E2953" s="6" t="s">
        <v>88</v>
      </c>
      <c r="F2953" s="6" t="s">
        <v>53</v>
      </c>
      <c r="G2953" s="7">
        <v>65939.82541874713</v>
      </c>
      <c r="H2953" s="6">
        <v>2121.064384303033</v>
      </c>
      <c r="I2953" s="6" t="s">
        <v>180</v>
      </c>
      <c r="J2953" s="15">
        <v>17.92897745402719</v>
      </c>
    </row>
    <row r="2954" spans="1:10">
      <c r="A2954" s="6" t="s">
        <v>141</v>
      </c>
      <c r="B2954" s="6" t="s">
        <v>92</v>
      </c>
      <c r="C2954" s="6" t="s">
        <v>219</v>
      </c>
      <c r="D2954" s="6">
        <v>0.0002775428679659271</v>
      </c>
      <c r="E2954" s="6" t="s">
        <v>44</v>
      </c>
      <c r="F2954" s="6" t="s">
        <v>51</v>
      </c>
      <c r="G2954" s="7">
        <v>50028.12386913064</v>
      </c>
      <c r="H2954" s="6">
        <v>13.88494897759317</v>
      </c>
      <c r="I2954" s="6" t="s">
        <v>180</v>
      </c>
      <c r="J2954" s="15">
        <v>11.97126947811596</v>
      </c>
    </row>
    <row r="2955" spans="1:10">
      <c r="A2955" s="6" t="s">
        <v>141</v>
      </c>
      <c r="B2955" s="6" t="s">
        <v>92</v>
      </c>
      <c r="C2955" s="6" t="s">
        <v>219</v>
      </c>
      <c r="D2955" s="6">
        <v>0.02838912379870074</v>
      </c>
      <c r="E2955" s="6" t="s">
        <v>86</v>
      </c>
      <c r="F2955" s="6" t="s">
        <v>51</v>
      </c>
      <c r="G2955" s="7">
        <v>50028.12386913064</v>
      </c>
      <c r="H2955" s="6">
        <v>1420.254601937485</v>
      </c>
      <c r="I2955" s="6" t="s">
        <v>180</v>
      </c>
      <c r="J2955" s="15">
        <v>11.97126947811596</v>
      </c>
    </row>
    <row r="2956" spans="1:10">
      <c r="A2956" s="6" t="s">
        <v>141</v>
      </c>
      <c r="B2956" s="6" t="s">
        <v>92</v>
      </c>
      <c r="C2956" s="6" t="s">
        <v>219</v>
      </c>
      <c r="D2956" s="6">
        <v>0.09941666666666668</v>
      </c>
      <c r="E2956" s="6" t="s">
        <v>88</v>
      </c>
      <c r="F2956" s="6" t="s">
        <v>51</v>
      </c>
      <c r="G2956" s="7">
        <v>50028.12386913064</v>
      </c>
      <c r="H2956" s="6">
        <v>4973.629314656071</v>
      </c>
      <c r="I2956" s="6" t="s">
        <v>180</v>
      </c>
      <c r="J2956" s="15">
        <v>11.97126947811596</v>
      </c>
    </row>
    <row r="2957" spans="1:10">
      <c r="A2957" s="6" t="s">
        <v>141</v>
      </c>
      <c r="B2957" s="6" t="s">
        <v>92</v>
      </c>
      <c r="C2957" s="6" t="s">
        <v>220</v>
      </c>
      <c r="D2957" s="6">
        <v>1.301443894226133</v>
      </c>
      <c r="E2957" s="6" t="s">
        <v>44</v>
      </c>
      <c r="F2957" s="6" t="s">
        <v>57</v>
      </c>
      <c r="G2957" s="7">
        <v>40832.06893400874</v>
      </c>
      <c r="H2957" s="6">
        <v>53140.64680278626</v>
      </c>
      <c r="I2957" s="6" t="s">
        <v>180</v>
      </c>
      <c r="J2957" s="15">
        <v>8.528054454062554</v>
      </c>
    </row>
    <row r="2958" spans="1:10">
      <c r="A2958" s="6" t="s">
        <v>141</v>
      </c>
      <c r="B2958" s="6" t="s">
        <v>92</v>
      </c>
      <c r="C2958" s="6" t="s">
        <v>220</v>
      </c>
      <c r="D2958" s="6">
        <v>0.2239700710291019</v>
      </c>
      <c r="E2958" s="6" t="s">
        <v>86</v>
      </c>
      <c r="F2958" s="6" t="s">
        <v>57</v>
      </c>
      <c r="G2958" s="7">
        <v>40832.06893400874</v>
      </c>
      <c r="H2958" s="6">
        <v>9145.161379415124</v>
      </c>
      <c r="I2958" s="6" t="s">
        <v>180</v>
      </c>
      <c r="J2958" s="15">
        <v>8.528054454062554</v>
      </c>
    </row>
    <row r="2959" spans="1:10">
      <c r="A2959" s="6" t="s">
        <v>141</v>
      </c>
      <c r="B2959" s="6" t="s">
        <v>92</v>
      </c>
      <c r="C2959" s="6" t="s">
        <v>220</v>
      </c>
      <c r="D2959" s="6">
        <v>0.08833333333333333</v>
      </c>
      <c r="E2959" s="6" t="s">
        <v>88</v>
      </c>
      <c r="F2959" s="6" t="s">
        <v>57</v>
      </c>
      <c r="G2959" s="7">
        <v>40832.06893400874</v>
      </c>
      <c r="H2959" s="6">
        <v>3606.832755837439</v>
      </c>
      <c r="I2959" s="6" t="s">
        <v>180</v>
      </c>
      <c r="J2959" s="15">
        <v>8.528054454062554</v>
      </c>
    </row>
    <row r="2960" spans="1:10">
      <c r="A2960" s="6" t="s">
        <v>141</v>
      </c>
      <c r="B2960" s="6" t="s">
        <v>92</v>
      </c>
      <c r="C2960" s="6" t="s">
        <v>220</v>
      </c>
      <c r="D2960" s="6">
        <v>0.07286665750223383</v>
      </c>
      <c r="E2960" s="6" t="s">
        <v>90</v>
      </c>
      <c r="F2960" s="6" t="s">
        <v>57</v>
      </c>
      <c r="G2960" s="7">
        <v>40832.06893400874</v>
      </c>
      <c r="H2960" s="6">
        <v>2975.296382122017</v>
      </c>
      <c r="I2960" s="6" t="s">
        <v>180</v>
      </c>
      <c r="J2960" s="15">
        <v>8.528054454062554</v>
      </c>
    </row>
    <row r="2961" spans="1:10">
      <c r="A2961" s="6" t="s">
        <v>141</v>
      </c>
      <c r="B2961" s="6" t="s">
        <v>92</v>
      </c>
      <c r="C2961" s="6" t="s">
        <v>221</v>
      </c>
      <c r="D2961" s="6">
        <v>3.10513361124215E-05</v>
      </c>
      <c r="E2961" s="6" t="s">
        <v>44</v>
      </c>
      <c r="F2961" s="6" t="s">
        <v>51</v>
      </c>
      <c r="G2961" s="7">
        <v>44450.04061738423</v>
      </c>
      <c r="H2961" s="6">
        <v>1.380233151421185</v>
      </c>
      <c r="I2961" s="6" t="s">
        <v>179</v>
      </c>
      <c r="J2961" s="15">
        <v>39.525</v>
      </c>
    </row>
    <row r="2962" spans="1:10">
      <c r="A2962" s="6" t="s">
        <v>141</v>
      </c>
      <c r="B2962" s="6" t="s">
        <v>92</v>
      </c>
      <c r="C2962" s="6" t="s">
        <v>221</v>
      </c>
      <c r="D2962" s="6">
        <v>0.04913561533055424</v>
      </c>
      <c r="E2962" s="6" t="s">
        <v>86</v>
      </c>
      <c r="F2962" s="6" t="s">
        <v>51</v>
      </c>
      <c r="G2962" s="7">
        <v>44450.04061738423</v>
      </c>
      <c r="H2962" s="6">
        <v>2184.080097203303</v>
      </c>
      <c r="I2962" s="6" t="s">
        <v>179</v>
      </c>
      <c r="J2962" s="15">
        <v>39.525</v>
      </c>
    </row>
    <row r="2963" spans="1:10">
      <c r="A2963" s="6" t="s">
        <v>141</v>
      </c>
      <c r="B2963" s="6" t="s">
        <v>92</v>
      </c>
      <c r="C2963" s="6" t="s">
        <v>221</v>
      </c>
      <c r="D2963" s="6">
        <v>2.833916666666667</v>
      </c>
      <c r="E2963" s="6" t="s">
        <v>88</v>
      </c>
      <c r="F2963" s="6" t="s">
        <v>51</v>
      </c>
      <c r="G2963" s="7">
        <v>44450.04061738423</v>
      </c>
      <c r="H2963" s="6">
        <v>125967.7109396155</v>
      </c>
      <c r="I2963" s="6" t="s">
        <v>179</v>
      </c>
      <c r="J2963" s="15">
        <v>39.525</v>
      </c>
    </row>
    <row r="2964" spans="1:10">
      <c r="A2964" s="6" t="s">
        <v>141</v>
      </c>
      <c r="B2964" s="6" t="s">
        <v>92</v>
      </c>
      <c r="C2964" s="6" t="s">
        <v>223</v>
      </c>
      <c r="D2964" s="6">
        <v>0.02694520848513283</v>
      </c>
      <c r="E2964" s="6" t="s">
        <v>44</v>
      </c>
      <c r="F2964" s="6" t="s">
        <v>53</v>
      </c>
      <c r="G2964" s="7">
        <v>48232.87547336299</v>
      </c>
      <c r="H2964" s="6">
        <v>1299.644885467216</v>
      </c>
      <c r="I2964" s="6" t="s">
        <v>179</v>
      </c>
      <c r="J2964" s="15">
        <v>53.5</v>
      </c>
    </row>
    <row r="2965" spans="1:10">
      <c r="A2965" s="6" t="s">
        <v>141</v>
      </c>
      <c r="B2965" s="6" t="s">
        <v>92</v>
      </c>
      <c r="C2965" s="6" t="s">
        <v>223</v>
      </c>
      <c r="D2965" s="6">
        <v>0.006495678710124336</v>
      </c>
      <c r="E2965" s="6" t="s">
        <v>86</v>
      </c>
      <c r="F2965" s="6" t="s">
        <v>53</v>
      </c>
      <c r="G2965" s="7">
        <v>48232.87547336299</v>
      </c>
      <c r="H2965" s="6">
        <v>313.3052623404022</v>
      </c>
      <c r="I2965" s="6" t="s">
        <v>179</v>
      </c>
      <c r="J2965" s="15">
        <v>53.5</v>
      </c>
    </row>
    <row r="2966" spans="1:10">
      <c r="A2966" s="6" t="s">
        <v>141</v>
      </c>
      <c r="B2966" s="6" t="s">
        <v>92</v>
      </c>
      <c r="C2966" s="6" t="s">
        <v>223</v>
      </c>
      <c r="D2966" s="6">
        <v>28.18058333333333</v>
      </c>
      <c r="E2966" s="6" t="s">
        <v>88</v>
      </c>
      <c r="F2966" s="6" t="s">
        <v>53</v>
      </c>
      <c r="G2966" s="7">
        <v>48232.87547336299</v>
      </c>
      <c r="H2966" s="6">
        <v>1359230.566683395</v>
      </c>
      <c r="I2966" s="6" t="s">
        <v>179</v>
      </c>
      <c r="J2966" s="15">
        <v>53.5</v>
      </c>
    </row>
    <row r="2967" spans="1:10">
      <c r="A2967" s="6" t="s">
        <v>141</v>
      </c>
      <c r="B2967" s="6" t="s">
        <v>92</v>
      </c>
      <c r="C2967" s="6" t="s">
        <v>223</v>
      </c>
      <c r="D2967" s="6">
        <v>0.001971693679110962</v>
      </c>
      <c r="E2967" s="6" t="s">
        <v>90</v>
      </c>
      <c r="F2967" s="6" t="s">
        <v>53</v>
      </c>
      <c r="G2967" s="7">
        <v>48232.87547336299</v>
      </c>
      <c r="H2967" s="6">
        <v>95.10045569617597</v>
      </c>
      <c r="I2967" s="6" t="s">
        <v>179</v>
      </c>
      <c r="J2967" s="15">
        <v>53.5</v>
      </c>
    </row>
    <row r="2968" spans="1:10">
      <c r="A2968" s="6" t="s">
        <v>141</v>
      </c>
      <c r="B2968" s="6" t="s">
        <v>92</v>
      </c>
      <c r="C2968" s="6" t="s">
        <v>224</v>
      </c>
      <c r="D2968" s="6">
        <v>22.18699970209375</v>
      </c>
      <c r="E2968" s="6" t="s">
        <v>44</v>
      </c>
      <c r="F2968" s="6" t="s">
        <v>51</v>
      </c>
      <c r="G2968" s="7">
        <v>46793.10139429578</v>
      </c>
      <c r="H2968" s="6">
        <v>1038198.526695283</v>
      </c>
      <c r="I2968" s="6" t="s">
        <v>179</v>
      </c>
      <c r="J2968" s="15">
        <v>41.85</v>
      </c>
    </row>
    <row r="2969" spans="1:10">
      <c r="A2969" s="6" t="s">
        <v>141</v>
      </c>
      <c r="B2969" s="6" t="s">
        <v>92</v>
      </c>
      <c r="C2969" s="6" t="s">
        <v>224</v>
      </c>
      <c r="D2969" s="6">
        <v>19.65941542340806</v>
      </c>
      <c r="E2969" s="6" t="s">
        <v>86</v>
      </c>
      <c r="F2969" s="6" t="s">
        <v>51</v>
      </c>
      <c r="G2969" s="7">
        <v>46793.10139429578</v>
      </c>
      <c r="H2969" s="6">
        <v>919925.0192601155</v>
      </c>
      <c r="I2969" s="6" t="s">
        <v>179</v>
      </c>
      <c r="J2969" s="15">
        <v>41.85</v>
      </c>
    </row>
    <row r="2970" spans="1:10">
      <c r="A2970" s="6" t="s">
        <v>141</v>
      </c>
      <c r="B2970" s="6" t="s">
        <v>92</v>
      </c>
      <c r="C2970" s="6" t="s">
        <v>224</v>
      </c>
      <c r="D2970" s="6">
        <v>450.4166666666666</v>
      </c>
      <c r="E2970" s="6" t="s">
        <v>88</v>
      </c>
      <c r="F2970" s="6" t="s">
        <v>51</v>
      </c>
      <c r="G2970" s="7">
        <v>46793.10139429578</v>
      </c>
      <c r="H2970" s="6">
        <v>21076392.75301405</v>
      </c>
      <c r="I2970" s="6" t="s">
        <v>179</v>
      </c>
      <c r="J2970" s="15">
        <v>41.85</v>
      </c>
    </row>
    <row r="2971" spans="1:10">
      <c r="A2971" s="6" t="s">
        <v>141</v>
      </c>
      <c r="B2971" s="6" t="s">
        <v>92</v>
      </c>
      <c r="C2971" s="6" t="s">
        <v>224</v>
      </c>
      <c r="D2971" s="6">
        <v>28.43088475733936</v>
      </c>
      <c r="E2971" s="6" t="s">
        <v>90</v>
      </c>
      <c r="F2971" s="6" t="s">
        <v>51</v>
      </c>
      <c r="G2971" s="7">
        <v>46793.10139429578</v>
      </c>
      <c r="H2971" s="6">
        <v>1330369.273179719</v>
      </c>
      <c r="I2971" s="6" t="s">
        <v>179</v>
      </c>
      <c r="J2971" s="15">
        <v>41.85</v>
      </c>
    </row>
    <row r="2972" spans="1:10">
      <c r="A2972" s="6" t="s">
        <v>141</v>
      </c>
      <c r="B2972" s="6" t="s">
        <v>92</v>
      </c>
      <c r="C2972" s="6" t="s">
        <v>224</v>
      </c>
      <c r="D2972" s="6">
        <v>0.0006666666666666666</v>
      </c>
      <c r="E2972" s="6" t="s">
        <v>92</v>
      </c>
      <c r="F2972" s="6" t="s">
        <v>51</v>
      </c>
      <c r="G2972" s="7">
        <v>46793.10139429578</v>
      </c>
      <c r="H2972" s="6">
        <v>31.19540092953052</v>
      </c>
      <c r="I2972" s="6" t="s">
        <v>179</v>
      </c>
      <c r="J2972" s="15">
        <v>41.85</v>
      </c>
    </row>
    <row r="2973" spans="1:10">
      <c r="A2973" s="6" t="s">
        <v>141</v>
      </c>
      <c r="B2973" s="6" t="s">
        <v>92</v>
      </c>
      <c r="C2973" s="6" t="s">
        <v>226</v>
      </c>
      <c r="D2973" s="6">
        <v>0.01243514721311815</v>
      </c>
      <c r="E2973" s="6" t="s">
        <v>44</v>
      </c>
      <c r="F2973" s="6" t="s">
        <v>56</v>
      </c>
      <c r="G2973" s="7">
        <v>115634.7099370767</v>
      </c>
      <c r="H2973" s="6">
        <v>1437.934641013765</v>
      </c>
      <c r="I2973" s="6" t="s">
        <v>179</v>
      </c>
      <c r="J2973" s="15">
        <v>137</v>
      </c>
    </row>
    <row r="2974" spans="1:10">
      <c r="A2974" s="6" t="s">
        <v>141</v>
      </c>
      <c r="B2974" s="6" t="s">
        <v>92</v>
      </c>
      <c r="C2974" s="6" t="s">
        <v>226</v>
      </c>
      <c r="D2974" s="6">
        <v>0.7524815194535486</v>
      </c>
      <c r="E2974" s="6" t="s">
        <v>86</v>
      </c>
      <c r="F2974" s="6" t="s">
        <v>56</v>
      </c>
      <c r="G2974" s="7">
        <v>115634.7099370767</v>
      </c>
      <c r="H2974" s="6">
        <v>87012.98223502183</v>
      </c>
      <c r="I2974" s="6" t="s">
        <v>179</v>
      </c>
      <c r="J2974" s="15">
        <v>137</v>
      </c>
    </row>
    <row r="2975" spans="1:10">
      <c r="A2975" s="6" t="s">
        <v>141</v>
      </c>
      <c r="B2975" s="6" t="s">
        <v>92</v>
      </c>
      <c r="C2975" s="6" t="s">
        <v>226</v>
      </c>
      <c r="D2975" s="6">
        <v>4.784166666666667</v>
      </c>
      <c r="E2975" s="6" t="s">
        <v>88</v>
      </c>
      <c r="F2975" s="6" t="s">
        <v>56</v>
      </c>
      <c r="G2975" s="7">
        <v>115634.7099370767</v>
      </c>
      <c r="H2975" s="6">
        <v>553215.7247906311</v>
      </c>
      <c r="I2975" s="6" t="s">
        <v>179</v>
      </c>
      <c r="J2975" s="15">
        <v>137</v>
      </c>
    </row>
    <row r="2976" spans="1:10">
      <c r="A2976" s="6" t="s">
        <v>141</v>
      </c>
      <c r="B2976" s="6" t="s">
        <v>92</v>
      </c>
      <c r="C2976" s="6" t="s">
        <v>227</v>
      </c>
      <c r="D2976" s="6">
        <v>26.64837941400363</v>
      </c>
      <c r="E2976" s="6" t="s">
        <v>44</v>
      </c>
      <c r="F2976" s="6" t="s">
        <v>57</v>
      </c>
      <c r="G2976" s="7">
        <v>53193.31448576911</v>
      </c>
      <c r="H2976" s="6">
        <v>1417515.626705191</v>
      </c>
      <c r="I2976" s="6" t="s">
        <v>179</v>
      </c>
      <c r="J2976" s="15">
        <v>43</v>
      </c>
    </row>
    <row r="2977" spans="1:10">
      <c r="A2977" s="6" t="s">
        <v>141</v>
      </c>
      <c r="B2977" s="6" t="s">
        <v>92</v>
      </c>
      <c r="C2977" s="6" t="s">
        <v>227</v>
      </c>
      <c r="D2977" s="6">
        <v>2.473065136082612</v>
      </c>
      <c r="E2977" s="6" t="s">
        <v>86</v>
      </c>
      <c r="F2977" s="6" t="s">
        <v>57</v>
      </c>
      <c r="G2977" s="7">
        <v>53193.31448576911</v>
      </c>
      <c r="H2977" s="6">
        <v>131550.5315274338</v>
      </c>
      <c r="I2977" s="6" t="s">
        <v>179</v>
      </c>
      <c r="J2977" s="15">
        <v>43</v>
      </c>
    </row>
    <row r="2978" spans="1:10">
      <c r="A2978" s="6" t="s">
        <v>141</v>
      </c>
      <c r="B2978" s="6" t="s">
        <v>92</v>
      </c>
      <c r="C2978" s="6" t="s">
        <v>227</v>
      </c>
      <c r="D2978" s="6">
        <v>2.285333333333333</v>
      </c>
      <c r="E2978" s="6" t="s">
        <v>88</v>
      </c>
      <c r="F2978" s="6" t="s">
        <v>57</v>
      </c>
      <c r="G2978" s="7">
        <v>53193.31448576911</v>
      </c>
      <c r="H2978" s="6">
        <v>121564.454704811</v>
      </c>
      <c r="I2978" s="6" t="s">
        <v>179</v>
      </c>
      <c r="J2978" s="15">
        <v>43</v>
      </c>
    </row>
    <row r="2979" spans="1:10">
      <c r="A2979" s="6" t="s">
        <v>141</v>
      </c>
      <c r="B2979" s="6" t="s">
        <v>92</v>
      </c>
      <c r="C2979" s="6" t="s">
        <v>227</v>
      </c>
      <c r="D2979" s="6">
        <v>1.573442239454565</v>
      </c>
      <c r="E2979" s="6" t="s">
        <v>90</v>
      </c>
      <c r="F2979" s="6" t="s">
        <v>57</v>
      </c>
      <c r="G2979" s="7">
        <v>53193.31448576911</v>
      </c>
      <c r="H2979" s="6">
        <v>83696.60786849949</v>
      </c>
      <c r="I2979" s="6" t="s">
        <v>179</v>
      </c>
      <c r="J2979" s="15">
        <v>43</v>
      </c>
    </row>
    <row r="2980" spans="1:10">
      <c r="A2980" s="6" t="s">
        <v>141</v>
      </c>
      <c r="B2980" s="6" t="s">
        <v>92</v>
      </c>
      <c r="C2980" s="6" t="s">
        <v>227</v>
      </c>
      <c r="D2980" s="6">
        <v>0.1646666666666667</v>
      </c>
      <c r="E2980" s="6" t="s">
        <v>92</v>
      </c>
      <c r="F2980" s="6" t="s">
        <v>57</v>
      </c>
      <c r="G2980" s="7">
        <v>53193.31448576911</v>
      </c>
      <c r="H2980" s="6">
        <v>8759.165785323314</v>
      </c>
      <c r="I2980" s="6" t="s">
        <v>179</v>
      </c>
      <c r="J2980" s="15">
        <v>43</v>
      </c>
    </row>
    <row r="2981" spans="1:10">
      <c r="A2981" s="6" t="s">
        <v>141</v>
      </c>
      <c r="B2981" s="6" t="s">
        <v>92</v>
      </c>
      <c r="C2981" s="6" t="s">
        <v>228</v>
      </c>
      <c r="D2981" s="6">
        <v>5.949152468629442E-05</v>
      </c>
      <c r="E2981" s="6" t="s">
        <v>44</v>
      </c>
      <c r="F2981" s="6" t="s">
        <v>51</v>
      </c>
      <c r="G2981" s="7">
        <v>40082.62252520998</v>
      </c>
      <c r="H2981" s="6">
        <v>2.38457632744995</v>
      </c>
      <c r="I2981" s="6" t="s">
        <v>179</v>
      </c>
      <c r="J2981" s="15">
        <v>26.025</v>
      </c>
    </row>
    <row r="2982" spans="1:10">
      <c r="A2982" s="6" t="s">
        <v>141</v>
      </c>
      <c r="B2982" s="6" t="s">
        <v>92</v>
      </c>
      <c r="C2982" s="6" t="s">
        <v>228</v>
      </c>
      <c r="D2982" s="6">
        <v>1.44510717514198</v>
      </c>
      <c r="E2982" s="6" t="s">
        <v>86</v>
      </c>
      <c r="F2982" s="6" t="s">
        <v>51</v>
      </c>
      <c r="G2982" s="7">
        <v>40082.62252520998</v>
      </c>
      <c r="H2982" s="6">
        <v>57923.6854096885</v>
      </c>
      <c r="I2982" s="6" t="s">
        <v>179</v>
      </c>
      <c r="J2982" s="15">
        <v>26.025</v>
      </c>
    </row>
    <row r="2983" spans="1:10">
      <c r="A2983" s="6" t="s">
        <v>141</v>
      </c>
      <c r="B2983" s="6" t="s">
        <v>92</v>
      </c>
      <c r="C2983" s="6" t="s">
        <v>228</v>
      </c>
      <c r="D2983" s="6">
        <v>11.67958333333333</v>
      </c>
      <c r="E2983" s="6" t="s">
        <v>88</v>
      </c>
      <c r="F2983" s="6" t="s">
        <v>51</v>
      </c>
      <c r="G2983" s="7">
        <v>40082.62252520998</v>
      </c>
      <c r="H2983" s="6">
        <v>468148.3300017337</v>
      </c>
      <c r="I2983" s="6" t="s">
        <v>179</v>
      </c>
      <c r="J2983" s="15">
        <v>26.025</v>
      </c>
    </row>
    <row r="2984" spans="1:10">
      <c r="A2984" s="6" t="s">
        <v>141</v>
      </c>
      <c r="B2984" s="6" t="s">
        <v>92</v>
      </c>
      <c r="C2984" s="6" t="s">
        <v>367</v>
      </c>
      <c r="D2984" s="6">
        <v>10.6565</v>
      </c>
      <c r="E2984" s="6" t="s">
        <v>44</v>
      </c>
      <c r="F2984" s="6" t="s">
        <v>55</v>
      </c>
      <c r="G2984" s="7">
        <v>42283.6525693799</v>
      </c>
      <c r="H2984" s="6">
        <v>450595.7436055969</v>
      </c>
      <c r="I2984" s="6" t="s">
        <v>179</v>
      </c>
      <c r="J2984" s="15">
        <v>15</v>
      </c>
    </row>
    <row r="2985" spans="1:10">
      <c r="A2985" s="6" t="s">
        <v>141</v>
      </c>
      <c r="B2985" s="6" t="s">
        <v>92</v>
      </c>
      <c r="C2985" s="6" t="s">
        <v>367</v>
      </c>
      <c r="D2985" s="6">
        <v>2.594833333333333</v>
      </c>
      <c r="E2985" s="6" t="s">
        <v>86</v>
      </c>
      <c r="F2985" s="6" t="s">
        <v>55</v>
      </c>
      <c r="G2985" s="7">
        <v>42283.6525693799</v>
      </c>
      <c r="H2985" s="6">
        <v>109719.0311421126</v>
      </c>
      <c r="I2985" s="6" t="s">
        <v>179</v>
      </c>
      <c r="J2985" s="15">
        <v>15</v>
      </c>
    </row>
    <row r="2986" spans="1:10">
      <c r="A2986" s="6" t="s">
        <v>141</v>
      </c>
      <c r="B2986" s="6" t="s">
        <v>92</v>
      </c>
      <c r="C2986" s="6" t="s">
        <v>367</v>
      </c>
      <c r="D2986" s="6">
        <v>0.9388333333333334</v>
      </c>
      <c r="E2986" s="6" t="s">
        <v>88</v>
      </c>
      <c r="F2986" s="6" t="s">
        <v>55</v>
      </c>
      <c r="G2986" s="7">
        <v>42283.6525693799</v>
      </c>
      <c r="H2986" s="6">
        <v>39697.30248721949</v>
      </c>
      <c r="I2986" s="6" t="s">
        <v>179</v>
      </c>
      <c r="J2986" s="15">
        <v>15</v>
      </c>
    </row>
    <row r="2987" spans="1:10">
      <c r="A2987" s="6" t="s">
        <v>141</v>
      </c>
      <c r="B2987" s="6" t="s">
        <v>92</v>
      </c>
      <c r="C2987" s="6" t="s">
        <v>367</v>
      </c>
      <c r="D2987" s="6">
        <v>1.402083333333333</v>
      </c>
      <c r="E2987" s="6" t="s">
        <v>90</v>
      </c>
      <c r="F2987" s="6" t="s">
        <v>55</v>
      </c>
      <c r="G2987" s="7">
        <v>42283.6525693799</v>
      </c>
      <c r="H2987" s="6">
        <v>59285.20453998473</v>
      </c>
      <c r="I2987" s="6" t="s">
        <v>179</v>
      </c>
      <c r="J2987" s="15">
        <v>15</v>
      </c>
    </row>
    <row r="2988" spans="1:10">
      <c r="A2988" s="6" t="s">
        <v>141</v>
      </c>
      <c r="B2988" s="6" t="s">
        <v>92</v>
      </c>
      <c r="C2988" s="6" t="s">
        <v>230</v>
      </c>
      <c r="D2988" s="6">
        <v>1.667859932309295E-06</v>
      </c>
      <c r="E2988" s="6" t="s">
        <v>44</v>
      </c>
      <c r="F2988" s="6" t="s">
        <v>53</v>
      </c>
      <c r="G2988" s="7">
        <v>50127.30283720783</v>
      </c>
      <c r="H2988" s="6">
        <v>0.08360531991691296</v>
      </c>
      <c r="I2988" s="6" t="s">
        <v>180</v>
      </c>
      <c r="J2988" s="15">
        <v>42.83333333333334</v>
      </c>
    </row>
    <row r="2989" spans="1:10">
      <c r="A2989" s="6" t="s">
        <v>141</v>
      </c>
      <c r="B2989" s="6" t="s">
        <v>92</v>
      </c>
      <c r="C2989" s="6" t="s">
        <v>230</v>
      </c>
      <c r="D2989" s="6">
        <v>2.633862709363881E-05</v>
      </c>
      <c r="E2989" s="6" t="s">
        <v>86</v>
      </c>
      <c r="F2989" s="6" t="s">
        <v>53</v>
      </c>
      <c r="G2989" s="7">
        <v>50127.30283720783</v>
      </c>
      <c r="H2989" s="6">
        <v>1.32028433663912</v>
      </c>
      <c r="I2989" s="6" t="s">
        <v>180</v>
      </c>
      <c r="J2989" s="15">
        <v>42.83333333333334</v>
      </c>
    </row>
    <row r="2990" spans="1:10">
      <c r="A2990" s="6" t="s">
        <v>141</v>
      </c>
      <c r="B2990" s="6" t="s">
        <v>92</v>
      </c>
      <c r="C2990" s="6" t="s">
        <v>230</v>
      </c>
      <c r="D2990" s="6">
        <v>4.86975</v>
      </c>
      <c r="E2990" s="6" t="s">
        <v>88</v>
      </c>
      <c r="F2990" s="6" t="s">
        <v>53</v>
      </c>
      <c r="G2990" s="7">
        <v>50127.30283720783</v>
      </c>
      <c r="H2990" s="6">
        <v>244107.4329914928</v>
      </c>
      <c r="I2990" s="6" t="s">
        <v>180</v>
      </c>
      <c r="J2990" s="15">
        <v>42.83333333333334</v>
      </c>
    </row>
    <row r="2991" spans="1:10">
      <c r="A2991" s="6" t="s">
        <v>141</v>
      </c>
      <c r="B2991" s="6" t="s">
        <v>92</v>
      </c>
      <c r="C2991" s="6" t="s">
        <v>230</v>
      </c>
      <c r="D2991" s="6">
        <v>0.0009022634079666755</v>
      </c>
      <c r="E2991" s="6" t="s">
        <v>90</v>
      </c>
      <c r="F2991" s="6" t="s">
        <v>53</v>
      </c>
      <c r="G2991" s="7">
        <v>50127.30283720783</v>
      </c>
      <c r="H2991" s="6">
        <v>45.22803109007673</v>
      </c>
      <c r="I2991" s="6" t="s">
        <v>180</v>
      </c>
      <c r="J2991" s="15">
        <v>42.83333333333334</v>
      </c>
    </row>
    <row r="2992" spans="1:10">
      <c r="A2992" s="6" t="s">
        <v>141</v>
      </c>
      <c r="B2992" s="6" t="s">
        <v>92</v>
      </c>
      <c r="C2992" s="6" t="s">
        <v>232</v>
      </c>
      <c r="D2992" s="6">
        <v>0.03475</v>
      </c>
      <c r="E2992" s="6" t="s">
        <v>88</v>
      </c>
      <c r="F2992" s="6" t="s">
        <v>51</v>
      </c>
      <c r="G2992" s="7">
        <v>47655.11283939263</v>
      </c>
      <c r="H2992" s="6">
        <v>1656.015171168894</v>
      </c>
      <c r="I2992" s="6" t="s">
        <v>180</v>
      </c>
      <c r="J2992" s="15">
        <v>11.08275942815615</v>
      </c>
    </row>
    <row r="2993" spans="1:10">
      <c r="A2993" s="6" t="s">
        <v>141</v>
      </c>
      <c r="B2993" s="6" t="s">
        <v>92</v>
      </c>
      <c r="C2993" s="6" t="s">
        <v>233</v>
      </c>
      <c r="D2993" s="6">
        <v>0.02508333333333333</v>
      </c>
      <c r="E2993" s="6" t="s">
        <v>86</v>
      </c>
      <c r="F2993" s="6" t="s">
        <v>59</v>
      </c>
      <c r="G2993" s="7">
        <v>44232.39847084988</v>
      </c>
      <c r="H2993" s="6">
        <v>1109.495994977151</v>
      </c>
      <c r="I2993" s="6" t="s">
        <v>180</v>
      </c>
      <c r="J2993" s="15">
        <v>9.801216242523401</v>
      </c>
    </row>
    <row r="2994" spans="1:10">
      <c r="A2994" s="6" t="s">
        <v>141</v>
      </c>
      <c r="B2994" s="6" t="s">
        <v>92</v>
      </c>
      <c r="C2994" s="6" t="s">
        <v>233</v>
      </c>
      <c r="D2994" s="6">
        <v>0.1196666666666667</v>
      </c>
      <c r="E2994" s="6" t="s">
        <v>88</v>
      </c>
      <c r="F2994" s="6" t="s">
        <v>59</v>
      </c>
      <c r="G2994" s="7">
        <v>44232.39847084988</v>
      </c>
      <c r="H2994" s="6">
        <v>5293.143683678371</v>
      </c>
      <c r="I2994" s="6" t="s">
        <v>180</v>
      </c>
      <c r="J2994" s="15">
        <v>9.801216242523401</v>
      </c>
    </row>
    <row r="2995" spans="1:10">
      <c r="A2995" s="6" t="s">
        <v>141</v>
      </c>
      <c r="B2995" s="6" t="s">
        <v>92</v>
      </c>
      <c r="C2995" s="6" t="s">
        <v>234</v>
      </c>
      <c r="D2995" s="6">
        <v>0.1473664664673242</v>
      </c>
      <c r="E2995" s="6" t="s">
        <v>44</v>
      </c>
      <c r="F2995" s="6" t="s">
        <v>56</v>
      </c>
      <c r="G2995" s="7">
        <v>77276.78495905263</v>
      </c>
      <c r="H2995" s="6">
        <v>11388.00673937086</v>
      </c>
      <c r="I2995" s="6" t="s">
        <v>179</v>
      </c>
      <c r="J2995" s="15">
        <v>56.5</v>
      </c>
    </row>
    <row r="2996" spans="1:10">
      <c r="A2996" s="6" t="s">
        <v>141</v>
      </c>
      <c r="B2996" s="6" t="s">
        <v>92</v>
      </c>
      <c r="C2996" s="6" t="s">
        <v>234</v>
      </c>
      <c r="D2996" s="6">
        <v>0.327856763249344</v>
      </c>
      <c r="E2996" s="6" t="s">
        <v>86</v>
      </c>
      <c r="F2996" s="6" t="s">
        <v>56</v>
      </c>
      <c r="G2996" s="7">
        <v>77276.78495905263</v>
      </c>
      <c r="H2996" s="6">
        <v>25335.71659099059</v>
      </c>
      <c r="I2996" s="6" t="s">
        <v>179</v>
      </c>
      <c r="J2996" s="15">
        <v>56.5</v>
      </c>
    </row>
    <row r="2997" spans="1:10">
      <c r="A2997" s="6" t="s">
        <v>141</v>
      </c>
      <c r="B2997" s="6" t="s">
        <v>92</v>
      </c>
      <c r="C2997" s="6" t="s">
        <v>234</v>
      </c>
      <c r="D2997" s="6">
        <v>1.515333333333334</v>
      </c>
      <c r="E2997" s="6" t="s">
        <v>88</v>
      </c>
      <c r="F2997" s="6" t="s">
        <v>56</v>
      </c>
      <c r="G2997" s="7">
        <v>77276.78495905263</v>
      </c>
      <c r="H2997" s="6">
        <v>117100.0881412844</v>
      </c>
      <c r="I2997" s="6" t="s">
        <v>179</v>
      </c>
      <c r="J2997" s="15">
        <v>56.5</v>
      </c>
    </row>
    <row r="2998" spans="1:10">
      <c r="A2998" s="6" t="s">
        <v>141</v>
      </c>
      <c r="B2998" s="6" t="s">
        <v>92</v>
      </c>
      <c r="C2998" s="6" t="s">
        <v>234</v>
      </c>
      <c r="D2998" s="6">
        <v>0.1813680212788954</v>
      </c>
      <c r="E2998" s="6" t="s">
        <v>90</v>
      </c>
      <c r="F2998" s="6" t="s">
        <v>56</v>
      </c>
      <c r="G2998" s="7">
        <v>77276.78495905263</v>
      </c>
      <c r="H2998" s="6">
        <v>14015.53757881808</v>
      </c>
      <c r="I2998" s="6" t="s">
        <v>179</v>
      </c>
      <c r="J2998" s="15">
        <v>56.5</v>
      </c>
    </row>
    <row r="2999" spans="1:10">
      <c r="A2999" s="6" t="s">
        <v>141</v>
      </c>
      <c r="B2999" s="6" t="s">
        <v>92</v>
      </c>
      <c r="C2999" s="6" t="s">
        <v>236</v>
      </c>
      <c r="D2999" s="6">
        <v>9.885338816052956</v>
      </c>
      <c r="E2999" s="6" t="s">
        <v>44</v>
      </c>
      <c r="F2999" s="6" t="s">
        <v>51</v>
      </c>
      <c r="G2999" s="7">
        <v>44660.20742498994</v>
      </c>
      <c r="H2999" s="6">
        <v>441481.2819912295</v>
      </c>
      <c r="I2999" s="6" t="s">
        <v>179</v>
      </c>
      <c r="J2999" s="15">
        <v>46.28333333333333</v>
      </c>
    </row>
    <row r="3000" spans="1:10">
      <c r="A3000" s="6" t="s">
        <v>141</v>
      </c>
      <c r="B3000" s="6" t="s">
        <v>92</v>
      </c>
      <c r="C3000" s="6" t="s">
        <v>236</v>
      </c>
      <c r="D3000" s="6">
        <v>65.80121817256511</v>
      </c>
      <c r="E3000" s="6" t="s">
        <v>86</v>
      </c>
      <c r="F3000" s="6" t="s">
        <v>51</v>
      </c>
      <c r="G3000" s="7">
        <v>44660.20742498994</v>
      </c>
      <c r="H3000" s="6">
        <v>2938696.052403776</v>
      </c>
      <c r="I3000" s="6" t="s">
        <v>179</v>
      </c>
      <c r="J3000" s="15">
        <v>46.28333333333333</v>
      </c>
    </row>
    <row r="3001" spans="1:10">
      <c r="A3001" s="6" t="s">
        <v>141</v>
      </c>
      <c r="B3001" s="6" t="s">
        <v>92</v>
      </c>
      <c r="C3001" s="6" t="s">
        <v>236</v>
      </c>
      <c r="D3001" s="6">
        <v>876.8014166666666</v>
      </c>
      <c r="E3001" s="6" t="s">
        <v>88</v>
      </c>
      <c r="F3001" s="6" t="s">
        <v>51</v>
      </c>
      <c r="G3001" s="7">
        <v>44660.20742498994</v>
      </c>
      <c r="H3001" s="6">
        <v>39158133.13885836</v>
      </c>
      <c r="I3001" s="6" t="s">
        <v>179</v>
      </c>
      <c r="J3001" s="15">
        <v>46.28333333333333</v>
      </c>
    </row>
    <row r="3002" spans="1:10">
      <c r="A3002" s="6" t="s">
        <v>141</v>
      </c>
      <c r="B3002" s="6" t="s">
        <v>92</v>
      </c>
      <c r="C3002" s="6" t="s">
        <v>236</v>
      </c>
      <c r="D3002" s="6">
        <v>2.277103662739545</v>
      </c>
      <c r="E3002" s="6" t="s">
        <v>90</v>
      </c>
      <c r="F3002" s="6" t="s">
        <v>51</v>
      </c>
      <c r="G3002" s="7">
        <v>44660.20742498994</v>
      </c>
      <c r="H3002" s="6">
        <v>101695.9219061524</v>
      </c>
      <c r="I3002" s="6" t="s">
        <v>179</v>
      </c>
      <c r="J3002" s="15">
        <v>46.28333333333333</v>
      </c>
    </row>
    <row r="3003" spans="1:10">
      <c r="A3003" s="6" t="s">
        <v>141</v>
      </c>
      <c r="B3003" s="6" t="s">
        <v>92</v>
      </c>
      <c r="C3003" s="6" t="s">
        <v>237</v>
      </c>
      <c r="D3003" s="6">
        <v>0.0003167039095125649</v>
      </c>
      <c r="E3003" s="6" t="s">
        <v>44</v>
      </c>
      <c r="F3003" s="6" t="s">
        <v>51</v>
      </c>
      <c r="G3003" s="7">
        <v>45814.12048649801</v>
      </c>
      <c r="H3003" s="6">
        <v>14.50951106895361</v>
      </c>
      <c r="I3003" s="6" t="s">
        <v>180</v>
      </c>
      <c r="J3003" s="15">
        <v>10.39344943888626</v>
      </c>
    </row>
    <row r="3004" spans="1:10">
      <c r="A3004" s="6" t="s">
        <v>141</v>
      </c>
      <c r="B3004" s="6" t="s">
        <v>92</v>
      </c>
      <c r="C3004" s="6" t="s">
        <v>237</v>
      </c>
      <c r="D3004" s="6">
        <v>0.03193329609048744</v>
      </c>
      <c r="E3004" s="6" t="s">
        <v>86</v>
      </c>
      <c r="F3004" s="6" t="s">
        <v>51</v>
      </c>
      <c r="G3004" s="7">
        <v>45814.12048649801</v>
      </c>
      <c r="H3004" s="6">
        <v>1462.995874620607</v>
      </c>
      <c r="I3004" s="6" t="s">
        <v>180</v>
      </c>
      <c r="J3004" s="15">
        <v>10.39344943888626</v>
      </c>
    </row>
    <row r="3005" spans="1:10">
      <c r="A3005" s="6" t="s">
        <v>141</v>
      </c>
      <c r="B3005" s="6" t="s">
        <v>92</v>
      </c>
      <c r="C3005" s="6" t="s">
        <v>237</v>
      </c>
      <c r="D3005" s="6">
        <v>0.08433333333333334</v>
      </c>
      <c r="E3005" s="6" t="s">
        <v>88</v>
      </c>
      <c r="F3005" s="6" t="s">
        <v>51</v>
      </c>
      <c r="G3005" s="7">
        <v>45814.12048649801</v>
      </c>
      <c r="H3005" s="6">
        <v>3863.657494361333</v>
      </c>
      <c r="I3005" s="6" t="s">
        <v>180</v>
      </c>
      <c r="J3005" s="15">
        <v>10.39344943888626</v>
      </c>
    </row>
    <row r="3006" spans="1:10">
      <c r="A3006" s="6" t="s">
        <v>141</v>
      </c>
      <c r="B3006" s="6" t="s">
        <v>92</v>
      </c>
      <c r="C3006" s="6" t="s">
        <v>238</v>
      </c>
      <c r="D3006" s="6">
        <v>0.002833333333333333</v>
      </c>
      <c r="E3006" s="6" t="s">
        <v>88</v>
      </c>
      <c r="F3006" s="6" t="s">
        <v>51</v>
      </c>
      <c r="G3006" s="7">
        <v>51984.33495522587</v>
      </c>
      <c r="H3006" s="6">
        <v>147.2889490398066</v>
      </c>
      <c r="I3006" s="6" t="s">
        <v>180</v>
      </c>
      <c r="J3006" s="15">
        <v>12.70372001798148</v>
      </c>
    </row>
    <row r="3007" spans="1:10">
      <c r="A3007" s="6" t="s">
        <v>141</v>
      </c>
      <c r="B3007" s="6" t="s">
        <v>92</v>
      </c>
      <c r="C3007" s="6" t="s">
        <v>368</v>
      </c>
      <c r="D3007" s="6">
        <v>4.3285</v>
      </c>
      <c r="E3007" s="6" t="s">
        <v>44</v>
      </c>
      <c r="F3007" s="6" t="s">
        <v>55</v>
      </c>
      <c r="G3007" s="7">
        <v>43717.6088593299</v>
      </c>
      <c r="H3007" s="6">
        <v>189231.6699476095</v>
      </c>
      <c r="I3007" s="6" t="s">
        <v>179</v>
      </c>
      <c r="J3007" s="15">
        <v>15</v>
      </c>
    </row>
    <row r="3008" spans="1:10">
      <c r="A3008" s="6" t="s">
        <v>141</v>
      </c>
      <c r="B3008" s="6" t="s">
        <v>92</v>
      </c>
      <c r="C3008" s="6" t="s">
        <v>368</v>
      </c>
      <c r="D3008" s="6">
        <v>0.6507500000000001</v>
      </c>
      <c r="E3008" s="6" t="s">
        <v>86</v>
      </c>
      <c r="F3008" s="6" t="s">
        <v>55</v>
      </c>
      <c r="G3008" s="7">
        <v>43717.6088593299</v>
      </c>
      <c r="H3008" s="6">
        <v>28449.23396520894</v>
      </c>
      <c r="I3008" s="6" t="s">
        <v>179</v>
      </c>
      <c r="J3008" s="15">
        <v>15</v>
      </c>
    </row>
    <row r="3009" spans="1:10">
      <c r="A3009" s="6" t="s">
        <v>141</v>
      </c>
      <c r="B3009" s="6" t="s">
        <v>92</v>
      </c>
      <c r="C3009" s="6" t="s">
        <v>368</v>
      </c>
      <c r="D3009" s="6">
        <v>0.3261666666666667</v>
      </c>
      <c r="E3009" s="6" t="s">
        <v>88</v>
      </c>
      <c r="F3009" s="6" t="s">
        <v>55</v>
      </c>
      <c r="G3009" s="7">
        <v>43717.6088593299</v>
      </c>
      <c r="H3009" s="6">
        <v>14259.22675628477</v>
      </c>
      <c r="I3009" s="6" t="s">
        <v>179</v>
      </c>
      <c r="J3009" s="15">
        <v>15</v>
      </c>
    </row>
    <row r="3010" spans="1:10">
      <c r="A3010" s="6" t="s">
        <v>141</v>
      </c>
      <c r="B3010" s="6" t="s">
        <v>92</v>
      </c>
      <c r="C3010" s="6" t="s">
        <v>368</v>
      </c>
      <c r="D3010" s="6">
        <v>0.39225</v>
      </c>
      <c r="E3010" s="6" t="s">
        <v>90</v>
      </c>
      <c r="F3010" s="6" t="s">
        <v>55</v>
      </c>
      <c r="G3010" s="7">
        <v>43717.6088593299</v>
      </c>
      <c r="H3010" s="6">
        <v>17148.23207507215</v>
      </c>
      <c r="I3010" s="6" t="s">
        <v>179</v>
      </c>
      <c r="J3010" s="15">
        <v>15</v>
      </c>
    </row>
    <row r="3011" spans="1:10">
      <c r="A3011" s="6" t="s">
        <v>141</v>
      </c>
      <c r="B3011" s="6" t="s">
        <v>92</v>
      </c>
      <c r="C3011" s="6" t="s">
        <v>240</v>
      </c>
      <c r="D3011" s="6">
        <v>0.0001912692803650251</v>
      </c>
      <c r="E3011" s="6" t="s">
        <v>44</v>
      </c>
      <c r="F3011" s="6" t="s">
        <v>51</v>
      </c>
      <c r="G3011" s="7">
        <v>42218.72021108094</v>
      </c>
      <c r="H3011" s="6">
        <v>8.075144232705792</v>
      </c>
      <c r="I3011" s="6" t="s">
        <v>180</v>
      </c>
      <c r="J3011" s="15">
        <v>9.04724866767069</v>
      </c>
    </row>
    <row r="3012" spans="1:10">
      <c r="A3012" s="6" t="s">
        <v>141</v>
      </c>
      <c r="B3012" s="6" t="s">
        <v>92</v>
      </c>
      <c r="C3012" s="6" t="s">
        <v>240</v>
      </c>
      <c r="D3012" s="6">
        <v>0.03564206405296831</v>
      </c>
      <c r="E3012" s="6" t="s">
        <v>86</v>
      </c>
      <c r="F3012" s="6" t="s">
        <v>51</v>
      </c>
      <c r="G3012" s="7">
        <v>42218.72021108094</v>
      </c>
      <c r="H3012" s="6">
        <v>1504.762329997695</v>
      </c>
      <c r="I3012" s="6" t="s">
        <v>180</v>
      </c>
      <c r="J3012" s="15">
        <v>9.04724866767069</v>
      </c>
    </row>
    <row r="3013" spans="1:10">
      <c r="A3013" s="6" t="s">
        <v>141</v>
      </c>
      <c r="B3013" s="6" t="s">
        <v>92</v>
      </c>
      <c r="C3013" s="6" t="s">
        <v>240</v>
      </c>
      <c r="D3013" s="6">
        <v>0.04983333333333334</v>
      </c>
      <c r="E3013" s="6" t="s">
        <v>88</v>
      </c>
      <c r="F3013" s="6" t="s">
        <v>51</v>
      </c>
      <c r="G3013" s="7">
        <v>42218.72021108094</v>
      </c>
      <c r="H3013" s="6">
        <v>2103.899557185534</v>
      </c>
      <c r="I3013" s="6" t="s">
        <v>180</v>
      </c>
      <c r="J3013" s="15">
        <v>9.04724866767069</v>
      </c>
    </row>
    <row r="3014" spans="1:10">
      <c r="A3014" s="6" t="s">
        <v>141</v>
      </c>
      <c r="B3014" s="6" t="s">
        <v>92</v>
      </c>
      <c r="C3014" s="6" t="s">
        <v>241</v>
      </c>
      <c r="D3014" s="6">
        <v>0.002833333333333334</v>
      </c>
      <c r="E3014" s="6" t="s">
        <v>88</v>
      </c>
      <c r="F3014" s="6" t="s">
        <v>53</v>
      </c>
      <c r="G3014" s="7">
        <v>52223.82604068523</v>
      </c>
      <c r="H3014" s="6">
        <v>147.9675071152749</v>
      </c>
      <c r="I3014" s="6" t="s">
        <v>180</v>
      </c>
      <c r="J3014" s="15">
        <v>12.79339100291993</v>
      </c>
    </row>
    <row r="3015" spans="1:10">
      <c r="A3015" s="6" t="s">
        <v>141</v>
      </c>
      <c r="B3015" s="6" t="s">
        <v>92</v>
      </c>
      <c r="C3015" s="6" t="s">
        <v>243</v>
      </c>
      <c r="D3015" s="6">
        <v>0.009416666666666667</v>
      </c>
      <c r="E3015" s="6" t="s">
        <v>88</v>
      </c>
      <c r="F3015" s="6" t="s">
        <v>58</v>
      </c>
      <c r="G3015" s="7">
        <v>50145.16283380362</v>
      </c>
      <c r="H3015" s="6">
        <v>472.2002833516507</v>
      </c>
      <c r="I3015" s="6" t="s">
        <v>180</v>
      </c>
      <c r="J3015" s="15">
        <v>12.01509156534846</v>
      </c>
    </row>
    <row r="3016" spans="1:10">
      <c r="A3016" s="6" t="s">
        <v>141</v>
      </c>
      <c r="B3016" s="6" t="s">
        <v>92</v>
      </c>
      <c r="C3016" s="6" t="s">
        <v>369</v>
      </c>
      <c r="D3016" s="6">
        <v>5.792583333333333</v>
      </c>
      <c r="E3016" s="6" t="s">
        <v>44</v>
      </c>
      <c r="F3016" s="6" t="s">
        <v>55</v>
      </c>
      <c r="G3016" s="7">
        <v>40825.70263339478</v>
      </c>
      <c r="H3016" s="6">
        <v>236486.2846458254</v>
      </c>
      <c r="I3016" s="6" t="s">
        <v>179</v>
      </c>
      <c r="J3016" s="15">
        <v>15.5</v>
      </c>
    </row>
    <row r="3017" spans="1:10">
      <c r="A3017" s="6" t="s">
        <v>141</v>
      </c>
      <c r="B3017" s="6" t="s">
        <v>92</v>
      </c>
      <c r="C3017" s="6" t="s">
        <v>369</v>
      </c>
      <c r="D3017" s="6">
        <v>1.146</v>
      </c>
      <c r="E3017" s="6" t="s">
        <v>86</v>
      </c>
      <c r="F3017" s="6" t="s">
        <v>55</v>
      </c>
      <c r="G3017" s="7">
        <v>40825.70263339478</v>
      </c>
      <c r="H3017" s="6">
        <v>46786.25521787042</v>
      </c>
      <c r="I3017" s="6" t="s">
        <v>179</v>
      </c>
      <c r="J3017" s="15">
        <v>15.5</v>
      </c>
    </row>
    <row r="3018" spans="1:10">
      <c r="A3018" s="6" t="s">
        <v>141</v>
      </c>
      <c r="B3018" s="6" t="s">
        <v>92</v>
      </c>
      <c r="C3018" s="6" t="s">
        <v>369</v>
      </c>
      <c r="D3018" s="6">
        <v>0.7195</v>
      </c>
      <c r="E3018" s="6" t="s">
        <v>88</v>
      </c>
      <c r="F3018" s="6" t="s">
        <v>55</v>
      </c>
      <c r="G3018" s="7">
        <v>40825.70263339478</v>
      </c>
      <c r="H3018" s="6">
        <v>29374.09304472755</v>
      </c>
      <c r="I3018" s="6" t="s">
        <v>179</v>
      </c>
      <c r="J3018" s="15">
        <v>15.5</v>
      </c>
    </row>
    <row r="3019" spans="1:10">
      <c r="A3019" s="6" t="s">
        <v>141</v>
      </c>
      <c r="B3019" s="6" t="s">
        <v>92</v>
      </c>
      <c r="C3019" s="6" t="s">
        <v>369</v>
      </c>
      <c r="D3019" s="6">
        <v>0.8271666666666667</v>
      </c>
      <c r="E3019" s="6" t="s">
        <v>90</v>
      </c>
      <c r="F3019" s="6" t="s">
        <v>55</v>
      </c>
      <c r="G3019" s="7">
        <v>40825.70263339478</v>
      </c>
      <c r="H3019" s="6">
        <v>33769.66036158972</v>
      </c>
      <c r="I3019" s="6" t="s">
        <v>179</v>
      </c>
      <c r="J3019" s="15">
        <v>15.5</v>
      </c>
    </row>
    <row r="3020" spans="1:10">
      <c r="A3020" s="6" t="s">
        <v>141</v>
      </c>
      <c r="B3020" s="6" t="s">
        <v>92</v>
      </c>
      <c r="C3020" s="6" t="s">
        <v>244</v>
      </c>
      <c r="D3020" s="6">
        <v>47.24128369208214</v>
      </c>
      <c r="E3020" s="6" t="s">
        <v>44</v>
      </c>
      <c r="F3020" s="6" t="s">
        <v>55</v>
      </c>
      <c r="G3020" s="7">
        <v>48892.00333862133</v>
      </c>
      <c r="H3020" s="6">
        <v>2309720.999994037</v>
      </c>
      <c r="I3020" s="6" t="s">
        <v>179</v>
      </c>
      <c r="J3020" s="15">
        <v>17</v>
      </c>
    </row>
    <row r="3021" spans="1:10">
      <c r="A3021" s="6" t="s">
        <v>141</v>
      </c>
      <c r="B3021" s="6" t="s">
        <v>92</v>
      </c>
      <c r="C3021" s="6" t="s">
        <v>244</v>
      </c>
      <c r="D3021" s="6">
        <v>9.606861901699412</v>
      </c>
      <c r="E3021" s="6" t="s">
        <v>86</v>
      </c>
      <c r="F3021" s="6" t="s">
        <v>55</v>
      </c>
      <c r="G3021" s="7">
        <v>48892.00333862133</v>
      </c>
      <c r="H3021" s="6">
        <v>469698.7241715617</v>
      </c>
      <c r="I3021" s="6" t="s">
        <v>179</v>
      </c>
      <c r="J3021" s="15">
        <v>17</v>
      </c>
    </row>
    <row r="3022" spans="1:10">
      <c r="A3022" s="6" t="s">
        <v>141</v>
      </c>
      <c r="B3022" s="6" t="s">
        <v>92</v>
      </c>
      <c r="C3022" s="6" t="s">
        <v>244</v>
      </c>
      <c r="D3022" s="6">
        <v>4.119083333333333</v>
      </c>
      <c r="E3022" s="6" t="s">
        <v>88</v>
      </c>
      <c r="F3022" s="6" t="s">
        <v>55</v>
      </c>
      <c r="G3022" s="7">
        <v>48892.00333862133</v>
      </c>
      <c r="H3022" s="6">
        <v>201390.2360853928</v>
      </c>
      <c r="I3022" s="6" t="s">
        <v>179</v>
      </c>
      <c r="J3022" s="15">
        <v>17</v>
      </c>
    </row>
    <row r="3023" spans="1:10">
      <c r="A3023" s="6" t="s">
        <v>141</v>
      </c>
      <c r="B3023" s="6" t="s">
        <v>92</v>
      </c>
      <c r="C3023" s="6" t="s">
        <v>244</v>
      </c>
      <c r="D3023" s="6">
        <v>4.345122955559974</v>
      </c>
      <c r="E3023" s="6" t="s">
        <v>90</v>
      </c>
      <c r="F3023" s="6" t="s">
        <v>55</v>
      </c>
      <c r="G3023" s="7">
        <v>48892.00333862133</v>
      </c>
      <c r="H3023" s="6">
        <v>212441.7660499584</v>
      </c>
      <c r="I3023" s="6" t="s">
        <v>179</v>
      </c>
      <c r="J3023" s="15">
        <v>17</v>
      </c>
    </row>
    <row r="3024" spans="1:10">
      <c r="A3024" s="6" t="s">
        <v>141</v>
      </c>
      <c r="B3024" s="6" t="s">
        <v>92</v>
      </c>
      <c r="C3024" s="6" t="s">
        <v>245</v>
      </c>
      <c r="D3024" s="6">
        <v>5.935995247701069</v>
      </c>
      <c r="E3024" s="6" t="s">
        <v>44</v>
      </c>
      <c r="F3024" s="6" t="s">
        <v>53</v>
      </c>
      <c r="G3024" s="7">
        <v>55652.01866398296</v>
      </c>
      <c r="H3024" s="6">
        <v>330350.1183143741</v>
      </c>
      <c r="I3024" s="6" t="s">
        <v>179</v>
      </c>
      <c r="J3024" s="15">
        <v>39</v>
      </c>
    </row>
    <row r="3025" spans="1:10">
      <c r="A3025" s="6" t="s">
        <v>141</v>
      </c>
      <c r="B3025" s="6" t="s">
        <v>92</v>
      </c>
      <c r="C3025" s="6" t="s">
        <v>245</v>
      </c>
      <c r="D3025" s="6">
        <v>1.907088085632264</v>
      </c>
      <c r="E3025" s="6" t="s">
        <v>86</v>
      </c>
      <c r="F3025" s="6" t="s">
        <v>53</v>
      </c>
      <c r="G3025" s="7">
        <v>55652.01866398296</v>
      </c>
      <c r="H3025" s="6">
        <v>106133.3017354663</v>
      </c>
      <c r="I3025" s="6" t="s">
        <v>179</v>
      </c>
      <c r="J3025" s="15">
        <v>39</v>
      </c>
    </row>
    <row r="3026" spans="1:10">
      <c r="A3026" s="6" t="s">
        <v>141</v>
      </c>
      <c r="B3026" s="6" t="s">
        <v>92</v>
      </c>
      <c r="C3026" s="6" t="s">
        <v>245</v>
      </c>
      <c r="D3026" s="6">
        <v>73.10708333333334</v>
      </c>
      <c r="E3026" s="6" t="s">
        <v>88</v>
      </c>
      <c r="F3026" s="6" t="s">
        <v>53</v>
      </c>
      <c r="G3026" s="7">
        <v>55652.01866398296</v>
      </c>
      <c r="H3026" s="6">
        <v>4068556.766136025</v>
      </c>
      <c r="I3026" s="6" t="s">
        <v>179</v>
      </c>
      <c r="J3026" s="15">
        <v>39</v>
      </c>
    </row>
    <row r="3027" spans="1:10">
      <c r="A3027" s="6" t="s">
        <v>141</v>
      </c>
      <c r="B3027" s="6" t="s">
        <v>92</v>
      </c>
      <c r="C3027" s="6" t="s">
        <v>246</v>
      </c>
      <c r="D3027" s="6">
        <v>0.003833333333333333</v>
      </c>
      <c r="E3027" s="6" t="s">
        <v>88</v>
      </c>
      <c r="F3027" s="6" t="s">
        <v>53</v>
      </c>
      <c r="G3027" s="7">
        <v>52060.28389589844</v>
      </c>
      <c r="H3027" s="6">
        <v>199.564421600944</v>
      </c>
      <c r="I3027" s="6" t="s">
        <v>180</v>
      </c>
      <c r="J3027" s="15">
        <v>12.73215705271319</v>
      </c>
    </row>
    <row r="3028" spans="1:10">
      <c r="A3028" s="6" t="s">
        <v>141</v>
      </c>
      <c r="B3028" s="6" t="s">
        <v>92</v>
      </c>
      <c r="C3028" s="6" t="s">
        <v>348</v>
      </c>
      <c r="D3028" s="6">
        <v>0.475</v>
      </c>
      <c r="E3028" s="6" t="s">
        <v>86</v>
      </c>
      <c r="F3028" s="6" t="s">
        <v>52</v>
      </c>
      <c r="G3028" s="7">
        <v>122789.8974371178</v>
      </c>
      <c r="H3028" s="6">
        <v>58325.20128263094</v>
      </c>
      <c r="I3028" s="6" t="s">
        <v>179</v>
      </c>
      <c r="J3028" s="15">
        <v>51</v>
      </c>
    </row>
    <row r="3029" spans="1:10">
      <c r="A3029" s="6" t="s">
        <v>141</v>
      </c>
      <c r="B3029" s="6" t="s">
        <v>92</v>
      </c>
      <c r="C3029" s="6" t="s">
        <v>348</v>
      </c>
      <c r="D3029" s="6">
        <v>17.03458333333333</v>
      </c>
      <c r="E3029" s="6" t="s">
        <v>88</v>
      </c>
      <c r="F3029" s="6" t="s">
        <v>52</v>
      </c>
      <c r="G3029" s="7">
        <v>122789.8974371178</v>
      </c>
      <c r="H3029" s="6">
        <v>2091674.740384036</v>
      </c>
      <c r="I3029" s="6" t="s">
        <v>179</v>
      </c>
      <c r="J3029" s="15">
        <v>51</v>
      </c>
    </row>
    <row r="3030" spans="1:10">
      <c r="A3030" s="6" t="s">
        <v>141</v>
      </c>
      <c r="B3030" s="6" t="s">
        <v>92</v>
      </c>
      <c r="C3030" s="6" t="s">
        <v>247</v>
      </c>
      <c r="D3030" s="6">
        <v>12.56037206189587</v>
      </c>
      <c r="E3030" s="6" t="s">
        <v>44</v>
      </c>
      <c r="F3030" s="6" t="s">
        <v>51</v>
      </c>
      <c r="G3030" s="7">
        <v>46237.23227272295</v>
      </c>
      <c r="H3030" s="6">
        <v>580756.8404576994</v>
      </c>
      <c r="I3030" s="6" t="s">
        <v>179</v>
      </c>
      <c r="J3030" s="15">
        <v>29.3</v>
      </c>
    </row>
    <row r="3031" spans="1:10">
      <c r="A3031" s="6" t="s">
        <v>141</v>
      </c>
      <c r="B3031" s="6" t="s">
        <v>92</v>
      </c>
      <c r="C3031" s="6" t="s">
        <v>247</v>
      </c>
      <c r="D3031" s="6">
        <v>4.387088491780546</v>
      </c>
      <c r="E3031" s="6" t="s">
        <v>86</v>
      </c>
      <c r="F3031" s="6" t="s">
        <v>51</v>
      </c>
      <c r="G3031" s="7">
        <v>46237.23227272295</v>
      </c>
      <c r="H3031" s="6">
        <v>202846.8295954469</v>
      </c>
      <c r="I3031" s="6" t="s">
        <v>179</v>
      </c>
      <c r="J3031" s="15">
        <v>29.3</v>
      </c>
    </row>
    <row r="3032" spans="1:10">
      <c r="A3032" s="6" t="s">
        <v>141</v>
      </c>
      <c r="B3032" s="6" t="s">
        <v>92</v>
      </c>
      <c r="C3032" s="6" t="s">
        <v>247</v>
      </c>
      <c r="D3032" s="6">
        <v>61.84141666666667</v>
      </c>
      <c r="E3032" s="6" t="s">
        <v>88</v>
      </c>
      <c r="F3032" s="6" t="s">
        <v>51</v>
      </c>
      <c r="G3032" s="7">
        <v>46237.23227272295</v>
      </c>
      <c r="H3032" s="6">
        <v>2859375.946490907</v>
      </c>
      <c r="I3032" s="6" t="s">
        <v>179</v>
      </c>
      <c r="J3032" s="15">
        <v>29.3</v>
      </c>
    </row>
    <row r="3033" spans="1:10">
      <c r="A3033" s="6" t="s">
        <v>141</v>
      </c>
      <c r="B3033" s="6" t="s">
        <v>92</v>
      </c>
      <c r="C3033" s="6" t="s">
        <v>247</v>
      </c>
      <c r="D3033" s="6">
        <v>0.004672054458823802</v>
      </c>
      <c r="E3033" s="6" t="s">
        <v>90</v>
      </c>
      <c r="F3033" s="6" t="s">
        <v>51</v>
      </c>
      <c r="G3033" s="7">
        <v>46237.23227272295</v>
      </c>
      <c r="H3033" s="6">
        <v>216.022867203447</v>
      </c>
      <c r="I3033" s="6" t="s">
        <v>179</v>
      </c>
      <c r="J3033" s="15">
        <v>29.3</v>
      </c>
    </row>
    <row r="3034" spans="1:10">
      <c r="A3034" s="6" t="s">
        <v>141</v>
      </c>
      <c r="B3034" s="6" t="s">
        <v>92</v>
      </c>
      <c r="C3034" s="6" t="s">
        <v>248</v>
      </c>
      <c r="D3034" s="6">
        <v>120.6848115524858</v>
      </c>
      <c r="E3034" s="6" t="s">
        <v>44</v>
      </c>
      <c r="F3034" s="6" t="s">
        <v>55</v>
      </c>
      <c r="G3034" s="7">
        <v>58404.33083392808</v>
      </c>
      <c r="H3034" s="6">
        <v>7048515.660541645</v>
      </c>
      <c r="I3034" s="6" t="s">
        <v>179</v>
      </c>
      <c r="J3034" s="15">
        <v>49.38333333333333</v>
      </c>
    </row>
    <row r="3035" spans="1:10">
      <c r="A3035" s="6" t="s">
        <v>141</v>
      </c>
      <c r="B3035" s="6" t="s">
        <v>92</v>
      </c>
      <c r="C3035" s="6" t="s">
        <v>248</v>
      </c>
      <c r="D3035" s="6">
        <v>21.7227017804211</v>
      </c>
      <c r="E3035" s="6" t="s">
        <v>86</v>
      </c>
      <c r="F3035" s="6" t="s">
        <v>55</v>
      </c>
      <c r="G3035" s="7">
        <v>58404.33083392808</v>
      </c>
      <c r="H3035" s="6">
        <v>1268699.861390472</v>
      </c>
      <c r="I3035" s="6" t="s">
        <v>179</v>
      </c>
      <c r="J3035" s="15">
        <v>49.38333333333333</v>
      </c>
    </row>
    <row r="3036" spans="1:10">
      <c r="A3036" s="6" t="s">
        <v>141</v>
      </c>
      <c r="B3036" s="6" t="s">
        <v>92</v>
      </c>
      <c r="C3036" s="6" t="s">
        <v>248</v>
      </c>
      <c r="D3036" s="6">
        <v>17.42441666666667</v>
      </c>
      <c r="E3036" s="6" t="s">
        <v>88</v>
      </c>
      <c r="F3036" s="6" t="s">
        <v>55</v>
      </c>
      <c r="G3036" s="7">
        <v>58404.33083392808</v>
      </c>
      <c r="H3036" s="6">
        <v>1017661.39558821</v>
      </c>
      <c r="I3036" s="6" t="s">
        <v>179</v>
      </c>
      <c r="J3036" s="15">
        <v>49.38333333333333</v>
      </c>
    </row>
    <row r="3037" spans="1:10">
      <c r="A3037" s="6" t="s">
        <v>141</v>
      </c>
      <c r="B3037" s="6" t="s">
        <v>92</v>
      </c>
      <c r="C3037" s="6" t="s">
        <v>248</v>
      </c>
      <c r="D3037" s="6">
        <v>13.02929434051683</v>
      </c>
      <c r="E3037" s="6" t="s">
        <v>90</v>
      </c>
      <c r="F3037" s="6" t="s">
        <v>55</v>
      </c>
      <c r="G3037" s="7">
        <v>58404.33083392808</v>
      </c>
      <c r="H3037" s="6">
        <v>760967.2171961714</v>
      </c>
      <c r="I3037" s="6" t="s">
        <v>179</v>
      </c>
      <c r="J3037" s="15">
        <v>49.38333333333333</v>
      </c>
    </row>
    <row r="3038" spans="1:10">
      <c r="A3038" s="6" t="s">
        <v>141</v>
      </c>
      <c r="B3038" s="6" t="s">
        <v>92</v>
      </c>
      <c r="C3038" s="6" t="s">
        <v>249</v>
      </c>
      <c r="D3038" s="6">
        <v>6.144027998424963</v>
      </c>
      <c r="E3038" s="6" t="s">
        <v>44</v>
      </c>
      <c r="F3038" s="6" t="s">
        <v>53</v>
      </c>
      <c r="G3038" s="7">
        <v>38542.7817237839</v>
      </c>
      <c r="H3038" s="6">
        <v>236807.9300481103</v>
      </c>
      <c r="I3038" s="6" t="s">
        <v>179</v>
      </c>
      <c r="J3038" s="15">
        <v>47.575</v>
      </c>
    </row>
    <row r="3039" spans="1:10">
      <c r="A3039" s="6" t="s">
        <v>141</v>
      </c>
      <c r="B3039" s="6" t="s">
        <v>92</v>
      </c>
      <c r="C3039" s="6" t="s">
        <v>249</v>
      </c>
      <c r="D3039" s="6">
        <v>2.189682733858265</v>
      </c>
      <c r="E3039" s="6" t="s">
        <v>86</v>
      </c>
      <c r="F3039" s="6" t="s">
        <v>53</v>
      </c>
      <c r="G3039" s="7">
        <v>38542.7817237839</v>
      </c>
      <c r="H3039" s="6">
        <v>84396.4636554375</v>
      </c>
      <c r="I3039" s="6" t="s">
        <v>179</v>
      </c>
      <c r="J3039" s="15">
        <v>47.575</v>
      </c>
    </row>
    <row r="3040" spans="1:10">
      <c r="A3040" s="6" t="s">
        <v>141</v>
      </c>
      <c r="B3040" s="6" t="s">
        <v>92</v>
      </c>
      <c r="C3040" s="6" t="s">
        <v>249</v>
      </c>
      <c r="D3040" s="6">
        <v>108.814</v>
      </c>
      <c r="E3040" s="6" t="s">
        <v>88</v>
      </c>
      <c r="F3040" s="6" t="s">
        <v>53</v>
      </c>
      <c r="G3040" s="7">
        <v>38542.7817237839</v>
      </c>
      <c r="H3040" s="6">
        <v>4193994.250491821</v>
      </c>
      <c r="I3040" s="6" t="s">
        <v>179</v>
      </c>
      <c r="J3040" s="15">
        <v>47.575</v>
      </c>
    </row>
    <row r="3041" spans="1:10">
      <c r="A3041" s="6" t="s">
        <v>141</v>
      </c>
      <c r="B3041" s="6" t="s">
        <v>92</v>
      </c>
      <c r="C3041" s="6" t="s">
        <v>249</v>
      </c>
      <c r="D3041" s="6">
        <v>0.01695042537382056</v>
      </c>
      <c r="E3041" s="6" t="s">
        <v>90</v>
      </c>
      <c r="F3041" s="6" t="s">
        <v>53</v>
      </c>
      <c r="G3041" s="7">
        <v>38542.7817237839</v>
      </c>
      <c r="H3041" s="6">
        <v>653.316545308454</v>
      </c>
      <c r="I3041" s="6" t="s">
        <v>179</v>
      </c>
      <c r="J3041" s="15">
        <v>47.575</v>
      </c>
    </row>
    <row r="3042" spans="1:10">
      <c r="A3042" s="6" t="s">
        <v>141</v>
      </c>
      <c r="B3042" s="6" t="s">
        <v>92</v>
      </c>
      <c r="C3042" s="6" t="s">
        <v>250</v>
      </c>
      <c r="D3042" s="6">
        <v>43.2769163764603</v>
      </c>
      <c r="E3042" s="6" t="s">
        <v>44</v>
      </c>
      <c r="F3042" s="6" t="s">
        <v>55</v>
      </c>
      <c r="G3042" s="7">
        <v>37321.61329653078</v>
      </c>
      <c r="H3042" s="6">
        <v>1615164.337668551</v>
      </c>
      <c r="I3042" s="6" t="s">
        <v>179</v>
      </c>
      <c r="J3042" s="15">
        <v>15</v>
      </c>
    </row>
    <row r="3043" spans="1:10">
      <c r="A3043" s="6" t="s">
        <v>141</v>
      </c>
      <c r="B3043" s="6" t="s">
        <v>92</v>
      </c>
      <c r="C3043" s="6" t="s">
        <v>250</v>
      </c>
      <c r="D3043" s="6">
        <v>8.11815743242826</v>
      </c>
      <c r="E3043" s="6" t="s">
        <v>86</v>
      </c>
      <c r="F3043" s="6" t="s">
        <v>55</v>
      </c>
      <c r="G3043" s="7">
        <v>37321.61329653078</v>
      </c>
      <c r="H3043" s="6">
        <v>302982.7323734447</v>
      </c>
      <c r="I3043" s="6" t="s">
        <v>179</v>
      </c>
      <c r="J3043" s="15">
        <v>15</v>
      </c>
    </row>
    <row r="3044" spans="1:10">
      <c r="A3044" s="6" t="s">
        <v>141</v>
      </c>
      <c r="B3044" s="6" t="s">
        <v>92</v>
      </c>
      <c r="C3044" s="6" t="s">
        <v>250</v>
      </c>
      <c r="D3044" s="6">
        <v>2.644833333333333</v>
      </c>
      <c r="E3044" s="6" t="s">
        <v>88</v>
      </c>
      <c r="F3044" s="6" t="s">
        <v>55</v>
      </c>
      <c r="G3044" s="7">
        <v>37321.61329653078</v>
      </c>
      <c r="H3044" s="6">
        <v>98709.44690044114</v>
      </c>
      <c r="I3044" s="6" t="s">
        <v>179</v>
      </c>
      <c r="J3044" s="15">
        <v>15</v>
      </c>
    </row>
    <row r="3045" spans="1:10">
      <c r="A3045" s="6" t="s">
        <v>141</v>
      </c>
      <c r="B3045" s="6" t="s">
        <v>92</v>
      </c>
      <c r="C3045" s="6" t="s">
        <v>250</v>
      </c>
      <c r="D3045" s="6">
        <v>2.92068659987202</v>
      </c>
      <c r="E3045" s="6" t="s">
        <v>90</v>
      </c>
      <c r="F3045" s="6" t="s">
        <v>55</v>
      </c>
      <c r="G3045" s="7">
        <v>37321.61329653078</v>
      </c>
      <c r="H3045" s="6">
        <v>109004.7358407829</v>
      </c>
      <c r="I3045" s="6" t="s">
        <v>179</v>
      </c>
      <c r="J3045" s="15">
        <v>15</v>
      </c>
    </row>
    <row r="3046" spans="1:10">
      <c r="A3046" s="6" t="s">
        <v>141</v>
      </c>
      <c r="B3046" s="6" t="s">
        <v>92</v>
      </c>
      <c r="C3046" s="6" t="s">
        <v>251</v>
      </c>
      <c r="D3046" s="6">
        <v>0.07233333333333333</v>
      </c>
      <c r="E3046" s="6" t="s">
        <v>88</v>
      </c>
      <c r="F3046" s="6" t="s">
        <v>53</v>
      </c>
      <c r="G3046" s="7">
        <v>49502.3667901282</v>
      </c>
      <c r="H3046" s="6">
        <v>3580.671197819273</v>
      </c>
      <c r="I3046" s="6" t="s">
        <v>180</v>
      </c>
      <c r="J3046" s="15">
        <v>11.77441390404695</v>
      </c>
    </row>
    <row r="3047" spans="1:10">
      <c r="A3047" s="6" t="s">
        <v>141</v>
      </c>
      <c r="B3047" s="6" t="s">
        <v>92</v>
      </c>
      <c r="C3047" s="6" t="s">
        <v>252</v>
      </c>
      <c r="D3047" s="6">
        <v>0.007166666666666667</v>
      </c>
      <c r="E3047" s="6" t="s">
        <v>86</v>
      </c>
      <c r="F3047" s="6" t="s">
        <v>57</v>
      </c>
      <c r="G3047" s="7">
        <v>48993.49682082658</v>
      </c>
      <c r="H3047" s="6">
        <v>351.1200605492571</v>
      </c>
      <c r="I3047" s="6" t="s">
        <v>180</v>
      </c>
      <c r="J3047" s="15">
        <v>11.58388125325807</v>
      </c>
    </row>
    <row r="3048" spans="1:10">
      <c r="A3048" s="6" t="s">
        <v>141</v>
      </c>
      <c r="B3048" s="6" t="s">
        <v>92</v>
      </c>
      <c r="C3048" s="6" t="s">
        <v>252</v>
      </c>
      <c r="D3048" s="6">
        <v>0.02725</v>
      </c>
      <c r="E3048" s="6" t="s">
        <v>88</v>
      </c>
      <c r="F3048" s="6" t="s">
        <v>57</v>
      </c>
      <c r="G3048" s="7">
        <v>48993.49682082658</v>
      </c>
      <c r="H3048" s="6">
        <v>1335.072788367524</v>
      </c>
      <c r="I3048" s="6" t="s">
        <v>180</v>
      </c>
      <c r="J3048" s="15">
        <v>11.58388125325807</v>
      </c>
    </row>
    <row r="3049" spans="1:10">
      <c r="A3049" s="6" t="s">
        <v>141</v>
      </c>
      <c r="B3049" s="6" t="s">
        <v>92</v>
      </c>
      <c r="C3049" s="6" t="s">
        <v>253</v>
      </c>
      <c r="D3049" s="6">
        <v>0.01375</v>
      </c>
      <c r="E3049" s="6" t="s">
        <v>88</v>
      </c>
      <c r="F3049" s="6" t="s">
        <v>53</v>
      </c>
      <c r="G3049" s="7">
        <v>49900.32874056988</v>
      </c>
      <c r="H3049" s="6">
        <v>686.1295201828358</v>
      </c>
      <c r="I3049" s="6" t="s">
        <v>180</v>
      </c>
      <c r="J3049" s="15">
        <v>11.92342003509223</v>
      </c>
    </row>
    <row r="3050" spans="1:10">
      <c r="A3050" s="6" t="s">
        <v>141</v>
      </c>
      <c r="B3050" s="6" t="s">
        <v>92</v>
      </c>
      <c r="C3050" s="6" t="s">
        <v>254</v>
      </c>
      <c r="D3050" s="6">
        <v>0.003583333333333333</v>
      </c>
      <c r="E3050" s="6" t="s">
        <v>86</v>
      </c>
      <c r="F3050" s="6" t="s">
        <v>51</v>
      </c>
      <c r="G3050" s="7">
        <v>46071.76246643075</v>
      </c>
      <c r="H3050" s="6">
        <v>165.0904821713769</v>
      </c>
      <c r="I3050" s="6" t="s">
        <v>180</v>
      </c>
      <c r="J3050" s="15">
        <v>10.48991653726593</v>
      </c>
    </row>
    <row r="3051" spans="1:10">
      <c r="A3051" s="6" t="s">
        <v>141</v>
      </c>
      <c r="B3051" s="6" t="s">
        <v>92</v>
      </c>
      <c r="C3051" s="6" t="s">
        <v>254</v>
      </c>
      <c r="D3051" s="6">
        <v>0.003166666666666667</v>
      </c>
      <c r="E3051" s="6" t="s">
        <v>88</v>
      </c>
      <c r="F3051" s="6" t="s">
        <v>51</v>
      </c>
      <c r="G3051" s="7">
        <v>46071.76246643075</v>
      </c>
      <c r="H3051" s="6">
        <v>145.8939144770307</v>
      </c>
      <c r="I3051" s="6" t="s">
        <v>180</v>
      </c>
      <c r="J3051" s="15">
        <v>10.48991653726593</v>
      </c>
    </row>
    <row r="3052" spans="1:10">
      <c r="A3052" s="6" t="s">
        <v>141</v>
      </c>
      <c r="B3052" s="6" t="s">
        <v>92</v>
      </c>
      <c r="C3052" s="6" t="s">
        <v>259</v>
      </c>
      <c r="D3052" s="6">
        <v>18.15233333333333</v>
      </c>
      <c r="E3052" s="6" t="s">
        <v>88</v>
      </c>
      <c r="F3052" s="6" t="s">
        <v>56</v>
      </c>
      <c r="G3052" s="7">
        <v>79439.18458600363</v>
      </c>
      <c r="H3052" s="6">
        <v>1442006.558333333</v>
      </c>
      <c r="I3052" s="6" t="s">
        <v>179</v>
      </c>
      <c r="J3052" s="15">
        <v>47.91666666666666</v>
      </c>
    </row>
    <row r="3053" spans="1:10">
      <c r="A3053" s="6" t="s">
        <v>141</v>
      </c>
      <c r="B3053" s="6" t="s">
        <v>92</v>
      </c>
      <c r="C3053" s="6" t="s">
        <v>265</v>
      </c>
      <c r="D3053" s="6">
        <v>0.05166666666666667</v>
      </c>
      <c r="E3053" s="6" t="s">
        <v>88</v>
      </c>
      <c r="F3053" s="6" t="s">
        <v>54</v>
      </c>
      <c r="G3053" s="7">
        <v>90743.37559946225</v>
      </c>
      <c r="H3053" s="6">
        <v>4688.40773930555</v>
      </c>
      <c r="I3053" s="6" t="s">
        <v>180</v>
      </c>
      <c r="J3053" s="15">
        <v>27.21599859892306</v>
      </c>
    </row>
    <row r="3054" spans="1:10">
      <c r="A3054" s="6" t="s">
        <v>141</v>
      </c>
      <c r="B3054" s="6" t="s">
        <v>92</v>
      </c>
      <c r="C3054" s="6" t="s">
        <v>266</v>
      </c>
      <c r="D3054" s="6">
        <v>25.3383159502846</v>
      </c>
      <c r="E3054" s="6" t="s">
        <v>44</v>
      </c>
      <c r="F3054" s="6" t="s">
        <v>57</v>
      </c>
      <c r="G3054" s="7">
        <v>66010.94055680964</v>
      </c>
      <c r="H3054" s="6">
        <v>1672606.068003898</v>
      </c>
      <c r="I3054" s="6" t="s">
        <v>179</v>
      </c>
      <c r="J3054" s="15">
        <v>90.49166666666667</v>
      </c>
    </row>
    <row r="3055" spans="1:10">
      <c r="A3055" s="6" t="s">
        <v>141</v>
      </c>
      <c r="B3055" s="6" t="s">
        <v>92</v>
      </c>
      <c r="C3055" s="6" t="s">
        <v>266</v>
      </c>
      <c r="D3055" s="6">
        <v>3.201296452941469</v>
      </c>
      <c r="E3055" s="6" t="s">
        <v>86</v>
      </c>
      <c r="F3055" s="6" t="s">
        <v>57</v>
      </c>
      <c r="G3055" s="7">
        <v>66010.94055680964</v>
      </c>
      <c r="H3055" s="6">
        <v>211320.5898598449</v>
      </c>
      <c r="I3055" s="6" t="s">
        <v>179</v>
      </c>
      <c r="J3055" s="15">
        <v>90.49166666666667</v>
      </c>
    </row>
    <row r="3056" spans="1:10">
      <c r="A3056" s="6" t="s">
        <v>141</v>
      </c>
      <c r="B3056" s="6" t="s">
        <v>92</v>
      </c>
      <c r="C3056" s="6" t="s">
        <v>266</v>
      </c>
      <c r="D3056" s="6">
        <v>2.119083333333333</v>
      </c>
      <c r="E3056" s="6" t="s">
        <v>88</v>
      </c>
      <c r="F3056" s="6" t="s">
        <v>57</v>
      </c>
      <c r="G3056" s="7">
        <v>66010.94055680964</v>
      </c>
      <c r="H3056" s="6">
        <v>139882.6839515927</v>
      </c>
      <c r="I3056" s="6" t="s">
        <v>179</v>
      </c>
      <c r="J3056" s="15">
        <v>90.49166666666667</v>
      </c>
    </row>
    <row r="3057" spans="1:10">
      <c r="A3057" s="6" t="s">
        <v>141</v>
      </c>
      <c r="B3057" s="6" t="s">
        <v>92</v>
      </c>
      <c r="C3057" s="6" t="s">
        <v>266</v>
      </c>
      <c r="D3057" s="6">
        <v>1.764352689908571</v>
      </c>
      <c r="E3057" s="6" t="s">
        <v>90</v>
      </c>
      <c r="F3057" s="6" t="s">
        <v>57</v>
      </c>
      <c r="G3057" s="7">
        <v>66010.94055680964</v>
      </c>
      <c r="H3057" s="6">
        <v>116466.5805348019</v>
      </c>
      <c r="I3057" s="6" t="s">
        <v>179</v>
      </c>
      <c r="J3057" s="15">
        <v>90.49166666666667</v>
      </c>
    </row>
    <row r="3058" spans="1:10">
      <c r="A3058" s="6" t="s">
        <v>141</v>
      </c>
      <c r="B3058" s="6" t="s">
        <v>92</v>
      </c>
      <c r="C3058" s="6" t="s">
        <v>266</v>
      </c>
      <c r="D3058" s="6">
        <v>0.02533333333333333</v>
      </c>
      <c r="E3058" s="6" t="s">
        <v>92</v>
      </c>
      <c r="F3058" s="6" t="s">
        <v>57</v>
      </c>
      <c r="G3058" s="7">
        <v>66010.94055680964</v>
      </c>
      <c r="H3058" s="6">
        <v>1672.277160772511</v>
      </c>
      <c r="I3058" s="6" t="s">
        <v>179</v>
      </c>
      <c r="J3058" s="15">
        <v>90.49166666666667</v>
      </c>
    </row>
    <row r="3059" spans="1:10">
      <c r="A3059" s="6" t="s">
        <v>141</v>
      </c>
      <c r="B3059" s="6" t="s">
        <v>92</v>
      </c>
      <c r="C3059" s="6" t="s">
        <v>267</v>
      </c>
      <c r="D3059" s="6">
        <v>0.1943953756459486</v>
      </c>
      <c r="E3059" s="6" t="s">
        <v>44</v>
      </c>
      <c r="F3059" s="6" t="s">
        <v>53</v>
      </c>
      <c r="G3059" s="7">
        <v>48956.37381074637</v>
      </c>
      <c r="H3059" s="6">
        <v>9516.892677203521</v>
      </c>
      <c r="I3059" s="6" t="s">
        <v>179</v>
      </c>
      <c r="J3059" s="15">
        <v>31.05</v>
      </c>
    </row>
    <row r="3060" spans="1:10">
      <c r="A3060" s="6" t="s">
        <v>141</v>
      </c>
      <c r="B3060" s="6" t="s">
        <v>92</v>
      </c>
      <c r="C3060" s="6" t="s">
        <v>267</v>
      </c>
      <c r="D3060" s="6">
        <v>0.5944555485894421</v>
      </c>
      <c r="E3060" s="6" t="s">
        <v>86</v>
      </c>
      <c r="F3060" s="6" t="s">
        <v>53</v>
      </c>
      <c r="G3060" s="7">
        <v>48956.37381074637</v>
      </c>
      <c r="H3060" s="6">
        <v>29102.38805061703</v>
      </c>
      <c r="I3060" s="6" t="s">
        <v>179</v>
      </c>
      <c r="J3060" s="15">
        <v>31.05</v>
      </c>
    </row>
    <row r="3061" spans="1:10">
      <c r="A3061" s="6" t="s">
        <v>141</v>
      </c>
      <c r="B3061" s="6" t="s">
        <v>92</v>
      </c>
      <c r="C3061" s="6" t="s">
        <v>267</v>
      </c>
      <c r="D3061" s="6">
        <v>56.87808333333334</v>
      </c>
      <c r="E3061" s="6" t="s">
        <v>88</v>
      </c>
      <c r="F3061" s="6" t="s">
        <v>53</v>
      </c>
      <c r="G3061" s="7">
        <v>48956.37381074637</v>
      </c>
      <c r="H3061" s="6">
        <v>2784544.70930545</v>
      </c>
      <c r="I3061" s="6" t="s">
        <v>179</v>
      </c>
      <c r="J3061" s="15">
        <v>31.05</v>
      </c>
    </row>
    <row r="3062" spans="1:10">
      <c r="A3062" s="6" t="s">
        <v>141</v>
      </c>
      <c r="B3062" s="6" t="s">
        <v>92</v>
      </c>
      <c r="C3062" s="6" t="s">
        <v>267</v>
      </c>
      <c r="D3062" s="6">
        <v>0.5623391964838753</v>
      </c>
      <c r="E3062" s="6" t="s">
        <v>90</v>
      </c>
      <c r="F3062" s="6" t="s">
        <v>53</v>
      </c>
      <c r="G3062" s="7">
        <v>48956.37381074637</v>
      </c>
      <c r="H3062" s="6">
        <v>27530.08791149935</v>
      </c>
      <c r="I3062" s="6" t="s">
        <v>179</v>
      </c>
      <c r="J3062" s="15">
        <v>31.05</v>
      </c>
    </row>
    <row r="3063" spans="1:10">
      <c r="A3063" s="6" t="s">
        <v>141</v>
      </c>
      <c r="B3063" s="6" t="s">
        <v>92</v>
      </c>
      <c r="C3063" s="6" t="s">
        <v>268</v>
      </c>
      <c r="D3063" s="6">
        <v>0.01075</v>
      </c>
      <c r="E3063" s="6" t="s">
        <v>86</v>
      </c>
      <c r="F3063" s="6" t="s">
        <v>51</v>
      </c>
      <c r="G3063" s="7">
        <v>43172.09311535833</v>
      </c>
      <c r="H3063" s="6">
        <v>464.1000009901021</v>
      </c>
      <c r="I3063" s="6" t="s">
        <v>180</v>
      </c>
      <c r="J3063" s="15">
        <v>9.404213467325818</v>
      </c>
    </row>
    <row r="3064" spans="1:10">
      <c r="A3064" s="6" t="s">
        <v>141</v>
      </c>
      <c r="B3064" s="6" t="s">
        <v>92</v>
      </c>
      <c r="C3064" s="6" t="s">
        <v>268</v>
      </c>
      <c r="D3064" s="6">
        <v>0.02608333333333333</v>
      </c>
      <c r="E3064" s="6" t="s">
        <v>88</v>
      </c>
      <c r="F3064" s="6" t="s">
        <v>51</v>
      </c>
      <c r="G3064" s="7">
        <v>43172.09311535833</v>
      </c>
      <c r="H3064" s="6">
        <v>1126.072095425596</v>
      </c>
      <c r="I3064" s="6" t="s">
        <v>180</v>
      </c>
      <c r="J3064" s="15">
        <v>9.404213467325818</v>
      </c>
    </row>
    <row r="3065" spans="1:10">
      <c r="A3065" s="6" t="s">
        <v>141</v>
      </c>
      <c r="B3065" s="6" t="s">
        <v>92</v>
      </c>
      <c r="C3065" s="6" t="s">
        <v>271</v>
      </c>
      <c r="D3065" s="6">
        <v>1.118525760222109</v>
      </c>
      <c r="E3065" s="6" t="s">
        <v>44</v>
      </c>
      <c r="F3065" s="6" t="s">
        <v>54</v>
      </c>
      <c r="G3065" s="7">
        <v>122853.6199370354</v>
      </c>
      <c r="H3065" s="6">
        <v>137414.9386361105</v>
      </c>
      <c r="I3065" s="6" t="s">
        <v>179</v>
      </c>
      <c r="J3065" s="15">
        <v>72.03333333333333</v>
      </c>
    </row>
    <row r="3066" spans="1:10">
      <c r="A3066" s="6" t="s">
        <v>141</v>
      </c>
      <c r="B3066" s="6" t="s">
        <v>92</v>
      </c>
      <c r="C3066" s="6" t="s">
        <v>271</v>
      </c>
      <c r="D3066" s="6">
        <v>3.427392543935876</v>
      </c>
      <c r="E3066" s="6" t="s">
        <v>86</v>
      </c>
      <c r="F3066" s="6" t="s">
        <v>54</v>
      </c>
      <c r="G3066" s="7">
        <v>122853.6199370354</v>
      </c>
      <c r="H3066" s="6">
        <v>421067.5809677268</v>
      </c>
      <c r="I3066" s="6" t="s">
        <v>179</v>
      </c>
      <c r="J3066" s="15">
        <v>72.03333333333333</v>
      </c>
    </row>
    <row r="3067" spans="1:10">
      <c r="A3067" s="6" t="s">
        <v>141</v>
      </c>
      <c r="B3067" s="6" t="s">
        <v>92</v>
      </c>
      <c r="C3067" s="6" t="s">
        <v>271</v>
      </c>
      <c r="D3067" s="6">
        <v>32.52675000000001</v>
      </c>
      <c r="E3067" s="6" t="s">
        <v>88</v>
      </c>
      <c r="F3067" s="6" t="s">
        <v>54</v>
      </c>
      <c r="G3067" s="7">
        <v>122853.6199370354</v>
      </c>
      <c r="H3067" s="6">
        <v>3996028.982286965</v>
      </c>
      <c r="I3067" s="6" t="s">
        <v>179</v>
      </c>
      <c r="J3067" s="15">
        <v>72.03333333333333</v>
      </c>
    </row>
    <row r="3068" spans="1:10">
      <c r="A3068" s="6" t="s">
        <v>141</v>
      </c>
      <c r="B3068" s="6" t="s">
        <v>92</v>
      </c>
      <c r="C3068" s="6" t="s">
        <v>273</v>
      </c>
      <c r="D3068" s="6">
        <v>1.667618281316545</v>
      </c>
      <c r="E3068" s="6" t="s">
        <v>44</v>
      </c>
      <c r="F3068" s="6" t="s">
        <v>51</v>
      </c>
      <c r="G3068" s="7">
        <v>39415.32644745876</v>
      </c>
      <c r="H3068" s="6">
        <v>65729.71894784171</v>
      </c>
      <c r="I3068" s="6" t="s">
        <v>179</v>
      </c>
      <c r="J3068" s="15">
        <v>27</v>
      </c>
    </row>
    <row r="3069" spans="1:10">
      <c r="A3069" s="6" t="s">
        <v>141</v>
      </c>
      <c r="B3069" s="6" t="s">
        <v>92</v>
      </c>
      <c r="C3069" s="6" t="s">
        <v>273</v>
      </c>
      <c r="D3069" s="6">
        <v>17.87172916470618</v>
      </c>
      <c r="E3069" s="6" t="s">
        <v>86</v>
      </c>
      <c r="F3069" s="6" t="s">
        <v>51</v>
      </c>
      <c r="G3069" s="7">
        <v>39415.32644745876</v>
      </c>
      <c r="H3069" s="6">
        <v>704420.0392074636</v>
      </c>
      <c r="I3069" s="6" t="s">
        <v>179</v>
      </c>
      <c r="J3069" s="15">
        <v>27</v>
      </c>
    </row>
    <row r="3070" spans="1:10">
      <c r="A3070" s="6" t="s">
        <v>141</v>
      </c>
      <c r="B3070" s="6" t="s">
        <v>92</v>
      </c>
      <c r="C3070" s="6" t="s">
        <v>273</v>
      </c>
      <c r="D3070" s="6">
        <v>304.0384166666666</v>
      </c>
      <c r="E3070" s="6" t="s">
        <v>88</v>
      </c>
      <c r="F3070" s="6" t="s">
        <v>51</v>
      </c>
      <c r="G3070" s="7">
        <v>39415.32644745876</v>
      </c>
      <c r="H3070" s="6">
        <v>11983773.44548515</v>
      </c>
      <c r="I3070" s="6" t="s">
        <v>179</v>
      </c>
      <c r="J3070" s="15">
        <v>27</v>
      </c>
    </row>
    <row r="3071" spans="1:10">
      <c r="A3071" s="6" t="s">
        <v>141</v>
      </c>
      <c r="B3071" s="6" t="s">
        <v>92</v>
      </c>
      <c r="C3071" s="6" t="s">
        <v>273</v>
      </c>
      <c r="D3071" s="6">
        <v>0.06493088604251948</v>
      </c>
      <c r="E3071" s="6" t="s">
        <v>90</v>
      </c>
      <c r="F3071" s="6" t="s">
        <v>51</v>
      </c>
      <c r="G3071" s="7">
        <v>39415.32644745876</v>
      </c>
      <c r="H3071" s="6">
        <v>2559.272069888649</v>
      </c>
      <c r="I3071" s="6" t="s">
        <v>179</v>
      </c>
      <c r="J3071" s="15">
        <v>27</v>
      </c>
    </row>
    <row r="3072" spans="1:10">
      <c r="A3072" s="6" t="s">
        <v>141</v>
      </c>
      <c r="B3072" s="6" t="s">
        <v>92</v>
      </c>
      <c r="C3072" s="6" t="s">
        <v>277</v>
      </c>
      <c r="D3072" s="6">
        <v>0.1130586183769282</v>
      </c>
      <c r="E3072" s="6" t="s">
        <v>44</v>
      </c>
      <c r="F3072" s="6" t="s">
        <v>57</v>
      </c>
      <c r="G3072" s="7">
        <v>41020.02489344452</v>
      </c>
      <c r="H3072" s="6">
        <v>4637.667340240039</v>
      </c>
      <c r="I3072" s="6" t="s">
        <v>180</v>
      </c>
      <c r="J3072" s="15">
        <v>8.598429499444013</v>
      </c>
    </row>
    <row r="3073" spans="1:10">
      <c r="A3073" s="6" t="s">
        <v>141</v>
      </c>
      <c r="B3073" s="6" t="s">
        <v>92</v>
      </c>
      <c r="C3073" s="6" t="s">
        <v>277</v>
      </c>
      <c r="D3073" s="6">
        <v>0.0209874462287814</v>
      </c>
      <c r="E3073" s="6" t="s">
        <v>86</v>
      </c>
      <c r="F3073" s="6" t="s">
        <v>57</v>
      </c>
      <c r="G3073" s="7">
        <v>41020.02489344452</v>
      </c>
      <c r="H3073" s="6">
        <v>860.9055667544412</v>
      </c>
      <c r="I3073" s="6" t="s">
        <v>180</v>
      </c>
      <c r="J3073" s="15">
        <v>8.598429499444013</v>
      </c>
    </row>
    <row r="3074" spans="1:10">
      <c r="A3074" s="6" t="s">
        <v>141</v>
      </c>
      <c r="B3074" s="6" t="s">
        <v>92</v>
      </c>
      <c r="C3074" s="6" t="s">
        <v>277</v>
      </c>
      <c r="D3074" s="6">
        <v>0.0135</v>
      </c>
      <c r="E3074" s="6" t="s">
        <v>88</v>
      </c>
      <c r="F3074" s="6" t="s">
        <v>57</v>
      </c>
      <c r="G3074" s="7">
        <v>41020.02489344452</v>
      </c>
      <c r="H3074" s="6">
        <v>553.7703360615011</v>
      </c>
      <c r="I3074" s="6" t="s">
        <v>180</v>
      </c>
      <c r="J3074" s="15">
        <v>8.598429499444013</v>
      </c>
    </row>
    <row r="3075" spans="1:10">
      <c r="A3075" s="6" t="s">
        <v>141</v>
      </c>
      <c r="B3075" s="6" t="s">
        <v>92</v>
      </c>
      <c r="C3075" s="6" t="s">
        <v>277</v>
      </c>
      <c r="D3075" s="6">
        <v>0.01415111598975485</v>
      </c>
      <c r="E3075" s="6" t="s">
        <v>90</v>
      </c>
      <c r="F3075" s="6" t="s">
        <v>57</v>
      </c>
      <c r="G3075" s="7">
        <v>41020.02489344452</v>
      </c>
      <c r="H3075" s="6">
        <v>580.4791301697647</v>
      </c>
      <c r="I3075" s="6" t="s">
        <v>180</v>
      </c>
      <c r="J3075" s="15">
        <v>8.598429499444013</v>
      </c>
    </row>
    <row r="3076" spans="1:10">
      <c r="A3076" s="6" t="s">
        <v>141</v>
      </c>
      <c r="B3076" s="6" t="s">
        <v>92</v>
      </c>
      <c r="C3076" s="6" t="s">
        <v>278</v>
      </c>
      <c r="D3076" s="6">
        <v>191.2533198803615</v>
      </c>
      <c r="E3076" s="6" t="s">
        <v>44</v>
      </c>
      <c r="F3076" s="6" t="s">
        <v>55</v>
      </c>
      <c r="G3076" s="7">
        <v>30336.77880022909</v>
      </c>
      <c r="H3076" s="6">
        <v>5802009.660019983</v>
      </c>
      <c r="I3076" s="6" t="s">
        <v>179</v>
      </c>
      <c r="J3076" s="15">
        <v>14</v>
      </c>
    </row>
    <row r="3077" spans="1:10">
      <c r="A3077" s="6" t="s">
        <v>141</v>
      </c>
      <c r="B3077" s="6" t="s">
        <v>92</v>
      </c>
      <c r="C3077" s="6" t="s">
        <v>278</v>
      </c>
      <c r="D3077" s="6">
        <v>133.441571999514</v>
      </c>
      <c r="E3077" s="6" t="s">
        <v>86</v>
      </c>
      <c r="F3077" s="6" t="s">
        <v>55</v>
      </c>
      <c r="G3077" s="7">
        <v>30336.77880022909</v>
      </c>
      <c r="H3077" s="6">
        <v>4048187.452504101</v>
      </c>
      <c r="I3077" s="6" t="s">
        <v>179</v>
      </c>
      <c r="J3077" s="15">
        <v>14</v>
      </c>
    </row>
    <row r="3078" spans="1:10">
      <c r="A3078" s="6" t="s">
        <v>141</v>
      </c>
      <c r="B3078" s="6" t="s">
        <v>92</v>
      </c>
      <c r="C3078" s="6" t="s">
        <v>278</v>
      </c>
      <c r="D3078" s="6">
        <v>373.5469166666667</v>
      </c>
      <c r="E3078" s="6" t="s">
        <v>88</v>
      </c>
      <c r="F3078" s="6" t="s">
        <v>55</v>
      </c>
      <c r="G3078" s="7">
        <v>30336.77880022909</v>
      </c>
      <c r="H3078" s="6">
        <v>11332210.18242428</v>
      </c>
      <c r="I3078" s="6" t="s">
        <v>179</v>
      </c>
      <c r="J3078" s="15">
        <v>14</v>
      </c>
    </row>
    <row r="3079" spans="1:10">
      <c r="A3079" s="6" t="s">
        <v>141</v>
      </c>
      <c r="B3079" s="6" t="s">
        <v>92</v>
      </c>
      <c r="C3079" s="6" t="s">
        <v>278</v>
      </c>
      <c r="D3079" s="6">
        <v>35.45320256016166</v>
      </c>
      <c r="E3079" s="6" t="s">
        <v>90</v>
      </c>
      <c r="F3079" s="6" t="s">
        <v>55</v>
      </c>
      <c r="G3079" s="7">
        <v>30336.77880022909</v>
      </c>
      <c r="H3079" s="6">
        <v>1075535.96382734</v>
      </c>
      <c r="I3079" s="6" t="s">
        <v>179</v>
      </c>
      <c r="J3079" s="15">
        <v>14</v>
      </c>
    </row>
    <row r="3080" spans="1:10">
      <c r="A3080" s="6" t="s">
        <v>141</v>
      </c>
      <c r="B3080" s="6" t="s">
        <v>92</v>
      </c>
      <c r="C3080" s="6" t="s">
        <v>280</v>
      </c>
      <c r="D3080" s="6">
        <v>316.5846352709788</v>
      </c>
      <c r="E3080" s="6" t="s">
        <v>44</v>
      </c>
      <c r="F3080" s="6" t="s">
        <v>55</v>
      </c>
      <c r="G3080" s="7">
        <v>58368.69681371454</v>
      </c>
      <c r="H3080" s="6">
        <v>18478632.59201216</v>
      </c>
      <c r="I3080" s="6" t="s">
        <v>179</v>
      </c>
      <c r="J3080" s="15">
        <v>52.875</v>
      </c>
    </row>
    <row r="3081" spans="1:10">
      <c r="A3081" s="6" t="s">
        <v>141</v>
      </c>
      <c r="B3081" s="6" t="s">
        <v>92</v>
      </c>
      <c r="C3081" s="6" t="s">
        <v>280</v>
      </c>
      <c r="D3081" s="6">
        <v>54.40552338562001</v>
      </c>
      <c r="E3081" s="6" t="s">
        <v>86</v>
      </c>
      <c r="F3081" s="6" t="s">
        <v>55</v>
      </c>
      <c r="G3081" s="7">
        <v>58368.69681371454</v>
      </c>
      <c r="H3081" s="6">
        <v>3175579.499486711</v>
      </c>
      <c r="I3081" s="6" t="s">
        <v>179</v>
      </c>
      <c r="J3081" s="15">
        <v>52.875</v>
      </c>
    </row>
    <row r="3082" spans="1:10">
      <c r="A3082" s="6" t="s">
        <v>141</v>
      </c>
      <c r="B3082" s="6" t="s">
        <v>92</v>
      </c>
      <c r="C3082" s="6" t="s">
        <v>280</v>
      </c>
      <c r="D3082" s="6">
        <v>71.69058333333334</v>
      </c>
      <c r="E3082" s="6" t="s">
        <v>88</v>
      </c>
      <c r="F3082" s="6" t="s">
        <v>55</v>
      </c>
      <c r="G3082" s="7">
        <v>58368.69681371454</v>
      </c>
      <c r="H3082" s="6">
        <v>4184485.922981671</v>
      </c>
      <c r="I3082" s="6" t="s">
        <v>179</v>
      </c>
      <c r="J3082" s="15">
        <v>52.875</v>
      </c>
    </row>
    <row r="3083" spans="1:10">
      <c r="A3083" s="6" t="s">
        <v>141</v>
      </c>
      <c r="B3083" s="6" t="s">
        <v>92</v>
      </c>
      <c r="C3083" s="6" t="s">
        <v>280</v>
      </c>
      <c r="D3083" s="6">
        <v>32.00544449436725</v>
      </c>
      <c r="E3083" s="6" t="s">
        <v>90</v>
      </c>
      <c r="F3083" s="6" t="s">
        <v>55</v>
      </c>
      <c r="G3083" s="7">
        <v>58368.69681371454</v>
      </c>
      <c r="H3083" s="6">
        <v>1868116.086079892</v>
      </c>
      <c r="I3083" s="6" t="s">
        <v>179</v>
      </c>
      <c r="J3083" s="15">
        <v>52.875</v>
      </c>
    </row>
    <row r="3084" spans="1:10">
      <c r="A3084" s="6" t="s">
        <v>141</v>
      </c>
      <c r="B3084" s="6" t="s">
        <v>92</v>
      </c>
      <c r="C3084" s="6" t="s">
        <v>280</v>
      </c>
      <c r="D3084" s="6">
        <v>0.6214999999999999</v>
      </c>
      <c r="E3084" s="6" t="s">
        <v>92</v>
      </c>
      <c r="F3084" s="6" t="s">
        <v>55</v>
      </c>
      <c r="G3084" s="7">
        <v>58368.69681371454</v>
      </c>
      <c r="H3084" s="6">
        <v>36276.14506972359</v>
      </c>
      <c r="I3084" s="6" t="s">
        <v>179</v>
      </c>
      <c r="J3084" s="15">
        <v>52.875</v>
      </c>
    </row>
    <row r="3085" spans="1:10">
      <c r="A3085" s="6" t="s">
        <v>141</v>
      </c>
      <c r="B3085" s="6" t="s">
        <v>92</v>
      </c>
      <c r="C3085" s="6" t="s">
        <v>281</v>
      </c>
      <c r="D3085" s="6">
        <v>93.32991738575835</v>
      </c>
      <c r="E3085" s="6" t="s">
        <v>44</v>
      </c>
      <c r="F3085" s="6" t="s">
        <v>57</v>
      </c>
      <c r="G3085" s="7">
        <v>47725.16793448776</v>
      </c>
      <c r="H3085" s="6">
        <v>4454185.980547186</v>
      </c>
      <c r="I3085" s="6" t="s">
        <v>179</v>
      </c>
      <c r="J3085" s="15">
        <v>36</v>
      </c>
    </row>
    <row r="3086" spans="1:10">
      <c r="A3086" s="6" t="s">
        <v>141</v>
      </c>
      <c r="B3086" s="6" t="s">
        <v>92</v>
      </c>
      <c r="C3086" s="6" t="s">
        <v>281</v>
      </c>
      <c r="D3086" s="6">
        <v>71.22386716555327</v>
      </c>
      <c r="E3086" s="6" t="s">
        <v>86</v>
      </c>
      <c r="F3086" s="6" t="s">
        <v>57</v>
      </c>
      <c r="G3086" s="7">
        <v>47725.16793448776</v>
      </c>
      <c r="H3086" s="6">
        <v>3399171.021419679</v>
      </c>
      <c r="I3086" s="6" t="s">
        <v>179</v>
      </c>
      <c r="J3086" s="15">
        <v>36</v>
      </c>
    </row>
    <row r="3087" spans="1:10">
      <c r="A3087" s="6" t="s">
        <v>141</v>
      </c>
      <c r="B3087" s="6" t="s">
        <v>92</v>
      </c>
      <c r="C3087" s="6" t="s">
        <v>281</v>
      </c>
      <c r="D3087" s="6">
        <v>508.25275</v>
      </c>
      <c r="E3087" s="6" t="s">
        <v>88</v>
      </c>
      <c r="F3087" s="6" t="s">
        <v>57</v>
      </c>
      <c r="G3087" s="7">
        <v>47725.16793448776</v>
      </c>
      <c r="H3087" s="6">
        <v>24256447.84691523</v>
      </c>
      <c r="I3087" s="6" t="s">
        <v>179</v>
      </c>
      <c r="J3087" s="15">
        <v>36</v>
      </c>
    </row>
    <row r="3088" spans="1:10">
      <c r="A3088" s="6" t="s">
        <v>141</v>
      </c>
      <c r="B3088" s="6" t="s">
        <v>92</v>
      </c>
      <c r="C3088" s="6" t="s">
        <v>281</v>
      </c>
      <c r="D3088" s="6">
        <v>22.69403178640301</v>
      </c>
      <c r="E3088" s="6" t="s">
        <v>90</v>
      </c>
      <c r="F3088" s="6" t="s">
        <v>57</v>
      </c>
      <c r="G3088" s="7">
        <v>47725.16793448776</v>
      </c>
      <c r="H3088" s="6">
        <v>1083076.478116687</v>
      </c>
      <c r="I3088" s="6" t="s">
        <v>179</v>
      </c>
      <c r="J3088" s="15">
        <v>36</v>
      </c>
    </row>
    <row r="3089" spans="1:10">
      <c r="A3089" s="6" t="s">
        <v>141</v>
      </c>
      <c r="B3089" s="6" t="s">
        <v>92</v>
      </c>
      <c r="C3089" s="6" t="s">
        <v>281</v>
      </c>
      <c r="D3089" s="6">
        <v>0.1060833333333333</v>
      </c>
      <c r="E3089" s="6" t="s">
        <v>92</v>
      </c>
      <c r="F3089" s="6" t="s">
        <v>57</v>
      </c>
      <c r="G3089" s="7">
        <v>47725.16793448776</v>
      </c>
      <c r="H3089" s="6">
        <v>5062.844898383577</v>
      </c>
      <c r="I3089" s="6" t="s">
        <v>179</v>
      </c>
      <c r="J3089" s="15">
        <v>36</v>
      </c>
    </row>
    <row r="3090" spans="1:10">
      <c r="A3090" s="6" t="s">
        <v>141</v>
      </c>
      <c r="B3090" s="6" t="s">
        <v>92</v>
      </c>
      <c r="C3090" s="6" t="s">
        <v>283</v>
      </c>
      <c r="D3090" s="6">
        <v>4.638333333333332</v>
      </c>
      <c r="E3090" s="6" t="s">
        <v>86</v>
      </c>
      <c r="F3090" s="6" t="s">
        <v>51</v>
      </c>
      <c r="G3090" s="7">
        <v>40169.43882543561</v>
      </c>
      <c r="H3090" s="6">
        <v>186319.2470853121</v>
      </c>
      <c r="I3090" s="6" t="s">
        <v>179</v>
      </c>
      <c r="J3090" s="15">
        <v>27.40833333333333</v>
      </c>
    </row>
    <row r="3091" spans="1:10">
      <c r="A3091" s="6" t="s">
        <v>141</v>
      </c>
      <c r="B3091" s="6" t="s">
        <v>92</v>
      </c>
      <c r="C3091" s="6" t="s">
        <v>283</v>
      </c>
      <c r="D3091" s="6">
        <v>79.01491666666665</v>
      </c>
      <c r="E3091" s="6" t="s">
        <v>88</v>
      </c>
      <c r="F3091" s="6" t="s">
        <v>51</v>
      </c>
      <c r="G3091" s="7">
        <v>40169.43882543561</v>
      </c>
      <c r="H3091" s="6">
        <v>3173984.861338559</v>
      </c>
      <c r="I3091" s="6" t="s">
        <v>179</v>
      </c>
      <c r="J3091" s="15">
        <v>27.40833333333333</v>
      </c>
    </row>
    <row r="3092" spans="1:10">
      <c r="A3092" s="6" t="s">
        <v>141</v>
      </c>
      <c r="B3092" s="6" t="s">
        <v>92</v>
      </c>
      <c r="C3092" s="6" t="s">
        <v>284</v>
      </c>
      <c r="D3092" s="6">
        <v>90.20732208764107</v>
      </c>
      <c r="E3092" s="6" t="s">
        <v>44</v>
      </c>
      <c r="F3092" s="6" t="s">
        <v>55</v>
      </c>
      <c r="G3092" s="7">
        <v>36138.38846146646</v>
      </c>
      <c r="H3092" s="6">
        <v>3259947.247671797</v>
      </c>
      <c r="I3092" s="6" t="s">
        <v>179</v>
      </c>
      <c r="J3092" s="15">
        <v>40.2</v>
      </c>
    </row>
    <row r="3093" spans="1:10">
      <c r="A3093" s="6" t="s">
        <v>141</v>
      </c>
      <c r="B3093" s="6" t="s">
        <v>92</v>
      </c>
      <c r="C3093" s="6" t="s">
        <v>284</v>
      </c>
      <c r="D3093" s="6">
        <v>12.04045979753995</v>
      </c>
      <c r="E3093" s="6" t="s">
        <v>86</v>
      </c>
      <c r="F3093" s="6" t="s">
        <v>55</v>
      </c>
      <c r="G3093" s="7">
        <v>36138.38846146646</v>
      </c>
      <c r="H3093" s="6">
        <v>435122.8134181684</v>
      </c>
      <c r="I3093" s="6" t="s">
        <v>179</v>
      </c>
      <c r="J3093" s="15">
        <v>40.2</v>
      </c>
    </row>
    <row r="3094" spans="1:10">
      <c r="A3094" s="6" t="s">
        <v>141</v>
      </c>
      <c r="B3094" s="6" t="s">
        <v>92</v>
      </c>
      <c r="C3094" s="6" t="s">
        <v>284</v>
      </c>
      <c r="D3094" s="6">
        <v>23.48408333333333</v>
      </c>
      <c r="E3094" s="6" t="s">
        <v>88</v>
      </c>
      <c r="F3094" s="6" t="s">
        <v>55</v>
      </c>
      <c r="G3094" s="7">
        <v>36138.38846146646</v>
      </c>
      <c r="H3094" s="6">
        <v>848676.9261614502</v>
      </c>
      <c r="I3094" s="6" t="s">
        <v>179</v>
      </c>
      <c r="J3094" s="15">
        <v>40.2</v>
      </c>
    </row>
    <row r="3095" spans="1:10">
      <c r="A3095" s="6" t="s">
        <v>141</v>
      </c>
      <c r="B3095" s="6" t="s">
        <v>92</v>
      </c>
      <c r="C3095" s="6" t="s">
        <v>284</v>
      </c>
      <c r="D3095" s="6">
        <v>7.392173565847085</v>
      </c>
      <c r="E3095" s="6" t="s">
        <v>90</v>
      </c>
      <c r="F3095" s="6" t="s">
        <v>55</v>
      </c>
      <c r="G3095" s="7">
        <v>36138.38846146646</v>
      </c>
      <c r="H3095" s="6">
        <v>267141.2398971657</v>
      </c>
      <c r="I3095" s="6" t="s">
        <v>179</v>
      </c>
      <c r="J3095" s="15">
        <v>40.2</v>
      </c>
    </row>
    <row r="3096" spans="1:10">
      <c r="A3096" s="6" t="s">
        <v>141</v>
      </c>
      <c r="B3096" s="6" t="s">
        <v>92</v>
      </c>
      <c r="C3096" s="6" t="s">
        <v>284</v>
      </c>
      <c r="D3096" s="6">
        <v>1.217416666666667</v>
      </c>
      <c r="E3096" s="6" t="s">
        <v>92</v>
      </c>
      <c r="F3096" s="6" t="s">
        <v>55</v>
      </c>
      <c r="G3096" s="7">
        <v>36138.38846146646</v>
      </c>
      <c r="H3096" s="6">
        <v>43995.47641946364</v>
      </c>
      <c r="I3096" s="6" t="s">
        <v>179</v>
      </c>
      <c r="J3096" s="15">
        <v>40.2</v>
      </c>
    </row>
    <row r="3097" spans="1:10">
      <c r="A3097" s="6" t="s">
        <v>141</v>
      </c>
      <c r="B3097" s="6" t="s">
        <v>92</v>
      </c>
      <c r="C3097" s="6" t="s">
        <v>287</v>
      </c>
      <c r="D3097" s="6">
        <v>0.007083333333333336</v>
      </c>
      <c r="E3097" s="6" t="s">
        <v>88</v>
      </c>
      <c r="F3097" s="6" t="s">
        <v>53</v>
      </c>
      <c r="G3097" s="7">
        <v>57298.25349141887</v>
      </c>
      <c r="H3097" s="6">
        <v>405.8626288975505</v>
      </c>
      <c r="I3097" s="6" t="s">
        <v>180</v>
      </c>
      <c r="J3097" s="15">
        <v>14.69337365418751</v>
      </c>
    </row>
    <row r="3098" spans="1:10">
      <c r="A3098" s="6" t="s">
        <v>141</v>
      </c>
      <c r="B3098" s="6" t="s">
        <v>92</v>
      </c>
      <c r="C3098" s="6" t="s">
        <v>288</v>
      </c>
      <c r="D3098" s="6">
        <v>0.007166666666666667</v>
      </c>
      <c r="E3098" s="6" t="s">
        <v>86</v>
      </c>
      <c r="F3098" s="6" t="s">
        <v>58</v>
      </c>
      <c r="G3098" s="7">
        <v>64645.17061643103</v>
      </c>
      <c r="H3098" s="6">
        <v>463.2903894177557</v>
      </c>
      <c r="I3098" s="6" t="s">
        <v>180</v>
      </c>
      <c r="J3098" s="15">
        <v>17.44422884195959</v>
      </c>
    </row>
    <row r="3099" spans="1:10">
      <c r="A3099" s="6" t="s">
        <v>141</v>
      </c>
      <c r="B3099" s="6" t="s">
        <v>92</v>
      </c>
      <c r="C3099" s="6" t="s">
        <v>288</v>
      </c>
      <c r="D3099" s="6">
        <v>0.007333333333333332</v>
      </c>
      <c r="E3099" s="6" t="s">
        <v>88</v>
      </c>
      <c r="F3099" s="6" t="s">
        <v>58</v>
      </c>
      <c r="G3099" s="7">
        <v>64645.17061643103</v>
      </c>
      <c r="H3099" s="6">
        <v>474.0645845204942</v>
      </c>
      <c r="I3099" s="6" t="s">
        <v>180</v>
      </c>
      <c r="J3099" s="15">
        <v>17.44422884195959</v>
      </c>
    </row>
    <row r="3100" spans="1:10">
      <c r="A3100" s="6" t="s">
        <v>141</v>
      </c>
      <c r="B3100" s="6" t="s">
        <v>92</v>
      </c>
      <c r="C3100" s="6" t="s">
        <v>370</v>
      </c>
      <c r="D3100" s="6">
        <v>3.94725</v>
      </c>
      <c r="E3100" s="6" t="s">
        <v>44</v>
      </c>
      <c r="F3100" s="6" t="s">
        <v>55</v>
      </c>
      <c r="G3100" s="7">
        <v>51841.61441272812</v>
      </c>
      <c r="H3100" s="6">
        <v>204631.8124906411</v>
      </c>
      <c r="I3100" s="6" t="s">
        <v>179</v>
      </c>
      <c r="J3100" s="15">
        <v>15</v>
      </c>
    </row>
    <row r="3101" spans="1:10">
      <c r="A3101" s="6" t="s">
        <v>141</v>
      </c>
      <c r="B3101" s="6" t="s">
        <v>92</v>
      </c>
      <c r="C3101" s="6" t="s">
        <v>370</v>
      </c>
      <c r="D3101" s="6">
        <v>1.158916666666667</v>
      </c>
      <c r="E3101" s="6" t="s">
        <v>86</v>
      </c>
      <c r="F3101" s="6" t="s">
        <v>55</v>
      </c>
      <c r="G3101" s="7">
        <v>51841.61441272812</v>
      </c>
      <c r="H3101" s="6">
        <v>60080.1109698175</v>
      </c>
      <c r="I3101" s="6" t="s">
        <v>179</v>
      </c>
      <c r="J3101" s="15">
        <v>15</v>
      </c>
    </row>
    <row r="3102" spans="1:10">
      <c r="A3102" s="6" t="s">
        <v>141</v>
      </c>
      <c r="B3102" s="6" t="s">
        <v>92</v>
      </c>
      <c r="C3102" s="6" t="s">
        <v>370</v>
      </c>
      <c r="D3102" s="6">
        <v>0.2088333333333333</v>
      </c>
      <c r="E3102" s="6" t="s">
        <v>88</v>
      </c>
      <c r="F3102" s="6" t="s">
        <v>55</v>
      </c>
      <c r="G3102" s="7">
        <v>51841.61441272812</v>
      </c>
      <c r="H3102" s="6">
        <v>10826.25714319139</v>
      </c>
      <c r="I3102" s="6" t="s">
        <v>179</v>
      </c>
      <c r="J3102" s="15">
        <v>15</v>
      </c>
    </row>
    <row r="3103" spans="1:10">
      <c r="A3103" s="6" t="s">
        <v>141</v>
      </c>
      <c r="B3103" s="6" t="s">
        <v>92</v>
      </c>
      <c r="C3103" s="6" t="s">
        <v>370</v>
      </c>
      <c r="D3103" s="6">
        <v>0.4484166666666666</v>
      </c>
      <c r="E3103" s="6" t="s">
        <v>90</v>
      </c>
      <c r="F3103" s="6" t="s">
        <v>55</v>
      </c>
      <c r="G3103" s="7">
        <v>51841.61441272812</v>
      </c>
      <c r="H3103" s="6">
        <v>23246.64392957417</v>
      </c>
      <c r="I3103" s="6" t="s">
        <v>179</v>
      </c>
      <c r="J3103" s="15">
        <v>15</v>
      </c>
    </row>
    <row r="3104" spans="1:10">
      <c r="A3104" s="6" t="s">
        <v>141</v>
      </c>
      <c r="B3104" s="6" t="s">
        <v>92</v>
      </c>
      <c r="C3104" s="6" t="s">
        <v>290</v>
      </c>
      <c r="D3104" s="6">
        <v>0.001</v>
      </c>
      <c r="E3104" s="6" t="s">
        <v>88</v>
      </c>
      <c r="F3104" s="6" t="s">
        <v>53</v>
      </c>
      <c r="G3104" s="7">
        <v>49488.52827244454</v>
      </c>
      <c r="H3104" s="6">
        <v>49.48852827244453</v>
      </c>
      <c r="I3104" s="6" t="s">
        <v>180</v>
      </c>
      <c r="J3104" s="15">
        <v>11.76923244391702</v>
      </c>
    </row>
    <row r="3105" spans="1:10">
      <c r="A3105" s="6" t="s">
        <v>141</v>
      </c>
      <c r="B3105" s="6" t="s">
        <v>92</v>
      </c>
      <c r="C3105" s="6" t="s">
        <v>291</v>
      </c>
      <c r="D3105" s="6">
        <v>0.001916666666666667</v>
      </c>
      <c r="E3105" s="6" t="s">
        <v>88</v>
      </c>
      <c r="F3105" s="6" t="s">
        <v>51</v>
      </c>
      <c r="G3105" s="7">
        <v>42426.84693805363</v>
      </c>
      <c r="H3105" s="6">
        <v>81.31812329793611</v>
      </c>
      <c r="I3105" s="6" t="s">
        <v>180</v>
      </c>
      <c r="J3105" s="15">
        <v>9.125176113545601</v>
      </c>
    </row>
    <row r="3106" spans="1:10">
      <c r="A3106" s="6" t="s">
        <v>141</v>
      </c>
      <c r="B3106" s="6" t="s">
        <v>92</v>
      </c>
      <c r="C3106" s="6" t="s">
        <v>293</v>
      </c>
      <c r="D3106" s="6">
        <v>0.4243215086590323</v>
      </c>
      <c r="E3106" s="6" t="s">
        <v>44</v>
      </c>
      <c r="F3106" s="6" t="s">
        <v>53</v>
      </c>
      <c r="G3106" s="7">
        <v>67567.57931334202</v>
      </c>
      <c r="H3106" s="6">
        <v>28670.37719067611</v>
      </c>
      <c r="I3106" s="6" t="s">
        <v>179</v>
      </c>
      <c r="J3106" s="15">
        <v>26.71666666666667</v>
      </c>
    </row>
    <row r="3107" spans="1:10">
      <c r="A3107" s="6" t="s">
        <v>141</v>
      </c>
      <c r="B3107" s="6" t="s">
        <v>92</v>
      </c>
      <c r="C3107" s="6" t="s">
        <v>293</v>
      </c>
      <c r="D3107" s="6">
        <v>0.01640089909683682</v>
      </c>
      <c r="E3107" s="6" t="s">
        <v>86</v>
      </c>
      <c r="F3107" s="6" t="s">
        <v>53</v>
      </c>
      <c r="G3107" s="7">
        <v>67567.57931334202</v>
      </c>
      <c r="H3107" s="6">
        <v>1108.169050535642</v>
      </c>
      <c r="I3107" s="6" t="s">
        <v>179</v>
      </c>
      <c r="J3107" s="15">
        <v>26.71666666666667</v>
      </c>
    </row>
    <row r="3108" spans="1:10">
      <c r="A3108" s="6" t="s">
        <v>141</v>
      </c>
      <c r="B3108" s="6" t="s">
        <v>92</v>
      </c>
      <c r="C3108" s="6" t="s">
        <v>293</v>
      </c>
      <c r="D3108" s="6">
        <v>58.86633333333333</v>
      </c>
      <c r="E3108" s="6" t="s">
        <v>88</v>
      </c>
      <c r="F3108" s="6" t="s">
        <v>53</v>
      </c>
      <c r="G3108" s="7">
        <v>67567.57931334202</v>
      </c>
      <c r="H3108" s="6">
        <v>3977455.646385629</v>
      </c>
      <c r="I3108" s="6" t="s">
        <v>179</v>
      </c>
      <c r="J3108" s="15">
        <v>26.71666666666667</v>
      </c>
    </row>
    <row r="3109" spans="1:10">
      <c r="A3109" s="6" t="s">
        <v>141</v>
      </c>
      <c r="B3109" s="6" t="s">
        <v>92</v>
      </c>
      <c r="C3109" s="6" t="s">
        <v>293</v>
      </c>
      <c r="D3109" s="6">
        <v>0.06015762493678896</v>
      </c>
      <c r="E3109" s="6" t="s">
        <v>90</v>
      </c>
      <c r="F3109" s="6" t="s">
        <v>53</v>
      </c>
      <c r="G3109" s="7">
        <v>67567.57931334202</v>
      </c>
      <c r="H3109" s="6">
        <v>4064.70509421877</v>
      </c>
      <c r="I3109" s="6" t="s">
        <v>179</v>
      </c>
      <c r="J3109" s="15">
        <v>26.71666666666667</v>
      </c>
    </row>
    <row r="3110" spans="1:10">
      <c r="A3110" s="6" t="s">
        <v>141</v>
      </c>
      <c r="B3110" s="6" t="s">
        <v>92</v>
      </c>
      <c r="C3110" s="6" t="s">
        <v>371</v>
      </c>
      <c r="D3110" s="6">
        <v>4.2275</v>
      </c>
      <c r="E3110" s="6" t="s">
        <v>44</v>
      </c>
      <c r="F3110" s="6" t="s">
        <v>55</v>
      </c>
      <c r="G3110" s="7">
        <v>58476.58943095681</v>
      </c>
      <c r="H3110" s="6">
        <v>247209.7818193699</v>
      </c>
      <c r="I3110" s="6" t="s">
        <v>179</v>
      </c>
      <c r="J3110" s="15">
        <v>17</v>
      </c>
    </row>
    <row r="3111" spans="1:10">
      <c r="A3111" s="6" t="s">
        <v>141</v>
      </c>
      <c r="B3111" s="6" t="s">
        <v>92</v>
      </c>
      <c r="C3111" s="6" t="s">
        <v>371</v>
      </c>
      <c r="D3111" s="6">
        <v>1.415166666666666</v>
      </c>
      <c r="E3111" s="6" t="s">
        <v>86</v>
      </c>
      <c r="F3111" s="6" t="s">
        <v>55</v>
      </c>
      <c r="G3111" s="7">
        <v>58476.58943095681</v>
      </c>
      <c r="H3111" s="6">
        <v>82754.12014304237</v>
      </c>
      <c r="I3111" s="6" t="s">
        <v>179</v>
      </c>
      <c r="J3111" s="15">
        <v>17</v>
      </c>
    </row>
    <row r="3112" spans="1:10">
      <c r="A3112" s="6" t="s">
        <v>141</v>
      </c>
      <c r="B3112" s="6" t="s">
        <v>92</v>
      </c>
      <c r="C3112" s="6" t="s">
        <v>371</v>
      </c>
      <c r="D3112" s="6">
        <v>0.41775</v>
      </c>
      <c r="E3112" s="6" t="s">
        <v>88</v>
      </c>
      <c r="F3112" s="6" t="s">
        <v>55</v>
      </c>
      <c r="G3112" s="7">
        <v>58476.58943095681</v>
      </c>
      <c r="H3112" s="6">
        <v>24428.59523478221</v>
      </c>
      <c r="I3112" s="6" t="s">
        <v>179</v>
      </c>
      <c r="J3112" s="15">
        <v>17</v>
      </c>
    </row>
    <row r="3113" spans="1:10">
      <c r="A3113" s="6" t="s">
        <v>141</v>
      </c>
      <c r="B3113" s="6" t="s">
        <v>92</v>
      </c>
      <c r="C3113" s="6" t="s">
        <v>371</v>
      </c>
      <c r="D3113" s="6">
        <v>0.4140833333333334</v>
      </c>
      <c r="E3113" s="6" t="s">
        <v>90</v>
      </c>
      <c r="F3113" s="6" t="s">
        <v>55</v>
      </c>
      <c r="G3113" s="7">
        <v>58476.58943095681</v>
      </c>
      <c r="H3113" s="6">
        <v>24214.18107353537</v>
      </c>
      <c r="I3113" s="6" t="s">
        <v>179</v>
      </c>
      <c r="J3113" s="15">
        <v>17</v>
      </c>
    </row>
    <row r="3114" spans="1:10">
      <c r="A3114" s="6" t="s">
        <v>141</v>
      </c>
      <c r="B3114" s="6" t="s">
        <v>92</v>
      </c>
      <c r="C3114" s="6" t="s">
        <v>295</v>
      </c>
      <c r="D3114" s="6">
        <v>14.22991666666667</v>
      </c>
      <c r="E3114" s="6" t="s">
        <v>88</v>
      </c>
      <c r="F3114" s="6" t="s">
        <v>53</v>
      </c>
      <c r="G3114" s="7">
        <v>43665.47276142767</v>
      </c>
      <c r="H3114" s="6">
        <v>621356.038605719</v>
      </c>
      <c r="I3114" s="6" t="s">
        <v>179</v>
      </c>
      <c r="J3114" s="15">
        <v>37</v>
      </c>
    </row>
    <row r="3115" spans="1:10">
      <c r="A3115" s="6" t="s">
        <v>141</v>
      </c>
      <c r="B3115" s="6" t="s">
        <v>92</v>
      </c>
      <c r="C3115" s="6" t="s">
        <v>296</v>
      </c>
      <c r="D3115" s="6">
        <v>0.03030211236771886</v>
      </c>
      <c r="E3115" s="6" t="s">
        <v>44</v>
      </c>
      <c r="F3115" s="6" t="s">
        <v>61</v>
      </c>
      <c r="G3115" s="7">
        <v>53088.58925206317</v>
      </c>
      <c r="H3115" s="6">
        <v>1608.69639695969</v>
      </c>
      <c r="I3115" s="6" t="s">
        <v>179</v>
      </c>
      <c r="J3115" s="15">
        <v>21</v>
      </c>
    </row>
    <row r="3116" spans="1:10">
      <c r="A3116" s="6" t="s">
        <v>141</v>
      </c>
      <c r="B3116" s="6" t="s">
        <v>92</v>
      </c>
      <c r="C3116" s="6" t="s">
        <v>296</v>
      </c>
      <c r="D3116" s="6">
        <v>0.001234372857272675</v>
      </c>
      <c r="E3116" s="6" t="s">
        <v>86</v>
      </c>
      <c r="F3116" s="6" t="s">
        <v>61</v>
      </c>
      <c r="G3116" s="7">
        <v>53088.58925206317</v>
      </c>
      <c r="H3116" s="6">
        <v>65.53111360364463</v>
      </c>
      <c r="I3116" s="6" t="s">
        <v>179</v>
      </c>
      <c r="J3116" s="15">
        <v>21</v>
      </c>
    </row>
    <row r="3117" spans="1:10">
      <c r="A3117" s="6" t="s">
        <v>141</v>
      </c>
      <c r="B3117" s="6" t="s">
        <v>92</v>
      </c>
      <c r="C3117" s="6" t="s">
        <v>296</v>
      </c>
      <c r="D3117" s="6">
        <v>1.139463514775009</v>
      </c>
      <c r="E3117" s="6" t="s">
        <v>90</v>
      </c>
      <c r="F3117" s="6" t="s">
        <v>61</v>
      </c>
      <c r="G3117" s="7">
        <v>53088.58925206317</v>
      </c>
      <c r="H3117" s="6">
        <v>60492.51050360264</v>
      </c>
      <c r="I3117" s="6" t="s">
        <v>179</v>
      </c>
      <c r="J3117" s="15">
        <v>21</v>
      </c>
    </row>
    <row r="3118" spans="1:10">
      <c r="A3118" s="6" t="s">
        <v>141</v>
      </c>
      <c r="B3118" s="6" t="s">
        <v>92</v>
      </c>
      <c r="C3118" s="6" t="s">
        <v>296</v>
      </c>
      <c r="D3118" s="6">
        <v>1.613</v>
      </c>
      <c r="E3118" s="6" t="s">
        <v>92</v>
      </c>
      <c r="F3118" s="6" t="s">
        <v>61</v>
      </c>
      <c r="G3118" s="7">
        <v>53088.58925206317</v>
      </c>
      <c r="H3118" s="6">
        <v>85631.89446357792</v>
      </c>
      <c r="I3118" s="6" t="s">
        <v>179</v>
      </c>
      <c r="J3118" s="15">
        <v>21</v>
      </c>
    </row>
    <row r="3119" spans="1:10">
      <c r="A3119" s="6" t="s">
        <v>141</v>
      </c>
      <c r="B3119" s="6" t="s">
        <v>92</v>
      </c>
      <c r="C3119" s="6" t="s">
        <v>299</v>
      </c>
      <c r="D3119" s="6">
        <v>0.019</v>
      </c>
      <c r="E3119" s="6" t="s">
        <v>88</v>
      </c>
      <c r="F3119" s="6" t="s">
        <v>53</v>
      </c>
      <c r="G3119" s="7">
        <v>52009.60071301651</v>
      </c>
      <c r="H3119" s="6">
        <v>988.1824135473137</v>
      </c>
      <c r="I3119" s="6" t="s">
        <v>180</v>
      </c>
      <c r="J3119" s="15">
        <v>12.7131801003138</v>
      </c>
    </row>
    <row r="3120" spans="1:10">
      <c r="A3120" s="6" t="s">
        <v>141</v>
      </c>
      <c r="B3120" s="6" t="s">
        <v>92</v>
      </c>
      <c r="C3120" s="6" t="s">
        <v>303</v>
      </c>
      <c r="D3120" s="6">
        <v>0.006333333333333333</v>
      </c>
      <c r="E3120" s="6" t="s">
        <v>88</v>
      </c>
      <c r="F3120" s="6" t="s">
        <v>53</v>
      </c>
      <c r="G3120" s="7">
        <v>52579.50648328198</v>
      </c>
      <c r="H3120" s="6">
        <v>333.0035410607858</v>
      </c>
      <c r="I3120" s="6" t="s">
        <v>180</v>
      </c>
      <c r="J3120" s="15">
        <v>12.92656596243804</v>
      </c>
    </row>
    <row r="3121" spans="1:10">
      <c r="A3121" s="6" t="s">
        <v>141</v>
      </c>
      <c r="B3121" s="6" t="s">
        <v>92</v>
      </c>
      <c r="C3121" s="6" t="s">
        <v>306</v>
      </c>
      <c r="D3121" s="6">
        <v>0.9013848574901118</v>
      </c>
      <c r="E3121" s="6" t="s">
        <v>44</v>
      </c>
      <c r="F3121" s="6" t="s">
        <v>57</v>
      </c>
      <c r="G3121" s="7">
        <v>39936.89263645957</v>
      </c>
      <c r="H3121" s="6">
        <v>35998.510277713</v>
      </c>
      <c r="I3121" s="6" t="s">
        <v>180</v>
      </c>
      <c r="J3121" s="15">
        <v>8.192879805950582</v>
      </c>
    </row>
    <row r="3122" spans="1:10">
      <c r="A3122" s="6" t="s">
        <v>141</v>
      </c>
      <c r="B3122" s="6" t="s">
        <v>92</v>
      </c>
      <c r="C3122" s="6" t="s">
        <v>306</v>
      </c>
      <c r="D3122" s="6">
        <v>0.1883465564997038</v>
      </c>
      <c r="E3122" s="6" t="s">
        <v>86</v>
      </c>
      <c r="F3122" s="6" t="s">
        <v>57</v>
      </c>
      <c r="G3122" s="7">
        <v>39936.89263645957</v>
      </c>
      <c r="H3122" s="6">
        <v>7521.976205375538</v>
      </c>
      <c r="I3122" s="6" t="s">
        <v>180</v>
      </c>
      <c r="J3122" s="15">
        <v>8.192879805950582</v>
      </c>
    </row>
    <row r="3123" spans="1:10">
      <c r="A3123" s="6" t="s">
        <v>141</v>
      </c>
      <c r="B3123" s="6" t="s">
        <v>92</v>
      </c>
      <c r="C3123" s="6" t="s">
        <v>306</v>
      </c>
      <c r="D3123" s="6">
        <v>0.1283333333333333</v>
      </c>
      <c r="E3123" s="6" t="s">
        <v>88</v>
      </c>
      <c r="F3123" s="6" t="s">
        <v>57</v>
      </c>
      <c r="G3123" s="7">
        <v>39936.89263645957</v>
      </c>
      <c r="H3123" s="6">
        <v>5125.234555012311</v>
      </c>
      <c r="I3123" s="6" t="s">
        <v>180</v>
      </c>
      <c r="J3123" s="15">
        <v>8.192879805950582</v>
      </c>
    </row>
    <row r="3124" spans="1:10">
      <c r="A3124" s="6" t="s">
        <v>141</v>
      </c>
      <c r="B3124" s="6" t="s">
        <v>92</v>
      </c>
      <c r="C3124" s="6" t="s">
        <v>306</v>
      </c>
      <c r="D3124" s="6">
        <v>0.02428396997339415</v>
      </c>
      <c r="E3124" s="6" t="s">
        <v>90</v>
      </c>
      <c r="F3124" s="6" t="s">
        <v>57</v>
      </c>
      <c r="G3124" s="7">
        <v>39936.89263645957</v>
      </c>
      <c r="H3124" s="6">
        <v>969.8263016144501</v>
      </c>
      <c r="I3124" s="6" t="s">
        <v>180</v>
      </c>
      <c r="J3124" s="15">
        <v>8.192879805950582</v>
      </c>
    </row>
    <row r="3125" spans="1:10">
      <c r="A3125" s="6" t="s">
        <v>141</v>
      </c>
      <c r="B3125" s="6" t="s">
        <v>92</v>
      </c>
      <c r="C3125" s="6" t="s">
        <v>307</v>
      </c>
      <c r="D3125" s="6">
        <v>0.001</v>
      </c>
      <c r="E3125" s="6" t="s">
        <v>88</v>
      </c>
      <c r="F3125" s="6" t="s">
        <v>53</v>
      </c>
      <c r="G3125" s="7">
        <v>52756.89179587198</v>
      </c>
      <c r="H3125" s="6">
        <v>52.75689179587199</v>
      </c>
      <c r="I3125" s="6" t="s">
        <v>180</v>
      </c>
      <c r="J3125" s="15">
        <v>12.99298311388671</v>
      </c>
    </row>
    <row r="3126" spans="1:10">
      <c r="A3126" s="6" t="s">
        <v>141</v>
      </c>
      <c r="B3126" s="6" t="s">
        <v>92</v>
      </c>
      <c r="C3126" s="6" t="s">
        <v>311</v>
      </c>
      <c r="D3126" s="6">
        <v>10.4955</v>
      </c>
      <c r="E3126" s="6" t="s">
        <v>44</v>
      </c>
      <c r="F3126" s="6" t="s">
        <v>51</v>
      </c>
      <c r="G3126" s="7">
        <v>47093.06261970591</v>
      </c>
      <c r="H3126" s="6">
        <v>494265.2387251233</v>
      </c>
      <c r="I3126" s="6" t="s">
        <v>179</v>
      </c>
      <c r="J3126" s="15">
        <v>49.65833333333333</v>
      </c>
    </row>
    <row r="3127" spans="1:10">
      <c r="A3127" s="6" t="s">
        <v>141</v>
      </c>
      <c r="B3127" s="6" t="s">
        <v>92</v>
      </c>
      <c r="C3127" s="6" t="s">
        <v>311</v>
      </c>
      <c r="D3127" s="6">
        <v>3.378</v>
      </c>
      <c r="E3127" s="6" t="s">
        <v>86</v>
      </c>
      <c r="F3127" s="6" t="s">
        <v>51</v>
      </c>
      <c r="G3127" s="7">
        <v>47093.06261970591</v>
      </c>
      <c r="H3127" s="6">
        <v>159080.3655293666</v>
      </c>
      <c r="I3127" s="6" t="s">
        <v>179</v>
      </c>
      <c r="J3127" s="15">
        <v>49.65833333333333</v>
      </c>
    </row>
    <row r="3128" spans="1:10">
      <c r="A3128" s="6" t="s">
        <v>141</v>
      </c>
      <c r="B3128" s="6" t="s">
        <v>92</v>
      </c>
      <c r="C3128" s="6" t="s">
        <v>311</v>
      </c>
      <c r="D3128" s="6">
        <v>73.91283333333334</v>
      </c>
      <c r="E3128" s="6" t="s">
        <v>88</v>
      </c>
      <c r="F3128" s="6" t="s">
        <v>51</v>
      </c>
      <c r="G3128" s="7">
        <v>47093.06261970591</v>
      </c>
      <c r="H3128" s="6">
        <v>3480781.688566553</v>
      </c>
      <c r="I3128" s="6" t="s">
        <v>179</v>
      </c>
      <c r="J3128" s="15">
        <v>49.65833333333333</v>
      </c>
    </row>
    <row r="3129" spans="1:10">
      <c r="A3129" s="6" t="s">
        <v>141</v>
      </c>
      <c r="B3129" s="6" t="s">
        <v>92</v>
      </c>
      <c r="C3129" s="6" t="s">
        <v>313</v>
      </c>
      <c r="D3129" s="6">
        <v>8.80276415782063E-05</v>
      </c>
      <c r="E3129" s="6" t="s">
        <v>44</v>
      </c>
      <c r="F3129" s="6" t="s">
        <v>51</v>
      </c>
      <c r="G3129" s="7">
        <v>47731.50326829251</v>
      </c>
      <c r="H3129" s="6">
        <v>4.201691661690235</v>
      </c>
      <c r="I3129" s="6" t="s">
        <v>180</v>
      </c>
      <c r="J3129" s="15">
        <v>11.11136176626066</v>
      </c>
    </row>
    <row r="3130" spans="1:10">
      <c r="A3130" s="6" t="s">
        <v>141</v>
      </c>
      <c r="B3130" s="6" t="s">
        <v>92</v>
      </c>
      <c r="C3130" s="6" t="s">
        <v>313</v>
      </c>
      <c r="D3130" s="6">
        <v>0.01424530569175513</v>
      </c>
      <c r="E3130" s="6" t="s">
        <v>86</v>
      </c>
      <c r="F3130" s="6" t="s">
        <v>51</v>
      </c>
      <c r="G3130" s="7">
        <v>47731.50326829251</v>
      </c>
      <c r="H3130" s="6">
        <v>679.9498551838357</v>
      </c>
      <c r="I3130" s="6" t="s">
        <v>180</v>
      </c>
      <c r="J3130" s="15">
        <v>11.11136176626066</v>
      </c>
    </row>
    <row r="3131" spans="1:10">
      <c r="A3131" s="6" t="s">
        <v>141</v>
      </c>
      <c r="B3131" s="6" t="s">
        <v>92</v>
      </c>
      <c r="C3131" s="6" t="s">
        <v>313</v>
      </c>
      <c r="D3131" s="6">
        <v>0.08800000000000001</v>
      </c>
      <c r="E3131" s="6" t="s">
        <v>88</v>
      </c>
      <c r="F3131" s="6" t="s">
        <v>51</v>
      </c>
      <c r="G3131" s="7">
        <v>47731.50326829251</v>
      </c>
      <c r="H3131" s="6">
        <v>4200.372287609741</v>
      </c>
      <c r="I3131" s="6" t="s">
        <v>180</v>
      </c>
      <c r="J3131" s="15">
        <v>11.11136176626066</v>
      </c>
    </row>
    <row r="3132" spans="1:10">
      <c r="A3132" s="6" t="s">
        <v>141</v>
      </c>
      <c r="B3132" s="6" t="s">
        <v>92</v>
      </c>
      <c r="C3132" s="6" t="s">
        <v>315</v>
      </c>
      <c r="D3132" s="6">
        <v>1.45475</v>
      </c>
      <c r="E3132" s="6" t="s">
        <v>86</v>
      </c>
      <c r="F3132" s="6" t="s">
        <v>51</v>
      </c>
      <c r="G3132" s="7">
        <v>36977.7141649833</v>
      </c>
      <c r="H3132" s="6">
        <v>53793.32968150947</v>
      </c>
      <c r="I3132" s="6" t="s">
        <v>179</v>
      </c>
      <c r="J3132" s="15">
        <v>20.63333333333333</v>
      </c>
    </row>
    <row r="3133" spans="1:10">
      <c r="A3133" s="6" t="s">
        <v>141</v>
      </c>
      <c r="B3133" s="6" t="s">
        <v>92</v>
      </c>
      <c r="C3133" s="6" t="s">
        <v>315</v>
      </c>
      <c r="D3133" s="6">
        <v>20.96308333333333</v>
      </c>
      <c r="E3133" s="6" t="s">
        <v>88</v>
      </c>
      <c r="F3133" s="6" t="s">
        <v>51</v>
      </c>
      <c r="G3133" s="7">
        <v>36977.7141649833</v>
      </c>
      <c r="H3133" s="6">
        <v>775166.9035167252</v>
      </c>
      <c r="I3133" s="6" t="s">
        <v>179</v>
      </c>
      <c r="J3133" s="15">
        <v>20.63333333333333</v>
      </c>
    </row>
    <row r="3134" spans="1:10">
      <c r="A3134" s="6" t="s">
        <v>141</v>
      </c>
      <c r="B3134" s="6" t="s">
        <v>92</v>
      </c>
      <c r="C3134" s="6" t="s">
        <v>317</v>
      </c>
      <c r="D3134" s="6">
        <v>0.003583333333333333</v>
      </c>
      <c r="E3134" s="6" t="s">
        <v>86</v>
      </c>
      <c r="F3134" s="6" t="s">
        <v>51</v>
      </c>
      <c r="G3134" s="7">
        <v>51135.75391883078</v>
      </c>
      <c r="H3134" s="6">
        <v>183.2364515424769</v>
      </c>
      <c r="I3134" s="6" t="s">
        <v>180</v>
      </c>
      <c r="J3134" s="15">
        <v>12.38599171010859</v>
      </c>
    </row>
    <row r="3135" spans="1:10">
      <c r="A3135" s="6" t="s">
        <v>141</v>
      </c>
      <c r="B3135" s="6" t="s">
        <v>92</v>
      </c>
      <c r="C3135" s="6" t="s">
        <v>317</v>
      </c>
      <c r="D3135" s="6">
        <v>0.03716666666666667</v>
      </c>
      <c r="E3135" s="6" t="s">
        <v>88</v>
      </c>
      <c r="F3135" s="6" t="s">
        <v>51</v>
      </c>
      <c r="G3135" s="7">
        <v>51135.75391883078</v>
      </c>
      <c r="H3135" s="6">
        <v>1900.545520649877</v>
      </c>
      <c r="I3135" s="6" t="s">
        <v>180</v>
      </c>
      <c r="J3135" s="15">
        <v>12.38599171010859</v>
      </c>
    </row>
    <row r="3136" spans="1:10">
      <c r="A3136" s="6" t="s">
        <v>141</v>
      </c>
      <c r="B3136" s="6" t="s">
        <v>92</v>
      </c>
      <c r="C3136" s="6" t="s">
        <v>320</v>
      </c>
      <c r="D3136" s="6">
        <v>2.342665293813788</v>
      </c>
      <c r="E3136" s="6" t="s">
        <v>44</v>
      </c>
      <c r="F3136" s="6" t="s">
        <v>51</v>
      </c>
      <c r="G3136" s="7">
        <v>42399.1324717879</v>
      </c>
      <c r="H3136" s="6">
        <v>99326.97612947071</v>
      </c>
      <c r="I3136" s="6" t="s">
        <v>179</v>
      </c>
      <c r="J3136" s="15">
        <v>45</v>
      </c>
    </row>
    <row r="3137" spans="1:10">
      <c r="A3137" s="6" t="s">
        <v>141</v>
      </c>
      <c r="B3137" s="6" t="s">
        <v>92</v>
      </c>
      <c r="C3137" s="6" t="s">
        <v>320</v>
      </c>
      <c r="D3137" s="6">
        <v>53.86402054121348</v>
      </c>
      <c r="E3137" s="6" t="s">
        <v>86</v>
      </c>
      <c r="F3137" s="6" t="s">
        <v>51</v>
      </c>
      <c r="G3137" s="7">
        <v>42399.1324717879</v>
      </c>
      <c r="H3137" s="6">
        <v>2283787.742390015</v>
      </c>
      <c r="I3137" s="6" t="s">
        <v>179</v>
      </c>
      <c r="J3137" s="15">
        <v>45</v>
      </c>
    </row>
    <row r="3138" spans="1:10">
      <c r="A3138" s="6" t="s">
        <v>141</v>
      </c>
      <c r="B3138" s="6" t="s">
        <v>92</v>
      </c>
      <c r="C3138" s="6" t="s">
        <v>320</v>
      </c>
      <c r="D3138" s="6">
        <v>391.2159166666666</v>
      </c>
      <c r="E3138" s="6" t="s">
        <v>88</v>
      </c>
      <c r="F3138" s="6" t="s">
        <v>51</v>
      </c>
      <c r="G3138" s="7">
        <v>42399.1324717879</v>
      </c>
      <c r="H3138" s="6">
        <v>16587215.47582193</v>
      </c>
      <c r="I3138" s="6" t="s">
        <v>179</v>
      </c>
      <c r="J3138" s="15">
        <v>45</v>
      </c>
    </row>
    <row r="3139" spans="1:10">
      <c r="A3139" s="6" t="s">
        <v>141</v>
      </c>
      <c r="B3139" s="6" t="s">
        <v>92</v>
      </c>
      <c r="C3139" s="6" t="s">
        <v>320</v>
      </c>
      <c r="D3139" s="6">
        <v>0.03323083163940775</v>
      </c>
      <c r="E3139" s="6" t="s">
        <v>90</v>
      </c>
      <c r="F3139" s="6" t="s">
        <v>51</v>
      </c>
      <c r="G3139" s="7">
        <v>42399.1324717879</v>
      </c>
      <c r="H3139" s="6">
        <v>1408.95843282693</v>
      </c>
      <c r="I3139" s="6" t="s">
        <v>179</v>
      </c>
      <c r="J3139" s="15">
        <v>45</v>
      </c>
    </row>
    <row r="3140" spans="1:10">
      <c r="A3140" s="6" t="s">
        <v>141</v>
      </c>
      <c r="B3140" s="6" t="s">
        <v>92</v>
      </c>
      <c r="C3140" s="6" t="s">
        <v>322</v>
      </c>
      <c r="D3140" s="6">
        <v>0.003583333333333333</v>
      </c>
      <c r="E3140" s="6" t="s">
        <v>86</v>
      </c>
      <c r="F3140" s="6" t="s">
        <v>51</v>
      </c>
      <c r="G3140" s="7">
        <v>51594.95855690809</v>
      </c>
      <c r="H3140" s="6">
        <v>184.8819348289206</v>
      </c>
      <c r="I3140" s="6" t="s">
        <v>180</v>
      </c>
      <c r="J3140" s="15">
        <v>12.55792851562985</v>
      </c>
    </row>
    <row r="3141" spans="1:10">
      <c r="A3141" s="6" t="s">
        <v>141</v>
      </c>
      <c r="B3141" s="6" t="s">
        <v>92</v>
      </c>
      <c r="C3141" s="6" t="s">
        <v>322</v>
      </c>
      <c r="D3141" s="6">
        <v>1.458916666666667</v>
      </c>
      <c r="E3141" s="6" t="s">
        <v>88</v>
      </c>
      <c r="F3141" s="6" t="s">
        <v>51</v>
      </c>
      <c r="G3141" s="7">
        <v>51594.95855690809</v>
      </c>
      <c r="H3141" s="6">
        <v>75272.74495464916</v>
      </c>
      <c r="I3141" s="6" t="s">
        <v>180</v>
      </c>
      <c r="J3141" s="15">
        <v>12.55792851562985</v>
      </c>
    </row>
    <row r="3142" spans="1:10">
      <c r="A3142" s="6" t="s">
        <v>141</v>
      </c>
      <c r="B3142" s="6" t="s">
        <v>92</v>
      </c>
      <c r="C3142" s="6" t="s">
        <v>323</v>
      </c>
      <c r="D3142" s="6">
        <v>125.2291450771252</v>
      </c>
      <c r="E3142" s="6" t="s">
        <v>44</v>
      </c>
      <c r="F3142" s="6" t="s">
        <v>55</v>
      </c>
      <c r="G3142" s="7">
        <v>37901.84707720344</v>
      </c>
      <c r="H3142" s="6">
        <v>4746415.906322124</v>
      </c>
      <c r="I3142" s="6" t="s">
        <v>179</v>
      </c>
      <c r="J3142" s="15">
        <v>17</v>
      </c>
    </row>
    <row r="3143" spans="1:10">
      <c r="A3143" s="6" t="s">
        <v>141</v>
      </c>
      <c r="B3143" s="6" t="s">
        <v>92</v>
      </c>
      <c r="C3143" s="6" t="s">
        <v>323</v>
      </c>
      <c r="D3143" s="6">
        <v>15.93454337168023</v>
      </c>
      <c r="E3143" s="6" t="s">
        <v>86</v>
      </c>
      <c r="F3143" s="6" t="s">
        <v>55</v>
      </c>
      <c r="G3143" s="7">
        <v>37901.84707720344</v>
      </c>
      <c r="H3143" s="6">
        <v>603948.6261184898</v>
      </c>
      <c r="I3143" s="6" t="s">
        <v>179</v>
      </c>
      <c r="J3143" s="15">
        <v>17</v>
      </c>
    </row>
    <row r="3144" spans="1:10">
      <c r="A3144" s="6" t="s">
        <v>141</v>
      </c>
      <c r="B3144" s="6" t="s">
        <v>92</v>
      </c>
      <c r="C3144" s="6" t="s">
        <v>323</v>
      </c>
      <c r="D3144" s="6">
        <v>9.595333333333333</v>
      </c>
      <c r="E3144" s="6" t="s">
        <v>88</v>
      </c>
      <c r="F3144" s="6" t="s">
        <v>55</v>
      </c>
      <c r="G3144" s="7">
        <v>37901.84707720344</v>
      </c>
      <c r="H3144" s="6">
        <v>363680.8566547927</v>
      </c>
      <c r="I3144" s="6" t="s">
        <v>179</v>
      </c>
      <c r="J3144" s="15">
        <v>17</v>
      </c>
    </row>
    <row r="3145" spans="1:10">
      <c r="A3145" s="6" t="s">
        <v>141</v>
      </c>
      <c r="B3145" s="6" t="s">
        <v>92</v>
      </c>
      <c r="C3145" s="6" t="s">
        <v>323</v>
      </c>
      <c r="D3145" s="6">
        <v>12.96774922347219</v>
      </c>
      <c r="E3145" s="6" t="s">
        <v>90</v>
      </c>
      <c r="F3145" s="6" t="s">
        <v>55</v>
      </c>
      <c r="G3145" s="7">
        <v>37901.84707720344</v>
      </c>
      <c r="H3145" s="6">
        <v>491501.6480035666</v>
      </c>
      <c r="I3145" s="6" t="s">
        <v>179</v>
      </c>
      <c r="J3145" s="15">
        <v>17</v>
      </c>
    </row>
    <row r="3146" spans="1:10">
      <c r="A3146" s="6" t="s">
        <v>141</v>
      </c>
      <c r="B3146" s="6" t="s">
        <v>92</v>
      </c>
      <c r="C3146" s="6" t="s">
        <v>323</v>
      </c>
      <c r="D3146" s="6">
        <v>0.6418333333333334</v>
      </c>
      <c r="E3146" s="6" t="s">
        <v>92</v>
      </c>
      <c r="F3146" s="6" t="s">
        <v>55</v>
      </c>
      <c r="G3146" s="7">
        <v>37901.84707720344</v>
      </c>
      <c r="H3146" s="6">
        <v>24326.66884905174</v>
      </c>
      <c r="I3146" s="6" t="s">
        <v>179</v>
      </c>
      <c r="J3146" s="15">
        <v>17</v>
      </c>
    </row>
    <row r="3147" spans="1:10">
      <c r="A3147" s="6" t="s">
        <v>141</v>
      </c>
      <c r="B3147" s="6" t="s">
        <v>92</v>
      </c>
      <c r="C3147" s="6" t="s">
        <v>324</v>
      </c>
      <c r="D3147" s="6">
        <v>1.083791417331326</v>
      </c>
      <c r="E3147" s="6" t="s">
        <v>44</v>
      </c>
      <c r="F3147" s="6" t="s">
        <v>51</v>
      </c>
      <c r="G3147" s="7">
        <v>59286.87997138536</v>
      </c>
      <c r="H3147" s="6">
        <v>64254.61167333996</v>
      </c>
      <c r="I3147" s="6" t="s">
        <v>179</v>
      </c>
      <c r="J3147" s="15">
        <v>44</v>
      </c>
    </row>
    <row r="3148" spans="1:10">
      <c r="A3148" s="6" t="s">
        <v>141</v>
      </c>
      <c r="B3148" s="6" t="s">
        <v>92</v>
      </c>
      <c r="C3148" s="6" t="s">
        <v>324</v>
      </c>
      <c r="D3148" s="6">
        <v>13.80771632193442</v>
      </c>
      <c r="E3148" s="6" t="s">
        <v>86</v>
      </c>
      <c r="F3148" s="6" t="s">
        <v>51</v>
      </c>
      <c r="G3148" s="7">
        <v>59286.87997138536</v>
      </c>
      <c r="H3148" s="6">
        <v>818616.4202574645</v>
      </c>
      <c r="I3148" s="6" t="s">
        <v>179</v>
      </c>
      <c r="J3148" s="15">
        <v>44</v>
      </c>
    </row>
    <row r="3149" spans="1:10">
      <c r="A3149" s="6" t="s">
        <v>141</v>
      </c>
      <c r="B3149" s="6" t="s">
        <v>92</v>
      </c>
      <c r="C3149" s="6" t="s">
        <v>324</v>
      </c>
      <c r="D3149" s="6">
        <v>136.2831666666667</v>
      </c>
      <c r="E3149" s="6" t="s">
        <v>88</v>
      </c>
      <c r="F3149" s="6" t="s">
        <v>51</v>
      </c>
      <c r="G3149" s="7">
        <v>59286.87997138536</v>
      </c>
      <c r="H3149" s="6">
        <v>8079803.744286974</v>
      </c>
      <c r="I3149" s="6" t="s">
        <v>179</v>
      </c>
      <c r="J3149" s="15">
        <v>44</v>
      </c>
    </row>
    <row r="3150" spans="1:10">
      <c r="A3150" s="6" t="s">
        <v>141</v>
      </c>
      <c r="B3150" s="6" t="s">
        <v>92</v>
      </c>
      <c r="C3150" s="6" t="s">
        <v>324</v>
      </c>
      <c r="D3150" s="6">
        <v>0.007503844738831526</v>
      </c>
      <c r="E3150" s="6" t="s">
        <v>90</v>
      </c>
      <c r="F3150" s="6" t="s">
        <v>51</v>
      </c>
      <c r="G3150" s="7">
        <v>59286.87997138536</v>
      </c>
      <c r="H3150" s="6">
        <v>444.8795423550162</v>
      </c>
      <c r="I3150" s="6" t="s">
        <v>179</v>
      </c>
      <c r="J3150" s="15">
        <v>44</v>
      </c>
    </row>
    <row r="3151" spans="1:10">
      <c r="A3151" s="6" t="s">
        <v>141</v>
      </c>
      <c r="B3151" s="6" t="s">
        <v>92</v>
      </c>
      <c r="C3151" s="6" t="s">
        <v>372</v>
      </c>
      <c r="D3151" s="6">
        <v>5.601166666666667</v>
      </c>
      <c r="E3151" s="6" t="s">
        <v>44</v>
      </c>
      <c r="F3151" s="6" t="s">
        <v>55</v>
      </c>
      <c r="G3151" s="7">
        <v>68202.26587027434</v>
      </c>
      <c r="H3151" s="6">
        <v>382012.2581837183</v>
      </c>
      <c r="I3151" s="6" t="s">
        <v>179</v>
      </c>
      <c r="J3151" s="15">
        <v>66.26666666666667</v>
      </c>
    </row>
    <row r="3152" spans="1:10">
      <c r="A3152" s="6" t="s">
        <v>141</v>
      </c>
      <c r="B3152" s="6" t="s">
        <v>92</v>
      </c>
      <c r="C3152" s="6" t="s">
        <v>372</v>
      </c>
      <c r="D3152" s="6">
        <v>0.702</v>
      </c>
      <c r="E3152" s="6" t="s">
        <v>86</v>
      </c>
      <c r="F3152" s="6" t="s">
        <v>55</v>
      </c>
      <c r="G3152" s="7">
        <v>68202.26587027434</v>
      </c>
      <c r="H3152" s="6">
        <v>47877.99064093258</v>
      </c>
      <c r="I3152" s="6" t="s">
        <v>179</v>
      </c>
      <c r="J3152" s="15">
        <v>66.26666666666667</v>
      </c>
    </row>
    <row r="3153" spans="1:10">
      <c r="A3153" s="6" t="s">
        <v>141</v>
      </c>
      <c r="B3153" s="6" t="s">
        <v>92</v>
      </c>
      <c r="C3153" s="6" t="s">
        <v>372</v>
      </c>
      <c r="D3153" s="6">
        <v>1.7615</v>
      </c>
      <c r="E3153" s="6" t="s">
        <v>88</v>
      </c>
      <c r="F3153" s="6" t="s">
        <v>55</v>
      </c>
      <c r="G3153" s="7">
        <v>68202.26587027434</v>
      </c>
      <c r="H3153" s="6">
        <v>120138.2913304882</v>
      </c>
      <c r="I3153" s="6" t="s">
        <v>179</v>
      </c>
      <c r="J3153" s="15">
        <v>66.26666666666667</v>
      </c>
    </row>
    <row r="3154" spans="1:10">
      <c r="A3154" s="6" t="s">
        <v>141</v>
      </c>
      <c r="B3154" s="6" t="s">
        <v>92</v>
      </c>
      <c r="C3154" s="6" t="s">
        <v>372</v>
      </c>
      <c r="D3154" s="6">
        <v>2.02625</v>
      </c>
      <c r="E3154" s="6" t="s">
        <v>90</v>
      </c>
      <c r="F3154" s="6" t="s">
        <v>55</v>
      </c>
      <c r="G3154" s="7">
        <v>68202.26587027434</v>
      </c>
      <c r="H3154" s="6">
        <v>138194.8412196434</v>
      </c>
      <c r="I3154" s="6" t="s">
        <v>179</v>
      </c>
      <c r="J3154" s="15">
        <v>66.26666666666667</v>
      </c>
    </row>
    <row r="3155" spans="1:10">
      <c r="A3155" s="6" t="s">
        <v>141</v>
      </c>
      <c r="B3155" s="6" t="s">
        <v>92</v>
      </c>
      <c r="C3155" s="6" t="s">
        <v>325</v>
      </c>
      <c r="D3155" s="6">
        <v>0.01316666666666667</v>
      </c>
      <c r="E3155" s="6" t="s">
        <v>88</v>
      </c>
      <c r="F3155" s="6" t="s">
        <v>53</v>
      </c>
      <c r="G3155" s="7">
        <v>65311.40887625943</v>
      </c>
      <c r="H3155" s="6">
        <v>859.9335502040824</v>
      </c>
      <c r="I3155" s="6" t="s">
        <v>180</v>
      </c>
      <c r="J3155" s="15">
        <v>17.69368380955434</v>
      </c>
    </row>
    <row r="3156" spans="1:10">
      <c r="A3156" s="6" t="s">
        <v>141</v>
      </c>
      <c r="B3156" s="6" t="s">
        <v>92</v>
      </c>
      <c r="C3156" s="6" t="s">
        <v>326</v>
      </c>
      <c r="D3156" s="6">
        <v>0.4683546602119865</v>
      </c>
      <c r="E3156" s="6" t="s">
        <v>44</v>
      </c>
      <c r="F3156" s="6" t="s">
        <v>54</v>
      </c>
      <c r="G3156" s="7">
        <v>91760.91506579834</v>
      </c>
      <c r="H3156" s="6">
        <v>42976.65219638294</v>
      </c>
      <c r="I3156" s="6" t="s">
        <v>180</v>
      </c>
      <c r="J3156" s="15">
        <v>27.59698883906121</v>
      </c>
    </row>
    <row r="3157" spans="1:10">
      <c r="A3157" s="6" t="s">
        <v>141</v>
      </c>
      <c r="B3157" s="6" t="s">
        <v>92</v>
      </c>
      <c r="C3157" s="6" t="s">
        <v>373</v>
      </c>
      <c r="D3157" s="6">
        <v>2.0795</v>
      </c>
      <c r="E3157" s="6" t="s">
        <v>44</v>
      </c>
      <c r="F3157" s="6" t="s">
        <v>55</v>
      </c>
      <c r="G3157" s="7">
        <v>55106.40770760055</v>
      </c>
      <c r="H3157" s="6">
        <v>114593.7748279553</v>
      </c>
      <c r="I3157" s="6" t="s">
        <v>179</v>
      </c>
      <c r="J3157" s="15">
        <v>18</v>
      </c>
    </row>
    <row r="3158" spans="1:10">
      <c r="A3158" s="6" t="s">
        <v>141</v>
      </c>
      <c r="B3158" s="6" t="s">
        <v>92</v>
      </c>
      <c r="C3158" s="6" t="s">
        <v>373</v>
      </c>
      <c r="D3158" s="6">
        <v>0.3811666666666667</v>
      </c>
      <c r="E3158" s="6" t="s">
        <v>86</v>
      </c>
      <c r="F3158" s="6" t="s">
        <v>55</v>
      </c>
      <c r="G3158" s="7">
        <v>55106.40770760055</v>
      </c>
      <c r="H3158" s="6">
        <v>21004.72573788041</v>
      </c>
      <c r="I3158" s="6" t="s">
        <v>179</v>
      </c>
      <c r="J3158" s="15">
        <v>18</v>
      </c>
    </row>
    <row r="3159" spans="1:10">
      <c r="A3159" s="6" t="s">
        <v>141</v>
      </c>
      <c r="B3159" s="6" t="s">
        <v>92</v>
      </c>
      <c r="C3159" s="6" t="s">
        <v>373</v>
      </c>
      <c r="D3159" s="6">
        <v>0.2316666666666667</v>
      </c>
      <c r="E3159" s="6" t="s">
        <v>88</v>
      </c>
      <c r="F3159" s="6" t="s">
        <v>55</v>
      </c>
      <c r="G3159" s="7">
        <v>55106.40770760055</v>
      </c>
      <c r="H3159" s="6">
        <v>12766.31778559413</v>
      </c>
      <c r="I3159" s="6" t="s">
        <v>179</v>
      </c>
      <c r="J3159" s="15">
        <v>18</v>
      </c>
    </row>
    <row r="3160" spans="1:10">
      <c r="A3160" s="6" t="s">
        <v>141</v>
      </c>
      <c r="B3160" s="6" t="s">
        <v>92</v>
      </c>
      <c r="C3160" s="6" t="s">
        <v>373</v>
      </c>
      <c r="D3160" s="6">
        <v>0.2753333333333334</v>
      </c>
      <c r="E3160" s="6" t="s">
        <v>90</v>
      </c>
      <c r="F3160" s="6" t="s">
        <v>55</v>
      </c>
      <c r="G3160" s="7">
        <v>55106.40770760055</v>
      </c>
      <c r="H3160" s="6">
        <v>15172.63092215935</v>
      </c>
      <c r="I3160" s="6" t="s">
        <v>179</v>
      </c>
      <c r="J3160" s="15">
        <v>18</v>
      </c>
    </row>
    <row r="3161" spans="1:10">
      <c r="A3161" s="6" t="s">
        <v>141</v>
      </c>
      <c r="B3161" s="6" t="s">
        <v>92</v>
      </c>
      <c r="C3161" s="6" t="s">
        <v>374</v>
      </c>
      <c r="D3161" s="6">
        <v>0.25875</v>
      </c>
      <c r="E3161" s="6" t="s">
        <v>44</v>
      </c>
      <c r="F3161" s="6" t="s">
        <v>55</v>
      </c>
      <c r="G3161" s="7">
        <v>29054.37866544401</v>
      </c>
      <c r="H3161" s="6">
        <v>7517.820479683636</v>
      </c>
      <c r="I3161" s="6" t="s">
        <v>180</v>
      </c>
      <c r="J3161" s="15">
        <v>15.81666666666667</v>
      </c>
    </row>
    <row r="3162" spans="1:10">
      <c r="A3162" s="6" t="s">
        <v>141</v>
      </c>
      <c r="B3162" s="6" t="s">
        <v>92</v>
      </c>
      <c r="C3162" s="6" t="s">
        <v>374</v>
      </c>
      <c r="D3162" s="6">
        <v>0.17275</v>
      </c>
      <c r="E3162" s="6" t="s">
        <v>86</v>
      </c>
      <c r="F3162" s="6" t="s">
        <v>55</v>
      </c>
      <c r="G3162" s="7">
        <v>29054.37866544401</v>
      </c>
      <c r="H3162" s="6">
        <v>5019.143914455452</v>
      </c>
      <c r="I3162" s="6" t="s">
        <v>180</v>
      </c>
      <c r="J3162" s="15">
        <v>15.81666666666667</v>
      </c>
    </row>
    <row r="3163" spans="1:10">
      <c r="A3163" s="6" t="s">
        <v>141</v>
      </c>
      <c r="B3163" s="6" t="s">
        <v>92</v>
      </c>
      <c r="C3163" s="6" t="s">
        <v>374</v>
      </c>
      <c r="D3163" s="6">
        <v>0.05691666666666666</v>
      </c>
      <c r="E3163" s="6" t="s">
        <v>88</v>
      </c>
      <c r="F3163" s="6" t="s">
        <v>55</v>
      </c>
      <c r="G3163" s="7">
        <v>29054.37866544401</v>
      </c>
      <c r="H3163" s="6">
        <v>1653.678385708188</v>
      </c>
      <c r="I3163" s="6" t="s">
        <v>180</v>
      </c>
      <c r="J3163" s="15">
        <v>15.81666666666667</v>
      </c>
    </row>
    <row r="3164" spans="1:10">
      <c r="A3164" s="6" t="s">
        <v>141</v>
      </c>
      <c r="B3164" s="6" t="s">
        <v>92</v>
      </c>
      <c r="C3164" s="6" t="s">
        <v>374</v>
      </c>
      <c r="D3164" s="6">
        <v>0.0575</v>
      </c>
      <c r="E3164" s="6" t="s">
        <v>90</v>
      </c>
      <c r="F3164" s="6" t="s">
        <v>55</v>
      </c>
      <c r="G3164" s="7">
        <v>29054.37866544401</v>
      </c>
      <c r="H3164" s="6">
        <v>1670.62677326303</v>
      </c>
      <c r="I3164" s="6" t="s">
        <v>180</v>
      </c>
      <c r="J3164" s="15">
        <v>15.81666666666667</v>
      </c>
    </row>
    <row r="3165" spans="1:10">
      <c r="A3165" s="6" t="s">
        <v>141</v>
      </c>
      <c r="B3165" s="6" t="s">
        <v>92</v>
      </c>
      <c r="C3165" s="6" t="s">
        <v>327</v>
      </c>
      <c r="D3165" s="6">
        <v>7.127598856775723</v>
      </c>
      <c r="E3165" s="6" t="s">
        <v>44</v>
      </c>
      <c r="F3165" s="6" t="s">
        <v>57</v>
      </c>
      <c r="G3165" s="7">
        <v>56364.20131387505</v>
      </c>
      <c r="H3165" s="6">
        <v>401741.4168478525</v>
      </c>
      <c r="I3165" s="6" t="s">
        <v>179</v>
      </c>
      <c r="J3165" s="15">
        <v>41.5</v>
      </c>
    </row>
    <row r="3166" spans="1:10">
      <c r="A3166" s="6" t="s">
        <v>141</v>
      </c>
      <c r="B3166" s="6" t="s">
        <v>92</v>
      </c>
      <c r="C3166" s="6" t="s">
        <v>327</v>
      </c>
      <c r="D3166" s="6">
        <v>1.550401738942699</v>
      </c>
      <c r="E3166" s="6" t="s">
        <v>86</v>
      </c>
      <c r="F3166" s="6" t="s">
        <v>57</v>
      </c>
      <c r="G3166" s="7">
        <v>56364.20131387505</v>
      </c>
      <c r="H3166" s="6">
        <v>87387.1557311482</v>
      </c>
      <c r="I3166" s="6" t="s">
        <v>179</v>
      </c>
      <c r="J3166" s="15">
        <v>41.5</v>
      </c>
    </row>
    <row r="3167" spans="1:10">
      <c r="A3167" s="6" t="s">
        <v>141</v>
      </c>
      <c r="B3167" s="6" t="s">
        <v>92</v>
      </c>
      <c r="C3167" s="6" t="s">
        <v>327</v>
      </c>
      <c r="D3167" s="6">
        <v>11.3985</v>
      </c>
      <c r="E3167" s="6" t="s">
        <v>88</v>
      </c>
      <c r="F3167" s="6" t="s">
        <v>57</v>
      </c>
      <c r="G3167" s="7">
        <v>56364.20131387505</v>
      </c>
      <c r="H3167" s="6">
        <v>642467.3486762047</v>
      </c>
      <c r="I3167" s="6" t="s">
        <v>179</v>
      </c>
      <c r="J3167" s="15">
        <v>41.5</v>
      </c>
    </row>
    <row r="3168" spans="1:10">
      <c r="A3168" s="6" t="s">
        <v>141</v>
      </c>
      <c r="B3168" s="6" t="s">
        <v>92</v>
      </c>
      <c r="C3168" s="6" t="s">
        <v>327</v>
      </c>
      <c r="D3168" s="6">
        <v>0.8245812457056306</v>
      </c>
      <c r="E3168" s="6" t="s">
        <v>90</v>
      </c>
      <c r="F3168" s="6" t="s">
        <v>57</v>
      </c>
      <c r="G3168" s="7">
        <v>56364.20131387505</v>
      </c>
      <c r="H3168" s="6">
        <v>46476.86333259803</v>
      </c>
      <c r="I3168" s="6" t="s">
        <v>179</v>
      </c>
      <c r="J3168" s="15">
        <v>41.5</v>
      </c>
    </row>
    <row r="3169" spans="1:10">
      <c r="A3169" s="6" t="s">
        <v>141</v>
      </c>
      <c r="B3169" s="6" t="s">
        <v>92</v>
      </c>
      <c r="C3169" s="6" t="s">
        <v>329</v>
      </c>
      <c r="D3169" s="6">
        <v>0.08185903402653506</v>
      </c>
      <c r="E3169" s="6" t="s">
        <v>44</v>
      </c>
      <c r="F3169" s="6" t="s">
        <v>58</v>
      </c>
      <c r="G3169" s="7">
        <v>67115.81850755938</v>
      </c>
      <c r="H3169" s="6">
        <v>5494.036070929055</v>
      </c>
      <c r="I3169" s="6" t="s">
        <v>179</v>
      </c>
      <c r="J3169" s="15">
        <v>43.45833333333333</v>
      </c>
    </row>
    <row r="3170" spans="1:10">
      <c r="A3170" s="6" t="s">
        <v>141</v>
      </c>
      <c r="B3170" s="6" t="s">
        <v>92</v>
      </c>
      <c r="C3170" s="6" t="s">
        <v>329</v>
      </c>
      <c r="D3170" s="6">
        <v>4.643390965973465</v>
      </c>
      <c r="E3170" s="6" t="s">
        <v>86</v>
      </c>
      <c r="F3170" s="6" t="s">
        <v>58</v>
      </c>
      <c r="G3170" s="7">
        <v>67115.81850755938</v>
      </c>
      <c r="H3170" s="6">
        <v>311644.9853319159</v>
      </c>
      <c r="I3170" s="6" t="s">
        <v>179</v>
      </c>
      <c r="J3170" s="15">
        <v>43.45833333333333</v>
      </c>
    </row>
    <row r="3171" spans="1:10">
      <c r="A3171" s="6" t="s">
        <v>141</v>
      </c>
      <c r="B3171" s="6" t="s">
        <v>92</v>
      </c>
      <c r="C3171" s="6" t="s">
        <v>329</v>
      </c>
      <c r="D3171" s="6">
        <v>69.42633333333333</v>
      </c>
      <c r="E3171" s="6" t="s">
        <v>88</v>
      </c>
      <c r="F3171" s="6" t="s">
        <v>58</v>
      </c>
      <c r="G3171" s="7">
        <v>67115.81850755938</v>
      </c>
      <c r="H3171" s="6">
        <v>4659605.18764532</v>
      </c>
      <c r="I3171" s="6" t="s">
        <v>179</v>
      </c>
      <c r="J3171" s="15">
        <v>43.45833333333333</v>
      </c>
    </row>
    <row r="3172" spans="1:10">
      <c r="A3172" s="6" t="s">
        <v>141</v>
      </c>
      <c r="B3172" s="6" t="s">
        <v>92</v>
      </c>
      <c r="C3172" s="6" t="s">
        <v>331</v>
      </c>
      <c r="D3172" s="6">
        <v>0.03805881032824814</v>
      </c>
      <c r="E3172" s="6" t="s">
        <v>44</v>
      </c>
      <c r="F3172" s="6" t="s">
        <v>58</v>
      </c>
      <c r="G3172" s="7">
        <v>52490.82308035896</v>
      </c>
      <c r="H3172" s="6">
        <v>1997.738279589012</v>
      </c>
      <c r="I3172" s="6" t="s">
        <v>179</v>
      </c>
      <c r="J3172" s="15">
        <v>17.40719355741339</v>
      </c>
    </row>
    <row r="3173" spans="1:10">
      <c r="A3173" s="6" t="s">
        <v>141</v>
      </c>
      <c r="B3173" s="6" t="s">
        <v>92</v>
      </c>
      <c r="C3173" s="6" t="s">
        <v>331</v>
      </c>
      <c r="D3173" s="6">
        <v>0.4433578563384185</v>
      </c>
      <c r="E3173" s="6" t="s">
        <v>86</v>
      </c>
      <c r="F3173" s="6" t="s">
        <v>58</v>
      </c>
      <c r="G3173" s="7">
        <v>52490.82308035896</v>
      </c>
      <c r="H3173" s="6">
        <v>23272.21879834713</v>
      </c>
      <c r="I3173" s="6" t="s">
        <v>179</v>
      </c>
      <c r="J3173" s="15">
        <v>17.40719355741339</v>
      </c>
    </row>
    <row r="3174" spans="1:10">
      <c r="A3174" s="6" t="s">
        <v>141</v>
      </c>
      <c r="B3174" s="6" t="s">
        <v>92</v>
      </c>
      <c r="C3174" s="6" t="s">
        <v>331</v>
      </c>
      <c r="D3174" s="6">
        <v>3.639916666666667</v>
      </c>
      <c r="E3174" s="6" t="s">
        <v>88</v>
      </c>
      <c r="F3174" s="6" t="s">
        <v>58</v>
      </c>
      <c r="G3174" s="7">
        <v>52490.82308035896</v>
      </c>
      <c r="H3174" s="6">
        <v>191062.2217772499</v>
      </c>
      <c r="I3174" s="6" t="s">
        <v>179</v>
      </c>
      <c r="J3174" s="15">
        <v>17.40719355741339</v>
      </c>
    </row>
    <row r="3175" spans="1:10">
      <c r="A3175" s="6" t="s">
        <v>141</v>
      </c>
      <c r="B3175" s="6" t="s">
        <v>92</v>
      </c>
      <c r="C3175" s="6" t="s">
        <v>332</v>
      </c>
      <c r="D3175" s="6">
        <v>389.8552379985971</v>
      </c>
      <c r="E3175" s="6" t="s">
        <v>44</v>
      </c>
      <c r="F3175" s="6" t="s">
        <v>55</v>
      </c>
      <c r="G3175" s="7">
        <v>18935.91078298569</v>
      </c>
      <c r="H3175" s="6">
        <v>7382264.005021087</v>
      </c>
      <c r="I3175" s="6" t="s">
        <v>179</v>
      </c>
      <c r="J3175" s="15">
        <v>13</v>
      </c>
    </row>
    <row r="3176" spans="1:10">
      <c r="A3176" s="6" t="s">
        <v>141</v>
      </c>
      <c r="B3176" s="6" t="s">
        <v>92</v>
      </c>
      <c r="C3176" s="6" t="s">
        <v>332</v>
      </c>
      <c r="D3176" s="6">
        <v>209.8488936247986</v>
      </c>
      <c r="E3176" s="6" t="s">
        <v>86</v>
      </c>
      <c r="F3176" s="6" t="s">
        <v>55</v>
      </c>
      <c r="G3176" s="7">
        <v>18935.91078298569</v>
      </c>
      <c r="H3176" s="6">
        <v>3973679.927587441</v>
      </c>
      <c r="I3176" s="6" t="s">
        <v>179</v>
      </c>
      <c r="J3176" s="15">
        <v>13</v>
      </c>
    </row>
    <row r="3177" spans="1:10">
      <c r="A3177" s="6" t="s">
        <v>141</v>
      </c>
      <c r="B3177" s="6" t="s">
        <v>92</v>
      </c>
      <c r="C3177" s="6" t="s">
        <v>332</v>
      </c>
      <c r="D3177" s="6">
        <v>748.2603333333334</v>
      </c>
      <c r="E3177" s="6" t="s">
        <v>88</v>
      </c>
      <c r="F3177" s="6" t="s">
        <v>55</v>
      </c>
      <c r="G3177" s="7">
        <v>18935.91078298569</v>
      </c>
      <c r="H3177" s="6">
        <v>14168990.91444713</v>
      </c>
      <c r="I3177" s="6" t="s">
        <v>179</v>
      </c>
      <c r="J3177" s="15">
        <v>13</v>
      </c>
    </row>
    <row r="3178" spans="1:10">
      <c r="A3178" s="6" t="s">
        <v>141</v>
      </c>
      <c r="B3178" s="6" t="s">
        <v>92</v>
      </c>
      <c r="C3178" s="6" t="s">
        <v>332</v>
      </c>
      <c r="D3178" s="6">
        <v>37.6567947946174</v>
      </c>
      <c r="E3178" s="6" t="s">
        <v>90</v>
      </c>
      <c r="F3178" s="6" t="s">
        <v>55</v>
      </c>
      <c r="G3178" s="7">
        <v>18935.91078298569</v>
      </c>
      <c r="H3178" s="6">
        <v>713065.7066040749</v>
      </c>
      <c r="I3178" s="6" t="s">
        <v>179</v>
      </c>
      <c r="J3178" s="15">
        <v>13</v>
      </c>
    </row>
    <row r="3179" spans="1:10">
      <c r="A3179" s="6" t="s">
        <v>141</v>
      </c>
      <c r="B3179" s="6" t="s">
        <v>92</v>
      </c>
      <c r="C3179" s="6" t="s">
        <v>332</v>
      </c>
      <c r="D3179" s="6">
        <v>1.030416666666667</v>
      </c>
      <c r="E3179" s="6" t="s">
        <v>92</v>
      </c>
      <c r="F3179" s="6" t="s">
        <v>55</v>
      </c>
      <c r="G3179" s="7">
        <v>18935.91078298569</v>
      </c>
      <c r="H3179" s="6">
        <v>19511.8780693015</v>
      </c>
      <c r="I3179" s="6" t="s">
        <v>179</v>
      </c>
      <c r="J3179" s="15">
        <v>13</v>
      </c>
    </row>
    <row r="3180" spans="1:10">
      <c r="A3180" s="6" t="s">
        <v>141</v>
      </c>
      <c r="B3180" s="6" t="s">
        <v>92</v>
      </c>
      <c r="C3180" s="6" t="s">
        <v>375</v>
      </c>
      <c r="D3180" s="6">
        <v>3.7705</v>
      </c>
      <c r="E3180" s="6" t="s">
        <v>44</v>
      </c>
      <c r="F3180" s="6" t="s">
        <v>55</v>
      </c>
      <c r="G3180" s="7">
        <v>58290.07698164284</v>
      </c>
      <c r="H3180" s="6">
        <v>219782.7352592844</v>
      </c>
      <c r="I3180" s="6" t="s">
        <v>179</v>
      </c>
      <c r="J3180" s="15">
        <v>16.5</v>
      </c>
    </row>
    <row r="3181" spans="1:10">
      <c r="A3181" s="6" t="s">
        <v>141</v>
      </c>
      <c r="B3181" s="6" t="s">
        <v>92</v>
      </c>
      <c r="C3181" s="6" t="s">
        <v>375</v>
      </c>
      <c r="D3181" s="6">
        <v>1.429</v>
      </c>
      <c r="E3181" s="6" t="s">
        <v>86</v>
      </c>
      <c r="F3181" s="6" t="s">
        <v>55</v>
      </c>
      <c r="G3181" s="7">
        <v>58290.07698164284</v>
      </c>
      <c r="H3181" s="6">
        <v>83296.52000676762</v>
      </c>
      <c r="I3181" s="6" t="s">
        <v>179</v>
      </c>
      <c r="J3181" s="15">
        <v>16.5</v>
      </c>
    </row>
    <row r="3182" spans="1:10">
      <c r="A3182" s="6" t="s">
        <v>141</v>
      </c>
      <c r="B3182" s="6" t="s">
        <v>92</v>
      </c>
      <c r="C3182" s="6" t="s">
        <v>375</v>
      </c>
      <c r="D3182" s="6">
        <v>0.4240833333333333</v>
      </c>
      <c r="E3182" s="6" t="s">
        <v>88</v>
      </c>
      <c r="F3182" s="6" t="s">
        <v>55</v>
      </c>
      <c r="G3182" s="7">
        <v>58290.07698164284</v>
      </c>
      <c r="H3182" s="6">
        <v>24719.8501466317</v>
      </c>
      <c r="I3182" s="6" t="s">
        <v>179</v>
      </c>
      <c r="J3182" s="15">
        <v>16.5</v>
      </c>
    </row>
    <row r="3183" spans="1:10">
      <c r="A3183" s="6" t="s">
        <v>141</v>
      </c>
      <c r="B3183" s="6" t="s">
        <v>92</v>
      </c>
      <c r="C3183" s="6" t="s">
        <v>375</v>
      </c>
      <c r="D3183" s="6">
        <v>0.39725</v>
      </c>
      <c r="E3183" s="6" t="s">
        <v>90</v>
      </c>
      <c r="F3183" s="6" t="s">
        <v>55</v>
      </c>
      <c r="G3183" s="7">
        <v>58290.07698164284</v>
      </c>
      <c r="H3183" s="6">
        <v>23155.73308095762</v>
      </c>
      <c r="I3183" s="6" t="s">
        <v>179</v>
      </c>
      <c r="J3183" s="15">
        <v>16.5</v>
      </c>
    </row>
    <row r="3184" spans="1:10">
      <c r="A3184" s="6" t="s">
        <v>141</v>
      </c>
      <c r="B3184" s="6" t="s">
        <v>94</v>
      </c>
      <c r="C3184" s="6" t="s">
        <v>202</v>
      </c>
      <c r="D3184" s="6">
        <v>368.8165074418171</v>
      </c>
      <c r="E3184" s="6" t="s">
        <v>44</v>
      </c>
      <c r="F3184" s="6" t="s">
        <v>54</v>
      </c>
      <c r="G3184" s="7">
        <v>44850.57289754543</v>
      </c>
      <c r="H3184" s="6">
        <v>16541631.65283732</v>
      </c>
      <c r="I3184" s="6" t="s">
        <v>179</v>
      </c>
      <c r="J3184" s="15">
        <v>56</v>
      </c>
    </row>
    <row r="3185" spans="1:10">
      <c r="A3185" s="6" t="s">
        <v>141</v>
      </c>
      <c r="B3185" s="6" t="s">
        <v>94</v>
      </c>
      <c r="C3185" s="6" t="s">
        <v>202</v>
      </c>
      <c r="D3185" s="6">
        <v>46.94760075597784</v>
      </c>
      <c r="E3185" s="6" t="s">
        <v>86</v>
      </c>
      <c r="F3185" s="6" t="s">
        <v>54</v>
      </c>
      <c r="G3185" s="7">
        <v>44850.57289754543</v>
      </c>
      <c r="H3185" s="6">
        <v>2105626.790070843</v>
      </c>
      <c r="I3185" s="6" t="s">
        <v>179</v>
      </c>
      <c r="J3185" s="15">
        <v>56</v>
      </c>
    </row>
    <row r="3186" spans="1:10">
      <c r="A3186" s="6" t="s">
        <v>141</v>
      </c>
      <c r="B3186" s="6" t="s">
        <v>94</v>
      </c>
      <c r="C3186" s="6" t="s">
        <v>202</v>
      </c>
      <c r="D3186" s="6">
        <v>108.6618333333333</v>
      </c>
      <c r="E3186" s="6" t="s">
        <v>88</v>
      </c>
      <c r="F3186" s="6" t="s">
        <v>54</v>
      </c>
      <c r="G3186" s="7">
        <v>44850.57289754543</v>
      </c>
      <c r="H3186" s="6">
        <v>4873545.477097599</v>
      </c>
      <c r="I3186" s="6" t="s">
        <v>179</v>
      </c>
      <c r="J3186" s="15">
        <v>56</v>
      </c>
    </row>
    <row r="3187" spans="1:10">
      <c r="A3187" s="6" t="s">
        <v>141</v>
      </c>
      <c r="B3187" s="6" t="s">
        <v>94</v>
      </c>
      <c r="C3187" s="6" t="s">
        <v>202</v>
      </c>
      <c r="D3187" s="6">
        <v>67.41232559642017</v>
      </c>
      <c r="E3187" s="6" t="s">
        <v>90</v>
      </c>
      <c r="F3187" s="6" t="s">
        <v>54</v>
      </c>
      <c r="G3187" s="7">
        <v>44850.57289754543</v>
      </c>
      <c r="H3187" s="6">
        <v>3023481.423355311</v>
      </c>
      <c r="I3187" s="6" t="s">
        <v>179</v>
      </c>
      <c r="J3187" s="15">
        <v>56</v>
      </c>
    </row>
    <row r="3188" spans="1:10">
      <c r="A3188" s="6" t="s">
        <v>141</v>
      </c>
      <c r="B3188" s="6" t="s">
        <v>94</v>
      </c>
      <c r="C3188" s="6" t="s">
        <v>202</v>
      </c>
      <c r="D3188" s="6">
        <v>0.4296666666666666</v>
      </c>
      <c r="E3188" s="6" t="s">
        <v>92</v>
      </c>
      <c r="F3188" s="6" t="s">
        <v>54</v>
      </c>
      <c r="G3188" s="7">
        <v>44850.57289754543</v>
      </c>
      <c r="H3188" s="6">
        <v>19270.79615497869</v>
      </c>
      <c r="I3188" s="6" t="s">
        <v>179</v>
      </c>
      <c r="J3188" s="15">
        <v>56</v>
      </c>
    </row>
    <row r="3189" spans="1:10">
      <c r="A3189" s="6" t="s">
        <v>141</v>
      </c>
      <c r="B3189" s="6" t="s">
        <v>94</v>
      </c>
      <c r="C3189" s="6" t="s">
        <v>215</v>
      </c>
      <c r="D3189" s="6">
        <v>213.2715648863474</v>
      </c>
      <c r="E3189" s="6" t="s">
        <v>44</v>
      </c>
      <c r="F3189" s="6" t="s">
        <v>54</v>
      </c>
      <c r="G3189" s="7">
        <v>58630.10256485675</v>
      </c>
      <c r="H3189" s="6">
        <v>12504133.72345405</v>
      </c>
      <c r="I3189" s="6" t="s">
        <v>179</v>
      </c>
      <c r="J3189" s="15">
        <v>48</v>
      </c>
    </row>
    <row r="3190" spans="1:10">
      <c r="A3190" s="6" t="s">
        <v>141</v>
      </c>
      <c r="B3190" s="6" t="s">
        <v>94</v>
      </c>
      <c r="C3190" s="6" t="s">
        <v>215</v>
      </c>
      <c r="D3190" s="6">
        <v>22.45059212650325</v>
      </c>
      <c r="E3190" s="6" t="s">
        <v>86</v>
      </c>
      <c r="F3190" s="6" t="s">
        <v>54</v>
      </c>
      <c r="G3190" s="7">
        <v>58630.10256485675</v>
      </c>
      <c r="H3190" s="6">
        <v>1316280.519018651</v>
      </c>
      <c r="I3190" s="6" t="s">
        <v>179</v>
      </c>
      <c r="J3190" s="15">
        <v>48</v>
      </c>
    </row>
    <row r="3191" spans="1:10">
      <c r="A3191" s="6" t="s">
        <v>141</v>
      </c>
      <c r="B3191" s="6" t="s">
        <v>94</v>
      </c>
      <c r="C3191" s="6" t="s">
        <v>215</v>
      </c>
      <c r="D3191" s="6">
        <v>55.31508333333333</v>
      </c>
      <c r="E3191" s="6" t="s">
        <v>88</v>
      </c>
      <c r="F3191" s="6" t="s">
        <v>54</v>
      </c>
      <c r="G3191" s="7">
        <v>58630.10256485675</v>
      </c>
      <c r="H3191" s="6">
        <v>3243129.009216931</v>
      </c>
      <c r="I3191" s="6" t="s">
        <v>179</v>
      </c>
      <c r="J3191" s="15">
        <v>48</v>
      </c>
    </row>
    <row r="3192" spans="1:10">
      <c r="A3192" s="6" t="s">
        <v>141</v>
      </c>
      <c r="B3192" s="6" t="s">
        <v>94</v>
      </c>
      <c r="C3192" s="6" t="s">
        <v>215</v>
      </c>
      <c r="D3192" s="6">
        <v>14.66751225352005</v>
      </c>
      <c r="E3192" s="6" t="s">
        <v>90</v>
      </c>
      <c r="F3192" s="6" t="s">
        <v>54</v>
      </c>
      <c r="G3192" s="7">
        <v>58630.10256485675</v>
      </c>
      <c r="H3192" s="6">
        <v>859957.7477951738</v>
      </c>
      <c r="I3192" s="6" t="s">
        <v>179</v>
      </c>
      <c r="J3192" s="15">
        <v>48</v>
      </c>
    </row>
    <row r="3193" spans="1:10">
      <c r="A3193" s="6" t="s">
        <v>141</v>
      </c>
      <c r="B3193" s="6" t="s">
        <v>94</v>
      </c>
      <c r="C3193" s="6" t="s">
        <v>215</v>
      </c>
      <c r="D3193" s="6">
        <v>0.078</v>
      </c>
      <c r="E3193" s="6" t="s">
        <v>92</v>
      </c>
      <c r="F3193" s="6" t="s">
        <v>54</v>
      </c>
      <c r="G3193" s="7">
        <v>58630.10256485675</v>
      </c>
      <c r="H3193" s="6">
        <v>4573.148000058826</v>
      </c>
      <c r="I3193" s="6" t="s">
        <v>179</v>
      </c>
      <c r="J3193" s="15">
        <v>48</v>
      </c>
    </row>
    <row r="3194" spans="1:10">
      <c r="A3194" s="6" t="s">
        <v>141</v>
      </c>
      <c r="B3194" s="6" t="s">
        <v>94</v>
      </c>
      <c r="C3194" s="6" t="s">
        <v>239</v>
      </c>
      <c r="D3194" s="6">
        <v>71.29628180476952</v>
      </c>
      <c r="E3194" s="6" t="s">
        <v>44</v>
      </c>
      <c r="F3194" s="6" t="s">
        <v>54</v>
      </c>
      <c r="G3194" s="7">
        <v>57702.78236019595</v>
      </c>
      <c r="H3194" s="6">
        <v>4113993.832071814</v>
      </c>
      <c r="I3194" s="6" t="s">
        <v>179</v>
      </c>
      <c r="J3194" s="15">
        <v>48</v>
      </c>
    </row>
    <row r="3195" spans="1:10">
      <c r="A3195" s="6" t="s">
        <v>141</v>
      </c>
      <c r="B3195" s="6" t="s">
        <v>94</v>
      </c>
      <c r="C3195" s="6" t="s">
        <v>239</v>
      </c>
      <c r="D3195" s="6">
        <v>17.78126340952761</v>
      </c>
      <c r="E3195" s="6" t="s">
        <v>86</v>
      </c>
      <c r="F3195" s="6" t="s">
        <v>54</v>
      </c>
      <c r="G3195" s="7">
        <v>57702.78236019595</v>
      </c>
      <c r="H3195" s="6">
        <v>1026028.372609288</v>
      </c>
      <c r="I3195" s="6" t="s">
        <v>179</v>
      </c>
      <c r="J3195" s="15">
        <v>48</v>
      </c>
    </row>
    <row r="3196" spans="1:10">
      <c r="A3196" s="6" t="s">
        <v>141</v>
      </c>
      <c r="B3196" s="6" t="s">
        <v>94</v>
      </c>
      <c r="C3196" s="6" t="s">
        <v>239</v>
      </c>
      <c r="D3196" s="6">
        <v>38.8035</v>
      </c>
      <c r="E3196" s="6" t="s">
        <v>88</v>
      </c>
      <c r="F3196" s="6" t="s">
        <v>54</v>
      </c>
      <c r="G3196" s="7">
        <v>57702.78236019595</v>
      </c>
      <c r="H3196" s="6">
        <v>2239069.915313863</v>
      </c>
      <c r="I3196" s="6" t="s">
        <v>179</v>
      </c>
      <c r="J3196" s="15">
        <v>48</v>
      </c>
    </row>
    <row r="3197" spans="1:10">
      <c r="A3197" s="6" t="s">
        <v>141</v>
      </c>
      <c r="B3197" s="6" t="s">
        <v>94</v>
      </c>
      <c r="C3197" s="6" t="s">
        <v>239</v>
      </c>
      <c r="D3197" s="6">
        <v>6.035090229754825</v>
      </c>
      <c r="E3197" s="6" t="s">
        <v>90</v>
      </c>
      <c r="F3197" s="6" t="s">
        <v>54</v>
      </c>
      <c r="G3197" s="7">
        <v>57702.78236019595</v>
      </c>
      <c r="H3197" s="6">
        <v>348241.4980516876</v>
      </c>
      <c r="I3197" s="6" t="s">
        <v>179</v>
      </c>
      <c r="J3197" s="15">
        <v>48</v>
      </c>
    </row>
    <row r="3198" spans="1:10">
      <c r="A3198" s="6" t="s">
        <v>141</v>
      </c>
      <c r="B3198" s="6" t="s">
        <v>94</v>
      </c>
      <c r="C3198" s="6" t="s">
        <v>263</v>
      </c>
      <c r="D3198" s="6">
        <v>0.02625</v>
      </c>
      <c r="E3198" s="6" t="s">
        <v>44</v>
      </c>
      <c r="F3198" s="6" t="s">
        <v>54</v>
      </c>
      <c r="G3198" s="7">
        <v>69832.51460560261</v>
      </c>
      <c r="H3198" s="6">
        <v>1833.103508397068</v>
      </c>
      <c r="I3198" s="6" t="s">
        <v>180</v>
      </c>
      <c r="J3198" s="15">
        <v>16</v>
      </c>
    </row>
    <row r="3199" spans="1:10">
      <c r="A3199" s="6" t="s">
        <v>141</v>
      </c>
      <c r="B3199" s="6" t="s">
        <v>94</v>
      </c>
      <c r="C3199" s="6" t="s">
        <v>263</v>
      </c>
      <c r="D3199" s="6">
        <v>0.01266666666666667</v>
      </c>
      <c r="E3199" s="6" t="s">
        <v>88</v>
      </c>
      <c r="F3199" s="6" t="s">
        <v>54</v>
      </c>
      <c r="G3199" s="7">
        <v>69832.51460560261</v>
      </c>
      <c r="H3199" s="6">
        <v>884.5451850042997</v>
      </c>
      <c r="I3199" s="6" t="s">
        <v>180</v>
      </c>
      <c r="J3199" s="15">
        <v>16</v>
      </c>
    </row>
    <row r="3200" spans="1:10">
      <c r="A3200" s="6" t="s">
        <v>141</v>
      </c>
      <c r="B3200" s="6" t="s">
        <v>94</v>
      </c>
      <c r="C3200" s="6" t="s">
        <v>264</v>
      </c>
      <c r="D3200" s="6">
        <v>1.742342149070767</v>
      </c>
      <c r="E3200" s="6" t="s">
        <v>44</v>
      </c>
      <c r="F3200" s="6" t="s">
        <v>54</v>
      </c>
      <c r="G3200" s="7">
        <v>31826.55238508553</v>
      </c>
      <c r="H3200" s="6">
        <v>55452.74368014328</v>
      </c>
      <c r="I3200" s="6" t="s">
        <v>179</v>
      </c>
      <c r="J3200" s="15">
        <v>16</v>
      </c>
    </row>
    <row r="3201" spans="1:10">
      <c r="A3201" s="6" t="s">
        <v>141</v>
      </c>
      <c r="B3201" s="6" t="s">
        <v>94</v>
      </c>
      <c r="C3201" s="6" t="s">
        <v>264</v>
      </c>
      <c r="D3201" s="6">
        <v>0.2647705594217445</v>
      </c>
      <c r="E3201" s="6" t="s">
        <v>86</v>
      </c>
      <c r="F3201" s="6" t="s">
        <v>54</v>
      </c>
      <c r="G3201" s="7">
        <v>31826.55238508553</v>
      </c>
      <c r="H3201" s="6">
        <v>8426.734079464553</v>
      </c>
      <c r="I3201" s="6" t="s">
        <v>179</v>
      </c>
      <c r="J3201" s="15">
        <v>16</v>
      </c>
    </row>
    <row r="3202" spans="1:10">
      <c r="A3202" s="6" t="s">
        <v>141</v>
      </c>
      <c r="B3202" s="6" t="s">
        <v>94</v>
      </c>
      <c r="C3202" s="6" t="s">
        <v>264</v>
      </c>
      <c r="D3202" s="6">
        <v>0.22425</v>
      </c>
      <c r="E3202" s="6" t="s">
        <v>88</v>
      </c>
      <c r="F3202" s="6" t="s">
        <v>54</v>
      </c>
      <c r="G3202" s="7">
        <v>31826.55238508553</v>
      </c>
      <c r="H3202" s="6">
        <v>7137.10437235543</v>
      </c>
      <c r="I3202" s="6" t="s">
        <v>179</v>
      </c>
      <c r="J3202" s="15">
        <v>16</v>
      </c>
    </row>
    <row r="3203" spans="1:10">
      <c r="A3203" s="6" t="s">
        <v>141</v>
      </c>
      <c r="B3203" s="6" t="s">
        <v>94</v>
      </c>
      <c r="C3203" s="6" t="s">
        <v>264</v>
      </c>
      <c r="D3203" s="6">
        <v>0.1277278674979343</v>
      </c>
      <c r="E3203" s="6" t="s">
        <v>90</v>
      </c>
      <c r="F3203" s="6" t="s">
        <v>54</v>
      </c>
      <c r="G3203" s="7">
        <v>31826.55238508553</v>
      </c>
      <c r="H3203" s="6">
        <v>4065.137665958271</v>
      </c>
      <c r="I3203" s="6" t="s">
        <v>179</v>
      </c>
      <c r="J3203" s="15">
        <v>16</v>
      </c>
    </row>
    <row r="3204" spans="1:10">
      <c r="A3204" s="6" t="s">
        <v>141</v>
      </c>
      <c r="B3204" s="6" t="s">
        <v>94</v>
      </c>
      <c r="C3204" s="6" t="s">
        <v>265</v>
      </c>
      <c r="D3204" s="6">
        <v>10.82751629396426</v>
      </c>
      <c r="E3204" s="6" t="s">
        <v>44</v>
      </c>
      <c r="F3204" s="6" t="s">
        <v>54</v>
      </c>
      <c r="G3204" s="7">
        <v>47952.63580740233</v>
      </c>
      <c r="H3204" s="6">
        <v>519207.945543183</v>
      </c>
      <c r="I3204" s="6" t="s">
        <v>179</v>
      </c>
      <c r="J3204" s="15">
        <v>72</v>
      </c>
    </row>
    <row r="3205" spans="1:10">
      <c r="A3205" s="6" t="s">
        <v>141</v>
      </c>
      <c r="B3205" s="6" t="s">
        <v>94</v>
      </c>
      <c r="C3205" s="6" t="s">
        <v>265</v>
      </c>
      <c r="D3205" s="6">
        <v>2.573174405177216</v>
      </c>
      <c r="E3205" s="6" t="s">
        <v>86</v>
      </c>
      <c r="F3205" s="6" t="s">
        <v>54</v>
      </c>
      <c r="G3205" s="7">
        <v>47952.63580740233</v>
      </c>
      <c r="H3205" s="6">
        <v>123390.4951203921</v>
      </c>
      <c r="I3205" s="6" t="s">
        <v>179</v>
      </c>
      <c r="J3205" s="15">
        <v>72</v>
      </c>
    </row>
    <row r="3206" spans="1:10">
      <c r="A3206" s="6" t="s">
        <v>141</v>
      </c>
      <c r="B3206" s="6" t="s">
        <v>94</v>
      </c>
      <c r="C3206" s="6" t="s">
        <v>265</v>
      </c>
      <c r="D3206" s="6">
        <v>4.654416666666667</v>
      </c>
      <c r="E3206" s="6" t="s">
        <v>88</v>
      </c>
      <c r="F3206" s="6" t="s">
        <v>54</v>
      </c>
      <c r="G3206" s="7">
        <v>47952.63580740233</v>
      </c>
      <c r="H3206" s="6">
        <v>223191.5473125702</v>
      </c>
      <c r="I3206" s="6" t="s">
        <v>179</v>
      </c>
      <c r="J3206" s="15">
        <v>72</v>
      </c>
    </row>
    <row r="3207" spans="1:10">
      <c r="A3207" s="6" t="s">
        <v>141</v>
      </c>
      <c r="B3207" s="6" t="s">
        <v>94</v>
      </c>
      <c r="C3207" s="6" t="s">
        <v>265</v>
      </c>
      <c r="D3207" s="6">
        <v>1.512540486882533</v>
      </c>
      <c r="E3207" s="6" t="s">
        <v>90</v>
      </c>
      <c r="F3207" s="6" t="s">
        <v>54</v>
      </c>
      <c r="G3207" s="7">
        <v>47952.63580740233</v>
      </c>
      <c r="H3207" s="6">
        <v>72530.30311142912</v>
      </c>
      <c r="I3207" s="6" t="s">
        <v>179</v>
      </c>
      <c r="J3207" s="15">
        <v>72</v>
      </c>
    </row>
    <row r="3208" spans="1:10">
      <c r="A3208" s="6" t="s">
        <v>141</v>
      </c>
      <c r="B3208" s="6" t="s">
        <v>94</v>
      </c>
      <c r="C3208" s="6" t="s">
        <v>271</v>
      </c>
      <c r="D3208" s="6">
        <v>95.31976956189757</v>
      </c>
      <c r="E3208" s="6" t="s">
        <v>44</v>
      </c>
      <c r="F3208" s="6" t="s">
        <v>54</v>
      </c>
      <c r="G3208" s="7">
        <v>82762.39420065151</v>
      </c>
      <c r="H3208" s="6">
        <v>7888892.34359703</v>
      </c>
      <c r="I3208" s="6" t="s">
        <v>179</v>
      </c>
      <c r="J3208" s="15">
        <v>48</v>
      </c>
    </row>
    <row r="3209" spans="1:10">
      <c r="A3209" s="6" t="s">
        <v>141</v>
      </c>
      <c r="B3209" s="6" t="s">
        <v>94</v>
      </c>
      <c r="C3209" s="6" t="s">
        <v>271</v>
      </c>
      <c r="D3209" s="6">
        <v>13.00045124401273</v>
      </c>
      <c r="E3209" s="6" t="s">
        <v>86</v>
      </c>
      <c r="F3209" s="6" t="s">
        <v>54</v>
      </c>
      <c r="G3209" s="7">
        <v>82762.39420065151</v>
      </c>
      <c r="H3209" s="6">
        <v>1075948.470643332</v>
      </c>
      <c r="I3209" s="6" t="s">
        <v>179</v>
      </c>
      <c r="J3209" s="15">
        <v>48</v>
      </c>
    </row>
    <row r="3210" spans="1:10">
      <c r="A3210" s="6" t="s">
        <v>141</v>
      </c>
      <c r="B3210" s="6" t="s">
        <v>94</v>
      </c>
      <c r="C3210" s="6" t="s">
        <v>271</v>
      </c>
      <c r="D3210" s="6">
        <v>23.90158333333333</v>
      </c>
      <c r="E3210" s="6" t="s">
        <v>88</v>
      </c>
      <c r="F3210" s="6" t="s">
        <v>54</v>
      </c>
      <c r="G3210" s="7">
        <v>82762.39420065151</v>
      </c>
      <c r="H3210" s="6">
        <v>1978152.261853056</v>
      </c>
      <c r="I3210" s="6" t="s">
        <v>179</v>
      </c>
      <c r="J3210" s="15">
        <v>48</v>
      </c>
    </row>
    <row r="3211" spans="1:10">
      <c r="A3211" s="6" t="s">
        <v>141</v>
      </c>
      <c r="B3211" s="6" t="s">
        <v>94</v>
      </c>
      <c r="C3211" s="6" t="s">
        <v>271</v>
      </c>
      <c r="D3211" s="6">
        <v>4.325292225875391</v>
      </c>
      <c r="E3211" s="6" t="s">
        <v>90</v>
      </c>
      <c r="F3211" s="6" t="s">
        <v>54</v>
      </c>
      <c r="G3211" s="7">
        <v>82762.39420065151</v>
      </c>
      <c r="H3211" s="6">
        <v>357971.5402309125</v>
      </c>
      <c r="I3211" s="6" t="s">
        <v>179</v>
      </c>
      <c r="J3211" s="15">
        <v>48</v>
      </c>
    </row>
    <row r="3212" spans="1:10">
      <c r="A3212" s="6" t="s">
        <v>141</v>
      </c>
      <c r="B3212" s="6" t="s">
        <v>94</v>
      </c>
      <c r="C3212" s="6" t="s">
        <v>271</v>
      </c>
      <c r="D3212" s="6">
        <v>0.08366666666666667</v>
      </c>
      <c r="E3212" s="6" t="s">
        <v>92</v>
      </c>
      <c r="F3212" s="6" t="s">
        <v>54</v>
      </c>
      <c r="G3212" s="7">
        <v>82762.39420065151</v>
      </c>
      <c r="H3212" s="6">
        <v>6924.453648121176</v>
      </c>
      <c r="I3212" s="6" t="s">
        <v>179</v>
      </c>
      <c r="J3212" s="15">
        <v>48</v>
      </c>
    </row>
    <row r="3213" spans="1:10">
      <c r="A3213" s="6" t="s">
        <v>141</v>
      </c>
      <c r="B3213" s="6" t="s">
        <v>94</v>
      </c>
      <c r="C3213" s="6" t="s">
        <v>376</v>
      </c>
      <c r="D3213" s="6">
        <v>1.542333333333333</v>
      </c>
      <c r="E3213" s="6" t="s">
        <v>44</v>
      </c>
      <c r="F3213" s="6" t="s">
        <v>54</v>
      </c>
      <c r="G3213" s="7">
        <v>66788.5768068559</v>
      </c>
      <c r="H3213" s="6">
        <v>103010.2482951074</v>
      </c>
      <c r="I3213" s="6" t="s">
        <v>179</v>
      </c>
      <c r="J3213" s="15">
        <v>57</v>
      </c>
    </row>
    <row r="3214" spans="1:10">
      <c r="A3214" s="6" t="s">
        <v>141</v>
      </c>
      <c r="B3214" s="6" t="s">
        <v>94</v>
      </c>
      <c r="C3214" s="6" t="s">
        <v>376</v>
      </c>
      <c r="D3214" s="6">
        <v>0.3065</v>
      </c>
      <c r="E3214" s="6" t="s">
        <v>86</v>
      </c>
      <c r="F3214" s="6" t="s">
        <v>54</v>
      </c>
      <c r="G3214" s="7">
        <v>66788.5768068559</v>
      </c>
      <c r="H3214" s="6">
        <v>20470.69879130133</v>
      </c>
      <c r="I3214" s="6" t="s">
        <v>179</v>
      </c>
      <c r="J3214" s="15">
        <v>57</v>
      </c>
    </row>
    <row r="3215" spans="1:10">
      <c r="A3215" s="6" t="s">
        <v>141</v>
      </c>
      <c r="B3215" s="6" t="s">
        <v>94</v>
      </c>
      <c r="C3215" s="6" t="s">
        <v>376</v>
      </c>
      <c r="D3215" s="6">
        <v>0.2081666666666667</v>
      </c>
      <c r="E3215" s="6" t="s">
        <v>88</v>
      </c>
      <c r="F3215" s="6" t="s">
        <v>54</v>
      </c>
      <c r="G3215" s="7">
        <v>66788.5768068559</v>
      </c>
      <c r="H3215" s="6">
        <v>13903.15540529384</v>
      </c>
      <c r="I3215" s="6" t="s">
        <v>179</v>
      </c>
      <c r="J3215" s="15">
        <v>57</v>
      </c>
    </row>
    <row r="3216" spans="1:10">
      <c r="A3216" s="6" t="s">
        <v>141</v>
      </c>
      <c r="B3216" s="6" t="s">
        <v>94</v>
      </c>
      <c r="C3216" s="6" t="s">
        <v>376</v>
      </c>
      <c r="D3216" s="6">
        <v>0.2325</v>
      </c>
      <c r="E3216" s="6" t="s">
        <v>90</v>
      </c>
      <c r="F3216" s="6" t="s">
        <v>54</v>
      </c>
      <c r="G3216" s="7">
        <v>66788.5768068559</v>
      </c>
      <c r="H3216" s="6">
        <v>15528.344107594</v>
      </c>
      <c r="I3216" s="6" t="s">
        <v>179</v>
      </c>
      <c r="J3216" s="15">
        <v>57</v>
      </c>
    </row>
    <row r="3217" spans="1:10">
      <c r="A3217" s="6" t="s">
        <v>141</v>
      </c>
      <c r="B3217" s="6" t="s">
        <v>94</v>
      </c>
      <c r="C3217" s="6" t="s">
        <v>292</v>
      </c>
      <c r="D3217" s="6">
        <v>9.19249614050824</v>
      </c>
      <c r="E3217" s="6" t="s">
        <v>44</v>
      </c>
      <c r="F3217" s="6" t="s">
        <v>54</v>
      </c>
      <c r="G3217" s="7">
        <v>60347.89770905773</v>
      </c>
      <c r="H3217" s="6">
        <v>554747.8167782993</v>
      </c>
      <c r="I3217" s="6" t="s">
        <v>179</v>
      </c>
      <c r="J3217" s="15">
        <v>96</v>
      </c>
    </row>
    <row r="3218" spans="1:10">
      <c r="A3218" s="6" t="s">
        <v>141</v>
      </c>
      <c r="B3218" s="6" t="s">
        <v>94</v>
      </c>
      <c r="C3218" s="6" t="s">
        <v>292</v>
      </c>
      <c r="D3218" s="6">
        <v>0.6574331610486802</v>
      </c>
      <c r="E3218" s="6" t="s">
        <v>86</v>
      </c>
      <c r="F3218" s="6" t="s">
        <v>54</v>
      </c>
      <c r="G3218" s="7">
        <v>60347.89770905773</v>
      </c>
      <c r="H3218" s="6">
        <v>39674.70915350823</v>
      </c>
      <c r="I3218" s="6" t="s">
        <v>179</v>
      </c>
      <c r="J3218" s="15">
        <v>96</v>
      </c>
    </row>
    <row r="3219" spans="1:10">
      <c r="A3219" s="6" t="s">
        <v>141</v>
      </c>
      <c r="B3219" s="6" t="s">
        <v>94</v>
      </c>
      <c r="C3219" s="6" t="s">
        <v>292</v>
      </c>
      <c r="D3219" s="6">
        <v>0.5362499999999999</v>
      </c>
      <c r="E3219" s="6" t="s">
        <v>88</v>
      </c>
      <c r="F3219" s="6" t="s">
        <v>54</v>
      </c>
      <c r="G3219" s="7">
        <v>60347.89770905773</v>
      </c>
      <c r="H3219" s="6">
        <v>32361.5601464822</v>
      </c>
      <c r="I3219" s="6" t="s">
        <v>179</v>
      </c>
      <c r="J3219" s="15">
        <v>96</v>
      </c>
    </row>
    <row r="3220" spans="1:10">
      <c r="A3220" s="6" t="s">
        <v>141</v>
      </c>
      <c r="B3220" s="6" t="s">
        <v>94</v>
      </c>
      <c r="C3220" s="6" t="s">
        <v>292</v>
      </c>
      <c r="D3220" s="6">
        <v>0.8341887663595557</v>
      </c>
      <c r="E3220" s="6" t="s">
        <v>90</v>
      </c>
      <c r="F3220" s="6" t="s">
        <v>54</v>
      </c>
      <c r="G3220" s="7">
        <v>60347.89770905773</v>
      </c>
      <c r="H3220" s="6">
        <v>50341.53834231153</v>
      </c>
      <c r="I3220" s="6" t="s">
        <v>179</v>
      </c>
      <c r="J3220" s="15">
        <v>96</v>
      </c>
    </row>
    <row r="3221" spans="1:10">
      <c r="A3221" s="6" t="s">
        <v>141</v>
      </c>
      <c r="B3221" s="6" t="s">
        <v>94</v>
      </c>
      <c r="C3221" s="6" t="s">
        <v>293</v>
      </c>
      <c r="D3221" s="6">
        <v>0.7073086894936277</v>
      </c>
      <c r="E3221" s="6" t="s">
        <v>44</v>
      </c>
      <c r="F3221" s="6" t="s">
        <v>53</v>
      </c>
      <c r="G3221" s="7">
        <v>115505.1335239995</v>
      </c>
      <c r="H3221" s="6">
        <v>81697.78462264659</v>
      </c>
      <c r="I3221" s="6" t="s">
        <v>180</v>
      </c>
      <c r="J3221" s="15">
        <v>44</v>
      </c>
    </row>
    <row r="3222" spans="1:10">
      <c r="A3222" s="6" t="s">
        <v>141</v>
      </c>
      <c r="B3222" s="6" t="s">
        <v>94</v>
      </c>
      <c r="C3222" s="6" t="s">
        <v>293</v>
      </c>
      <c r="D3222" s="6">
        <v>0.03262950894132922</v>
      </c>
      <c r="E3222" s="6" t="s">
        <v>86</v>
      </c>
      <c r="F3222" s="6" t="s">
        <v>53</v>
      </c>
      <c r="G3222" s="7">
        <v>115505.1335239995</v>
      </c>
      <c r="H3222" s="6">
        <v>3768.875787090769</v>
      </c>
      <c r="I3222" s="6" t="s">
        <v>180</v>
      </c>
      <c r="J3222" s="15">
        <v>44</v>
      </c>
    </row>
    <row r="3223" spans="1:10">
      <c r="A3223" s="6" t="s">
        <v>141</v>
      </c>
      <c r="B3223" s="6" t="s">
        <v>94</v>
      </c>
      <c r="C3223" s="6" t="s">
        <v>293</v>
      </c>
      <c r="D3223" s="6">
        <v>0.0115</v>
      </c>
      <c r="E3223" s="6" t="s">
        <v>88</v>
      </c>
      <c r="F3223" s="6" t="s">
        <v>53</v>
      </c>
      <c r="G3223" s="7">
        <v>115505.1335239995</v>
      </c>
      <c r="H3223" s="6">
        <v>1328.309035525995</v>
      </c>
      <c r="I3223" s="6" t="s">
        <v>180</v>
      </c>
      <c r="J3223" s="15">
        <v>44</v>
      </c>
    </row>
    <row r="3224" spans="1:10">
      <c r="A3224" s="6" t="s">
        <v>141</v>
      </c>
      <c r="B3224" s="6" t="s">
        <v>94</v>
      </c>
      <c r="C3224" s="6" t="s">
        <v>293</v>
      </c>
      <c r="D3224" s="6">
        <v>0.4540903595021432</v>
      </c>
      <c r="E3224" s="6" t="s">
        <v>90</v>
      </c>
      <c r="F3224" s="6" t="s">
        <v>53</v>
      </c>
      <c r="G3224" s="7">
        <v>115505.1335239995</v>
      </c>
      <c r="H3224" s="6">
        <v>52449.767606256</v>
      </c>
      <c r="I3224" s="6" t="s">
        <v>180</v>
      </c>
      <c r="J3224" s="15">
        <v>44</v>
      </c>
    </row>
    <row r="3225" spans="1:10">
      <c r="A3225" s="6" t="s">
        <v>141</v>
      </c>
      <c r="B3225" s="6" t="s">
        <v>94</v>
      </c>
      <c r="C3225" s="6" t="s">
        <v>296</v>
      </c>
      <c r="D3225" s="6">
        <v>0.1199641910851528</v>
      </c>
      <c r="E3225" s="6" t="s">
        <v>44</v>
      </c>
      <c r="F3225" s="6" t="s">
        <v>61</v>
      </c>
      <c r="G3225" s="7">
        <v>69013.18353849441</v>
      </c>
      <c r="H3225" s="6">
        <v>8279.110737406669</v>
      </c>
      <c r="I3225" s="6" t="s">
        <v>179</v>
      </c>
      <c r="J3225" s="15">
        <v>48</v>
      </c>
    </row>
    <row r="3226" spans="1:10">
      <c r="A3226" s="6" t="s">
        <v>141</v>
      </c>
      <c r="B3226" s="6" t="s">
        <v>94</v>
      </c>
      <c r="C3226" s="6" t="s">
        <v>296</v>
      </c>
      <c r="D3226" s="6">
        <v>0.004886805894031894</v>
      </c>
      <c r="E3226" s="6" t="s">
        <v>86</v>
      </c>
      <c r="F3226" s="6" t="s">
        <v>61</v>
      </c>
      <c r="G3226" s="7">
        <v>69013.18353849441</v>
      </c>
      <c r="H3226" s="6">
        <v>337.2540320818194</v>
      </c>
      <c r="I3226" s="6" t="s">
        <v>179</v>
      </c>
      <c r="J3226" s="15">
        <v>48</v>
      </c>
    </row>
    <row r="3227" spans="1:10">
      <c r="A3227" s="6" t="s">
        <v>141</v>
      </c>
      <c r="B3227" s="6" t="s">
        <v>94</v>
      </c>
      <c r="C3227" s="6" t="s">
        <v>296</v>
      </c>
      <c r="D3227" s="6">
        <v>4.511065669687482</v>
      </c>
      <c r="E3227" s="6" t="s">
        <v>90</v>
      </c>
      <c r="F3227" s="6" t="s">
        <v>61</v>
      </c>
      <c r="G3227" s="7">
        <v>69013.18353849441</v>
      </c>
      <c r="H3227" s="6">
        <v>311323.0030163434</v>
      </c>
      <c r="I3227" s="6" t="s">
        <v>179</v>
      </c>
      <c r="J3227" s="15">
        <v>48</v>
      </c>
    </row>
    <row r="3228" spans="1:10">
      <c r="A3228" s="6" t="s">
        <v>141</v>
      </c>
      <c r="B3228" s="6" t="s">
        <v>94</v>
      </c>
      <c r="C3228" s="6" t="s">
        <v>296</v>
      </c>
      <c r="D3228" s="6">
        <v>2.947833333333334</v>
      </c>
      <c r="E3228" s="6" t="s">
        <v>92</v>
      </c>
      <c r="F3228" s="6" t="s">
        <v>61</v>
      </c>
      <c r="G3228" s="7">
        <v>69013.18353849441</v>
      </c>
      <c r="H3228" s="6">
        <v>203439.3628742252</v>
      </c>
      <c r="I3228" s="6" t="s">
        <v>179</v>
      </c>
      <c r="J3228" s="15">
        <v>48</v>
      </c>
    </row>
    <row r="3229" spans="1:10">
      <c r="A3229" s="6" t="s">
        <v>141</v>
      </c>
      <c r="B3229" s="6" t="s">
        <v>94</v>
      </c>
      <c r="C3229" s="6" t="s">
        <v>305</v>
      </c>
      <c r="D3229" s="6">
        <v>104.4384744051255</v>
      </c>
      <c r="E3229" s="6" t="s">
        <v>44</v>
      </c>
      <c r="F3229" s="6" t="s">
        <v>54</v>
      </c>
      <c r="G3229" s="7">
        <v>50012.34506011685</v>
      </c>
      <c r="H3229" s="6">
        <v>5223213.01950132</v>
      </c>
      <c r="I3229" s="6" t="s">
        <v>179</v>
      </c>
      <c r="J3229" s="15">
        <v>72</v>
      </c>
    </row>
    <row r="3230" spans="1:10">
      <c r="A3230" s="6" t="s">
        <v>141</v>
      </c>
      <c r="B3230" s="6" t="s">
        <v>94</v>
      </c>
      <c r="C3230" s="6" t="s">
        <v>305</v>
      </c>
      <c r="D3230" s="6">
        <v>4.53540701135833</v>
      </c>
      <c r="E3230" s="6" t="s">
        <v>86</v>
      </c>
      <c r="F3230" s="6" t="s">
        <v>54</v>
      </c>
      <c r="G3230" s="7">
        <v>50012.34506011685</v>
      </c>
      <c r="H3230" s="6">
        <v>226826.3404401261</v>
      </c>
      <c r="I3230" s="6" t="s">
        <v>179</v>
      </c>
      <c r="J3230" s="15">
        <v>72</v>
      </c>
    </row>
    <row r="3231" spans="1:10">
      <c r="A3231" s="6" t="s">
        <v>141</v>
      </c>
      <c r="B3231" s="6" t="s">
        <v>94</v>
      </c>
      <c r="C3231" s="6" t="s">
        <v>305</v>
      </c>
      <c r="D3231" s="6">
        <v>2.28375</v>
      </c>
      <c r="E3231" s="6" t="s">
        <v>88</v>
      </c>
      <c r="F3231" s="6" t="s">
        <v>54</v>
      </c>
      <c r="G3231" s="7">
        <v>50012.34506011685</v>
      </c>
      <c r="H3231" s="6">
        <v>114215.6930310419</v>
      </c>
      <c r="I3231" s="6" t="s">
        <v>179</v>
      </c>
      <c r="J3231" s="15">
        <v>72</v>
      </c>
    </row>
    <row r="3232" spans="1:10">
      <c r="A3232" s="6" t="s">
        <v>141</v>
      </c>
      <c r="B3232" s="6" t="s">
        <v>94</v>
      </c>
      <c r="C3232" s="6" t="s">
        <v>305</v>
      </c>
      <c r="D3232" s="6">
        <v>4.544356676649368</v>
      </c>
      <c r="E3232" s="6" t="s">
        <v>90</v>
      </c>
      <c r="F3232" s="6" t="s">
        <v>54</v>
      </c>
      <c r="G3232" s="7">
        <v>50012.34506011685</v>
      </c>
      <c r="H3232" s="6">
        <v>227273.9341888341</v>
      </c>
      <c r="I3232" s="6" t="s">
        <v>179</v>
      </c>
      <c r="J3232" s="15">
        <v>72</v>
      </c>
    </row>
    <row r="3233" spans="1:10">
      <c r="A3233" s="6" t="s">
        <v>141</v>
      </c>
      <c r="B3233" s="6" t="s">
        <v>94</v>
      </c>
      <c r="C3233" s="6" t="s">
        <v>305</v>
      </c>
      <c r="D3233" s="6">
        <v>0.128</v>
      </c>
      <c r="E3233" s="6" t="s">
        <v>92</v>
      </c>
      <c r="F3233" s="6" t="s">
        <v>54</v>
      </c>
      <c r="G3233" s="7">
        <v>50012.34506011685</v>
      </c>
      <c r="H3233" s="6">
        <v>6401.580167694957</v>
      </c>
      <c r="I3233" s="6" t="s">
        <v>179</v>
      </c>
      <c r="J3233" s="15">
        <v>72</v>
      </c>
    </row>
    <row r="3234" spans="1:10">
      <c r="A3234" s="6" t="s">
        <v>141</v>
      </c>
      <c r="B3234" s="6" t="s">
        <v>94</v>
      </c>
      <c r="C3234" s="6" t="s">
        <v>312</v>
      </c>
      <c r="D3234" s="6">
        <v>13.26372743856011</v>
      </c>
      <c r="E3234" s="6" t="s">
        <v>44</v>
      </c>
      <c r="F3234" s="6" t="s">
        <v>54</v>
      </c>
      <c r="G3234" s="7">
        <v>75665.15041688115</v>
      </c>
      <c r="H3234" s="6">
        <v>1003601.931727165</v>
      </c>
      <c r="I3234" s="6" t="s">
        <v>179</v>
      </c>
      <c r="J3234" s="15">
        <v>28</v>
      </c>
    </row>
    <row r="3235" spans="1:10">
      <c r="A3235" s="6" t="s">
        <v>141</v>
      </c>
      <c r="B3235" s="6" t="s">
        <v>94</v>
      </c>
      <c r="C3235" s="6" t="s">
        <v>312</v>
      </c>
      <c r="D3235" s="6">
        <v>3.908032051362445</v>
      </c>
      <c r="E3235" s="6" t="s">
        <v>86</v>
      </c>
      <c r="F3235" s="6" t="s">
        <v>54</v>
      </c>
      <c r="G3235" s="7">
        <v>75665.15041688115</v>
      </c>
      <c r="H3235" s="6">
        <v>295701.8330003321</v>
      </c>
      <c r="I3235" s="6" t="s">
        <v>179</v>
      </c>
      <c r="J3235" s="15">
        <v>28</v>
      </c>
    </row>
    <row r="3236" spans="1:10">
      <c r="A3236" s="6" t="s">
        <v>141</v>
      </c>
      <c r="B3236" s="6" t="s">
        <v>94</v>
      </c>
      <c r="C3236" s="6" t="s">
        <v>312</v>
      </c>
      <c r="D3236" s="6">
        <v>6.570499999999999</v>
      </c>
      <c r="E3236" s="6" t="s">
        <v>88</v>
      </c>
      <c r="F3236" s="6" t="s">
        <v>54</v>
      </c>
      <c r="G3236" s="7">
        <v>75665.15041688115</v>
      </c>
      <c r="H3236" s="6">
        <v>497157.8708141175</v>
      </c>
      <c r="I3236" s="6" t="s">
        <v>179</v>
      </c>
      <c r="J3236" s="15">
        <v>28</v>
      </c>
    </row>
    <row r="3237" spans="1:10">
      <c r="A3237" s="6" t="s">
        <v>141</v>
      </c>
      <c r="B3237" s="6" t="s">
        <v>94</v>
      </c>
      <c r="C3237" s="6" t="s">
        <v>312</v>
      </c>
      <c r="D3237" s="6">
        <v>1.261034846162391</v>
      </c>
      <c r="E3237" s="6" t="s">
        <v>90</v>
      </c>
      <c r="F3237" s="6" t="s">
        <v>54</v>
      </c>
      <c r="G3237" s="7">
        <v>75665.15041688115</v>
      </c>
      <c r="H3237" s="6">
        <v>95416.39131580587</v>
      </c>
      <c r="I3237" s="6" t="s">
        <v>179</v>
      </c>
      <c r="J3237" s="15">
        <v>28</v>
      </c>
    </row>
    <row r="3238" spans="1:10">
      <c r="A3238" s="6" t="s">
        <v>141</v>
      </c>
      <c r="B3238" s="6" t="s">
        <v>94</v>
      </c>
      <c r="C3238" s="6" t="s">
        <v>312</v>
      </c>
      <c r="D3238" s="6">
        <v>0.07583333333333332</v>
      </c>
      <c r="E3238" s="6" t="s">
        <v>92</v>
      </c>
      <c r="F3238" s="6" t="s">
        <v>54</v>
      </c>
      <c r="G3238" s="7">
        <v>75665.15041688115</v>
      </c>
      <c r="H3238" s="6">
        <v>5737.940573280153</v>
      </c>
      <c r="I3238" s="6" t="s">
        <v>179</v>
      </c>
      <c r="J3238" s="15">
        <v>28</v>
      </c>
    </row>
    <row r="3239" spans="1:10">
      <c r="A3239" s="6" t="s">
        <v>141</v>
      </c>
      <c r="B3239" s="6" t="s">
        <v>94</v>
      </c>
      <c r="C3239" s="6" t="s">
        <v>316</v>
      </c>
      <c r="D3239" s="6">
        <v>9.703327216655625</v>
      </c>
      <c r="E3239" s="6" t="s">
        <v>44</v>
      </c>
      <c r="F3239" s="6" t="s">
        <v>54</v>
      </c>
      <c r="G3239" s="7">
        <v>46536.77922077922</v>
      </c>
      <c r="H3239" s="6">
        <v>451561.596388481</v>
      </c>
      <c r="I3239" s="6" t="s">
        <v>179</v>
      </c>
      <c r="J3239" s="15">
        <v>58</v>
      </c>
    </row>
    <row r="3240" spans="1:10">
      <c r="A3240" s="6" t="s">
        <v>141</v>
      </c>
      <c r="B3240" s="6" t="s">
        <v>94</v>
      </c>
      <c r="C3240" s="6" t="s">
        <v>316</v>
      </c>
      <c r="D3240" s="6">
        <v>0.9780871995515403</v>
      </c>
      <c r="E3240" s="6" t="s">
        <v>86</v>
      </c>
      <c r="F3240" s="6" t="s">
        <v>54</v>
      </c>
      <c r="G3240" s="7">
        <v>46536.77922077922</v>
      </c>
      <c r="H3240" s="6">
        <v>45517.02806420026</v>
      </c>
      <c r="I3240" s="6" t="s">
        <v>179</v>
      </c>
      <c r="J3240" s="15">
        <v>58</v>
      </c>
    </row>
    <row r="3241" spans="1:10">
      <c r="A3241" s="6" t="s">
        <v>141</v>
      </c>
      <c r="B3241" s="6" t="s">
        <v>94</v>
      </c>
      <c r="C3241" s="6" t="s">
        <v>316</v>
      </c>
      <c r="D3241" s="6">
        <v>1.308166666666666</v>
      </c>
      <c r="E3241" s="6" t="s">
        <v>88</v>
      </c>
      <c r="F3241" s="6" t="s">
        <v>54</v>
      </c>
      <c r="G3241" s="7">
        <v>46536.77922077922</v>
      </c>
      <c r="H3241" s="6">
        <v>60877.86335064934</v>
      </c>
      <c r="I3241" s="6" t="s">
        <v>179</v>
      </c>
      <c r="J3241" s="15">
        <v>58</v>
      </c>
    </row>
    <row r="3242" spans="1:10">
      <c r="A3242" s="6" t="s">
        <v>141</v>
      </c>
      <c r="B3242" s="6" t="s">
        <v>94</v>
      </c>
      <c r="C3242" s="6" t="s">
        <v>316</v>
      </c>
      <c r="D3242" s="6">
        <v>0.8438394486314955</v>
      </c>
      <c r="E3242" s="6" t="s">
        <v>90</v>
      </c>
      <c r="F3242" s="6" t="s">
        <v>54</v>
      </c>
      <c r="G3242" s="7">
        <v>46536.77922077922</v>
      </c>
      <c r="H3242" s="6">
        <v>39269.57011874798</v>
      </c>
      <c r="I3242" s="6" t="s">
        <v>179</v>
      </c>
      <c r="J3242" s="15">
        <v>58</v>
      </c>
    </row>
    <row r="3243" spans="1:10">
      <c r="A3243" s="6" t="s">
        <v>141</v>
      </c>
      <c r="B3243" s="6" t="s">
        <v>94</v>
      </c>
      <c r="C3243" s="6" t="s">
        <v>326</v>
      </c>
      <c r="D3243" s="6">
        <v>152.6153727303952</v>
      </c>
      <c r="E3243" s="6" t="s">
        <v>44</v>
      </c>
      <c r="F3243" s="6" t="s">
        <v>54</v>
      </c>
      <c r="G3243" s="7">
        <v>59485.52221921444</v>
      </c>
      <c r="H3243" s="6">
        <v>9078405.145547615</v>
      </c>
      <c r="I3243" s="6" t="s">
        <v>179</v>
      </c>
      <c r="J3243" s="15">
        <v>72</v>
      </c>
    </row>
    <row r="3244" spans="1:10">
      <c r="A3244" s="6" t="s">
        <v>141</v>
      </c>
      <c r="B3244" s="6" t="s">
        <v>94</v>
      </c>
      <c r="C3244" s="6" t="s">
        <v>326</v>
      </c>
      <c r="D3244" s="6">
        <v>28.77339624977115</v>
      </c>
      <c r="E3244" s="6" t="s">
        <v>86</v>
      </c>
      <c r="F3244" s="6" t="s">
        <v>54</v>
      </c>
      <c r="G3244" s="7">
        <v>59485.52221921444</v>
      </c>
      <c r="H3244" s="6">
        <v>1711600.501938023</v>
      </c>
      <c r="I3244" s="6" t="s">
        <v>179</v>
      </c>
      <c r="J3244" s="15">
        <v>72</v>
      </c>
    </row>
    <row r="3245" spans="1:10">
      <c r="A3245" s="6" t="s">
        <v>141</v>
      </c>
      <c r="B3245" s="6" t="s">
        <v>94</v>
      </c>
      <c r="C3245" s="6" t="s">
        <v>326</v>
      </c>
      <c r="D3245" s="6">
        <v>70.44591666666666</v>
      </c>
      <c r="E3245" s="6" t="s">
        <v>88</v>
      </c>
      <c r="F3245" s="6" t="s">
        <v>54</v>
      </c>
      <c r="G3245" s="7">
        <v>59485.52221921444</v>
      </c>
      <c r="H3245" s="6">
        <v>4190512.141127929</v>
      </c>
      <c r="I3245" s="6" t="s">
        <v>179</v>
      </c>
      <c r="J3245" s="15">
        <v>72</v>
      </c>
    </row>
    <row r="3246" spans="1:10">
      <c r="A3246" s="6" t="s">
        <v>141</v>
      </c>
      <c r="B3246" s="6" t="s">
        <v>94</v>
      </c>
      <c r="C3246" s="6" t="s">
        <v>326</v>
      </c>
      <c r="D3246" s="6">
        <v>15.44523803450359</v>
      </c>
      <c r="E3246" s="6" t="s">
        <v>90</v>
      </c>
      <c r="F3246" s="6" t="s">
        <v>54</v>
      </c>
      <c r="G3246" s="7">
        <v>59485.52221921444</v>
      </c>
      <c r="H3246" s="6">
        <v>918768.0502825194</v>
      </c>
      <c r="I3246" s="6" t="s">
        <v>179</v>
      </c>
      <c r="J3246" s="15">
        <v>72</v>
      </c>
    </row>
    <row r="3247" spans="1:10">
      <c r="A3247" s="6" t="s">
        <v>141</v>
      </c>
      <c r="B3247" s="6" t="s">
        <v>94</v>
      </c>
      <c r="C3247" s="6" t="s">
        <v>326</v>
      </c>
      <c r="D3247" s="6">
        <v>0.08816666666666668</v>
      </c>
      <c r="E3247" s="6" t="s">
        <v>92</v>
      </c>
      <c r="F3247" s="6" t="s">
        <v>54</v>
      </c>
      <c r="G3247" s="7">
        <v>59485.52221921444</v>
      </c>
      <c r="H3247" s="6">
        <v>5244.640208994075</v>
      </c>
      <c r="I3247" s="6" t="s">
        <v>179</v>
      </c>
      <c r="J3247" s="15">
        <v>72</v>
      </c>
    </row>
    <row r="3248" spans="1:10">
      <c r="A3248" s="6" t="s">
        <v>141</v>
      </c>
      <c r="B3248" s="6" t="s">
        <v>97</v>
      </c>
      <c r="C3248" s="6" t="s">
        <v>259</v>
      </c>
      <c r="D3248" s="6">
        <v>2.528461088408558</v>
      </c>
      <c r="E3248" s="6" t="s">
        <v>44</v>
      </c>
      <c r="F3248" s="6" t="s">
        <v>56</v>
      </c>
      <c r="G3248" s="7">
        <v>63297.87234042553</v>
      </c>
      <c r="H3248" s="6">
        <v>160046.2071918183</v>
      </c>
      <c r="I3248" s="6" t="s">
        <v>179</v>
      </c>
      <c r="J3248" s="15">
        <v>8.766666666666667</v>
      </c>
    </row>
    <row r="3249" spans="1:10">
      <c r="A3249" s="6" t="s">
        <v>141</v>
      </c>
      <c r="B3249" s="6" t="s">
        <v>99</v>
      </c>
      <c r="C3249" s="6" t="s">
        <v>377</v>
      </c>
      <c r="D3249" s="6">
        <v>0.6653333333333333</v>
      </c>
      <c r="E3249" s="6" t="s">
        <v>86</v>
      </c>
      <c r="F3249" s="6" t="s">
        <v>51</v>
      </c>
      <c r="G3249" s="7">
        <v>35583.84204728413</v>
      </c>
      <c r="H3249" s="6">
        <v>23675.11624212638</v>
      </c>
      <c r="I3249" s="6" t="s">
        <v>179</v>
      </c>
      <c r="J3249" s="15">
        <v>23.61666666666667</v>
      </c>
    </row>
    <row r="3250" spans="1:10">
      <c r="A3250" s="6" t="s">
        <v>141</v>
      </c>
      <c r="B3250" s="6" t="s">
        <v>99</v>
      </c>
      <c r="C3250" s="6" t="s">
        <v>377</v>
      </c>
      <c r="D3250" s="6">
        <v>4.25175</v>
      </c>
      <c r="E3250" s="6" t="s">
        <v>88</v>
      </c>
      <c r="F3250" s="6" t="s">
        <v>51</v>
      </c>
      <c r="G3250" s="7">
        <v>35583.84204728413</v>
      </c>
      <c r="H3250" s="6">
        <v>151293.6004245403</v>
      </c>
      <c r="I3250" s="6" t="s">
        <v>179</v>
      </c>
      <c r="J3250" s="15">
        <v>23.61666666666667</v>
      </c>
    </row>
    <row r="3251" spans="1:10">
      <c r="A3251" s="6" t="s">
        <v>141</v>
      </c>
      <c r="B3251" s="6" t="s">
        <v>99</v>
      </c>
      <c r="C3251" s="6" t="s">
        <v>378</v>
      </c>
      <c r="D3251" s="6">
        <v>20.81741666666667</v>
      </c>
      <c r="E3251" s="6" t="s">
        <v>44</v>
      </c>
      <c r="F3251" s="6" t="s">
        <v>51</v>
      </c>
      <c r="G3251" s="7">
        <v>42435.71083411619</v>
      </c>
      <c r="H3251" s="6">
        <v>883401.8739799777</v>
      </c>
      <c r="I3251" s="6" t="s">
        <v>179</v>
      </c>
      <c r="J3251" s="15">
        <v>17</v>
      </c>
    </row>
    <row r="3252" spans="1:10">
      <c r="A3252" s="6" t="s">
        <v>141</v>
      </c>
      <c r="B3252" s="6" t="s">
        <v>99</v>
      </c>
      <c r="C3252" s="6" t="s">
        <v>378</v>
      </c>
      <c r="D3252" s="6">
        <v>4.6905</v>
      </c>
      <c r="E3252" s="6" t="s">
        <v>86</v>
      </c>
      <c r="F3252" s="6" t="s">
        <v>51</v>
      </c>
      <c r="G3252" s="7">
        <v>42435.71083411619</v>
      </c>
      <c r="H3252" s="6">
        <v>199044.701667422</v>
      </c>
      <c r="I3252" s="6" t="s">
        <v>179</v>
      </c>
      <c r="J3252" s="15">
        <v>17</v>
      </c>
    </row>
    <row r="3253" spans="1:10">
      <c r="A3253" s="6" t="s">
        <v>141</v>
      </c>
      <c r="B3253" s="6" t="s">
        <v>99</v>
      </c>
      <c r="C3253" s="6" t="s">
        <v>378</v>
      </c>
      <c r="D3253" s="6">
        <v>2.897416666666667</v>
      </c>
      <c r="E3253" s="6" t="s">
        <v>88</v>
      </c>
      <c r="F3253" s="6" t="s">
        <v>51</v>
      </c>
      <c r="G3253" s="7">
        <v>42435.71083411619</v>
      </c>
      <c r="H3253" s="6">
        <v>122953.9358326155</v>
      </c>
      <c r="I3253" s="6" t="s">
        <v>179</v>
      </c>
      <c r="J3253" s="15">
        <v>17</v>
      </c>
    </row>
    <row r="3254" spans="1:10">
      <c r="A3254" s="6" t="s">
        <v>141</v>
      </c>
      <c r="B3254" s="6" t="s">
        <v>99</v>
      </c>
      <c r="C3254" s="6" t="s">
        <v>378</v>
      </c>
      <c r="D3254" s="6">
        <v>2.450333333333333</v>
      </c>
      <c r="E3254" s="6" t="s">
        <v>90</v>
      </c>
      <c r="F3254" s="6" t="s">
        <v>51</v>
      </c>
      <c r="G3254" s="7">
        <v>42435.71083411619</v>
      </c>
      <c r="H3254" s="6">
        <v>103981.6367805294</v>
      </c>
      <c r="I3254" s="6" t="s">
        <v>179</v>
      </c>
      <c r="J3254" s="15">
        <v>17</v>
      </c>
    </row>
    <row r="3255" spans="1:10">
      <c r="A3255" s="6" t="s">
        <v>141</v>
      </c>
      <c r="B3255" s="6" t="s">
        <v>99</v>
      </c>
      <c r="C3255" s="6" t="s">
        <v>233</v>
      </c>
      <c r="D3255" s="6">
        <v>66.42486009382753</v>
      </c>
      <c r="E3255" s="6" t="s">
        <v>44</v>
      </c>
      <c r="F3255" s="6" t="s">
        <v>59</v>
      </c>
      <c r="G3255" s="7">
        <v>40040.33219225397</v>
      </c>
      <c r="H3255" s="6">
        <v>2659673.463980848</v>
      </c>
      <c r="I3255" s="6" t="s">
        <v>179</v>
      </c>
      <c r="J3255" s="15">
        <v>48</v>
      </c>
    </row>
    <row r="3256" spans="1:10">
      <c r="A3256" s="6" t="s">
        <v>141</v>
      </c>
      <c r="B3256" s="6" t="s">
        <v>99</v>
      </c>
      <c r="C3256" s="6" t="s">
        <v>233</v>
      </c>
      <c r="D3256" s="6">
        <v>18.47254896813599</v>
      </c>
      <c r="E3256" s="6" t="s">
        <v>86</v>
      </c>
      <c r="F3256" s="6" t="s">
        <v>59</v>
      </c>
      <c r="G3256" s="7">
        <v>40040.33219225397</v>
      </c>
      <c r="H3256" s="6">
        <v>739646.9971218433</v>
      </c>
      <c r="I3256" s="6" t="s">
        <v>179</v>
      </c>
      <c r="J3256" s="15">
        <v>48</v>
      </c>
    </row>
    <row r="3257" spans="1:10">
      <c r="A3257" s="6" t="s">
        <v>141</v>
      </c>
      <c r="B3257" s="6" t="s">
        <v>99</v>
      </c>
      <c r="C3257" s="6" t="s">
        <v>233</v>
      </c>
      <c r="D3257" s="6">
        <v>22.67775</v>
      </c>
      <c r="E3257" s="6" t="s">
        <v>88</v>
      </c>
      <c r="F3257" s="6" t="s">
        <v>59</v>
      </c>
      <c r="G3257" s="7">
        <v>40040.33219225397</v>
      </c>
      <c r="H3257" s="6">
        <v>908024.6433728874</v>
      </c>
      <c r="I3257" s="6" t="s">
        <v>179</v>
      </c>
      <c r="J3257" s="15">
        <v>48</v>
      </c>
    </row>
    <row r="3258" spans="1:10">
      <c r="A3258" s="6" t="s">
        <v>141</v>
      </c>
      <c r="B3258" s="6" t="s">
        <v>99</v>
      </c>
      <c r="C3258" s="6" t="s">
        <v>233</v>
      </c>
      <c r="D3258" s="6">
        <v>4.83571549273702</v>
      </c>
      <c r="E3258" s="6" t="s">
        <v>90</v>
      </c>
      <c r="F3258" s="6" t="s">
        <v>59</v>
      </c>
      <c r="G3258" s="7">
        <v>40040.33219225397</v>
      </c>
      <c r="H3258" s="6">
        <v>193623.6547164193</v>
      </c>
      <c r="I3258" s="6" t="s">
        <v>179</v>
      </c>
      <c r="J3258" s="15">
        <v>48</v>
      </c>
    </row>
    <row r="3259" spans="1:10">
      <c r="A3259" s="6" t="s">
        <v>141</v>
      </c>
      <c r="B3259" s="6" t="s">
        <v>99</v>
      </c>
      <c r="C3259" s="6" t="s">
        <v>379</v>
      </c>
      <c r="D3259" s="6">
        <v>7.57225</v>
      </c>
      <c r="E3259" s="6" t="s">
        <v>44</v>
      </c>
      <c r="F3259" s="6" t="s">
        <v>51</v>
      </c>
      <c r="G3259" s="7">
        <v>40779.52434215925</v>
      </c>
      <c r="H3259" s="6">
        <v>308792.7531999153</v>
      </c>
      <c r="I3259" s="6" t="s">
        <v>179</v>
      </c>
      <c r="J3259" s="15">
        <v>29</v>
      </c>
    </row>
    <row r="3260" spans="1:10">
      <c r="A3260" s="6" t="s">
        <v>141</v>
      </c>
      <c r="B3260" s="6" t="s">
        <v>99</v>
      </c>
      <c r="C3260" s="6" t="s">
        <v>379</v>
      </c>
      <c r="D3260" s="6">
        <v>2.812083333333333</v>
      </c>
      <c r="E3260" s="6" t="s">
        <v>86</v>
      </c>
      <c r="F3260" s="6" t="s">
        <v>51</v>
      </c>
      <c r="G3260" s="7">
        <v>40779.52434215925</v>
      </c>
      <c r="H3260" s="6">
        <v>114675.420743847</v>
      </c>
      <c r="I3260" s="6" t="s">
        <v>179</v>
      </c>
      <c r="J3260" s="15">
        <v>29</v>
      </c>
    </row>
    <row r="3261" spans="1:10">
      <c r="A3261" s="6" t="s">
        <v>141</v>
      </c>
      <c r="B3261" s="6" t="s">
        <v>99</v>
      </c>
      <c r="C3261" s="6" t="s">
        <v>379</v>
      </c>
      <c r="D3261" s="6">
        <v>9.439</v>
      </c>
      <c r="E3261" s="6" t="s">
        <v>88</v>
      </c>
      <c r="F3261" s="6" t="s">
        <v>51</v>
      </c>
      <c r="G3261" s="7">
        <v>40779.52434215925</v>
      </c>
      <c r="H3261" s="6">
        <v>384917.9302656411</v>
      </c>
      <c r="I3261" s="6" t="s">
        <v>179</v>
      </c>
      <c r="J3261" s="15">
        <v>29</v>
      </c>
    </row>
    <row r="3262" spans="1:10">
      <c r="A3262" s="6" t="s">
        <v>141</v>
      </c>
      <c r="B3262" s="6" t="s">
        <v>99</v>
      </c>
      <c r="C3262" s="6" t="s">
        <v>379</v>
      </c>
      <c r="D3262" s="6">
        <v>0.5156666666666667</v>
      </c>
      <c r="E3262" s="6" t="s">
        <v>90</v>
      </c>
      <c r="F3262" s="6" t="s">
        <v>51</v>
      </c>
      <c r="G3262" s="7">
        <v>40779.52434215925</v>
      </c>
      <c r="H3262" s="6">
        <v>21028.64138577345</v>
      </c>
      <c r="I3262" s="6" t="s">
        <v>179</v>
      </c>
      <c r="J3262" s="15">
        <v>29</v>
      </c>
    </row>
    <row r="3263" spans="1:10">
      <c r="A3263" s="6" t="s">
        <v>141</v>
      </c>
      <c r="B3263" s="6" t="s">
        <v>99</v>
      </c>
      <c r="C3263" s="6" t="s">
        <v>240</v>
      </c>
      <c r="D3263" s="6">
        <v>15.96559399408109</v>
      </c>
      <c r="E3263" s="6" t="s">
        <v>44</v>
      </c>
      <c r="F3263" s="6" t="s">
        <v>51</v>
      </c>
      <c r="G3263" s="7">
        <v>39114.55614370987</v>
      </c>
      <c r="H3263" s="6">
        <v>624487.1226491618</v>
      </c>
      <c r="I3263" s="6" t="s">
        <v>179</v>
      </c>
      <c r="J3263" s="15">
        <v>28</v>
      </c>
    </row>
    <row r="3264" spans="1:10">
      <c r="A3264" s="6" t="s">
        <v>141</v>
      </c>
      <c r="B3264" s="6" t="s">
        <v>99</v>
      </c>
      <c r="C3264" s="6" t="s">
        <v>240</v>
      </c>
      <c r="D3264" s="6">
        <v>1.594076037096159</v>
      </c>
      <c r="E3264" s="6" t="s">
        <v>86</v>
      </c>
      <c r="F3264" s="6" t="s">
        <v>51</v>
      </c>
      <c r="G3264" s="7">
        <v>39114.55614370987</v>
      </c>
      <c r="H3264" s="6">
        <v>62351.57665034025</v>
      </c>
      <c r="I3264" s="6" t="s">
        <v>179</v>
      </c>
      <c r="J3264" s="15">
        <v>28</v>
      </c>
    </row>
    <row r="3265" spans="1:10">
      <c r="A3265" s="6" t="s">
        <v>141</v>
      </c>
      <c r="B3265" s="6" t="s">
        <v>99</v>
      </c>
      <c r="C3265" s="6" t="s">
        <v>240</v>
      </c>
      <c r="D3265" s="6">
        <v>0.8770833333333334</v>
      </c>
      <c r="E3265" s="6" t="s">
        <v>88</v>
      </c>
      <c r="F3265" s="6" t="s">
        <v>51</v>
      </c>
      <c r="G3265" s="7">
        <v>39114.55614370987</v>
      </c>
      <c r="H3265" s="6">
        <v>34306.72528437887</v>
      </c>
      <c r="I3265" s="6" t="s">
        <v>179</v>
      </c>
      <c r="J3265" s="15">
        <v>28</v>
      </c>
    </row>
    <row r="3266" spans="1:10">
      <c r="A3266" s="6" t="s">
        <v>141</v>
      </c>
      <c r="B3266" s="6" t="s">
        <v>99</v>
      </c>
      <c r="C3266" s="6" t="s">
        <v>240</v>
      </c>
      <c r="D3266" s="6">
        <v>1.407436035032424</v>
      </c>
      <c r="E3266" s="6" t="s">
        <v>90</v>
      </c>
      <c r="F3266" s="6" t="s">
        <v>51</v>
      </c>
      <c r="G3266" s="7">
        <v>39114.55614370987</v>
      </c>
      <c r="H3266" s="6">
        <v>55051.23581095618</v>
      </c>
      <c r="I3266" s="6" t="s">
        <v>179</v>
      </c>
      <c r="J3266" s="15">
        <v>28</v>
      </c>
    </row>
    <row r="3267" spans="1:10">
      <c r="A3267" s="6" t="s">
        <v>141</v>
      </c>
      <c r="B3267" s="6" t="s">
        <v>99</v>
      </c>
      <c r="C3267" s="6" t="s">
        <v>247</v>
      </c>
      <c r="D3267" s="6">
        <v>417.2856481650002</v>
      </c>
      <c r="E3267" s="6" t="s">
        <v>44</v>
      </c>
      <c r="F3267" s="6" t="s">
        <v>51</v>
      </c>
      <c r="G3267" s="7">
        <v>36189.46765156386</v>
      </c>
      <c r="H3267" s="6">
        <v>15101345.46572913</v>
      </c>
      <c r="I3267" s="6" t="s">
        <v>179</v>
      </c>
      <c r="J3267" s="15">
        <v>26</v>
      </c>
    </row>
    <row r="3268" spans="1:10">
      <c r="A3268" s="6" t="s">
        <v>141</v>
      </c>
      <c r="B3268" s="6" t="s">
        <v>99</v>
      </c>
      <c r="C3268" s="6" t="s">
        <v>247</v>
      </c>
      <c r="D3268" s="6">
        <v>97.99639363289407</v>
      </c>
      <c r="E3268" s="6" t="s">
        <v>86</v>
      </c>
      <c r="F3268" s="6" t="s">
        <v>51</v>
      </c>
      <c r="G3268" s="7">
        <v>36189.46765156386</v>
      </c>
      <c r="H3268" s="6">
        <v>3546437.317347538</v>
      </c>
      <c r="I3268" s="6" t="s">
        <v>179</v>
      </c>
      <c r="J3268" s="15">
        <v>26</v>
      </c>
    </row>
    <row r="3269" spans="1:10">
      <c r="A3269" s="6" t="s">
        <v>141</v>
      </c>
      <c r="B3269" s="6" t="s">
        <v>99</v>
      </c>
      <c r="C3269" s="6" t="s">
        <v>247</v>
      </c>
      <c r="D3269" s="6">
        <v>103.5275833333333</v>
      </c>
      <c r="E3269" s="6" t="s">
        <v>88</v>
      </c>
      <c r="F3269" s="6" t="s">
        <v>51</v>
      </c>
      <c r="G3269" s="7">
        <v>36189.46765156386</v>
      </c>
      <c r="H3269" s="6">
        <v>3746608.128086248</v>
      </c>
      <c r="I3269" s="6" t="s">
        <v>179</v>
      </c>
      <c r="J3269" s="15">
        <v>26</v>
      </c>
    </row>
    <row r="3270" spans="1:10">
      <c r="A3270" s="6" t="s">
        <v>141</v>
      </c>
      <c r="B3270" s="6" t="s">
        <v>99</v>
      </c>
      <c r="C3270" s="6" t="s">
        <v>247</v>
      </c>
      <c r="D3270" s="6">
        <v>43.25011239393688</v>
      </c>
      <c r="E3270" s="6" t="s">
        <v>90</v>
      </c>
      <c r="F3270" s="6" t="s">
        <v>51</v>
      </c>
      <c r="G3270" s="7">
        <v>36189.46765156386</v>
      </c>
      <c r="H3270" s="6">
        <v>1565198.54340688</v>
      </c>
      <c r="I3270" s="6" t="s">
        <v>179</v>
      </c>
      <c r="J3270" s="15">
        <v>26</v>
      </c>
    </row>
    <row r="3271" spans="1:10">
      <c r="A3271" s="6" t="s">
        <v>141</v>
      </c>
      <c r="B3271" s="6" t="s">
        <v>99</v>
      </c>
      <c r="C3271" s="6" t="s">
        <v>247</v>
      </c>
      <c r="D3271" s="6">
        <v>0.1738333333333334</v>
      </c>
      <c r="E3271" s="6" t="s">
        <v>92</v>
      </c>
      <c r="F3271" s="6" t="s">
        <v>51</v>
      </c>
      <c r="G3271" s="7">
        <v>36189.46765156386</v>
      </c>
      <c r="H3271" s="6">
        <v>6290.935793430185</v>
      </c>
      <c r="I3271" s="6" t="s">
        <v>179</v>
      </c>
      <c r="J3271" s="15">
        <v>26</v>
      </c>
    </row>
    <row r="3272" spans="1:10">
      <c r="A3272" s="6" t="s">
        <v>141</v>
      </c>
      <c r="B3272" s="6" t="s">
        <v>99</v>
      </c>
      <c r="C3272" s="6" t="s">
        <v>255</v>
      </c>
      <c r="D3272" s="6">
        <v>62.57483328575682</v>
      </c>
      <c r="E3272" s="6" t="s">
        <v>44</v>
      </c>
      <c r="F3272" s="6" t="s">
        <v>51</v>
      </c>
      <c r="G3272" s="7">
        <v>36962.48996947323</v>
      </c>
      <c r="H3272" s="6">
        <v>2312921.647666246</v>
      </c>
      <c r="I3272" s="6" t="s">
        <v>179</v>
      </c>
      <c r="J3272" s="15">
        <v>26.63333333333333</v>
      </c>
    </row>
    <row r="3273" spans="1:10">
      <c r="A3273" s="6" t="s">
        <v>141</v>
      </c>
      <c r="B3273" s="6" t="s">
        <v>99</v>
      </c>
      <c r="C3273" s="6" t="s">
        <v>255</v>
      </c>
      <c r="D3273" s="6">
        <v>7.70315928153343</v>
      </c>
      <c r="E3273" s="6" t="s">
        <v>86</v>
      </c>
      <c r="F3273" s="6" t="s">
        <v>51</v>
      </c>
      <c r="G3273" s="7">
        <v>36962.48996947323</v>
      </c>
      <c r="H3273" s="6">
        <v>284727.947676934</v>
      </c>
      <c r="I3273" s="6" t="s">
        <v>179</v>
      </c>
      <c r="J3273" s="15">
        <v>26.63333333333333</v>
      </c>
    </row>
    <row r="3274" spans="1:10">
      <c r="A3274" s="6" t="s">
        <v>141</v>
      </c>
      <c r="B3274" s="6" t="s">
        <v>99</v>
      </c>
      <c r="C3274" s="6" t="s">
        <v>255</v>
      </c>
      <c r="D3274" s="6">
        <v>9.785916666666667</v>
      </c>
      <c r="E3274" s="6" t="s">
        <v>88</v>
      </c>
      <c r="F3274" s="6" t="s">
        <v>51</v>
      </c>
      <c r="G3274" s="7">
        <v>36962.48996947323</v>
      </c>
      <c r="H3274" s="6">
        <v>361711.8466337676</v>
      </c>
      <c r="I3274" s="6" t="s">
        <v>179</v>
      </c>
      <c r="J3274" s="15">
        <v>26.63333333333333</v>
      </c>
    </row>
    <row r="3275" spans="1:10">
      <c r="A3275" s="6" t="s">
        <v>141</v>
      </c>
      <c r="B3275" s="6" t="s">
        <v>99</v>
      </c>
      <c r="C3275" s="6" t="s">
        <v>255</v>
      </c>
      <c r="D3275" s="6">
        <v>1.728539798705085</v>
      </c>
      <c r="E3275" s="6" t="s">
        <v>90</v>
      </c>
      <c r="F3275" s="6" t="s">
        <v>51</v>
      </c>
      <c r="G3275" s="7">
        <v>36962.48996947323</v>
      </c>
      <c r="H3275" s="6">
        <v>63891.13497147196</v>
      </c>
      <c r="I3275" s="6" t="s">
        <v>179</v>
      </c>
      <c r="J3275" s="15">
        <v>26.63333333333333</v>
      </c>
    </row>
    <row r="3276" spans="1:10">
      <c r="A3276" s="6" t="s">
        <v>141</v>
      </c>
      <c r="B3276" s="6" t="s">
        <v>99</v>
      </c>
      <c r="C3276" s="6" t="s">
        <v>267</v>
      </c>
      <c r="D3276" s="6">
        <v>0.006318865542289795</v>
      </c>
      <c r="E3276" s="6" t="s">
        <v>44</v>
      </c>
      <c r="F3276" s="6" t="s">
        <v>53</v>
      </c>
      <c r="G3276" s="7">
        <v>46984.15318135542</v>
      </c>
      <c r="H3276" s="6">
        <v>296.8865465713322</v>
      </c>
      <c r="I3276" s="6" t="s">
        <v>180</v>
      </c>
      <c r="J3276" s="15">
        <v>8.927599272642651</v>
      </c>
    </row>
    <row r="3277" spans="1:10">
      <c r="A3277" s="6" t="s">
        <v>141</v>
      </c>
      <c r="B3277" s="6" t="s">
        <v>99</v>
      </c>
      <c r="C3277" s="6" t="s">
        <v>267</v>
      </c>
      <c r="D3277" s="6">
        <v>7.704233896673606E-06</v>
      </c>
      <c r="E3277" s="6" t="s">
        <v>86</v>
      </c>
      <c r="F3277" s="6" t="s">
        <v>53</v>
      </c>
      <c r="G3277" s="7">
        <v>46984.15318135542</v>
      </c>
      <c r="H3277" s="6">
        <v>0.3619769055463035</v>
      </c>
      <c r="I3277" s="6" t="s">
        <v>180</v>
      </c>
      <c r="J3277" s="15">
        <v>8.927599272642651</v>
      </c>
    </row>
    <row r="3278" spans="1:10">
      <c r="A3278" s="6" t="s">
        <v>141</v>
      </c>
      <c r="B3278" s="6" t="s">
        <v>99</v>
      </c>
      <c r="C3278" s="6" t="s">
        <v>267</v>
      </c>
      <c r="D3278" s="6">
        <v>0.0005383444167651978</v>
      </c>
      <c r="E3278" s="6" t="s">
        <v>90</v>
      </c>
      <c r="F3278" s="6" t="s">
        <v>53</v>
      </c>
      <c r="G3278" s="7">
        <v>46984.15318135542</v>
      </c>
      <c r="H3278" s="6">
        <v>25.29365654162349</v>
      </c>
      <c r="I3278" s="6" t="s">
        <v>180</v>
      </c>
      <c r="J3278" s="15">
        <v>8.927599272642651</v>
      </c>
    </row>
    <row r="3279" spans="1:10">
      <c r="A3279" s="6" t="s">
        <v>141</v>
      </c>
      <c r="B3279" s="6" t="s">
        <v>99</v>
      </c>
      <c r="C3279" s="6" t="s">
        <v>270</v>
      </c>
      <c r="D3279" s="6">
        <v>26.45135250591784</v>
      </c>
      <c r="E3279" s="6" t="s">
        <v>44</v>
      </c>
      <c r="F3279" s="6" t="s">
        <v>59</v>
      </c>
      <c r="G3279" s="7">
        <v>54249.01363714516</v>
      </c>
      <c r="H3279" s="6">
        <v>1434959.782814471</v>
      </c>
      <c r="I3279" s="6" t="s">
        <v>179</v>
      </c>
      <c r="J3279" s="15">
        <v>51.11666666666667</v>
      </c>
    </row>
    <row r="3280" spans="1:10">
      <c r="A3280" s="6" t="s">
        <v>141</v>
      </c>
      <c r="B3280" s="6" t="s">
        <v>99</v>
      </c>
      <c r="C3280" s="6" t="s">
        <v>270</v>
      </c>
      <c r="D3280" s="6">
        <v>5.537624149821935</v>
      </c>
      <c r="E3280" s="6" t="s">
        <v>86</v>
      </c>
      <c r="F3280" s="6" t="s">
        <v>59</v>
      </c>
      <c r="G3280" s="7">
        <v>54249.01363714516</v>
      </c>
      <c r="H3280" s="6">
        <v>300410.6480210745</v>
      </c>
      <c r="I3280" s="6" t="s">
        <v>179</v>
      </c>
      <c r="J3280" s="15">
        <v>51.11666666666667</v>
      </c>
    </row>
    <row r="3281" spans="1:10">
      <c r="A3281" s="6" t="s">
        <v>141</v>
      </c>
      <c r="B3281" s="6" t="s">
        <v>99</v>
      </c>
      <c r="C3281" s="6" t="s">
        <v>270</v>
      </c>
      <c r="D3281" s="6">
        <v>4.1915</v>
      </c>
      <c r="E3281" s="6" t="s">
        <v>88</v>
      </c>
      <c r="F3281" s="6" t="s">
        <v>59</v>
      </c>
      <c r="G3281" s="7">
        <v>54249.01363714516</v>
      </c>
      <c r="H3281" s="6">
        <v>227384.7406600939</v>
      </c>
      <c r="I3281" s="6" t="s">
        <v>179</v>
      </c>
      <c r="J3281" s="15">
        <v>51.11666666666667</v>
      </c>
    </row>
    <row r="3282" spans="1:10">
      <c r="A3282" s="6" t="s">
        <v>141</v>
      </c>
      <c r="B3282" s="6" t="s">
        <v>99</v>
      </c>
      <c r="C3282" s="6" t="s">
        <v>270</v>
      </c>
      <c r="D3282" s="6">
        <v>1.573539930878101</v>
      </c>
      <c r="E3282" s="6" t="s">
        <v>90</v>
      </c>
      <c r="F3282" s="6" t="s">
        <v>59</v>
      </c>
      <c r="G3282" s="7">
        <v>54249.01363714516</v>
      </c>
      <c r="H3282" s="6">
        <v>85362.98916879854</v>
      </c>
      <c r="I3282" s="6" t="s">
        <v>179</v>
      </c>
      <c r="J3282" s="15">
        <v>51.11666666666667</v>
      </c>
    </row>
    <row r="3283" spans="1:10">
      <c r="A3283" s="6" t="s">
        <v>141</v>
      </c>
      <c r="B3283" s="6" t="s">
        <v>99</v>
      </c>
      <c r="C3283" s="6" t="s">
        <v>273</v>
      </c>
      <c r="D3283" s="6">
        <v>256.872400939763</v>
      </c>
      <c r="E3283" s="6" t="s">
        <v>44</v>
      </c>
      <c r="F3283" s="6" t="s">
        <v>51</v>
      </c>
      <c r="G3283" s="7">
        <v>40686.65056493157</v>
      </c>
      <c r="H3283" s="6">
        <v>10451277.61681114</v>
      </c>
      <c r="I3283" s="6" t="s">
        <v>179</v>
      </c>
      <c r="J3283" s="15">
        <v>43</v>
      </c>
    </row>
    <row r="3284" spans="1:10">
      <c r="A3284" s="6" t="s">
        <v>141</v>
      </c>
      <c r="B3284" s="6" t="s">
        <v>99</v>
      </c>
      <c r="C3284" s="6" t="s">
        <v>273</v>
      </c>
      <c r="D3284" s="6">
        <v>70.20217421525825</v>
      </c>
      <c r="E3284" s="6" t="s">
        <v>86</v>
      </c>
      <c r="F3284" s="6" t="s">
        <v>51</v>
      </c>
      <c r="G3284" s="7">
        <v>40686.65056493157</v>
      </c>
      <c r="H3284" s="6">
        <v>2856291.331194662</v>
      </c>
      <c r="I3284" s="6" t="s">
        <v>179</v>
      </c>
      <c r="J3284" s="15">
        <v>43</v>
      </c>
    </row>
    <row r="3285" spans="1:10">
      <c r="A3285" s="6" t="s">
        <v>141</v>
      </c>
      <c r="B3285" s="6" t="s">
        <v>99</v>
      </c>
      <c r="C3285" s="6" t="s">
        <v>273</v>
      </c>
      <c r="D3285" s="6">
        <v>125.31275</v>
      </c>
      <c r="E3285" s="6" t="s">
        <v>88</v>
      </c>
      <c r="F3285" s="6" t="s">
        <v>51</v>
      </c>
      <c r="G3285" s="7">
        <v>40686.65056493157</v>
      </c>
      <c r="H3285" s="6">
        <v>5098556.070580628</v>
      </c>
      <c r="I3285" s="6" t="s">
        <v>179</v>
      </c>
      <c r="J3285" s="15">
        <v>43</v>
      </c>
    </row>
    <row r="3286" spans="1:10">
      <c r="A3286" s="6" t="s">
        <v>141</v>
      </c>
      <c r="B3286" s="6" t="s">
        <v>99</v>
      </c>
      <c r="C3286" s="6" t="s">
        <v>273</v>
      </c>
      <c r="D3286" s="6">
        <v>22.10202751881685</v>
      </c>
      <c r="E3286" s="6" t="s">
        <v>90</v>
      </c>
      <c r="F3286" s="6" t="s">
        <v>51</v>
      </c>
      <c r="G3286" s="7">
        <v>40686.65056493157</v>
      </c>
      <c r="H3286" s="6">
        <v>899257.4704346025</v>
      </c>
      <c r="I3286" s="6" t="s">
        <v>179</v>
      </c>
      <c r="J3286" s="15">
        <v>43</v>
      </c>
    </row>
    <row r="3287" spans="1:10">
      <c r="A3287" s="6" t="s">
        <v>141</v>
      </c>
      <c r="B3287" s="6" t="s">
        <v>99</v>
      </c>
      <c r="C3287" s="6" t="s">
        <v>273</v>
      </c>
      <c r="D3287" s="6">
        <v>0.2381666666666666</v>
      </c>
      <c r="E3287" s="6" t="s">
        <v>92</v>
      </c>
      <c r="F3287" s="6" t="s">
        <v>51</v>
      </c>
      <c r="G3287" s="7">
        <v>40686.65056493157</v>
      </c>
      <c r="H3287" s="6">
        <v>9690.2039428812</v>
      </c>
      <c r="I3287" s="6" t="s">
        <v>179</v>
      </c>
      <c r="J3287" s="15">
        <v>43</v>
      </c>
    </row>
    <row r="3288" spans="1:10">
      <c r="A3288" s="6" t="s">
        <v>141</v>
      </c>
      <c r="B3288" s="6" t="s">
        <v>99</v>
      </c>
      <c r="C3288" s="6" t="s">
        <v>276</v>
      </c>
      <c r="D3288" s="6">
        <v>18.30500380028165</v>
      </c>
      <c r="E3288" s="6" t="s">
        <v>44</v>
      </c>
      <c r="F3288" s="6" t="s">
        <v>51</v>
      </c>
      <c r="G3288" s="7">
        <v>37977.83667651232</v>
      </c>
      <c r="H3288" s="6">
        <v>695184.4446900337</v>
      </c>
      <c r="I3288" s="6" t="s">
        <v>179</v>
      </c>
      <c r="J3288" s="15">
        <v>30.21666666666667</v>
      </c>
    </row>
    <row r="3289" spans="1:10">
      <c r="A3289" s="6" t="s">
        <v>141</v>
      </c>
      <c r="B3289" s="6" t="s">
        <v>99</v>
      </c>
      <c r="C3289" s="6" t="s">
        <v>276</v>
      </c>
      <c r="D3289" s="6">
        <v>4.047817928880855</v>
      </c>
      <c r="E3289" s="6" t="s">
        <v>86</v>
      </c>
      <c r="F3289" s="6" t="s">
        <v>51</v>
      </c>
      <c r="G3289" s="7">
        <v>37977.83667651232</v>
      </c>
      <c r="H3289" s="6">
        <v>153727.3681992955</v>
      </c>
      <c r="I3289" s="6" t="s">
        <v>179</v>
      </c>
      <c r="J3289" s="15">
        <v>30.21666666666667</v>
      </c>
    </row>
    <row r="3290" spans="1:10">
      <c r="A3290" s="6" t="s">
        <v>141</v>
      </c>
      <c r="B3290" s="6" t="s">
        <v>99</v>
      </c>
      <c r="C3290" s="6" t="s">
        <v>276</v>
      </c>
      <c r="D3290" s="6">
        <v>1.731</v>
      </c>
      <c r="E3290" s="6" t="s">
        <v>88</v>
      </c>
      <c r="F3290" s="6" t="s">
        <v>51</v>
      </c>
      <c r="G3290" s="7">
        <v>37977.83667651232</v>
      </c>
      <c r="H3290" s="6">
        <v>65739.63528704282</v>
      </c>
      <c r="I3290" s="6" t="s">
        <v>179</v>
      </c>
      <c r="J3290" s="15">
        <v>30.21666666666667</v>
      </c>
    </row>
    <row r="3291" spans="1:10">
      <c r="A3291" s="6" t="s">
        <v>141</v>
      </c>
      <c r="B3291" s="6" t="s">
        <v>99</v>
      </c>
      <c r="C3291" s="6" t="s">
        <v>276</v>
      </c>
      <c r="D3291" s="6">
        <v>1.439307209490975</v>
      </c>
      <c r="E3291" s="6" t="s">
        <v>90</v>
      </c>
      <c r="F3291" s="6" t="s">
        <v>51</v>
      </c>
      <c r="G3291" s="7">
        <v>37977.83667651232</v>
      </c>
      <c r="H3291" s="6">
        <v>54661.77412937496</v>
      </c>
      <c r="I3291" s="6" t="s">
        <v>179</v>
      </c>
      <c r="J3291" s="15">
        <v>30.21666666666667</v>
      </c>
    </row>
    <row r="3292" spans="1:10">
      <c r="A3292" s="6" t="s">
        <v>141</v>
      </c>
      <c r="B3292" s="6" t="s">
        <v>99</v>
      </c>
      <c r="C3292" s="6" t="s">
        <v>283</v>
      </c>
      <c r="D3292" s="6">
        <v>116.8102121884615</v>
      </c>
      <c r="E3292" s="6" t="s">
        <v>44</v>
      </c>
      <c r="F3292" s="6" t="s">
        <v>51</v>
      </c>
      <c r="G3292" s="7">
        <v>39882.72680304461</v>
      </c>
      <c r="H3292" s="6">
        <v>4658709.780518084</v>
      </c>
      <c r="I3292" s="6" t="s">
        <v>179</v>
      </c>
      <c r="J3292" s="15">
        <v>31.18333333333333</v>
      </c>
    </row>
    <row r="3293" spans="1:10">
      <c r="A3293" s="6" t="s">
        <v>141</v>
      </c>
      <c r="B3293" s="6" t="s">
        <v>99</v>
      </c>
      <c r="C3293" s="6" t="s">
        <v>283</v>
      </c>
      <c r="D3293" s="6">
        <v>23.83933269932876</v>
      </c>
      <c r="E3293" s="6" t="s">
        <v>86</v>
      </c>
      <c r="F3293" s="6" t="s">
        <v>51</v>
      </c>
      <c r="G3293" s="7">
        <v>39882.72680304461</v>
      </c>
      <c r="H3293" s="6">
        <v>950777.5932142171</v>
      </c>
      <c r="I3293" s="6" t="s">
        <v>179</v>
      </c>
      <c r="J3293" s="15">
        <v>31.18333333333333</v>
      </c>
    </row>
    <row r="3294" spans="1:10">
      <c r="A3294" s="6" t="s">
        <v>141</v>
      </c>
      <c r="B3294" s="6" t="s">
        <v>99</v>
      </c>
      <c r="C3294" s="6" t="s">
        <v>283</v>
      </c>
      <c r="D3294" s="6">
        <v>26.21241666666666</v>
      </c>
      <c r="E3294" s="6" t="s">
        <v>88</v>
      </c>
      <c r="F3294" s="6" t="s">
        <v>51</v>
      </c>
      <c r="G3294" s="7">
        <v>39882.72680304461</v>
      </c>
      <c r="H3294" s="6">
        <v>1045422.65276424</v>
      </c>
      <c r="I3294" s="6" t="s">
        <v>179</v>
      </c>
      <c r="J3294" s="15">
        <v>31.18333333333333</v>
      </c>
    </row>
    <row r="3295" spans="1:10">
      <c r="A3295" s="6" t="s">
        <v>141</v>
      </c>
      <c r="B3295" s="6" t="s">
        <v>99</v>
      </c>
      <c r="C3295" s="6" t="s">
        <v>283</v>
      </c>
      <c r="D3295" s="6">
        <v>9.259799284404288</v>
      </c>
      <c r="E3295" s="6" t="s">
        <v>90</v>
      </c>
      <c r="F3295" s="6" t="s">
        <v>51</v>
      </c>
      <c r="G3295" s="7">
        <v>39882.72680304461</v>
      </c>
      <c r="H3295" s="6">
        <v>369306.0451109242</v>
      </c>
      <c r="I3295" s="6" t="s">
        <v>179</v>
      </c>
      <c r="J3295" s="15">
        <v>31.18333333333333</v>
      </c>
    </row>
    <row r="3296" spans="1:10">
      <c r="A3296" s="6" t="s">
        <v>141</v>
      </c>
      <c r="B3296" s="6" t="s">
        <v>99</v>
      </c>
      <c r="C3296" s="6" t="s">
        <v>293</v>
      </c>
      <c r="D3296" s="6">
        <v>0.005333506821089577</v>
      </c>
      <c r="E3296" s="6" t="s">
        <v>44</v>
      </c>
      <c r="F3296" s="6" t="s">
        <v>53</v>
      </c>
      <c r="G3296" s="7">
        <v>45817.6664917512</v>
      </c>
      <c r="H3296" s="6">
        <v>244.3688367601624</v>
      </c>
      <c r="I3296" s="6" t="s">
        <v>180</v>
      </c>
      <c r="J3296" s="15">
        <v>8.538109261544154</v>
      </c>
    </row>
    <row r="3297" spans="1:10">
      <c r="A3297" s="6" t="s">
        <v>141</v>
      </c>
      <c r="B3297" s="6" t="s">
        <v>99</v>
      </c>
      <c r="C3297" s="6" t="s">
        <v>293</v>
      </c>
      <c r="D3297" s="6">
        <v>0.0009998265122437573</v>
      </c>
      <c r="E3297" s="6" t="s">
        <v>86</v>
      </c>
      <c r="F3297" s="6" t="s">
        <v>53</v>
      </c>
      <c r="G3297" s="7">
        <v>45817.6664917512</v>
      </c>
      <c r="H3297" s="6">
        <v>45.80971768759527</v>
      </c>
      <c r="I3297" s="6" t="s">
        <v>180</v>
      </c>
      <c r="J3297" s="15">
        <v>8.538109261544154</v>
      </c>
    </row>
    <row r="3298" spans="1:10">
      <c r="A3298" s="6" t="s">
        <v>141</v>
      </c>
      <c r="B3298" s="6" t="s">
        <v>99</v>
      </c>
      <c r="C3298" s="6" t="s">
        <v>296</v>
      </c>
      <c r="D3298" s="6">
        <v>0.03747936394219294</v>
      </c>
      <c r="E3298" s="6" t="s">
        <v>44</v>
      </c>
      <c r="F3298" s="6" t="s">
        <v>61</v>
      </c>
      <c r="G3298" s="7">
        <v>54050.92289209261</v>
      </c>
      <c r="H3298" s="6">
        <v>2025.794210484147</v>
      </c>
      <c r="I3298" s="6" t="s">
        <v>179</v>
      </c>
      <c r="J3298" s="15">
        <v>29.43333333333333</v>
      </c>
    </row>
    <row r="3299" spans="1:10">
      <c r="A3299" s="6" t="s">
        <v>141</v>
      </c>
      <c r="B3299" s="6" t="s">
        <v>99</v>
      </c>
      <c r="C3299" s="6" t="s">
        <v>296</v>
      </c>
      <c r="D3299" s="6">
        <v>0.009804755849516754</v>
      </c>
      <c r="E3299" s="6" t="s">
        <v>86</v>
      </c>
      <c r="F3299" s="6" t="s">
        <v>61</v>
      </c>
      <c r="G3299" s="7">
        <v>54050.92289209261</v>
      </c>
      <c r="H3299" s="6">
        <v>529.9561023980241</v>
      </c>
      <c r="I3299" s="6" t="s">
        <v>179</v>
      </c>
      <c r="J3299" s="15">
        <v>29.43333333333333</v>
      </c>
    </row>
    <row r="3300" spans="1:10">
      <c r="A3300" s="6" t="s">
        <v>141</v>
      </c>
      <c r="B3300" s="6" t="s">
        <v>99</v>
      </c>
      <c r="C3300" s="6" t="s">
        <v>296</v>
      </c>
      <c r="D3300" s="6">
        <v>1.392299213541624</v>
      </c>
      <c r="E3300" s="6" t="s">
        <v>90</v>
      </c>
      <c r="F3300" s="6" t="s">
        <v>61</v>
      </c>
      <c r="G3300" s="7">
        <v>54050.92289209261</v>
      </c>
      <c r="H3300" s="6">
        <v>75255.0574338595</v>
      </c>
      <c r="I3300" s="6" t="s">
        <v>179</v>
      </c>
      <c r="J3300" s="15">
        <v>29.43333333333333</v>
      </c>
    </row>
    <row r="3301" spans="1:10">
      <c r="A3301" s="6" t="s">
        <v>141</v>
      </c>
      <c r="B3301" s="6" t="s">
        <v>99</v>
      </c>
      <c r="C3301" s="6" t="s">
        <v>296</v>
      </c>
      <c r="D3301" s="6">
        <v>1.768666666666667</v>
      </c>
      <c r="E3301" s="6" t="s">
        <v>92</v>
      </c>
      <c r="F3301" s="6" t="s">
        <v>61</v>
      </c>
      <c r="G3301" s="7">
        <v>54050.92289209261</v>
      </c>
      <c r="H3301" s="6">
        <v>95598.06562181447</v>
      </c>
      <c r="I3301" s="6" t="s">
        <v>179</v>
      </c>
      <c r="J3301" s="15">
        <v>29.43333333333333</v>
      </c>
    </row>
    <row r="3302" spans="1:10">
      <c r="A3302" s="6" t="s">
        <v>143</v>
      </c>
      <c r="B3302" s="6" t="s">
        <v>44</v>
      </c>
      <c r="C3302" s="6" t="s">
        <v>194</v>
      </c>
      <c r="D3302" s="6">
        <v>2.28025</v>
      </c>
      <c r="E3302" s="6" t="s">
        <v>44</v>
      </c>
      <c r="F3302" s="6" t="s">
        <v>58</v>
      </c>
      <c r="G3302" s="7">
        <v>20829.42392802728</v>
      </c>
      <c r="H3302" s="6">
        <v>47496.2939118842</v>
      </c>
      <c r="I3302" s="6" t="s">
        <v>179</v>
      </c>
      <c r="J3302" s="15">
        <v>14.33333333333333</v>
      </c>
    </row>
    <row r="3303" spans="1:10">
      <c r="A3303" s="6" t="s">
        <v>143</v>
      </c>
      <c r="B3303" s="6" t="s">
        <v>44</v>
      </c>
      <c r="C3303" s="6" t="s">
        <v>195</v>
      </c>
      <c r="D3303" s="6">
        <v>43.97471965584509</v>
      </c>
      <c r="E3303" s="6" t="s">
        <v>44</v>
      </c>
      <c r="F3303" s="6" t="s">
        <v>54</v>
      </c>
      <c r="G3303" s="7">
        <v>84052.83905275936</v>
      </c>
      <c r="H3303" s="6">
        <v>3696200.033622961</v>
      </c>
      <c r="I3303" s="6" t="s">
        <v>179</v>
      </c>
      <c r="J3303" s="15">
        <v>47.38333333333333</v>
      </c>
    </row>
    <row r="3304" spans="1:10">
      <c r="A3304" s="6" t="s">
        <v>143</v>
      </c>
      <c r="B3304" s="6" t="s">
        <v>90</v>
      </c>
      <c r="C3304" s="6" t="s">
        <v>195</v>
      </c>
      <c r="D3304" s="6">
        <v>230.4256136774882</v>
      </c>
      <c r="E3304" s="6" t="s">
        <v>44</v>
      </c>
      <c r="F3304" s="6" t="s">
        <v>54</v>
      </c>
      <c r="G3304" s="7">
        <v>56976.27849226169</v>
      </c>
      <c r="H3304" s="6">
        <v>13128793.93663887</v>
      </c>
      <c r="I3304" s="6" t="s">
        <v>180</v>
      </c>
      <c r="J3304" s="15">
        <v>11.49610447263148</v>
      </c>
    </row>
    <row r="3305" spans="1:10">
      <c r="A3305" s="6" t="s">
        <v>143</v>
      </c>
      <c r="B3305" s="6" t="s">
        <v>44</v>
      </c>
      <c r="C3305" s="6" t="s">
        <v>196</v>
      </c>
      <c r="D3305" s="6">
        <v>10.6975</v>
      </c>
      <c r="E3305" s="6" t="s">
        <v>44</v>
      </c>
      <c r="F3305" s="6" t="s">
        <v>52</v>
      </c>
      <c r="G3305" s="7">
        <v>69869.94547012541</v>
      </c>
      <c r="H3305" s="6">
        <v>747433.7416666666</v>
      </c>
      <c r="I3305" s="6" t="s">
        <v>179</v>
      </c>
      <c r="J3305" s="15">
        <v>67.825</v>
      </c>
    </row>
    <row r="3306" spans="1:10">
      <c r="A3306" s="6" t="s">
        <v>143</v>
      </c>
      <c r="B3306" s="6" t="s">
        <v>90</v>
      </c>
      <c r="C3306" s="6" t="s">
        <v>197</v>
      </c>
      <c r="D3306" s="6">
        <v>304.1710833333333</v>
      </c>
      <c r="E3306" s="6" t="s">
        <v>44</v>
      </c>
      <c r="F3306" s="6" t="s">
        <v>53</v>
      </c>
      <c r="G3306" s="7">
        <v>24873.23941462196</v>
      </c>
      <c r="H3306" s="6">
        <v>7565720.178754925</v>
      </c>
      <c r="I3306" s="6" t="s">
        <v>179</v>
      </c>
      <c r="J3306" s="15">
        <v>27</v>
      </c>
    </row>
    <row r="3307" spans="1:10">
      <c r="A3307" s="6" t="s">
        <v>143</v>
      </c>
      <c r="B3307" s="6" t="s">
        <v>44</v>
      </c>
      <c r="C3307" s="6" t="s">
        <v>198</v>
      </c>
      <c r="D3307" s="6">
        <v>330.1125833333334</v>
      </c>
      <c r="E3307" s="6" t="s">
        <v>44</v>
      </c>
      <c r="F3307" s="6" t="s">
        <v>58</v>
      </c>
      <c r="G3307" s="7">
        <v>87192.31842895708</v>
      </c>
      <c r="H3307" s="6">
        <v>28783281.48340563</v>
      </c>
      <c r="I3307" s="6" t="s">
        <v>179</v>
      </c>
      <c r="J3307" s="15">
        <v>38</v>
      </c>
    </row>
    <row r="3308" spans="1:10">
      <c r="A3308" s="6" t="s">
        <v>143</v>
      </c>
      <c r="B3308" s="6" t="s">
        <v>44</v>
      </c>
      <c r="C3308" s="6" t="s">
        <v>199</v>
      </c>
      <c r="D3308" s="6">
        <v>652.5410000000001</v>
      </c>
      <c r="E3308" s="6" t="s">
        <v>44</v>
      </c>
      <c r="F3308" s="6" t="s">
        <v>57</v>
      </c>
      <c r="G3308" s="7">
        <v>42727.16197460723</v>
      </c>
      <c r="H3308" s="6">
        <v>27881225.00207218</v>
      </c>
      <c r="I3308" s="6" t="s">
        <v>179</v>
      </c>
      <c r="J3308" s="15">
        <v>44.83333333333334</v>
      </c>
    </row>
    <row r="3309" spans="1:10">
      <c r="A3309" s="6" t="s">
        <v>143</v>
      </c>
      <c r="B3309" s="6" t="s">
        <v>44</v>
      </c>
      <c r="C3309" s="6" t="s">
        <v>337</v>
      </c>
      <c r="D3309" s="6">
        <v>27.86608333333333</v>
      </c>
      <c r="E3309" s="6" t="s">
        <v>44</v>
      </c>
      <c r="F3309" s="6" t="s">
        <v>52</v>
      </c>
      <c r="G3309" s="7">
        <v>64169.74384104699</v>
      </c>
      <c r="H3309" s="6">
        <v>1788159.429353269</v>
      </c>
      <c r="I3309" s="6" t="s">
        <v>180</v>
      </c>
      <c r="J3309" s="15">
        <v>17.01155042897912</v>
      </c>
    </row>
    <row r="3310" spans="1:10">
      <c r="A3310" s="6" t="s">
        <v>143</v>
      </c>
      <c r="B3310" s="6" t="s">
        <v>44</v>
      </c>
      <c r="C3310" s="6" t="s">
        <v>200</v>
      </c>
      <c r="D3310" s="6">
        <v>5.533333333333334</v>
      </c>
      <c r="E3310" s="6" t="s">
        <v>44</v>
      </c>
      <c r="F3310" s="6" t="s">
        <v>52</v>
      </c>
      <c r="G3310" s="7">
        <v>79455.19213558563</v>
      </c>
      <c r="H3310" s="6">
        <v>439652.0631502406</v>
      </c>
      <c r="I3310" s="6" t="s">
        <v>179</v>
      </c>
      <c r="J3310" s="15">
        <v>83.38333333333334</v>
      </c>
    </row>
    <row r="3311" spans="1:10">
      <c r="A3311" s="6" t="s">
        <v>143</v>
      </c>
      <c r="B3311" s="6" t="s">
        <v>44</v>
      </c>
      <c r="C3311" s="6" t="s">
        <v>201</v>
      </c>
      <c r="D3311" s="6">
        <v>294.1160833333333</v>
      </c>
      <c r="E3311" s="6" t="s">
        <v>44</v>
      </c>
      <c r="F3311" s="6" t="s">
        <v>56</v>
      </c>
      <c r="G3311" s="7">
        <v>55387.37653085204</v>
      </c>
      <c r="H3311" s="6">
        <v>16290318.25136279</v>
      </c>
      <c r="I3311" s="6" t="s">
        <v>179</v>
      </c>
      <c r="J3311" s="15">
        <v>24</v>
      </c>
    </row>
    <row r="3312" spans="1:10">
      <c r="A3312" s="6" t="s">
        <v>143</v>
      </c>
      <c r="B3312" s="6" t="s">
        <v>44</v>
      </c>
      <c r="C3312" s="6" t="s">
        <v>202</v>
      </c>
      <c r="D3312" s="6">
        <v>1632.109</v>
      </c>
      <c r="E3312" s="6" t="s">
        <v>44</v>
      </c>
      <c r="F3312" s="6" t="s">
        <v>54</v>
      </c>
      <c r="G3312" s="7">
        <v>97582.35964345603</v>
      </c>
      <c r="H3312" s="6">
        <v>159265047.4153214</v>
      </c>
      <c r="I3312" s="6" t="s">
        <v>179</v>
      </c>
      <c r="J3312" s="15">
        <v>68</v>
      </c>
    </row>
    <row r="3313" spans="1:10">
      <c r="A3313" s="6" t="s">
        <v>143</v>
      </c>
      <c r="B3313" s="6" t="s">
        <v>44</v>
      </c>
      <c r="C3313" s="6" t="s">
        <v>203</v>
      </c>
      <c r="D3313" s="6">
        <v>2988.90425</v>
      </c>
      <c r="E3313" s="6" t="s">
        <v>44</v>
      </c>
      <c r="F3313" s="6" t="s">
        <v>53</v>
      </c>
      <c r="G3313" s="7">
        <v>40461.29080326468</v>
      </c>
      <c r="H3313" s="6">
        <v>120934924.0423637</v>
      </c>
      <c r="I3313" s="6" t="s">
        <v>179</v>
      </c>
      <c r="J3313" s="15">
        <v>44.11666666666667</v>
      </c>
    </row>
    <row r="3314" spans="1:10">
      <c r="A3314" s="6" t="s">
        <v>143</v>
      </c>
      <c r="B3314" s="6" t="s">
        <v>44</v>
      </c>
      <c r="C3314" s="6" t="s">
        <v>204</v>
      </c>
      <c r="D3314" s="6">
        <v>7636.022083333333</v>
      </c>
      <c r="E3314" s="6" t="s">
        <v>44</v>
      </c>
      <c r="F3314" s="6" t="s">
        <v>51</v>
      </c>
      <c r="G3314" s="7">
        <v>22075.51100893869</v>
      </c>
      <c r="H3314" s="6">
        <v>168569089.5651239</v>
      </c>
      <c r="I3314" s="6" t="s">
        <v>179</v>
      </c>
      <c r="J3314" s="15">
        <v>17.73333333333333</v>
      </c>
    </row>
    <row r="3315" spans="1:10">
      <c r="A3315" s="6" t="s">
        <v>143</v>
      </c>
      <c r="B3315" s="6" t="s">
        <v>44</v>
      </c>
      <c r="C3315" s="6" t="s">
        <v>338</v>
      </c>
      <c r="D3315" s="6">
        <v>41.77241666666666</v>
      </c>
      <c r="E3315" s="6" t="s">
        <v>44</v>
      </c>
      <c r="F3315" s="6" t="s">
        <v>52</v>
      </c>
      <c r="G3315" s="7">
        <v>64169.74384104699</v>
      </c>
      <c r="H3315" s="6">
        <v>2680525.277121482</v>
      </c>
      <c r="I3315" s="6" t="s">
        <v>180</v>
      </c>
      <c r="J3315" s="15">
        <v>17.01155042897912</v>
      </c>
    </row>
    <row r="3316" spans="1:10">
      <c r="A3316" s="6" t="s">
        <v>143</v>
      </c>
      <c r="B3316" s="6" t="s">
        <v>44</v>
      </c>
      <c r="C3316" s="6" t="s">
        <v>205</v>
      </c>
      <c r="D3316" s="6">
        <v>835.5104166666666</v>
      </c>
      <c r="E3316" s="6" t="s">
        <v>44</v>
      </c>
      <c r="F3316" s="6" t="s">
        <v>56</v>
      </c>
      <c r="G3316" s="7">
        <v>54049.79733429672</v>
      </c>
      <c r="H3316" s="6">
        <v>45159168.69152714</v>
      </c>
      <c r="I3316" s="6" t="s">
        <v>179</v>
      </c>
      <c r="J3316" s="15">
        <v>22.35</v>
      </c>
    </row>
    <row r="3317" spans="1:10">
      <c r="A3317" s="6" t="s">
        <v>143</v>
      </c>
      <c r="B3317" s="6" t="s">
        <v>44</v>
      </c>
      <c r="C3317" s="6" t="s">
        <v>206</v>
      </c>
      <c r="D3317" s="6">
        <v>225.55725</v>
      </c>
      <c r="E3317" s="6" t="s">
        <v>44</v>
      </c>
      <c r="F3317" s="6" t="s">
        <v>55</v>
      </c>
      <c r="G3317" s="7">
        <v>52787.66629507686</v>
      </c>
      <c r="H3317" s="6">
        <v>11906640.84343522</v>
      </c>
      <c r="I3317" s="6" t="s">
        <v>179</v>
      </c>
      <c r="J3317" s="15">
        <v>47</v>
      </c>
    </row>
    <row r="3318" spans="1:10">
      <c r="A3318" s="6" t="s">
        <v>143</v>
      </c>
      <c r="B3318" s="6" t="s">
        <v>44</v>
      </c>
      <c r="C3318" s="6" t="s">
        <v>207</v>
      </c>
      <c r="D3318" s="6">
        <v>3.05725</v>
      </c>
      <c r="E3318" s="6" t="s">
        <v>44</v>
      </c>
      <c r="F3318" s="6" t="s">
        <v>55</v>
      </c>
      <c r="G3318" s="7">
        <v>43102.17610390013</v>
      </c>
      <c r="H3318" s="6">
        <v>131774.1278936487</v>
      </c>
      <c r="I3318" s="6" t="s">
        <v>180</v>
      </c>
      <c r="J3318" s="15">
        <v>106.2666666666667</v>
      </c>
    </row>
    <row r="3319" spans="1:10">
      <c r="A3319" s="6" t="s">
        <v>143</v>
      </c>
      <c r="B3319" s="6" t="s">
        <v>44</v>
      </c>
      <c r="C3319" s="6" t="s">
        <v>208</v>
      </c>
      <c r="D3319" s="6">
        <v>46.00683333333333</v>
      </c>
      <c r="E3319" s="6" t="s">
        <v>44</v>
      </c>
      <c r="F3319" s="6" t="s">
        <v>51</v>
      </c>
      <c r="G3319" s="7">
        <v>21097.10902947491</v>
      </c>
      <c r="H3319" s="6">
        <v>970611.1789342141</v>
      </c>
      <c r="I3319" s="6" t="s">
        <v>179</v>
      </c>
      <c r="J3319" s="15">
        <v>30</v>
      </c>
    </row>
    <row r="3320" spans="1:10">
      <c r="A3320" s="6" t="s">
        <v>143</v>
      </c>
      <c r="B3320" s="6" t="s">
        <v>44</v>
      </c>
      <c r="C3320" s="6" t="s">
        <v>209</v>
      </c>
      <c r="D3320" s="6">
        <v>4.16675</v>
      </c>
      <c r="E3320" s="6" t="s">
        <v>44</v>
      </c>
      <c r="F3320" s="6" t="s">
        <v>57</v>
      </c>
      <c r="G3320" s="7">
        <v>41050.93445745452</v>
      </c>
      <c r="H3320" s="6">
        <v>171048.9811505986</v>
      </c>
      <c r="I3320" s="6" t="s">
        <v>180</v>
      </c>
      <c r="J3320" s="15">
        <v>8.447085698826186</v>
      </c>
    </row>
    <row r="3321" spans="1:10">
      <c r="A3321" s="6" t="s">
        <v>143</v>
      </c>
      <c r="B3321" s="6" t="s">
        <v>44</v>
      </c>
      <c r="C3321" s="6" t="s">
        <v>210</v>
      </c>
      <c r="D3321" s="6">
        <v>3.719166666666667</v>
      </c>
      <c r="E3321" s="6" t="s">
        <v>44</v>
      </c>
      <c r="F3321" s="6" t="s">
        <v>53</v>
      </c>
      <c r="G3321" s="7">
        <v>43419.65361451151</v>
      </c>
      <c r="H3321" s="6">
        <v>161484.9284013041</v>
      </c>
      <c r="I3321" s="6" t="s">
        <v>180</v>
      </c>
      <c r="J3321" s="15">
        <v>9.324588140221366</v>
      </c>
    </row>
    <row r="3322" spans="1:10">
      <c r="A3322" s="6" t="s">
        <v>143</v>
      </c>
      <c r="B3322" s="6" t="s">
        <v>44</v>
      </c>
      <c r="C3322" s="6" t="s">
        <v>211</v>
      </c>
      <c r="D3322" s="6">
        <v>2990.162916666667</v>
      </c>
      <c r="E3322" s="6" t="s">
        <v>44</v>
      </c>
      <c r="F3322" s="6" t="s">
        <v>55</v>
      </c>
      <c r="G3322" s="7">
        <v>51366.3962792253</v>
      </c>
      <c r="H3322" s="6">
        <v>153593893.3169442</v>
      </c>
      <c r="I3322" s="6" t="s">
        <v>179</v>
      </c>
      <c r="J3322" s="15">
        <v>40.03333333333333</v>
      </c>
    </row>
    <row r="3323" spans="1:10">
      <c r="A3323" s="6" t="s">
        <v>143</v>
      </c>
      <c r="B3323" s="6" t="s">
        <v>44</v>
      </c>
      <c r="C3323" s="6" t="s">
        <v>212</v>
      </c>
      <c r="D3323" s="6">
        <v>449.2996666666667</v>
      </c>
      <c r="E3323" s="6" t="s">
        <v>44</v>
      </c>
      <c r="F3323" s="6" t="s">
        <v>55</v>
      </c>
      <c r="G3323" s="7">
        <v>42485.0021579509</v>
      </c>
      <c r="H3323" s="6">
        <v>19088497.30789995</v>
      </c>
      <c r="I3323" s="6" t="s">
        <v>179</v>
      </c>
      <c r="J3323" s="15">
        <v>39.03333333333333</v>
      </c>
    </row>
    <row r="3324" spans="1:10">
      <c r="A3324" s="6" t="s">
        <v>143</v>
      </c>
      <c r="B3324" s="6" t="s">
        <v>44</v>
      </c>
      <c r="C3324" s="6" t="s">
        <v>213</v>
      </c>
      <c r="D3324" s="6">
        <v>31.05183333333333</v>
      </c>
      <c r="E3324" s="6" t="s">
        <v>44</v>
      </c>
      <c r="F3324" s="6" t="s">
        <v>52</v>
      </c>
      <c r="G3324" s="7">
        <v>64169.74384104699</v>
      </c>
      <c r="H3324" s="6">
        <v>1992588.190794884</v>
      </c>
      <c r="I3324" s="6" t="s">
        <v>180</v>
      </c>
      <c r="J3324" s="15">
        <v>68</v>
      </c>
    </row>
    <row r="3325" spans="1:10">
      <c r="A3325" s="6" t="s">
        <v>143</v>
      </c>
      <c r="B3325" s="6" t="s">
        <v>90</v>
      </c>
      <c r="C3325" s="6" t="s">
        <v>214</v>
      </c>
      <c r="D3325" s="6">
        <v>6.369916666666667</v>
      </c>
      <c r="E3325" s="6" t="s">
        <v>44</v>
      </c>
      <c r="F3325" s="6" t="s">
        <v>53</v>
      </c>
      <c r="G3325" s="7">
        <v>29230.07315219457</v>
      </c>
      <c r="H3325" s="6">
        <v>186193.1301400501</v>
      </c>
      <c r="I3325" s="6" t="s">
        <v>179</v>
      </c>
      <c r="J3325" s="15">
        <v>27</v>
      </c>
    </row>
    <row r="3326" spans="1:10">
      <c r="A3326" s="6" t="s">
        <v>143</v>
      </c>
      <c r="B3326" s="6" t="s">
        <v>44</v>
      </c>
      <c r="C3326" s="6" t="s">
        <v>215</v>
      </c>
      <c r="D3326" s="6">
        <v>1548.1725</v>
      </c>
      <c r="E3326" s="6" t="s">
        <v>44</v>
      </c>
      <c r="F3326" s="6" t="s">
        <v>54</v>
      </c>
      <c r="G3326" s="7">
        <v>99644.87381086698</v>
      </c>
      <c r="H3326" s="6">
        <v>154267453.3999545</v>
      </c>
      <c r="I3326" s="6" t="s">
        <v>179</v>
      </c>
      <c r="J3326" s="15">
        <v>65.5</v>
      </c>
    </row>
    <row r="3327" spans="1:10">
      <c r="A3327" s="6" t="s">
        <v>143</v>
      </c>
      <c r="B3327" s="6" t="s">
        <v>44</v>
      </c>
      <c r="C3327" s="6" t="s">
        <v>216</v>
      </c>
      <c r="D3327" s="6">
        <v>21.32758333333333</v>
      </c>
      <c r="E3327" s="6" t="s">
        <v>44</v>
      </c>
      <c r="F3327" s="6" t="s">
        <v>55</v>
      </c>
      <c r="G3327" s="7">
        <v>42969.13562366418</v>
      </c>
      <c r="H3327" s="6">
        <v>916427.8207749998</v>
      </c>
      <c r="I3327" s="6" t="s">
        <v>180</v>
      </c>
      <c r="J3327" s="15">
        <v>9.157691766844557</v>
      </c>
    </row>
    <row r="3328" spans="1:10">
      <c r="A3328" s="6" t="s">
        <v>143</v>
      </c>
      <c r="B3328" s="6" t="s">
        <v>90</v>
      </c>
      <c r="C3328" s="6" t="s">
        <v>217</v>
      </c>
      <c r="D3328" s="6">
        <v>448.3678333333334</v>
      </c>
      <c r="E3328" s="6" t="s">
        <v>44</v>
      </c>
      <c r="F3328" s="6" t="s">
        <v>53</v>
      </c>
      <c r="G3328" s="7">
        <v>29595.99008532836</v>
      </c>
      <c r="H3328" s="6">
        <v>13269889.94991349</v>
      </c>
      <c r="I3328" s="6" t="s">
        <v>179</v>
      </c>
      <c r="J3328" s="15">
        <v>15</v>
      </c>
    </row>
    <row r="3329" spans="1:10">
      <c r="A3329" s="6" t="s">
        <v>143</v>
      </c>
      <c r="B3329" s="6" t="s">
        <v>90</v>
      </c>
      <c r="C3329" s="6" t="s">
        <v>218</v>
      </c>
      <c r="D3329" s="6">
        <v>59.40616666666666</v>
      </c>
      <c r="E3329" s="6" t="s">
        <v>44</v>
      </c>
      <c r="F3329" s="6" t="s">
        <v>54</v>
      </c>
      <c r="G3329" s="7">
        <v>55803.8509311504</v>
      </c>
      <c r="H3329" s="6">
        <v>3315092.869057742</v>
      </c>
      <c r="I3329" s="6" t="s">
        <v>180</v>
      </c>
      <c r="J3329" s="15">
        <v>11.12043154931672</v>
      </c>
    </row>
    <row r="3330" spans="1:10">
      <c r="A3330" s="6" t="s">
        <v>143</v>
      </c>
      <c r="B3330" s="6" t="s">
        <v>44</v>
      </c>
      <c r="C3330" s="6" t="s">
        <v>219</v>
      </c>
      <c r="D3330" s="6">
        <v>177.2825</v>
      </c>
      <c r="E3330" s="6" t="s">
        <v>44</v>
      </c>
      <c r="F3330" s="6" t="s">
        <v>51</v>
      </c>
      <c r="G3330" s="7">
        <v>24699.68371704026</v>
      </c>
      <c r="H3330" s="6">
        <v>4378821.678566189</v>
      </c>
      <c r="I3330" s="6" t="s">
        <v>179</v>
      </c>
      <c r="J3330" s="15">
        <v>13.96666666666667</v>
      </c>
    </row>
    <row r="3331" spans="1:10">
      <c r="A3331" s="6" t="s">
        <v>143</v>
      </c>
      <c r="B3331" s="6" t="s">
        <v>44</v>
      </c>
      <c r="C3331" s="6" t="s">
        <v>220</v>
      </c>
      <c r="D3331" s="6">
        <v>17.20566666666667</v>
      </c>
      <c r="E3331" s="6" t="s">
        <v>44</v>
      </c>
      <c r="F3331" s="6" t="s">
        <v>57</v>
      </c>
      <c r="G3331" s="7">
        <v>40154.70104495549</v>
      </c>
      <c r="H3331" s="6">
        <v>690888.4012791559</v>
      </c>
      <c r="I3331" s="6" t="s">
        <v>180</v>
      </c>
      <c r="J3331" s="15">
        <v>8.115072084977196</v>
      </c>
    </row>
    <row r="3332" spans="1:10">
      <c r="A3332" s="6" t="s">
        <v>143</v>
      </c>
      <c r="B3332" s="6" t="s">
        <v>44</v>
      </c>
      <c r="C3332" s="6" t="s">
        <v>221</v>
      </c>
      <c r="D3332" s="6">
        <v>234.9538333333333</v>
      </c>
      <c r="E3332" s="6" t="s">
        <v>44</v>
      </c>
      <c r="F3332" s="6" t="s">
        <v>51</v>
      </c>
      <c r="G3332" s="7">
        <v>26492.73446871235</v>
      </c>
      <c r="H3332" s="6">
        <v>6224569.518906097</v>
      </c>
      <c r="I3332" s="6" t="s">
        <v>179</v>
      </c>
      <c r="J3332" s="15">
        <v>21.28333333333333</v>
      </c>
    </row>
    <row r="3333" spans="1:10">
      <c r="A3333" s="6" t="s">
        <v>143</v>
      </c>
      <c r="B3333" s="6" t="s">
        <v>44</v>
      </c>
      <c r="C3333" s="6" t="s">
        <v>222</v>
      </c>
      <c r="D3333" s="6">
        <v>3.96125</v>
      </c>
      <c r="E3333" s="6" t="s">
        <v>44</v>
      </c>
      <c r="F3333" s="6" t="s">
        <v>57</v>
      </c>
      <c r="G3333" s="7">
        <v>40818.44055788575</v>
      </c>
      <c r="H3333" s="6">
        <v>161692.0476599249</v>
      </c>
      <c r="I3333" s="6" t="s">
        <v>180</v>
      </c>
      <c r="J3333" s="15">
        <v>8.360957310041353</v>
      </c>
    </row>
    <row r="3334" spans="1:10">
      <c r="A3334" s="6" t="s">
        <v>143</v>
      </c>
      <c r="B3334" s="6" t="s">
        <v>44</v>
      </c>
      <c r="C3334" s="6" t="s">
        <v>342</v>
      </c>
      <c r="D3334" s="6">
        <v>343.5161666666667</v>
      </c>
      <c r="E3334" s="6" t="s">
        <v>44</v>
      </c>
      <c r="F3334" s="6" t="s">
        <v>53</v>
      </c>
      <c r="G3334" s="7">
        <v>45319.56223077881</v>
      </c>
      <c r="H3334" s="6">
        <v>15568002.29252859</v>
      </c>
      <c r="I3334" s="6" t="s">
        <v>180</v>
      </c>
      <c r="J3334" s="15">
        <v>10.02841765257</v>
      </c>
    </row>
    <row r="3335" spans="1:10">
      <c r="A3335" s="6" t="s">
        <v>143</v>
      </c>
      <c r="B3335" s="6" t="s">
        <v>86</v>
      </c>
      <c r="C3335" s="6" t="s">
        <v>223</v>
      </c>
      <c r="D3335" s="6">
        <v>742.1685833333333</v>
      </c>
      <c r="E3335" s="6" t="s">
        <v>44</v>
      </c>
      <c r="F3335" s="6" t="s">
        <v>53</v>
      </c>
      <c r="G3335" s="7">
        <v>24418.66320757394</v>
      </c>
      <c r="H3335" s="6">
        <v>18122764.67965894</v>
      </c>
      <c r="I3335" s="6" t="s">
        <v>179</v>
      </c>
      <c r="J3335" s="15">
        <v>7.983333333333333</v>
      </c>
    </row>
    <row r="3336" spans="1:10">
      <c r="A3336" s="6" t="s">
        <v>143</v>
      </c>
      <c r="B3336" s="6" t="s">
        <v>44</v>
      </c>
      <c r="C3336" s="6" t="s">
        <v>224</v>
      </c>
      <c r="D3336" s="6">
        <v>1916.15425</v>
      </c>
      <c r="E3336" s="6" t="s">
        <v>44</v>
      </c>
      <c r="F3336" s="6" t="s">
        <v>51</v>
      </c>
      <c r="G3336" s="7">
        <v>20842.13163725611</v>
      </c>
      <c r="H3336" s="6">
        <v>39936739.11578776</v>
      </c>
      <c r="I3336" s="6" t="s">
        <v>179</v>
      </c>
      <c r="J3336" s="15">
        <v>11</v>
      </c>
    </row>
    <row r="3337" spans="1:10">
      <c r="A3337" s="6" t="s">
        <v>143</v>
      </c>
      <c r="B3337" s="6" t="s">
        <v>44</v>
      </c>
      <c r="C3337" s="6" t="s">
        <v>225</v>
      </c>
      <c r="D3337" s="6">
        <v>0.07625</v>
      </c>
      <c r="E3337" s="6" t="s">
        <v>44</v>
      </c>
      <c r="F3337" s="6" t="s">
        <v>54</v>
      </c>
      <c r="G3337" s="7">
        <v>67290.20302962229</v>
      </c>
      <c r="H3337" s="6">
        <v>5130.8779810087</v>
      </c>
      <c r="I3337" s="6" t="s">
        <v>180</v>
      </c>
      <c r="J3337" s="15">
        <v>18.16753827502286</v>
      </c>
    </row>
    <row r="3338" spans="1:10">
      <c r="A3338" s="6" t="s">
        <v>143</v>
      </c>
      <c r="B3338" s="6" t="s">
        <v>44</v>
      </c>
      <c r="C3338" s="6" t="s">
        <v>226</v>
      </c>
      <c r="D3338" s="6">
        <v>1433.968916666667</v>
      </c>
      <c r="E3338" s="6" t="s">
        <v>44</v>
      </c>
      <c r="F3338" s="6" t="s">
        <v>56</v>
      </c>
      <c r="G3338" s="7">
        <v>59921.09743873261</v>
      </c>
      <c r="H3338" s="6">
        <v>85924991.17969717</v>
      </c>
      <c r="I3338" s="6" t="s">
        <v>179</v>
      </c>
      <c r="J3338" s="15">
        <v>47.875</v>
      </c>
    </row>
    <row r="3339" spans="1:10">
      <c r="A3339" s="6" t="s">
        <v>143</v>
      </c>
      <c r="B3339" s="6" t="s">
        <v>44</v>
      </c>
      <c r="C3339" s="6" t="s">
        <v>345</v>
      </c>
      <c r="D3339" s="6">
        <v>146.9273333333333</v>
      </c>
      <c r="E3339" s="6" t="s">
        <v>44</v>
      </c>
      <c r="F3339" s="6" t="s">
        <v>53</v>
      </c>
      <c r="G3339" s="7">
        <v>44066.89222480646</v>
      </c>
      <c r="H3339" s="6">
        <v>6474630.962878213</v>
      </c>
      <c r="I3339" s="6" t="s">
        <v>180</v>
      </c>
      <c r="J3339" s="15">
        <v>9.564360533249458</v>
      </c>
    </row>
    <row r="3340" spans="1:10">
      <c r="A3340" s="6" t="s">
        <v>143</v>
      </c>
      <c r="B3340" s="6" t="s">
        <v>44</v>
      </c>
      <c r="C3340" s="6" t="s">
        <v>227</v>
      </c>
      <c r="D3340" s="6">
        <v>368.9633333333334</v>
      </c>
      <c r="E3340" s="6" t="s">
        <v>44</v>
      </c>
      <c r="F3340" s="6" t="s">
        <v>57</v>
      </c>
      <c r="G3340" s="7">
        <v>47608.30251275475</v>
      </c>
      <c r="H3340" s="6">
        <v>17565717.98944771</v>
      </c>
      <c r="I3340" s="6" t="s">
        <v>179</v>
      </c>
      <c r="J3340" s="15">
        <v>51.93333333333333</v>
      </c>
    </row>
    <row r="3341" spans="1:10">
      <c r="A3341" s="6" t="s">
        <v>143</v>
      </c>
      <c r="B3341" s="6" t="s">
        <v>44</v>
      </c>
      <c r="C3341" s="6" t="s">
        <v>228</v>
      </c>
      <c r="D3341" s="6">
        <v>355.0551666666667</v>
      </c>
      <c r="E3341" s="6" t="s">
        <v>44</v>
      </c>
      <c r="F3341" s="6" t="s">
        <v>51</v>
      </c>
      <c r="G3341" s="7">
        <v>36404.73502976458</v>
      </c>
      <c r="H3341" s="6">
        <v>12925689.2634489</v>
      </c>
      <c r="I3341" s="6" t="s">
        <v>179</v>
      </c>
      <c r="J3341" s="15">
        <v>21</v>
      </c>
    </row>
    <row r="3342" spans="1:10">
      <c r="A3342" s="6" t="s">
        <v>143</v>
      </c>
      <c r="B3342" s="6" t="s">
        <v>44</v>
      </c>
      <c r="C3342" s="6" t="s">
        <v>229</v>
      </c>
      <c r="D3342" s="6">
        <v>292.6990833333333</v>
      </c>
      <c r="E3342" s="6" t="s">
        <v>44</v>
      </c>
      <c r="F3342" s="6" t="s">
        <v>53</v>
      </c>
      <c r="G3342" s="7">
        <v>41295.07283256564</v>
      </c>
      <c r="H3342" s="6">
        <v>12087029.9642752</v>
      </c>
      <c r="I3342" s="6" t="s">
        <v>180</v>
      </c>
      <c r="J3342" s="15">
        <v>8.537527834847253</v>
      </c>
    </row>
    <row r="3343" spans="1:10">
      <c r="A3343" s="6" t="s">
        <v>143</v>
      </c>
      <c r="B3343" s="6" t="s">
        <v>44</v>
      </c>
      <c r="C3343" s="6" t="s">
        <v>367</v>
      </c>
      <c r="D3343" s="6">
        <v>10.6565</v>
      </c>
      <c r="E3343" s="6" t="s">
        <v>44</v>
      </c>
      <c r="F3343" s="6" t="s">
        <v>55</v>
      </c>
      <c r="G3343" s="7">
        <v>49244.11517900768</v>
      </c>
      <c r="H3343" s="6">
        <v>524769.9134050955</v>
      </c>
      <c r="I3343" s="6" t="s">
        <v>180</v>
      </c>
      <c r="J3343" s="15">
        <v>11.48228557236773</v>
      </c>
    </row>
    <row r="3344" spans="1:10">
      <c r="A3344" s="6" t="s">
        <v>143</v>
      </c>
      <c r="B3344" s="6" t="s">
        <v>44</v>
      </c>
      <c r="C3344" s="6" t="s">
        <v>230</v>
      </c>
      <c r="D3344" s="6">
        <v>308.8215833333334</v>
      </c>
      <c r="E3344" s="6" t="s">
        <v>44</v>
      </c>
      <c r="F3344" s="6" t="s">
        <v>53</v>
      </c>
      <c r="G3344" s="7">
        <v>40526.99807878413</v>
      </c>
      <c r="H3344" s="6">
        <v>12515611.71443707</v>
      </c>
      <c r="I3344" s="6" t="s">
        <v>179</v>
      </c>
      <c r="J3344" s="15">
        <v>43.54166666666667</v>
      </c>
    </row>
    <row r="3345" spans="1:10">
      <c r="A3345" s="6" t="s">
        <v>143</v>
      </c>
      <c r="B3345" s="6" t="s">
        <v>44</v>
      </c>
      <c r="C3345" s="6" t="s">
        <v>378</v>
      </c>
      <c r="D3345" s="6">
        <v>20.81741666666667</v>
      </c>
      <c r="E3345" s="6" t="s">
        <v>44</v>
      </c>
      <c r="F3345" s="6" t="s">
        <v>51</v>
      </c>
      <c r="G3345" s="7">
        <v>36833.11874185415</v>
      </c>
      <c r="H3345" s="6">
        <v>766770.3799819869</v>
      </c>
      <c r="I3345" s="6" t="s">
        <v>180</v>
      </c>
      <c r="J3345" s="15">
        <v>6.884577295595829</v>
      </c>
    </row>
    <row r="3346" spans="1:10">
      <c r="A3346" s="6" t="s">
        <v>143</v>
      </c>
      <c r="B3346" s="6" t="s">
        <v>44</v>
      </c>
      <c r="C3346" s="6" t="s">
        <v>231</v>
      </c>
      <c r="D3346" s="6">
        <v>11.5035</v>
      </c>
      <c r="E3346" s="6" t="s">
        <v>44</v>
      </c>
      <c r="F3346" s="6" t="s">
        <v>52</v>
      </c>
      <c r="G3346" s="7">
        <v>106696.4944389694</v>
      </c>
      <c r="H3346" s="6">
        <v>1227383.123778685</v>
      </c>
      <c r="I3346" s="6" t="s">
        <v>179</v>
      </c>
      <c r="J3346" s="15">
        <v>75</v>
      </c>
    </row>
    <row r="3347" spans="1:10">
      <c r="A3347" s="6" t="s">
        <v>143</v>
      </c>
      <c r="B3347" s="6" t="s">
        <v>44</v>
      </c>
      <c r="C3347" s="6" t="s">
        <v>346</v>
      </c>
      <c r="D3347" s="6">
        <v>7.308166666666666</v>
      </c>
      <c r="E3347" s="6" t="s">
        <v>44</v>
      </c>
      <c r="F3347" s="6" t="s">
        <v>52</v>
      </c>
      <c r="G3347" s="7">
        <v>64169.74384104699</v>
      </c>
      <c r="H3347" s="6">
        <v>468963.1829476782</v>
      </c>
      <c r="I3347" s="6" t="s">
        <v>180</v>
      </c>
      <c r="J3347" s="15">
        <v>17.01155042897912</v>
      </c>
    </row>
    <row r="3348" spans="1:10">
      <c r="A3348" s="6" t="s">
        <v>143</v>
      </c>
      <c r="B3348" s="6" t="s">
        <v>44</v>
      </c>
      <c r="C3348" s="6" t="s">
        <v>232</v>
      </c>
      <c r="D3348" s="6">
        <v>38.29316666666666</v>
      </c>
      <c r="E3348" s="6" t="s">
        <v>44</v>
      </c>
      <c r="F3348" s="6" t="s">
        <v>51</v>
      </c>
      <c r="G3348" s="7">
        <v>28201.41411980885</v>
      </c>
      <c r="H3348" s="6">
        <v>1079921.451125527</v>
      </c>
      <c r="I3348" s="6" t="s">
        <v>179</v>
      </c>
      <c r="J3348" s="15">
        <v>20</v>
      </c>
    </row>
    <row r="3349" spans="1:10">
      <c r="A3349" s="6" t="s">
        <v>143</v>
      </c>
      <c r="B3349" s="6" t="s">
        <v>44</v>
      </c>
      <c r="C3349" s="6" t="s">
        <v>233</v>
      </c>
      <c r="D3349" s="6">
        <v>515.3255833333333</v>
      </c>
      <c r="E3349" s="6" t="s">
        <v>44</v>
      </c>
      <c r="F3349" s="6" t="s">
        <v>59</v>
      </c>
      <c r="G3349" s="7">
        <v>60259.27520860936</v>
      </c>
      <c r="H3349" s="6">
        <v>31053146.14812049</v>
      </c>
      <c r="I3349" s="6" t="s">
        <v>179</v>
      </c>
      <c r="J3349" s="15">
        <v>40.40833333333333</v>
      </c>
    </row>
    <row r="3350" spans="1:10">
      <c r="A3350" s="6" t="s">
        <v>143</v>
      </c>
      <c r="B3350" s="6" t="s">
        <v>44</v>
      </c>
      <c r="C3350" s="6" t="s">
        <v>234</v>
      </c>
      <c r="D3350" s="6">
        <v>186.5790833333333</v>
      </c>
      <c r="E3350" s="6" t="s">
        <v>44</v>
      </c>
      <c r="F3350" s="6" t="s">
        <v>56</v>
      </c>
      <c r="G3350" s="7">
        <v>60675.69596540061</v>
      </c>
      <c r="H3350" s="6">
        <v>11320815.73383648</v>
      </c>
      <c r="I3350" s="6" t="s">
        <v>179</v>
      </c>
      <c r="J3350" s="15">
        <v>37.40833333333333</v>
      </c>
    </row>
    <row r="3351" spans="1:10">
      <c r="A3351" s="6" t="s">
        <v>143</v>
      </c>
      <c r="B3351" s="6" t="s">
        <v>44</v>
      </c>
      <c r="C3351" s="6" t="s">
        <v>235</v>
      </c>
      <c r="D3351" s="6">
        <v>1.461583333333333</v>
      </c>
      <c r="E3351" s="6" t="s">
        <v>44</v>
      </c>
      <c r="F3351" s="6" t="s">
        <v>53</v>
      </c>
      <c r="G3351" s="7">
        <v>42906.76971531406</v>
      </c>
      <c r="H3351" s="6">
        <v>62711.81950307445</v>
      </c>
      <c r="I3351" s="6" t="s">
        <v>180</v>
      </c>
      <c r="J3351" s="15">
        <v>9.134588041494082</v>
      </c>
    </row>
    <row r="3352" spans="1:10">
      <c r="A3352" s="6" t="s">
        <v>143</v>
      </c>
      <c r="B3352" s="6" t="s">
        <v>44</v>
      </c>
      <c r="C3352" s="6" t="s">
        <v>236</v>
      </c>
      <c r="D3352" s="6">
        <v>2322.52375</v>
      </c>
      <c r="E3352" s="6" t="s">
        <v>44</v>
      </c>
      <c r="F3352" s="6" t="s">
        <v>51</v>
      </c>
      <c r="G3352" s="7">
        <v>16875.52434086435</v>
      </c>
      <c r="H3352" s="6">
        <v>39193806.07536056</v>
      </c>
      <c r="I3352" s="6" t="s">
        <v>179</v>
      </c>
      <c r="J3352" s="15">
        <v>16.31666666666667</v>
      </c>
    </row>
    <row r="3353" spans="1:10">
      <c r="A3353" s="6" t="s">
        <v>143</v>
      </c>
      <c r="B3353" s="6" t="s">
        <v>44</v>
      </c>
      <c r="C3353" s="6" t="s">
        <v>237</v>
      </c>
      <c r="D3353" s="6">
        <v>223.1323333333333</v>
      </c>
      <c r="E3353" s="6" t="s">
        <v>44</v>
      </c>
      <c r="F3353" s="6" t="s">
        <v>51</v>
      </c>
      <c r="G3353" s="7">
        <v>25931.08338799715</v>
      </c>
      <c r="H3353" s="6">
        <v>5786063.142225043</v>
      </c>
      <c r="I3353" s="6" t="s">
        <v>179</v>
      </c>
      <c r="J3353" s="15">
        <v>20</v>
      </c>
    </row>
    <row r="3354" spans="1:10">
      <c r="A3354" s="6" t="s">
        <v>143</v>
      </c>
      <c r="B3354" s="6" t="s">
        <v>44</v>
      </c>
      <c r="C3354" s="6" t="s">
        <v>238</v>
      </c>
      <c r="D3354" s="6">
        <v>530.5193333333334</v>
      </c>
      <c r="E3354" s="6" t="s">
        <v>44</v>
      </c>
      <c r="F3354" s="6" t="s">
        <v>51</v>
      </c>
      <c r="G3354" s="7">
        <v>21509.06685400382</v>
      </c>
      <c r="H3354" s="6">
        <v>11410975.80800821</v>
      </c>
      <c r="I3354" s="6" t="s">
        <v>179</v>
      </c>
      <c r="J3354" s="15">
        <v>11</v>
      </c>
    </row>
    <row r="3355" spans="1:10">
      <c r="A3355" s="6" t="s">
        <v>143</v>
      </c>
      <c r="B3355" s="6" t="s">
        <v>44</v>
      </c>
      <c r="C3355" s="6" t="s">
        <v>239</v>
      </c>
      <c r="D3355" s="6">
        <v>495.7991666666666</v>
      </c>
      <c r="E3355" s="6" t="s">
        <v>44</v>
      </c>
      <c r="F3355" s="6" t="s">
        <v>54</v>
      </c>
      <c r="G3355" s="7">
        <v>91141.09901653728</v>
      </c>
      <c r="H3355" s="6">
        <v>45187680.94148333</v>
      </c>
      <c r="I3355" s="6" t="s">
        <v>179</v>
      </c>
      <c r="J3355" s="15">
        <v>62</v>
      </c>
    </row>
    <row r="3356" spans="1:10">
      <c r="A3356" s="6" t="s">
        <v>143</v>
      </c>
      <c r="B3356" s="6" t="s">
        <v>44</v>
      </c>
      <c r="C3356" s="6" t="s">
        <v>379</v>
      </c>
      <c r="D3356" s="6">
        <v>7.57225</v>
      </c>
      <c r="E3356" s="6" t="s">
        <v>44</v>
      </c>
      <c r="F3356" s="6" t="s">
        <v>51</v>
      </c>
      <c r="G3356" s="7">
        <v>54300.15081254677</v>
      </c>
      <c r="H3356" s="6">
        <v>411174.3169903073</v>
      </c>
      <c r="I3356" s="6" t="s">
        <v>180</v>
      </c>
      <c r="J3356" s="15">
        <v>13.35531623494908</v>
      </c>
    </row>
    <row r="3357" spans="1:10">
      <c r="A3357" s="6" t="s">
        <v>143</v>
      </c>
      <c r="B3357" s="6" t="s">
        <v>44</v>
      </c>
      <c r="C3357" s="6" t="s">
        <v>347</v>
      </c>
      <c r="D3357" s="6">
        <v>1.398333333333333</v>
      </c>
      <c r="E3357" s="6" t="s">
        <v>44</v>
      </c>
      <c r="F3357" s="6" t="s">
        <v>52</v>
      </c>
      <c r="G3357" s="7">
        <v>64169.74384104699</v>
      </c>
      <c r="H3357" s="6">
        <v>89730.69180439737</v>
      </c>
      <c r="I3357" s="6" t="s">
        <v>180</v>
      </c>
      <c r="J3357" s="15">
        <v>17.01155042897912</v>
      </c>
    </row>
    <row r="3358" spans="1:10">
      <c r="A3358" s="6" t="s">
        <v>143</v>
      </c>
      <c r="B3358" s="6" t="s">
        <v>44</v>
      </c>
      <c r="C3358" s="6" t="s">
        <v>368</v>
      </c>
      <c r="D3358" s="6">
        <v>4.3285</v>
      </c>
      <c r="E3358" s="6" t="s">
        <v>44</v>
      </c>
      <c r="F3358" s="6" t="s">
        <v>55</v>
      </c>
      <c r="G3358" s="7">
        <v>48770.50191399889</v>
      </c>
      <c r="H3358" s="6">
        <v>211103.1175347442</v>
      </c>
      <c r="I3358" s="6" t="s">
        <v>180</v>
      </c>
      <c r="J3358" s="15">
        <v>11.30683345298744</v>
      </c>
    </row>
    <row r="3359" spans="1:10">
      <c r="A3359" s="6" t="s">
        <v>143</v>
      </c>
      <c r="B3359" s="6" t="s">
        <v>44</v>
      </c>
      <c r="C3359" s="6" t="s">
        <v>240</v>
      </c>
      <c r="D3359" s="6">
        <v>30.819</v>
      </c>
      <c r="E3359" s="6" t="s">
        <v>44</v>
      </c>
      <c r="F3359" s="6" t="s">
        <v>51</v>
      </c>
      <c r="G3359" s="7">
        <v>18174.39388396715</v>
      </c>
      <c r="H3359" s="6">
        <v>560116.6451099836</v>
      </c>
      <c r="I3359" s="6" t="s">
        <v>179</v>
      </c>
      <c r="J3359" s="15">
        <v>18</v>
      </c>
    </row>
    <row r="3360" spans="1:10">
      <c r="A3360" s="6" t="s">
        <v>143</v>
      </c>
      <c r="B3360" s="6" t="s">
        <v>90</v>
      </c>
      <c r="C3360" s="6" t="s">
        <v>241</v>
      </c>
      <c r="D3360" s="6">
        <v>238.216</v>
      </c>
      <c r="E3360" s="6" t="s">
        <v>44</v>
      </c>
      <c r="F3360" s="6" t="s">
        <v>53</v>
      </c>
      <c r="G3360" s="7">
        <v>26388.49277067184</v>
      </c>
      <c r="H3360" s="6">
        <v>6286161.193858364</v>
      </c>
      <c r="I3360" s="6" t="s">
        <v>179</v>
      </c>
      <c r="J3360" s="15">
        <v>14.36666666666667</v>
      </c>
    </row>
    <row r="3361" spans="1:10">
      <c r="A3361" s="6" t="s">
        <v>143</v>
      </c>
      <c r="B3361" s="6" t="s">
        <v>44</v>
      </c>
      <c r="C3361" s="6" t="s">
        <v>242</v>
      </c>
      <c r="D3361" s="6">
        <v>1323.39175</v>
      </c>
      <c r="E3361" s="6" t="s">
        <v>44</v>
      </c>
      <c r="F3361" s="6" t="s">
        <v>56</v>
      </c>
      <c r="G3361" s="7">
        <v>41454.84700212286</v>
      </c>
      <c r="H3361" s="6">
        <v>54861002.52012163</v>
      </c>
      <c r="I3361" s="6" t="s">
        <v>179</v>
      </c>
      <c r="J3361" s="15">
        <v>28.81666666666667</v>
      </c>
    </row>
    <row r="3362" spans="1:10">
      <c r="A3362" s="6" t="s">
        <v>143</v>
      </c>
      <c r="B3362" s="6" t="s">
        <v>44</v>
      </c>
      <c r="C3362" s="6" t="s">
        <v>243</v>
      </c>
      <c r="D3362" s="6">
        <v>1.592833333333333</v>
      </c>
      <c r="E3362" s="6" t="s">
        <v>44</v>
      </c>
      <c r="F3362" s="6" t="s">
        <v>58</v>
      </c>
      <c r="G3362" s="7">
        <v>39072.48177856206</v>
      </c>
      <c r="H3362" s="6">
        <v>62235.95139295293</v>
      </c>
      <c r="I3362" s="6" t="s">
        <v>180</v>
      </c>
      <c r="J3362" s="15">
        <v>7.714159192642155</v>
      </c>
    </row>
    <row r="3363" spans="1:10">
      <c r="A3363" s="6" t="s">
        <v>143</v>
      </c>
      <c r="B3363" s="6" t="s">
        <v>44</v>
      </c>
      <c r="C3363" s="6" t="s">
        <v>369</v>
      </c>
      <c r="D3363" s="6">
        <v>5.792583333333333</v>
      </c>
      <c r="E3363" s="6" t="s">
        <v>44</v>
      </c>
      <c r="F3363" s="6" t="s">
        <v>55</v>
      </c>
      <c r="G3363" s="7">
        <v>49104.86498874119</v>
      </c>
      <c r="H3363" s="6">
        <v>284444.0225193657</v>
      </c>
      <c r="I3363" s="6" t="s">
        <v>180</v>
      </c>
      <c r="J3363" s="15">
        <v>11.43069972625358</v>
      </c>
    </row>
    <row r="3364" spans="1:10">
      <c r="A3364" s="6" t="s">
        <v>143</v>
      </c>
      <c r="B3364" s="6" t="s">
        <v>44</v>
      </c>
      <c r="C3364" s="6" t="s">
        <v>244</v>
      </c>
      <c r="D3364" s="6">
        <v>48.03874999999999</v>
      </c>
      <c r="E3364" s="6" t="s">
        <v>44</v>
      </c>
      <c r="F3364" s="6" t="s">
        <v>55</v>
      </c>
      <c r="G3364" s="7">
        <v>48324.15434814322</v>
      </c>
      <c r="H3364" s="6">
        <v>2321431.969691865</v>
      </c>
      <c r="I3364" s="6" t="s">
        <v>180</v>
      </c>
      <c r="J3364" s="15">
        <v>25.75</v>
      </c>
    </row>
    <row r="3365" spans="1:10">
      <c r="A3365" s="6" t="s">
        <v>143</v>
      </c>
      <c r="B3365" s="6" t="s">
        <v>90</v>
      </c>
      <c r="C3365" s="6" t="s">
        <v>245</v>
      </c>
      <c r="D3365" s="6">
        <v>216.7365833333333</v>
      </c>
      <c r="E3365" s="6" t="s">
        <v>44</v>
      </c>
      <c r="F3365" s="6" t="s">
        <v>53</v>
      </c>
      <c r="G3365" s="7">
        <v>15981.96816829709</v>
      </c>
      <c r="H3365" s="6">
        <v>3463877.175738804</v>
      </c>
      <c r="I3365" s="6" t="s">
        <v>179</v>
      </c>
      <c r="J3365" s="15">
        <v>38</v>
      </c>
    </row>
    <row r="3366" spans="1:10">
      <c r="A3366" s="6" t="s">
        <v>143</v>
      </c>
      <c r="B3366" s="6" t="s">
        <v>44</v>
      </c>
      <c r="C3366" s="6" t="s">
        <v>246</v>
      </c>
      <c r="D3366" s="6">
        <v>0.7715833333333333</v>
      </c>
      <c r="E3366" s="6" t="s">
        <v>44</v>
      </c>
      <c r="F3366" s="6" t="s">
        <v>53</v>
      </c>
      <c r="G3366" s="7">
        <v>41073.70877033749</v>
      </c>
      <c r="H3366" s="6">
        <v>31691.78912537957</v>
      </c>
      <c r="I3366" s="6" t="s">
        <v>180</v>
      </c>
      <c r="J3366" s="15">
        <v>8.45552254331084</v>
      </c>
    </row>
    <row r="3367" spans="1:10">
      <c r="A3367" s="6" t="s">
        <v>143</v>
      </c>
      <c r="B3367" s="6" t="s">
        <v>44</v>
      </c>
      <c r="C3367" s="6" t="s">
        <v>348</v>
      </c>
      <c r="D3367" s="6">
        <v>3.374166666666667</v>
      </c>
      <c r="E3367" s="6" t="s">
        <v>44</v>
      </c>
      <c r="F3367" s="6" t="s">
        <v>52</v>
      </c>
      <c r="G3367" s="7">
        <v>64169.74384104699</v>
      </c>
      <c r="H3367" s="6">
        <v>216519.4106769994</v>
      </c>
      <c r="I3367" s="6" t="s">
        <v>180</v>
      </c>
      <c r="J3367" s="15">
        <v>17.01155042897912</v>
      </c>
    </row>
    <row r="3368" spans="1:10">
      <c r="A3368" s="6" t="s">
        <v>143</v>
      </c>
      <c r="B3368" s="6" t="s">
        <v>44</v>
      </c>
      <c r="C3368" s="6" t="s">
        <v>349</v>
      </c>
      <c r="D3368" s="6">
        <v>11.19583333333333</v>
      </c>
      <c r="E3368" s="6" t="s">
        <v>44</v>
      </c>
      <c r="F3368" s="6" t="s">
        <v>52</v>
      </c>
      <c r="G3368" s="7">
        <v>64169.74384104699</v>
      </c>
      <c r="H3368" s="6">
        <v>718433.7570870552</v>
      </c>
      <c r="I3368" s="6" t="s">
        <v>180</v>
      </c>
      <c r="J3368" s="15">
        <v>17.01155042897912</v>
      </c>
    </row>
    <row r="3369" spans="1:10">
      <c r="A3369" s="6" t="s">
        <v>143</v>
      </c>
      <c r="B3369" s="6" t="s">
        <v>44</v>
      </c>
      <c r="C3369" s="6" t="s">
        <v>247</v>
      </c>
      <c r="D3369" s="6">
        <v>1282.38175</v>
      </c>
      <c r="E3369" s="6" t="s">
        <v>44</v>
      </c>
      <c r="F3369" s="6" t="s">
        <v>51</v>
      </c>
      <c r="G3369" s="7">
        <v>30572.38239922268</v>
      </c>
      <c r="H3369" s="6">
        <v>39205465.24278438</v>
      </c>
      <c r="I3369" s="6" t="s">
        <v>179</v>
      </c>
      <c r="J3369" s="15">
        <v>25.55</v>
      </c>
    </row>
    <row r="3370" spans="1:10">
      <c r="A3370" s="6" t="s">
        <v>143</v>
      </c>
      <c r="B3370" s="6" t="s">
        <v>44</v>
      </c>
      <c r="C3370" s="6" t="s">
        <v>248</v>
      </c>
      <c r="D3370" s="6">
        <v>173.54175</v>
      </c>
      <c r="E3370" s="6" t="s">
        <v>44</v>
      </c>
      <c r="F3370" s="6" t="s">
        <v>55</v>
      </c>
      <c r="G3370" s="7">
        <v>87415.63794531897</v>
      </c>
      <c r="H3370" s="6">
        <v>15170262.78639706</v>
      </c>
      <c r="I3370" s="6" t="s">
        <v>179</v>
      </c>
      <c r="J3370" s="15">
        <v>48.6</v>
      </c>
    </row>
    <row r="3371" spans="1:10">
      <c r="A3371" s="6" t="s">
        <v>143</v>
      </c>
      <c r="B3371" s="6" t="s">
        <v>44</v>
      </c>
      <c r="C3371" s="6" t="s">
        <v>249</v>
      </c>
      <c r="D3371" s="6">
        <v>1555.548416666667</v>
      </c>
      <c r="E3371" s="6" t="s">
        <v>44</v>
      </c>
      <c r="F3371" s="6" t="s">
        <v>53</v>
      </c>
      <c r="G3371" s="7">
        <v>42005.85786023017</v>
      </c>
      <c r="H3371" s="6">
        <v>65342145.6852061</v>
      </c>
      <c r="I3371" s="6" t="s">
        <v>179</v>
      </c>
      <c r="J3371" s="15">
        <v>39.98333333333333</v>
      </c>
    </row>
    <row r="3372" spans="1:10">
      <c r="A3372" s="6" t="s">
        <v>143</v>
      </c>
      <c r="B3372" s="6" t="s">
        <v>44</v>
      </c>
      <c r="C3372" s="6" t="s">
        <v>351</v>
      </c>
      <c r="D3372" s="6">
        <v>8.927666666666667</v>
      </c>
      <c r="E3372" s="6" t="s">
        <v>44</v>
      </c>
      <c r="F3372" s="6" t="s">
        <v>53</v>
      </c>
      <c r="G3372" s="7">
        <v>50618.83248175711</v>
      </c>
      <c r="H3372" s="6">
        <v>451908.0634529669</v>
      </c>
      <c r="I3372" s="6" t="s">
        <v>180</v>
      </c>
      <c r="J3372" s="15">
        <v>11.99155565016354</v>
      </c>
    </row>
    <row r="3373" spans="1:10">
      <c r="A3373" s="6" t="s">
        <v>143</v>
      </c>
      <c r="B3373" s="6" t="s">
        <v>44</v>
      </c>
      <c r="C3373" s="6" t="s">
        <v>250</v>
      </c>
      <c r="D3373" s="6">
        <v>45.43375</v>
      </c>
      <c r="E3373" s="6" t="s">
        <v>44</v>
      </c>
      <c r="F3373" s="6" t="s">
        <v>55</v>
      </c>
      <c r="G3373" s="7">
        <v>52905.45321842405</v>
      </c>
      <c r="H3373" s="6">
        <v>2403693.135162574</v>
      </c>
      <c r="I3373" s="6" t="s">
        <v>180</v>
      </c>
      <c r="J3373" s="15">
        <v>29</v>
      </c>
    </row>
    <row r="3374" spans="1:10">
      <c r="A3374" s="6" t="s">
        <v>143</v>
      </c>
      <c r="B3374" s="6" t="s">
        <v>44</v>
      </c>
      <c r="C3374" s="6" t="s">
        <v>251</v>
      </c>
      <c r="D3374" s="6">
        <v>15.83183333333333</v>
      </c>
      <c r="E3374" s="6" t="s">
        <v>44</v>
      </c>
      <c r="F3374" s="6" t="s">
        <v>53</v>
      </c>
      <c r="G3374" s="7">
        <v>35076.47747982296</v>
      </c>
      <c r="H3374" s="6">
        <v>555324.9453809772</v>
      </c>
      <c r="I3374" s="6" t="s">
        <v>179</v>
      </c>
      <c r="J3374" s="15">
        <v>8.671570765153875</v>
      </c>
    </row>
    <row r="3375" spans="1:10">
      <c r="A3375" s="6" t="s">
        <v>143</v>
      </c>
      <c r="B3375" s="6" t="s">
        <v>44</v>
      </c>
      <c r="C3375" s="6" t="s">
        <v>252</v>
      </c>
      <c r="D3375" s="6">
        <v>177.26425</v>
      </c>
      <c r="E3375" s="6" t="s">
        <v>44</v>
      </c>
      <c r="F3375" s="6" t="s">
        <v>57</v>
      </c>
      <c r="G3375" s="7">
        <v>29402.0465874927</v>
      </c>
      <c r="H3375" s="6">
        <v>5211931.736796953</v>
      </c>
      <c r="I3375" s="6" t="s">
        <v>179</v>
      </c>
      <c r="J3375" s="15">
        <v>20</v>
      </c>
    </row>
    <row r="3376" spans="1:10">
      <c r="A3376" s="6" t="s">
        <v>143</v>
      </c>
      <c r="B3376" s="6" t="s">
        <v>90</v>
      </c>
      <c r="C3376" s="6" t="s">
        <v>253</v>
      </c>
      <c r="D3376" s="6">
        <v>410.5015</v>
      </c>
      <c r="E3376" s="6" t="s">
        <v>44</v>
      </c>
      <c r="F3376" s="6" t="s">
        <v>53</v>
      </c>
      <c r="G3376" s="7">
        <v>32446.79249986879</v>
      </c>
      <c r="H3376" s="6">
        <v>13319456.99138489</v>
      </c>
      <c r="I3376" s="6" t="s">
        <v>179</v>
      </c>
      <c r="J3376" s="15">
        <v>16</v>
      </c>
    </row>
    <row r="3377" spans="1:10">
      <c r="A3377" s="6" t="s">
        <v>143</v>
      </c>
      <c r="B3377" s="6" t="s">
        <v>86</v>
      </c>
      <c r="C3377" s="6" t="s">
        <v>353</v>
      </c>
      <c r="D3377" s="6">
        <v>7.990166666666667</v>
      </c>
      <c r="E3377" s="6" t="s">
        <v>44</v>
      </c>
      <c r="F3377" s="6" t="s">
        <v>62</v>
      </c>
      <c r="G3377" s="7">
        <v>81005.34654028571</v>
      </c>
      <c r="H3377" s="6">
        <v>647246.2197479729</v>
      </c>
      <c r="I3377" s="6" t="s">
        <v>179</v>
      </c>
      <c r="J3377" s="15">
        <v>102.3</v>
      </c>
    </row>
    <row r="3378" spans="1:10">
      <c r="A3378" s="6" t="s">
        <v>143</v>
      </c>
      <c r="B3378" s="6" t="s">
        <v>44</v>
      </c>
      <c r="C3378" s="6" t="s">
        <v>254</v>
      </c>
      <c r="D3378" s="6">
        <v>6.431416666666666</v>
      </c>
      <c r="E3378" s="6" t="s">
        <v>44</v>
      </c>
      <c r="F3378" s="6" t="s">
        <v>51</v>
      </c>
      <c r="G3378" s="7">
        <v>67100.46594067648</v>
      </c>
      <c r="H3378" s="6">
        <v>431551.0549919657</v>
      </c>
      <c r="I3378" s="6" t="s">
        <v>179</v>
      </c>
      <c r="J3378" s="15">
        <v>18.5</v>
      </c>
    </row>
    <row r="3379" spans="1:10">
      <c r="A3379" s="6" t="s">
        <v>143</v>
      </c>
      <c r="B3379" s="6" t="s">
        <v>44</v>
      </c>
      <c r="C3379" s="6" t="s">
        <v>255</v>
      </c>
      <c r="D3379" s="6">
        <v>86.04483333333333</v>
      </c>
      <c r="E3379" s="6" t="s">
        <v>44</v>
      </c>
      <c r="F3379" s="6" t="s">
        <v>51</v>
      </c>
      <c r="G3379" s="7">
        <v>32463.72189421727</v>
      </c>
      <c r="H3379" s="6">
        <v>2793335.539767609</v>
      </c>
      <c r="I3379" s="6" t="s">
        <v>179</v>
      </c>
      <c r="J3379" s="15">
        <v>13.29939623747558</v>
      </c>
    </row>
    <row r="3380" spans="1:10">
      <c r="A3380" s="6" t="s">
        <v>143</v>
      </c>
      <c r="B3380" s="6" t="s">
        <v>44</v>
      </c>
      <c r="C3380" s="6" t="s">
        <v>256</v>
      </c>
      <c r="D3380" s="6">
        <v>2.17225</v>
      </c>
      <c r="E3380" s="6" t="s">
        <v>44</v>
      </c>
      <c r="F3380" s="6" t="s">
        <v>57</v>
      </c>
      <c r="G3380" s="7">
        <v>42467.27080588165</v>
      </c>
      <c r="H3380" s="6">
        <v>92249.52900807641</v>
      </c>
      <c r="I3380" s="6" t="s">
        <v>180</v>
      </c>
      <c r="J3380" s="15">
        <v>25.26666666666667</v>
      </c>
    </row>
    <row r="3381" spans="1:10">
      <c r="A3381" s="6" t="s">
        <v>143</v>
      </c>
      <c r="B3381" s="6" t="s">
        <v>99</v>
      </c>
      <c r="C3381" s="6" t="s">
        <v>257</v>
      </c>
      <c r="D3381" s="6">
        <v>15.38883333333333</v>
      </c>
      <c r="E3381" s="6" t="s">
        <v>44</v>
      </c>
      <c r="F3381" s="6" t="s">
        <v>52</v>
      </c>
      <c r="G3381" s="7">
        <v>75774.66216780181</v>
      </c>
      <c r="H3381" s="6">
        <v>1166083.646989941</v>
      </c>
      <c r="I3381" s="6" t="s">
        <v>180</v>
      </c>
      <c r="J3381" s="15">
        <v>18.54075282561386</v>
      </c>
    </row>
    <row r="3382" spans="1:10">
      <c r="A3382" s="6" t="s">
        <v>143</v>
      </c>
      <c r="B3382" s="6" t="s">
        <v>44</v>
      </c>
      <c r="C3382" s="6" t="s">
        <v>258</v>
      </c>
      <c r="D3382" s="6">
        <v>10.9775</v>
      </c>
      <c r="E3382" s="6" t="s">
        <v>44</v>
      </c>
      <c r="F3382" s="6" t="s">
        <v>52</v>
      </c>
      <c r="G3382" s="7">
        <v>106696.4944389694</v>
      </c>
      <c r="H3382" s="6">
        <v>1171260.767703787</v>
      </c>
      <c r="I3382" s="6" t="s">
        <v>179</v>
      </c>
      <c r="J3382" s="15">
        <v>74</v>
      </c>
    </row>
    <row r="3383" spans="1:10">
      <c r="A3383" s="6" t="s">
        <v>143</v>
      </c>
      <c r="B3383" s="6" t="s">
        <v>44</v>
      </c>
      <c r="C3383" s="6" t="s">
        <v>259</v>
      </c>
      <c r="D3383" s="6">
        <v>129.1553333333333</v>
      </c>
      <c r="E3383" s="6" t="s">
        <v>44</v>
      </c>
      <c r="F3383" s="6" t="s">
        <v>56</v>
      </c>
      <c r="G3383" s="7">
        <v>42233.6310286505</v>
      </c>
      <c r="H3383" s="6">
        <v>5454698.693382365</v>
      </c>
      <c r="I3383" s="6" t="s">
        <v>179</v>
      </c>
      <c r="J3383" s="15">
        <v>38.91666666666667</v>
      </c>
    </row>
    <row r="3384" spans="1:10">
      <c r="A3384" s="6" t="s">
        <v>143</v>
      </c>
      <c r="B3384" s="6" t="s">
        <v>44</v>
      </c>
      <c r="C3384" s="6" t="s">
        <v>260</v>
      </c>
      <c r="D3384" s="6">
        <v>837.7824166666667</v>
      </c>
      <c r="E3384" s="6" t="s">
        <v>44</v>
      </c>
      <c r="F3384" s="6" t="s">
        <v>52</v>
      </c>
      <c r="G3384" s="7">
        <v>54560.56274648917</v>
      </c>
      <c r="H3384" s="6">
        <v>45709880.112447</v>
      </c>
      <c r="I3384" s="6" t="s">
        <v>179</v>
      </c>
      <c r="J3384" s="15">
        <v>53</v>
      </c>
    </row>
    <row r="3385" spans="1:10">
      <c r="A3385" s="6" t="s">
        <v>143</v>
      </c>
      <c r="B3385" s="6" t="s">
        <v>44</v>
      </c>
      <c r="C3385" s="6" t="s">
        <v>261</v>
      </c>
      <c r="D3385" s="6">
        <v>1.820916666666667</v>
      </c>
      <c r="E3385" s="6" t="s">
        <v>44</v>
      </c>
      <c r="F3385" s="6" t="s">
        <v>54</v>
      </c>
      <c r="G3385" s="7">
        <v>66379.62434043601</v>
      </c>
      <c r="H3385" s="6">
        <v>120871.7642885723</v>
      </c>
      <c r="I3385" s="6" t="s">
        <v>180</v>
      </c>
      <c r="J3385" s="15">
        <v>17.83021039026165</v>
      </c>
    </row>
    <row r="3386" spans="1:10">
      <c r="A3386" s="6" t="s">
        <v>143</v>
      </c>
      <c r="B3386" s="6" t="s">
        <v>44</v>
      </c>
      <c r="C3386" s="6" t="s">
        <v>262</v>
      </c>
      <c r="D3386" s="6">
        <v>399.2974166666667</v>
      </c>
      <c r="E3386" s="6" t="s">
        <v>44</v>
      </c>
      <c r="F3386" s="6" t="s">
        <v>51</v>
      </c>
      <c r="G3386" s="7">
        <v>21698.35157241016</v>
      </c>
      <c r="H3386" s="6">
        <v>8664095.728788482</v>
      </c>
      <c r="I3386" s="6" t="s">
        <v>179</v>
      </c>
      <c r="J3386" s="15">
        <v>22.96666666666667</v>
      </c>
    </row>
    <row r="3387" spans="1:10">
      <c r="A3387" s="6" t="s">
        <v>143</v>
      </c>
      <c r="B3387" s="6" t="s">
        <v>90</v>
      </c>
      <c r="C3387" s="6" t="s">
        <v>263</v>
      </c>
      <c r="D3387" s="6">
        <v>304.8245833333333</v>
      </c>
      <c r="E3387" s="6" t="s">
        <v>44</v>
      </c>
      <c r="F3387" s="6" t="s">
        <v>54</v>
      </c>
      <c r="G3387" s="7">
        <v>65896.61824279206</v>
      </c>
      <c r="H3387" s="6">
        <v>20086909.19893482</v>
      </c>
      <c r="I3387" s="6" t="s">
        <v>179</v>
      </c>
      <c r="J3387" s="15">
        <v>46.91666666666666</v>
      </c>
    </row>
    <row r="3388" spans="1:10">
      <c r="A3388" s="6" t="s">
        <v>143</v>
      </c>
      <c r="B3388" s="6" t="s">
        <v>90</v>
      </c>
      <c r="C3388" s="6" t="s">
        <v>264</v>
      </c>
      <c r="D3388" s="6">
        <v>154.22675</v>
      </c>
      <c r="E3388" s="6" t="s">
        <v>44</v>
      </c>
      <c r="F3388" s="6" t="s">
        <v>54</v>
      </c>
      <c r="G3388" s="7">
        <v>89766.53686395117</v>
      </c>
      <c r="H3388" s="6">
        <v>13844401.23928238</v>
      </c>
      <c r="I3388" s="6" t="s">
        <v>180</v>
      </c>
      <c r="J3388" s="15">
        <v>22.00286209871706</v>
      </c>
    </row>
    <row r="3389" spans="1:10">
      <c r="A3389" s="6" t="s">
        <v>143</v>
      </c>
      <c r="B3389" s="6" t="s">
        <v>44</v>
      </c>
      <c r="C3389" s="6" t="s">
        <v>265</v>
      </c>
      <c r="D3389" s="6">
        <v>554.6828333333333</v>
      </c>
      <c r="E3389" s="6" t="s">
        <v>44</v>
      </c>
      <c r="F3389" s="6" t="s">
        <v>54</v>
      </c>
      <c r="G3389" s="7">
        <v>99228.92218252944</v>
      </c>
      <c r="H3389" s="6">
        <v>55040579.70481827</v>
      </c>
      <c r="I3389" s="6" t="s">
        <v>179</v>
      </c>
      <c r="J3389" s="15">
        <v>72.81666666666666</v>
      </c>
    </row>
    <row r="3390" spans="1:10">
      <c r="A3390" s="6" t="s">
        <v>143</v>
      </c>
      <c r="B3390" s="6" t="s">
        <v>44</v>
      </c>
      <c r="C3390" s="6" t="s">
        <v>266</v>
      </c>
      <c r="D3390" s="6">
        <v>350.448</v>
      </c>
      <c r="E3390" s="6" t="s">
        <v>44</v>
      </c>
      <c r="F3390" s="6" t="s">
        <v>57</v>
      </c>
      <c r="G3390" s="7">
        <v>50415.37206732162</v>
      </c>
      <c r="H3390" s="6">
        <v>17667966.31024873</v>
      </c>
      <c r="I3390" s="6" t="s">
        <v>179</v>
      </c>
      <c r="J3390" s="15">
        <v>51.35</v>
      </c>
    </row>
    <row r="3391" spans="1:10">
      <c r="A3391" s="6" t="s">
        <v>143</v>
      </c>
      <c r="B3391" s="6" t="s">
        <v>44</v>
      </c>
      <c r="C3391" s="6" t="s">
        <v>354</v>
      </c>
      <c r="D3391" s="6">
        <v>0.14</v>
      </c>
      <c r="E3391" s="6" t="s">
        <v>44</v>
      </c>
      <c r="F3391" s="6" t="s">
        <v>51</v>
      </c>
      <c r="G3391" s="7">
        <v>34245.1170714133</v>
      </c>
      <c r="H3391" s="6">
        <v>4794.316389997862</v>
      </c>
      <c r="I3391" s="6" t="s">
        <v>180</v>
      </c>
      <c r="J3391" s="15">
        <v>5.925840681598826</v>
      </c>
    </row>
    <row r="3392" spans="1:10">
      <c r="A3392" s="6" t="s">
        <v>143</v>
      </c>
      <c r="B3392" s="6" t="s">
        <v>44</v>
      </c>
      <c r="C3392" s="6" t="s">
        <v>355</v>
      </c>
      <c r="D3392" s="6">
        <v>2.770833333333333</v>
      </c>
      <c r="E3392" s="6" t="s">
        <v>44</v>
      </c>
      <c r="F3392" s="6" t="s">
        <v>52</v>
      </c>
      <c r="G3392" s="7">
        <v>64169.74384104699</v>
      </c>
      <c r="H3392" s="6">
        <v>177803.6652262344</v>
      </c>
      <c r="I3392" s="6" t="s">
        <v>180</v>
      </c>
      <c r="J3392" s="15">
        <v>17.01155042897912</v>
      </c>
    </row>
    <row r="3393" spans="1:10">
      <c r="A3393" s="6" t="s">
        <v>143</v>
      </c>
      <c r="B3393" s="6" t="s">
        <v>44</v>
      </c>
      <c r="C3393" s="6" t="s">
        <v>267</v>
      </c>
      <c r="D3393" s="6">
        <v>2479.645083333333</v>
      </c>
      <c r="E3393" s="6" t="s">
        <v>44</v>
      </c>
      <c r="F3393" s="6" t="s">
        <v>53</v>
      </c>
      <c r="G3393" s="7">
        <v>48667.70261730252</v>
      </c>
      <c r="H3393" s="6">
        <v>120678629.512123</v>
      </c>
      <c r="I3393" s="6" t="s">
        <v>179</v>
      </c>
      <c r="J3393" s="15">
        <v>37</v>
      </c>
    </row>
    <row r="3394" spans="1:10">
      <c r="A3394" s="6" t="s">
        <v>143</v>
      </c>
      <c r="B3394" s="6" t="s">
        <v>44</v>
      </c>
      <c r="C3394" s="6" t="s">
        <v>268</v>
      </c>
      <c r="D3394" s="6">
        <v>3.975</v>
      </c>
      <c r="E3394" s="6" t="s">
        <v>44</v>
      </c>
      <c r="F3394" s="6" t="s">
        <v>51</v>
      </c>
      <c r="G3394" s="7">
        <v>19920.3047306236</v>
      </c>
      <c r="H3394" s="6">
        <v>79183.21130422883</v>
      </c>
      <c r="I3394" s="6" t="s">
        <v>179</v>
      </c>
      <c r="J3394" s="15">
        <v>6.233478833728606</v>
      </c>
    </row>
    <row r="3395" spans="1:10">
      <c r="A3395" s="6" t="s">
        <v>143</v>
      </c>
      <c r="B3395" s="6" t="s">
        <v>86</v>
      </c>
      <c r="C3395" s="6" t="s">
        <v>269</v>
      </c>
      <c r="D3395" s="6">
        <v>16.59816666666667</v>
      </c>
      <c r="E3395" s="6" t="s">
        <v>44</v>
      </c>
      <c r="F3395" s="6" t="s">
        <v>52</v>
      </c>
      <c r="G3395" s="7">
        <v>83790.30016891156</v>
      </c>
      <c r="H3395" s="6">
        <v>1390765.367253622</v>
      </c>
      <c r="I3395" s="6" t="s">
        <v>179</v>
      </c>
      <c r="J3395" s="15">
        <v>44.5</v>
      </c>
    </row>
    <row r="3396" spans="1:10">
      <c r="A3396" s="6" t="s">
        <v>143</v>
      </c>
      <c r="B3396" s="6" t="s">
        <v>44</v>
      </c>
      <c r="C3396" s="6" t="s">
        <v>270</v>
      </c>
      <c r="D3396" s="6">
        <v>193.1909166666667</v>
      </c>
      <c r="E3396" s="6" t="s">
        <v>44</v>
      </c>
      <c r="F3396" s="6" t="s">
        <v>59</v>
      </c>
      <c r="G3396" s="7">
        <v>65211.48255173301</v>
      </c>
      <c r="H3396" s="6">
        <v>12598266.09136164</v>
      </c>
      <c r="I3396" s="6" t="s">
        <v>179</v>
      </c>
      <c r="J3396" s="15">
        <v>52.22499999999999</v>
      </c>
    </row>
    <row r="3397" spans="1:10">
      <c r="A3397" s="6" t="s">
        <v>143</v>
      </c>
      <c r="B3397" s="6" t="s">
        <v>86</v>
      </c>
      <c r="C3397" s="6" t="s">
        <v>271</v>
      </c>
      <c r="D3397" s="6">
        <v>148.6649249730664</v>
      </c>
      <c r="E3397" s="6" t="s">
        <v>44</v>
      </c>
      <c r="F3397" s="6" t="s">
        <v>54</v>
      </c>
      <c r="G3397" s="7">
        <v>81091.15446449892</v>
      </c>
      <c r="H3397" s="6">
        <v>12055410.39444407</v>
      </c>
      <c r="I3397" s="6" t="s">
        <v>179</v>
      </c>
      <c r="J3397" s="15">
        <v>47.58333333333334</v>
      </c>
    </row>
    <row r="3398" spans="1:10">
      <c r="A3398" s="6" t="s">
        <v>143</v>
      </c>
      <c r="B3398" s="6" t="s">
        <v>99</v>
      </c>
      <c r="C3398" s="6" t="s">
        <v>271</v>
      </c>
      <c r="D3398" s="6">
        <v>669.647908360267</v>
      </c>
      <c r="E3398" s="6" t="s">
        <v>44</v>
      </c>
      <c r="F3398" s="6" t="s">
        <v>54</v>
      </c>
      <c r="G3398" s="7">
        <v>71251.68519479706</v>
      </c>
      <c r="H3398" s="6">
        <v>47713541.95784006</v>
      </c>
      <c r="I3398" s="6" t="s">
        <v>180</v>
      </c>
      <c r="J3398" s="15">
        <v>17.03053040549212</v>
      </c>
    </row>
    <row r="3399" spans="1:10">
      <c r="A3399" s="6" t="s">
        <v>143</v>
      </c>
      <c r="B3399" s="6" t="s">
        <v>44</v>
      </c>
      <c r="C3399" s="6" t="s">
        <v>272</v>
      </c>
      <c r="D3399" s="6">
        <v>65.2705</v>
      </c>
      <c r="E3399" s="6" t="s">
        <v>44</v>
      </c>
      <c r="F3399" s="6" t="s">
        <v>51</v>
      </c>
      <c r="G3399" s="7">
        <v>25556.23235325186</v>
      </c>
      <c r="H3399" s="6">
        <v>1668068.063812925</v>
      </c>
      <c r="I3399" s="6" t="s">
        <v>179</v>
      </c>
      <c r="J3399" s="15">
        <v>19</v>
      </c>
    </row>
    <row r="3400" spans="1:10">
      <c r="A3400" s="6" t="s">
        <v>143</v>
      </c>
      <c r="B3400" s="6" t="s">
        <v>44</v>
      </c>
      <c r="C3400" s="6" t="s">
        <v>273</v>
      </c>
      <c r="D3400" s="6">
        <v>1091.1455</v>
      </c>
      <c r="E3400" s="6" t="s">
        <v>44</v>
      </c>
      <c r="F3400" s="6" t="s">
        <v>51</v>
      </c>
      <c r="G3400" s="7">
        <v>40826.03765706107</v>
      </c>
      <c r="H3400" s="6">
        <v>44547147.27233272</v>
      </c>
      <c r="I3400" s="6" t="s">
        <v>179</v>
      </c>
      <c r="J3400" s="15">
        <v>26.31666666666667</v>
      </c>
    </row>
    <row r="3401" spans="1:10">
      <c r="A3401" s="6" t="s">
        <v>143</v>
      </c>
      <c r="B3401" s="6" t="s">
        <v>44</v>
      </c>
      <c r="C3401" s="6" t="s">
        <v>274</v>
      </c>
      <c r="D3401" s="6">
        <v>154.8745833333333</v>
      </c>
      <c r="E3401" s="6" t="s">
        <v>44</v>
      </c>
      <c r="F3401" s="6" t="s">
        <v>56</v>
      </c>
      <c r="G3401" s="7">
        <v>71131.25468556939</v>
      </c>
      <c r="H3401" s="6">
        <v>11016423.43140477</v>
      </c>
      <c r="I3401" s="6" t="s">
        <v>179</v>
      </c>
      <c r="J3401" s="15">
        <v>42</v>
      </c>
    </row>
    <row r="3402" spans="1:10">
      <c r="A3402" s="6" t="s">
        <v>143</v>
      </c>
      <c r="B3402" s="6" t="s">
        <v>44</v>
      </c>
      <c r="C3402" s="6" t="s">
        <v>275</v>
      </c>
      <c r="D3402" s="6">
        <v>12.52058333333333</v>
      </c>
      <c r="E3402" s="6" t="s">
        <v>44</v>
      </c>
      <c r="F3402" s="6" t="s">
        <v>51</v>
      </c>
      <c r="G3402" s="7">
        <v>59571.48346905452</v>
      </c>
      <c r="H3402" s="6">
        <v>745869.7230645863</v>
      </c>
      <c r="I3402" s="6" t="s">
        <v>179</v>
      </c>
      <c r="J3402" s="15">
        <v>19</v>
      </c>
    </row>
    <row r="3403" spans="1:10">
      <c r="A3403" s="6" t="s">
        <v>143</v>
      </c>
      <c r="B3403" s="6" t="s">
        <v>44</v>
      </c>
      <c r="C3403" s="6" t="s">
        <v>276</v>
      </c>
      <c r="D3403" s="6">
        <v>287.6583333333333</v>
      </c>
      <c r="E3403" s="6" t="s">
        <v>44</v>
      </c>
      <c r="F3403" s="6" t="s">
        <v>51</v>
      </c>
      <c r="G3403" s="7">
        <v>39632.99974164585</v>
      </c>
      <c r="H3403" s="6">
        <v>11400762.65068227</v>
      </c>
      <c r="I3403" s="6" t="s">
        <v>179</v>
      </c>
      <c r="J3403" s="15">
        <v>46</v>
      </c>
    </row>
    <row r="3404" spans="1:10">
      <c r="A3404" s="6" t="s">
        <v>143</v>
      </c>
      <c r="B3404" s="6" t="s">
        <v>44</v>
      </c>
      <c r="C3404" s="6" t="s">
        <v>277</v>
      </c>
      <c r="D3404" s="6">
        <v>1.565833333333333</v>
      </c>
      <c r="E3404" s="6" t="s">
        <v>44</v>
      </c>
      <c r="F3404" s="6" t="s">
        <v>57</v>
      </c>
      <c r="G3404" s="7">
        <v>40351.08108770724</v>
      </c>
      <c r="H3404" s="6">
        <v>63183.06780316826</v>
      </c>
      <c r="I3404" s="6" t="s">
        <v>180</v>
      </c>
      <c r="J3404" s="15">
        <v>8.187821936491906</v>
      </c>
    </row>
    <row r="3405" spans="1:10">
      <c r="A3405" s="6" t="s">
        <v>143</v>
      </c>
      <c r="B3405" s="6" t="s">
        <v>92</v>
      </c>
      <c r="C3405" s="6" t="s">
        <v>278</v>
      </c>
      <c r="D3405" s="6">
        <v>672.7735833333332</v>
      </c>
      <c r="E3405" s="6" t="s">
        <v>44</v>
      </c>
      <c r="F3405" s="6" t="s">
        <v>55</v>
      </c>
      <c r="G3405" s="7">
        <v>30336.77880022909</v>
      </c>
      <c r="H3405" s="6">
        <v>20409783.38022082</v>
      </c>
      <c r="I3405" s="6" t="s">
        <v>179</v>
      </c>
      <c r="J3405" s="15">
        <v>14</v>
      </c>
    </row>
    <row r="3406" spans="1:10">
      <c r="A3406" s="6" t="s">
        <v>143</v>
      </c>
      <c r="B3406" s="6" t="s">
        <v>44</v>
      </c>
      <c r="C3406" s="6" t="s">
        <v>279</v>
      </c>
      <c r="D3406" s="6">
        <v>133.3750833333333</v>
      </c>
      <c r="E3406" s="6" t="s">
        <v>44</v>
      </c>
      <c r="F3406" s="6" t="s">
        <v>52</v>
      </c>
      <c r="G3406" s="7">
        <v>53440.82611531692</v>
      </c>
      <c r="H3406" s="6">
        <v>7127674.63653257</v>
      </c>
      <c r="I3406" s="6" t="s">
        <v>179</v>
      </c>
      <c r="J3406" s="15">
        <v>43.65</v>
      </c>
    </row>
    <row r="3407" spans="1:10">
      <c r="A3407" s="6" t="s">
        <v>143</v>
      </c>
      <c r="B3407" s="6" t="s">
        <v>44</v>
      </c>
      <c r="C3407" s="6" t="s">
        <v>280</v>
      </c>
      <c r="D3407" s="6">
        <v>1201.196</v>
      </c>
      <c r="E3407" s="6" t="s">
        <v>44</v>
      </c>
      <c r="F3407" s="6" t="s">
        <v>55</v>
      </c>
      <c r="G3407" s="7">
        <v>70181.01398935323</v>
      </c>
      <c r="H3407" s="6">
        <v>84301153.27995515</v>
      </c>
      <c r="I3407" s="6" t="s">
        <v>179</v>
      </c>
      <c r="J3407" s="15">
        <v>56.09999999999999</v>
      </c>
    </row>
    <row r="3408" spans="1:10">
      <c r="A3408" s="6" t="s">
        <v>143</v>
      </c>
      <c r="B3408" s="6" t="s">
        <v>99</v>
      </c>
      <c r="C3408" s="6" t="s">
        <v>281</v>
      </c>
      <c r="D3408" s="6">
        <v>869.2602499999999</v>
      </c>
      <c r="E3408" s="6" t="s">
        <v>44</v>
      </c>
      <c r="F3408" s="6" t="s">
        <v>57</v>
      </c>
      <c r="G3408" s="7">
        <v>35247.74734936949</v>
      </c>
      <c r="H3408" s="6">
        <v>30639465.67284975</v>
      </c>
      <c r="I3408" s="6" t="s">
        <v>180</v>
      </c>
      <c r="J3408" s="15">
        <v>5.008812304479592</v>
      </c>
    </row>
    <row r="3409" spans="1:10">
      <c r="A3409" s="6" t="s">
        <v>143</v>
      </c>
      <c r="B3409" s="6" t="s">
        <v>44</v>
      </c>
      <c r="C3409" s="6" t="s">
        <v>282</v>
      </c>
      <c r="D3409" s="6">
        <v>3.042083333333333</v>
      </c>
      <c r="E3409" s="6" t="s">
        <v>44</v>
      </c>
      <c r="F3409" s="6" t="s">
        <v>56</v>
      </c>
      <c r="G3409" s="7">
        <v>62372.04989791066</v>
      </c>
      <c r="H3409" s="6">
        <v>189740.973460269</v>
      </c>
      <c r="I3409" s="6" t="s">
        <v>179</v>
      </c>
      <c r="J3409" s="15">
        <v>43.03333333333333</v>
      </c>
    </row>
    <row r="3410" spans="1:10">
      <c r="A3410" s="6" t="s">
        <v>143</v>
      </c>
      <c r="B3410" s="6" t="s">
        <v>44</v>
      </c>
      <c r="C3410" s="6" t="s">
        <v>283</v>
      </c>
      <c r="D3410" s="6">
        <v>872.7574166666667</v>
      </c>
      <c r="E3410" s="6" t="s">
        <v>44</v>
      </c>
      <c r="F3410" s="6" t="s">
        <v>51</v>
      </c>
      <c r="G3410" s="7">
        <v>51675.72551452865</v>
      </c>
      <c r="H3410" s="6">
        <v>45100372.70443578</v>
      </c>
      <c r="I3410" s="6" t="s">
        <v>179</v>
      </c>
      <c r="J3410" s="15">
        <v>42.25</v>
      </c>
    </row>
    <row r="3411" spans="1:10">
      <c r="A3411" s="6" t="s">
        <v>143</v>
      </c>
      <c r="B3411" s="6" t="s">
        <v>44</v>
      </c>
      <c r="C3411" s="6" t="s">
        <v>284</v>
      </c>
      <c r="D3411" s="6">
        <v>461.4698333333334</v>
      </c>
      <c r="E3411" s="6" t="s">
        <v>44</v>
      </c>
      <c r="F3411" s="6" t="s">
        <v>55</v>
      </c>
      <c r="G3411" s="7">
        <v>52691.68338907469</v>
      </c>
      <c r="H3411" s="6">
        <v>24315622.35160907</v>
      </c>
      <c r="I3411" s="6" t="s">
        <v>179</v>
      </c>
      <c r="J3411" s="15">
        <v>61</v>
      </c>
    </row>
    <row r="3412" spans="1:10">
      <c r="A3412" s="6" t="s">
        <v>143</v>
      </c>
      <c r="B3412" s="6" t="s">
        <v>44</v>
      </c>
      <c r="C3412" s="6" t="s">
        <v>285</v>
      </c>
      <c r="D3412" s="6">
        <v>6.180666666666667</v>
      </c>
      <c r="E3412" s="6" t="s">
        <v>44</v>
      </c>
      <c r="F3412" s="6" t="s">
        <v>52</v>
      </c>
      <c r="G3412" s="7">
        <v>109530.9227207585</v>
      </c>
      <c r="H3412" s="6">
        <v>676974.1230294346</v>
      </c>
      <c r="I3412" s="6" t="s">
        <v>179</v>
      </c>
      <c r="J3412" s="15">
        <v>68.40000000000001</v>
      </c>
    </row>
    <row r="3413" spans="1:10">
      <c r="A3413" s="6" t="s">
        <v>143</v>
      </c>
      <c r="B3413" s="6" t="s">
        <v>44</v>
      </c>
      <c r="C3413" s="6" t="s">
        <v>286</v>
      </c>
      <c r="D3413" s="6">
        <v>92.97233333333334</v>
      </c>
      <c r="E3413" s="6" t="s">
        <v>44</v>
      </c>
      <c r="F3413" s="6" t="s">
        <v>59</v>
      </c>
      <c r="G3413" s="7">
        <v>70858.2206620012</v>
      </c>
      <c r="H3413" s="6">
        <v>6587854.110794463</v>
      </c>
      <c r="I3413" s="6" t="s">
        <v>179</v>
      </c>
      <c r="J3413" s="15">
        <v>56.70833333333333</v>
      </c>
    </row>
    <row r="3414" spans="1:10">
      <c r="A3414" s="6" t="s">
        <v>143</v>
      </c>
      <c r="B3414" s="6" t="s">
        <v>44</v>
      </c>
      <c r="C3414" s="6" t="s">
        <v>287</v>
      </c>
      <c r="D3414" s="6">
        <v>3.382833333333334</v>
      </c>
      <c r="E3414" s="6" t="s">
        <v>44</v>
      </c>
      <c r="F3414" s="6" t="s">
        <v>53</v>
      </c>
      <c r="G3414" s="7">
        <v>39870.55547829608</v>
      </c>
      <c r="H3414" s="6">
        <v>134875.4440904959</v>
      </c>
      <c r="I3414" s="6" t="s">
        <v>180</v>
      </c>
      <c r="J3414" s="15">
        <v>70</v>
      </c>
    </row>
    <row r="3415" spans="1:10">
      <c r="A3415" s="6" t="s">
        <v>143</v>
      </c>
      <c r="B3415" s="6" t="s">
        <v>44</v>
      </c>
      <c r="C3415" s="6" t="s">
        <v>376</v>
      </c>
      <c r="D3415" s="6">
        <v>1.542333333333333</v>
      </c>
      <c r="E3415" s="6" t="s">
        <v>44</v>
      </c>
      <c r="F3415" s="6" t="s">
        <v>54</v>
      </c>
      <c r="G3415" s="7">
        <v>79057.97495815926</v>
      </c>
      <c r="H3415" s="6">
        <v>121933.750043801</v>
      </c>
      <c r="I3415" s="6" t="s">
        <v>180</v>
      </c>
      <c r="J3415" s="15">
        <v>22.52696120040784</v>
      </c>
    </row>
    <row r="3416" spans="1:10">
      <c r="A3416" s="6" t="s">
        <v>143</v>
      </c>
      <c r="B3416" s="6" t="s">
        <v>44</v>
      </c>
      <c r="C3416" s="6" t="s">
        <v>288</v>
      </c>
      <c r="D3416" s="6">
        <v>1.123166666666667</v>
      </c>
      <c r="E3416" s="6" t="s">
        <v>44</v>
      </c>
      <c r="F3416" s="6" t="s">
        <v>58</v>
      </c>
      <c r="G3416" s="7">
        <v>43931.19520815281</v>
      </c>
      <c r="H3416" s="6">
        <v>49342.05408462363</v>
      </c>
      <c r="I3416" s="6" t="s">
        <v>180</v>
      </c>
      <c r="J3416" s="15">
        <v>17</v>
      </c>
    </row>
    <row r="3417" spans="1:10">
      <c r="A3417" s="6" t="s">
        <v>143</v>
      </c>
      <c r="B3417" s="6" t="s">
        <v>44</v>
      </c>
      <c r="C3417" s="6" t="s">
        <v>370</v>
      </c>
      <c r="D3417" s="6">
        <v>3.94725</v>
      </c>
      <c r="E3417" s="6" t="s">
        <v>44</v>
      </c>
      <c r="F3417" s="6" t="s">
        <v>55</v>
      </c>
      <c r="G3417" s="7">
        <v>52208.58507995072</v>
      </c>
      <c r="H3417" s="6">
        <v>206080.3374568355</v>
      </c>
      <c r="I3417" s="6" t="s">
        <v>180</v>
      </c>
      <c r="J3417" s="15">
        <v>12.58048649997455</v>
      </c>
    </row>
    <row r="3418" spans="1:10">
      <c r="A3418" s="6" t="s">
        <v>143</v>
      </c>
      <c r="B3418" s="6" t="s">
        <v>44</v>
      </c>
      <c r="C3418" s="6" t="s">
        <v>359</v>
      </c>
      <c r="D3418" s="6">
        <v>85.24508333333333</v>
      </c>
      <c r="E3418" s="6" t="s">
        <v>44</v>
      </c>
      <c r="F3418" s="6" t="s">
        <v>60</v>
      </c>
      <c r="G3418" s="7">
        <v>50100.63171043061</v>
      </c>
      <c r="H3418" s="6">
        <v>4270832.5252083</v>
      </c>
      <c r="I3418" s="6" t="s">
        <v>180</v>
      </c>
      <c r="J3418" s="15">
        <v>11.79958589274542</v>
      </c>
    </row>
    <row r="3419" spans="1:10">
      <c r="A3419" s="6" t="s">
        <v>143</v>
      </c>
      <c r="B3419" s="6" t="s">
        <v>44</v>
      </c>
      <c r="C3419" s="6" t="s">
        <v>289</v>
      </c>
      <c r="D3419" s="6">
        <v>862.0445</v>
      </c>
      <c r="E3419" s="6" t="s">
        <v>44</v>
      </c>
      <c r="F3419" s="6" t="s">
        <v>52</v>
      </c>
      <c r="G3419" s="7">
        <v>53667.82982646869</v>
      </c>
      <c r="H3419" s="6">
        <v>46264057.52884328</v>
      </c>
      <c r="I3419" s="6" t="s">
        <v>179</v>
      </c>
      <c r="J3419" s="15">
        <v>70</v>
      </c>
    </row>
    <row r="3420" spans="1:10">
      <c r="A3420" s="6" t="s">
        <v>143</v>
      </c>
      <c r="B3420" s="6" t="s">
        <v>44</v>
      </c>
      <c r="C3420" s="6" t="s">
        <v>290</v>
      </c>
      <c r="D3420" s="6">
        <v>0.255</v>
      </c>
      <c r="E3420" s="6" t="s">
        <v>44</v>
      </c>
      <c r="F3420" s="6" t="s">
        <v>53</v>
      </c>
      <c r="G3420" s="7">
        <v>42307.93424836712</v>
      </c>
      <c r="H3420" s="6">
        <v>10788.52323333362</v>
      </c>
      <c r="I3420" s="6" t="s">
        <v>180</v>
      </c>
      <c r="J3420" s="15">
        <v>8.912746806042239</v>
      </c>
    </row>
    <row r="3421" spans="1:10">
      <c r="A3421" s="6" t="s">
        <v>143</v>
      </c>
      <c r="B3421" s="6" t="s">
        <v>44</v>
      </c>
      <c r="C3421" s="6" t="s">
        <v>291</v>
      </c>
      <c r="D3421" s="6">
        <v>0.04799999999999999</v>
      </c>
      <c r="E3421" s="6" t="s">
        <v>44</v>
      </c>
      <c r="F3421" s="6" t="s">
        <v>51</v>
      </c>
      <c r="G3421" s="7">
        <v>35329.77696152869</v>
      </c>
      <c r="H3421" s="6">
        <v>1695.829294153377</v>
      </c>
      <c r="I3421" s="6" t="s">
        <v>180</v>
      </c>
      <c r="J3421" s="15">
        <v>6.327657713737932</v>
      </c>
    </row>
    <row r="3422" spans="1:10">
      <c r="A3422" s="6" t="s">
        <v>143</v>
      </c>
      <c r="B3422" s="6" t="s">
        <v>44</v>
      </c>
      <c r="C3422" s="6" t="s">
        <v>292</v>
      </c>
      <c r="D3422" s="6">
        <v>246.0250833333333</v>
      </c>
      <c r="E3422" s="6" t="s">
        <v>44</v>
      </c>
      <c r="F3422" s="6" t="s">
        <v>54</v>
      </c>
      <c r="G3422" s="7">
        <v>110583.058701143</v>
      </c>
      <c r="H3422" s="6">
        <v>27206206.2322036</v>
      </c>
      <c r="I3422" s="6" t="s">
        <v>179</v>
      </c>
      <c r="J3422" s="15">
        <v>79</v>
      </c>
    </row>
    <row r="3423" spans="1:10">
      <c r="A3423" s="6" t="s">
        <v>143</v>
      </c>
      <c r="B3423" s="6" t="s">
        <v>44</v>
      </c>
      <c r="C3423" s="6" t="s">
        <v>293</v>
      </c>
      <c r="D3423" s="6">
        <v>149.7498333333333</v>
      </c>
      <c r="E3423" s="6" t="s">
        <v>44</v>
      </c>
      <c r="F3423" s="6" t="s">
        <v>53</v>
      </c>
      <c r="G3423" s="7">
        <v>36013.86577983866</v>
      </c>
      <c r="H3423" s="6">
        <v>5393070.398219875</v>
      </c>
      <c r="I3423" s="6" t="s">
        <v>179</v>
      </c>
      <c r="J3423" s="15">
        <v>16</v>
      </c>
    </row>
    <row r="3424" spans="1:10">
      <c r="A3424" s="6" t="s">
        <v>143</v>
      </c>
      <c r="B3424" s="6" t="s">
        <v>44</v>
      </c>
      <c r="C3424" s="6" t="s">
        <v>371</v>
      </c>
      <c r="D3424" s="6">
        <v>4.2275</v>
      </c>
      <c r="E3424" s="6" t="s">
        <v>44</v>
      </c>
      <c r="F3424" s="6" t="s">
        <v>55</v>
      </c>
      <c r="G3424" s="7">
        <v>45569.36787795558</v>
      </c>
      <c r="H3424" s="6">
        <v>192644.5027040572</v>
      </c>
      <c r="I3424" s="6" t="s">
        <v>180</v>
      </c>
      <c r="J3424" s="15">
        <v>10.12095925448125</v>
      </c>
    </row>
    <row r="3425" spans="1:10">
      <c r="A3425" s="6" t="s">
        <v>143</v>
      </c>
      <c r="B3425" s="6" t="s">
        <v>44</v>
      </c>
      <c r="C3425" s="6" t="s">
        <v>294</v>
      </c>
      <c r="D3425" s="6">
        <v>1.351083333333333</v>
      </c>
      <c r="E3425" s="6" t="s">
        <v>44</v>
      </c>
      <c r="F3425" s="6" t="s">
        <v>54</v>
      </c>
      <c r="G3425" s="7">
        <v>75932.54966215488</v>
      </c>
      <c r="H3425" s="6">
        <v>102591.2023060431</v>
      </c>
      <c r="I3425" s="6" t="s">
        <v>180</v>
      </c>
      <c r="J3425" s="15">
        <v>98.8</v>
      </c>
    </row>
    <row r="3426" spans="1:10">
      <c r="A3426" s="6" t="s">
        <v>143</v>
      </c>
      <c r="B3426" s="6" t="s">
        <v>90</v>
      </c>
      <c r="C3426" s="6" t="s">
        <v>295</v>
      </c>
      <c r="D3426" s="6">
        <v>145.4831666666666</v>
      </c>
      <c r="E3426" s="6" t="s">
        <v>44</v>
      </c>
      <c r="F3426" s="6" t="s">
        <v>53</v>
      </c>
      <c r="G3426" s="7">
        <v>29529.16394109224</v>
      </c>
      <c r="H3426" s="6">
        <v>4295996.279169245</v>
      </c>
      <c r="I3426" s="6" t="s">
        <v>179</v>
      </c>
      <c r="J3426" s="15">
        <v>15</v>
      </c>
    </row>
    <row r="3427" spans="1:10">
      <c r="A3427" s="6" t="s">
        <v>143</v>
      </c>
      <c r="B3427" s="6" t="s">
        <v>92</v>
      </c>
      <c r="C3427" s="6" t="s">
        <v>296</v>
      </c>
      <c r="D3427" s="6">
        <v>503.9675833333333</v>
      </c>
      <c r="E3427" s="6" t="s">
        <v>44</v>
      </c>
      <c r="F3427" s="6" t="s">
        <v>61</v>
      </c>
      <c r="G3427" s="7">
        <v>53088.58925206317</v>
      </c>
      <c r="H3427" s="6">
        <v>26754928.02793825</v>
      </c>
      <c r="I3427" s="6" t="s">
        <v>179</v>
      </c>
      <c r="J3427" s="15">
        <v>21</v>
      </c>
    </row>
    <row r="3428" spans="1:10">
      <c r="A3428" s="6" t="s">
        <v>143</v>
      </c>
      <c r="B3428" s="6" t="s">
        <v>44</v>
      </c>
      <c r="C3428" s="6" t="s">
        <v>297</v>
      </c>
      <c r="D3428" s="6">
        <v>11.19316666666666</v>
      </c>
      <c r="E3428" s="6" t="s">
        <v>44</v>
      </c>
      <c r="F3428" s="6" t="s">
        <v>52</v>
      </c>
      <c r="G3428" s="7">
        <v>89849.66915387864</v>
      </c>
      <c r="H3428" s="6">
        <v>1005702.321784222</v>
      </c>
      <c r="I3428" s="6" t="s">
        <v>179</v>
      </c>
      <c r="J3428" s="15">
        <v>67</v>
      </c>
    </row>
    <row r="3429" spans="1:10">
      <c r="A3429" s="6" t="s">
        <v>143</v>
      </c>
      <c r="B3429" s="6" t="s">
        <v>44</v>
      </c>
      <c r="C3429" s="6" t="s">
        <v>298</v>
      </c>
      <c r="D3429" s="6">
        <v>328.2775</v>
      </c>
      <c r="E3429" s="6" t="s">
        <v>44</v>
      </c>
      <c r="F3429" s="6" t="s">
        <v>56</v>
      </c>
      <c r="G3429" s="7">
        <v>36500.00929252619</v>
      </c>
      <c r="H3429" s="6">
        <v>11982131.80052726</v>
      </c>
      <c r="I3429" s="6" t="s">
        <v>179</v>
      </c>
      <c r="J3429" s="15">
        <v>21</v>
      </c>
    </row>
    <row r="3430" spans="1:10">
      <c r="A3430" s="6" t="s">
        <v>143</v>
      </c>
      <c r="B3430" s="6" t="s">
        <v>44</v>
      </c>
      <c r="C3430" s="6" t="s">
        <v>299</v>
      </c>
      <c r="D3430" s="6">
        <v>3.7075</v>
      </c>
      <c r="E3430" s="6" t="s">
        <v>44</v>
      </c>
      <c r="F3430" s="6" t="s">
        <v>53</v>
      </c>
      <c r="G3430" s="7">
        <v>45885.15175897437</v>
      </c>
      <c r="H3430" s="6">
        <v>170119.2001463975</v>
      </c>
      <c r="I3430" s="6" t="s">
        <v>180</v>
      </c>
      <c r="J3430" s="15">
        <v>6.9</v>
      </c>
    </row>
    <row r="3431" spans="1:10">
      <c r="A3431" s="6" t="s">
        <v>143</v>
      </c>
      <c r="B3431" s="6" t="s">
        <v>44</v>
      </c>
      <c r="C3431" s="6" t="s">
        <v>300</v>
      </c>
      <c r="D3431" s="6">
        <v>540.0613333333333</v>
      </c>
      <c r="E3431" s="6" t="s">
        <v>44</v>
      </c>
      <c r="F3431" s="6" t="s">
        <v>52</v>
      </c>
      <c r="G3431" s="7">
        <v>79641.24563235717</v>
      </c>
      <c r="H3431" s="6">
        <v>43011157.30453832</v>
      </c>
      <c r="I3431" s="6" t="s">
        <v>179</v>
      </c>
      <c r="J3431" s="15">
        <v>66.55</v>
      </c>
    </row>
    <row r="3432" spans="1:10">
      <c r="A3432" s="6" t="s">
        <v>143</v>
      </c>
      <c r="B3432" s="6" t="s">
        <v>44</v>
      </c>
      <c r="C3432" s="6" t="s">
        <v>301</v>
      </c>
      <c r="D3432" s="6">
        <v>140.2705</v>
      </c>
      <c r="E3432" s="6" t="s">
        <v>44</v>
      </c>
      <c r="F3432" s="6" t="s">
        <v>59</v>
      </c>
      <c r="G3432" s="7">
        <v>69390.77724405598</v>
      </c>
      <c r="H3432" s="6">
        <v>9733479.019412354</v>
      </c>
      <c r="I3432" s="6" t="s">
        <v>179</v>
      </c>
      <c r="J3432" s="15">
        <v>26.65</v>
      </c>
    </row>
    <row r="3433" spans="1:10">
      <c r="A3433" s="6" t="s">
        <v>143</v>
      </c>
      <c r="B3433" s="6" t="s">
        <v>44</v>
      </c>
      <c r="C3433" s="6" t="s">
        <v>302</v>
      </c>
      <c r="D3433" s="6">
        <v>364.9715</v>
      </c>
      <c r="E3433" s="6" t="s">
        <v>44</v>
      </c>
      <c r="F3433" s="6" t="s">
        <v>52</v>
      </c>
      <c r="G3433" s="7">
        <v>92343.76797362817</v>
      </c>
      <c r="H3433" s="6">
        <v>33702843.51298703</v>
      </c>
      <c r="I3433" s="6" t="s">
        <v>179</v>
      </c>
      <c r="J3433" s="15">
        <v>67.58333333333333</v>
      </c>
    </row>
    <row r="3434" spans="1:10">
      <c r="A3434" s="6" t="s">
        <v>143</v>
      </c>
      <c r="B3434" s="6" t="s">
        <v>44</v>
      </c>
      <c r="C3434" s="6" t="s">
        <v>303</v>
      </c>
      <c r="D3434" s="6">
        <v>1.836333333333333</v>
      </c>
      <c r="E3434" s="6" t="s">
        <v>44</v>
      </c>
      <c r="F3434" s="6" t="s">
        <v>53</v>
      </c>
      <c r="G3434" s="7">
        <v>44904.12248503024</v>
      </c>
      <c r="H3434" s="6">
        <v>82458.93692334385</v>
      </c>
      <c r="I3434" s="6" t="s">
        <v>180</v>
      </c>
      <c r="J3434" s="15">
        <v>9.8745161695424</v>
      </c>
    </row>
    <row r="3435" spans="1:10">
      <c r="A3435" s="6" t="s">
        <v>143</v>
      </c>
      <c r="B3435" s="6" t="s">
        <v>44</v>
      </c>
      <c r="C3435" s="6" t="s">
        <v>304</v>
      </c>
      <c r="D3435" s="6">
        <v>6.078166666666665</v>
      </c>
      <c r="E3435" s="6" t="s">
        <v>44</v>
      </c>
      <c r="F3435" s="6" t="s">
        <v>52</v>
      </c>
      <c r="G3435" s="7">
        <v>50330.3901944117</v>
      </c>
      <c r="H3435" s="6">
        <v>305916.5</v>
      </c>
      <c r="I3435" s="6" t="s">
        <v>179</v>
      </c>
      <c r="J3435" s="15">
        <v>49.75</v>
      </c>
    </row>
    <row r="3436" spans="1:10">
      <c r="A3436" s="6" t="s">
        <v>143</v>
      </c>
      <c r="B3436" s="6" t="s">
        <v>44</v>
      </c>
      <c r="C3436" s="6" t="s">
        <v>361</v>
      </c>
      <c r="D3436" s="6">
        <v>5.93775</v>
      </c>
      <c r="E3436" s="6" t="s">
        <v>44</v>
      </c>
      <c r="F3436" s="6" t="s">
        <v>52</v>
      </c>
      <c r="G3436" s="7">
        <v>64169.74384104699</v>
      </c>
      <c r="H3436" s="6">
        <v>381023.8964921768</v>
      </c>
      <c r="I3436" s="6" t="s">
        <v>180</v>
      </c>
      <c r="J3436" s="15">
        <v>17.01155042897912</v>
      </c>
    </row>
    <row r="3437" spans="1:10">
      <c r="A3437" s="6" t="s">
        <v>143</v>
      </c>
      <c r="B3437" s="6" t="s">
        <v>44</v>
      </c>
      <c r="C3437" s="6" t="s">
        <v>305</v>
      </c>
      <c r="D3437" s="6">
        <v>788.73925</v>
      </c>
      <c r="E3437" s="6" t="s">
        <v>44</v>
      </c>
      <c r="F3437" s="6" t="s">
        <v>54</v>
      </c>
      <c r="G3437" s="7">
        <v>96370.04394739907</v>
      </c>
      <c r="H3437" s="6">
        <v>76010836.18553858</v>
      </c>
      <c r="I3437" s="6" t="s">
        <v>179</v>
      </c>
      <c r="J3437" s="15">
        <v>61.86666666666667</v>
      </c>
    </row>
    <row r="3438" spans="1:10">
      <c r="A3438" s="6" t="s">
        <v>143</v>
      </c>
      <c r="B3438" s="6" t="s">
        <v>44</v>
      </c>
      <c r="C3438" s="6" t="s">
        <v>306</v>
      </c>
      <c r="D3438" s="6">
        <v>25.56408333333334</v>
      </c>
      <c r="E3438" s="6" t="s">
        <v>44</v>
      </c>
      <c r="F3438" s="6" t="s">
        <v>57</v>
      </c>
      <c r="G3438" s="7">
        <v>40370.17715309708</v>
      </c>
      <c r="H3438" s="6">
        <v>1032026.572923203</v>
      </c>
      <c r="I3438" s="6" t="s">
        <v>180</v>
      </c>
      <c r="J3438" s="15">
        <v>8.194896157997103</v>
      </c>
    </row>
    <row r="3439" spans="1:10">
      <c r="A3439" s="6" t="s">
        <v>143</v>
      </c>
      <c r="B3439" s="6" t="s">
        <v>44</v>
      </c>
      <c r="C3439" s="6" t="s">
        <v>307</v>
      </c>
      <c r="D3439" s="6">
        <v>1.593583333333333</v>
      </c>
      <c r="E3439" s="6" t="s">
        <v>44</v>
      </c>
      <c r="F3439" s="6" t="s">
        <v>53</v>
      </c>
      <c r="G3439" s="7">
        <v>47182.63629472011</v>
      </c>
      <c r="H3439" s="6">
        <v>75189.46282199438</v>
      </c>
      <c r="I3439" s="6" t="s">
        <v>180</v>
      </c>
      <c r="J3439" s="15">
        <v>10.71860164282394</v>
      </c>
    </row>
    <row r="3440" spans="1:10">
      <c r="A3440" s="6" t="s">
        <v>143</v>
      </c>
      <c r="B3440" s="6" t="s">
        <v>44</v>
      </c>
      <c r="C3440" s="6" t="s">
        <v>308</v>
      </c>
      <c r="D3440" s="6">
        <v>2.121916666666666</v>
      </c>
      <c r="E3440" s="6" t="s">
        <v>44</v>
      </c>
      <c r="F3440" s="6" t="s">
        <v>54</v>
      </c>
      <c r="G3440" s="7">
        <v>67991.01390409522</v>
      </c>
      <c r="H3440" s="6">
        <v>144271.2655866647</v>
      </c>
      <c r="I3440" s="6" t="s">
        <v>180</v>
      </c>
      <c r="J3440" s="15">
        <v>117.3083333333333</v>
      </c>
    </row>
    <row r="3441" spans="1:10">
      <c r="A3441" s="6" t="s">
        <v>143</v>
      </c>
      <c r="B3441" s="6" t="s">
        <v>44</v>
      </c>
      <c r="C3441" s="6" t="s">
        <v>309</v>
      </c>
      <c r="D3441" s="6">
        <v>1356.105333333333</v>
      </c>
      <c r="E3441" s="6" t="s">
        <v>44</v>
      </c>
      <c r="F3441" s="6" t="s">
        <v>52</v>
      </c>
      <c r="G3441" s="7">
        <v>91168.45115770098</v>
      </c>
      <c r="H3441" s="6">
        <v>123634022.8466978</v>
      </c>
      <c r="I3441" s="6" t="s">
        <v>179</v>
      </c>
      <c r="J3441" s="15">
        <v>69.59999999999999</v>
      </c>
    </row>
    <row r="3442" spans="1:10">
      <c r="A3442" s="6" t="s">
        <v>143</v>
      </c>
      <c r="B3442" s="6" t="s">
        <v>90</v>
      </c>
      <c r="C3442" s="6" t="s">
        <v>310</v>
      </c>
      <c r="D3442" s="6">
        <v>253.6210833333333</v>
      </c>
      <c r="E3442" s="6" t="s">
        <v>44</v>
      </c>
      <c r="F3442" s="6" t="s">
        <v>52</v>
      </c>
      <c r="G3442" s="7">
        <v>72589.43692380768</v>
      </c>
      <c r="H3442" s="6">
        <v>18410211.63117277</v>
      </c>
      <c r="I3442" s="6" t="s">
        <v>179</v>
      </c>
      <c r="J3442" s="15">
        <v>75.54166666666666</v>
      </c>
    </row>
    <row r="3443" spans="1:10">
      <c r="A3443" s="6" t="s">
        <v>143</v>
      </c>
      <c r="B3443" s="6" t="s">
        <v>44</v>
      </c>
      <c r="C3443" s="6" t="s">
        <v>311</v>
      </c>
      <c r="D3443" s="6">
        <v>59.3705</v>
      </c>
      <c r="E3443" s="6" t="s">
        <v>44</v>
      </c>
      <c r="F3443" s="6" t="s">
        <v>51</v>
      </c>
      <c r="G3443" s="7">
        <v>22378.64345356504</v>
      </c>
      <c r="H3443" s="6">
        <v>1328631.251159883</v>
      </c>
      <c r="I3443" s="6" t="s">
        <v>179</v>
      </c>
      <c r="J3443" s="15">
        <v>31</v>
      </c>
    </row>
    <row r="3444" spans="1:10">
      <c r="A3444" s="6" t="s">
        <v>143</v>
      </c>
      <c r="B3444" s="6" t="s">
        <v>44</v>
      </c>
      <c r="C3444" s="6" t="s">
        <v>312</v>
      </c>
      <c r="D3444" s="6">
        <v>375.9980833333333</v>
      </c>
      <c r="E3444" s="6" t="s">
        <v>44</v>
      </c>
      <c r="F3444" s="6" t="s">
        <v>54</v>
      </c>
      <c r="G3444" s="7">
        <v>99103.91619886176</v>
      </c>
      <c r="H3444" s="6">
        <v>37262882.5415993</v>
      </c>
      <c r="I3444" s="6" t="s">
        <v>179</v>
      </c>
      <c r="J3444" s="15">
        <v>79.65000000000001</v>
      </c>
    </row>
    <row r="3445" spans="1:10">
      <c r="A3445" s="6" t="s">
        <v>143</v>
      </c>
      <c r="B3445" s="6" t="s">
        <v>44</v>
      </c>
      <c r="C3445" s="6" t="s">
        <v>313</v>
      </c>
      <c r="D3445" s="6">
        <v>84.63625</v>
      </c>
      <c r="E3445" s="6" t="s">
        <v>44</v>
      </c>
      <c r="F3445" s="6" t="s">
        <v>51</v>
      </c>
      <c r="G3445" s="7">
        <v>28821.66810714348</v>
      </c>
      <c r="H3445" s="6">
        <v>2439357.907333223</v>
      </c>
      <c r="I3445" s="6" t="s">
        <v>179</v>
      </c>
      <c r="J3445" s="15">
        <v>17</v>
      </c>
    </row>
    <row r="3446" spans="1:10">
      <c r="A3446" s="6" t="s">
        <v>143</v>
      </c>
      <c r="B3446" s="6" t="s">
        <v>44</v>
      </c>
      <c r="C3446" s="6" t="s">
        <v>314</v>
      </c>
      <c r="D3446" s="6">
        <v>40.17666666666667</v>
      </c>
      <c r="E3446" s="6" t="s">
        <v>44</v>
      </c>
      <c r="F3446" s="6" t="s">
        <v>51</v>
      </c>
      <c r="G3446" s="7">
        <v>57290.59885869359</v>
      </c>
      <c r="H3446" s="6">
        <v>2301745.293479446</v>
      </c>
      <c r="I3446" s="6" t="s">
        <v>179</v>
      </c>
      <c r="J3446" s="15">
        <v>17.49166666666667</v>
      </c>
    </row>
    <row r="3447" spans="1:10">
      <c r="A3447" s="6" t="s">
        <v>143</v>
      </c>
      <c r="B3447" s="6" t="s">
        <v>44</v>
      </c>
      <c r="C3447" s="6" t="s">
        <v>315</v>
      </c>
      <c r="D3447" s="6">
        <v>55.95516666666666</v>
      </c>
      <c r="E3447" s="6" t="s">
        <v>44</v>
      </c>
      <c r="F3447" s="6" t="s">
        <v>51</v>
      </c>
      <c r="G3447" s="7">
        <v>47743.91064626968</v>
      </c>
      <c r="H3447" s="6">
        <v>2671518.477530461</v>
      </c>
      <c r="I3447" s="6" t="s">
        <v>179</v>
      </c>
      <c r="J3447" s="15">
        <v>21</v>
      </c>
    </row>
    <row r="3448" spans="1:10">
      <c r="A3448" s="6" t="s">
        <v>143</v>
      </c>
      <c r="B3448" s="6" t="s">
        <v>44</v>
      </c>
      <c r="C3448" s="6" t="s">
        <v>316</v>
      </c>
      <c r="D3448" s="6">
        <v>12.76075</v>
      </c>
      <c r="E3448" s="6" t="s">
        <v>44</v>
      </c>
      <c r="F3448" s="6" t="s">
        <v>54</v>
      </c>
      <c r="G3448" s="7">
        <v>78233.00759152489</v>
      </c>
      <c r="H3448" s="6">
        <v>998311.8516235512</v>
      </c>
      <c r="I3448" s="6" t="s">
        <v>180</v>
      </c>
      <c r="J3448" s="15">
        <v>22.22134840703962</v>
      </c>
    </row>
    <row r="3449" spans="1:10">
      <c r="A3449" s="6" t="s">
        <v>143</v>
      </c>
      <c r="B3449" s="6" t="s">
        <v>44</v>
      </c>
      <c r="C3449" s="6" t="s">
        <v>317</v>
      </c>
      <c r="D3449" s="6">
        <v>2.72825</v>
      </c>
      <c r="E3449" s="6" t="s">
        <v>44</v>
      </c>
      <c r="F3449" s="6" t="s">
        <v>51</v>
      </c>
      <c r="G3449" s="7">
        <v>21140.95965465714</v>
      </c>
      <c r="H3449" s="6">
        <v>57677.82317781835</v>
      </c>
      <c r="I3449" s="6" t="s">
        <v>179</v>
      </c>
      <c r="J3449" s="15">
        <v>17</v>
      </c>
    </row>
    <row r="3450" spans="1:10">
      <c r="A3450" s="6" t="s">
        <v>143</v>
      </c>
      <c r="B3450" s="6" t="s">
        <v>90</v>
      </c>
      <c r="C3450" s="6" t="s">
        <v>318</v>
      </c>
      <c r="D3450" s="6">
        <v>5.7</v>
      </c>
      <c r="E3450" s="6" t="s">
        <v>44</v>
      </c>
      <c r="F3450" s="6" t="s">
        <v>52</v>
      </c>
      <c r="G3450" s="7">
        <v>59918.03179942394</v>
      </c>
      <c r="H3450" s="6">
        <v>341532.7812567165</v>
      </c>
      <c r="I3450" s="6" t="s">
        <v>180</v>
      </c>
      <c r="J3450" s="15">
        <v>12.43871031134531</v>
      </c>
    </row>
    <row r="3451" spans="1:10">
      <c r="A3451" s="6" t="s">
        <v>143</v>
      </c>
      <c r="B3451" s="6" t="s">
        <v>90</v>
      </c>
      <c r="C3451" s="6" t="s">
        <v>319</v>
      </c>
      <c r="D3451" s="6">
        <v>21.30325</v>
      </c>
      <c r="E3451" s="6" t="s">
        <v>44</v>
      </c>
      <c r="F3451" s="6" t="s">
        <v>52</v>
      </c>
      <c r="G3451" s="7">
        <v>59918.03179942394</v>
      </c>
      <c r="H3451" s="6">
        <v>1276448.810931078</v>
      </c>
      <c r="I3451" s="6" t="s">
        <v>180</v>
      </c>
      <c r="J3451" s="15">
        <v>12.43871031134531</v>
      </c>
    </row>
    <row r="3452" spans="1:10">
      <c r="A3452" s="6" t="s">
        <v>143</v>
      </c>
      <c r="B3452" s="6" t="s">
        <v>44</v>
      </c>
      <c r="C3452" s="6" t="s">
        <v>320</v>
      </c>
      <c r="D3452" s="6">
        <v>329.3483333333333</v>
      </c>
      <c r="E3452" s="6" t="s">
        <v>44</v>
      </c>
      <c r="F3452" s="6" t="s">
        <v>51</v>
      </c>
      <c r="G3452" s="7">
        <v>19671.04087638638</v>
      </c>
      <c r="H3452" s="6">
        <v>6478624.527569727</v>
      </c>
      <c r="I3452" s="6" t="s">
        <v>179</v>
      </c>
      <c r="J3452" s="15">
        <v>13.5</v>
      </c>
    </row>
    <row r="3453" spans="1:10">
      <c r="A3453" s="6" t="s">
        <v>143</v>
      </c>
      <c r="B3453" s="6" t="s">
        <v>90</v>
      </c>
      <c r="C3453" s="6" t="s">
        <v>321</v>
      </c>
      <c r="D3453" s="6">
        <v>27.29666666666667</v>
      </c>
      <c r="E3453" s="6" t="s">
        <v>44</v>
      </c>
      <c r="F3453" s="6" t="s">
        <v>54</v>
      </c>
      <c r="G3453" s="7">
        <v>49362.0809529337</v>
      </c>
      <c r="H3453" s="6">
        <v>1347420.269745247</v>
      </c>
      <c r="I3453" s="6" t="s">
        <v>180</v>
      </c>
      <c r="J3453" s="15">
        <v>9.05633937056912</v>
      </c>
    </row>
    <row r="3454" spans="1:10">
      <c r="A3454" s="6" t="s">
        <v>143</v>
      </c>
      <c r="B3454" s="6" t="s">
        <v>44</v>
      </c>
      <c r="C3454" s="6" t="s">
        <v>322</v>
      </c>
      <c r="D3454" s="6">
        <v>48.16616666666666</v>
      </c>
      <c r="E3454" s="6" t="s">
        <v>44</v>
      </c>
      <c r="F3454" s="6" t="s">
        <v>51</v>
      </c>
      <c r="G3454" s="7">
        <v>17287.61454620521</v>
      </c>
      <c r="H3454" s="6">
        <v>832678.1235016111</v>
      </c>
      <c r="I3454" s="6" t="s">
        <v>179</v>
      </c>
      <c r="J3454" s="15">
        <v>34.25833333333333</v>
      </c>
    </row>
    <row r="3455" spans="1:10">
      <c r="A3455" s="6" t="s">
        <v>143</v>
      </c>
      <c r="B3455" s="6" t="s">
        <v>44</v>
      </c>
      <c r="C3455" s="6" t="s">
        <v>323</v>
      </c>
      <c r="D3455" s="6">
        <v>496.8723333333334</v>
      </c>
      <c r="E3455" s="6" t="s">
        <v>44</v>
      </c>
      <c r="F3455" s="6" t="s">
        <v>55</v>
      </c>
      <c r="G3455" s="7">
        <v>44740.69956922525</v>
      </c>
      <c r="H3455" s="6">
        <v>22230415.78992661</v>
      </c>
      <c r="I3455" s="6" t="s">
        <v>179</v>
      </c>
      <c r="J3455" s="15">
        <v>49</v>
      </c>
    </row>
    <row r="3456" spans="1:10">
      <c r="A3456" s="6" t="s">
        <v>143</v>
      </c>
      <c r="B3456" s="6" t="s">
        <v>44</v>
      </c>
      <c r="C3456" s="6" t="s">
        <v>324</v>
      </c>
      <c r="D3456" s="6">
        <v>391.3691666666667</v>
      </c>
      <c r="E3456" s="6" t="s">
        <v>44</v>
      </c>
      <c r="F3456" s="6" t="s">
        <v>51</v>
      </c>
      <c r="G3456" s="7">
        <v>24363.28610429227</v>
      </c>
      <c r="H3456" s="6">
        <v>9535038.979898447</v>
      </c>
      <c r="I3456" s="6" t="s">
        <v>179</v>
      </c>
      <c r="J3456" s="15">
        <v>23</v>
      </c>
    </row>
    <row r="3457" spans="1:10">
      <c r="A3457" s="6" t="s">
        <v>143</v>
      </c>
      <c r="B3457" s="6" t="s">
        <v>44</v>
      </c>
      <c r="C3457" s="6" t="s">
        <v>372</v>
      </c>
      <c r="D3457" s="6">
        <v>5.601166666666667</v>
      </c>
      <c r="E3457" s="6" t="s">
        <v>44</v>
      </c>
      <c r="F3457" s="6" t="s">
        <v>55</v>
      </c>
      <c r="G3457" s="7">
        <v>72406.7109908938</v>
      </c>
      <c r="H3457" s="6">
        <v>405562.0560451613</v>
      </c>
      <c r="I3457" s="6" t="s">
        <v>180</v>
      </c>
      <c r="J3457" s="15">
        <v>20.06297117767726</v>
      </c>
    </row>
    <row r="3458" spans="1:10">
      <c r="A3458" s="6" t="s">
        <v>143</v>
      </c>
      <c r="B3458" s="6" t="s">
        <v>90</v>
      </c>
      <c r="C3458" s="6" t="s">
        <v>325</v>
      </c>
      <c r="D3458" s="6">
        <v>2.799916666666666</v>
      </c>
      <c r="E3458" s="6" t="s">
        <v>44</v>
      </c>
      <c r="F3458" s="6" t="s">
        <v>53</v>
      </c>
      <c r="G3458" s="7">
        <v>27183.84720656899</v>
      </c>
      <c r="H3458" s="6">
        <v>76112.50685779261</v>
      </c>
      <c r="I3458" s="6" t="s">
        <v>179</v>
      </c>
      <c r="J3458" s="15">
        <v>16</v>
      </c>
    </row>
    <row r="3459" spans="1:10">
      <c r="A3459" s="6" t="s">
        <v>143</v>
      </c>
      <c r="B3459" s="6" t="s">
        <v>44</v>
      </c>
      <c r="C3459" s="6" t="s">
        <v>364</v>
      </c>
      <c r="D3459" s="6">
        <v>83.78941666666667</v>
      </c>
      <c r="E3459" s="6" t="s">
        <v>44</v>
      </c>
      <c r="F3459" s="6" t="s">
        <v>52</v>
      </c>
      <c r="G3459" s="7">
        <v>64169.74384104699</v>
      </c>
      <c r="H3459" s="6">
        <v>5376745.404090754</v>
      </c>
      <c r="I3459" s="6" t="s">
        <v>180</v>
      </c>
      <c r="J3459" s="15">
        <v>17.01155042897912</v>
      </c>
    </row>
    <row r="3460" spans="1:10">
      <c r="A3460" s="6" t="s">
        <v>143</v>
      </c>
      <c r="B3460" s="6" t="s">
        <v>44</v>
      </c>
      <c r="C3460" s="6" t="s">
        <v>326</v>
      </c>
      <c r="D3460" s="6">
        <v>934.62175</v>
      </c>
      <c r="E3460" s="6" t="s">
        <v>44</v>
      </c>
      <c r="F3460" s="6" t="s">
        <v>54</v>
      </c>
      <c r="G3460" s="7">
        <v>88918.54864031605</v>
      </c>
      <c r="H3460" s="6">
        <v>83105209.53767231</v>
      </c>
      <c r="I3460" s="6" t="s">
        <v>179</v>
      </c>
      <c r="J3460" s="15">
        <v>66.75833333333333</v>
      </c>
    </row>
    <row r="3461" spans="1:10">
      <c r="A3461" s="6" t="s">
        <v>143</v>
      </c>
      <c r="B3461" s="6" t="s">
        <v>44</v>
      </c>
      <c r="C3461" s="6" t="s">
        <v>373</v>
      </c>
      <c r="D3461" s="6">
        <v>2.0795</v>
      </c>
      <c r="E3461" s="6" t="s">
        <v>44</v>
      </c>
      <c r="F3461" s="6" t="s">
        <v>55</v>
      </c>
      <c r="G3461" s="7">
        <v>50189.50053381042</v>
      </c>
      <c r="H3461" s="6">
        <v>104369.0663600588</v>
      </c>
      <c r="I3461" s="6" t="s">
        <v>180</v>
      </c>
      <c r="J3461" s="15">
        <v>11.83250773966314</v>
      </c>
    </row>
    <row r="3462" spans="1:10">
      <c r="A3462" s="6" t="s">
        <v>143</v>
      </c>
      <c r="B3462" s="6" t="s">
        <v>44</v>
      </c>
      <c r="C3462" s="6" t="s">
        <v>374</v>
      </c>
      <c r="D3462" s="6">
        <v>0.25875</v>
      </c>
      <c r="E3462" s="6" t="s">
        <v>44</v>
      </c>
      <c r="F3462" s="6" t="s">
        <v>55</v>
      </c>
      <c r="G3462" s="7">
        <v>52744.27292192488</v>
      </c>
      <c r="H3462" s="6">
        <v>13647.58061854806</v>
      </c>
      <c r="I3462" s="6" t="s">
        <v>180</v>
      </c>
      <c r="J3462" s="15">
        <v>12.7789344197111</v>
      </c>
    </row>
    <row r="3463" spans="1:10">
      <c r="A3463" s="6" t="s">
        <v>143</v>
      </c>
      <c r="B3463" s="6" t="s">
        <v>44</v>
      </c>
      <c r="C3463" s="6" t="s">
        <v>327</v>
      </c>
      <c r="D3463" s="6">
        <v>451.5265</v>
      </c>
      <c r="E3463" s="6" t="s">
        <v>44</v>
      </c>
      <c r="F3463" s="6" t="s">
        <v>57</v>
      </c>
      <c r="G3463" s="7">
        <v>40979.35428179214</v>
      </c>
      <c r="H3463" s="6">
        <v>18503264.41111762</v>
      </c>
      <c r="I3463" s="6" t="s">
        <v>179</v>
      </c>
      <c r="J3463" s="15">
        <v>43.75</v>
      </c>
    </row>
    <row r="3464" spans="1:10">
      <c r="A3464" s="6" t="s">
        <v>143</v>
      </c>
      <c r="B3464" s="6" t="s">
        <v>44</v>
      </c>
      <c r="C3464" s="6" t="s">
        <v>328</v>
      </c>
      <c r="D3464" s="6">
        <v>2.829916666666667</v>
      </c>
      <c r="E3464" s="6" t="s">
        <v>44</v>
      </c>
      <c r="F3464" s="6" t="s">
        <v>58</v>
      </c>
      <c r="G3464" s="7">
        <v>68315.07045437419</v>
      </c>
      <c r="H3464" s="6">
        <v>193325.9564633411</v>
      </c>
      <c r="I3464" s="6" t="s">
        <v>179</v>
      </c>
      <c r="J3464" s="15">
        <v>32.08333333333333</v>
      </c>
    </row>
    <row r="3465" spans="1:10">
      <c r="A3465" s="6" t="s">
        <v>143</v>
      </c>
      <c r="B3465" s="6" t="s">
        <v>44</v>
      </c>
      <c r="C3465" s="6" t="s">
        <v>329</v>
      </c>
      <c r="D3465" s="6">
        <v>1852.813416666667</v>
      </c>
      <c r="E3465" s="6" t="s">
        <v>44</v>
      </c>
      <c r="F3465" s="6" t="s">
        <v>58</v>
      </c>
      <c r="G3465" s="7">
        <v>61073.72389180421</v>
      </c>
      <c r="H3465" s="6">
        <v>113158215.0325304</v>
      </c>
      <c r="I3465" s="6" t="s">
        <v>179</v>
      </c>
      <c r="J3465" s="15">
        <v>26</v>
      </c>
    </row>
    <row r="3466" spans="1:10">
      <c r="A3466" s="6" t="s">
        <v>143</v>
      </c>
      <c r="B3466" s="6" t="s">
        <v>44</v>
      </c>
      <c r="C3466" s="6" t="s">
        <v>330</v>
      </c>
      <c r="D3466" s="6">
        <v>57.86175</v>
      </c>
      <c r="E3466" s="6" t="s">
        <v>44</v>
      </c>
      <c r="F3466" s="6" t="s">
        <v>52</v>
      </c>
      <c r="G3466" s="7">
        <v>78332.43723892634</v>
      </c>
      <c r="H3466" s="6">
        <v>4532451.900409446</v>
      </c>
      <c r="I3466" s="6" t="s">
        <v>179</v>
      </c>
      <c r="J3466" s="15">
        <v>90.33333333333333</v>
      </c>
    </row>
    <row r="3467" spans="1:10">
      <c r="A3467" s="6" t="s">
        <v>143</v>
      </c>
      <c r="B3467" s="6" t="s">
        <v>44</v>
      </c>
      <c r="C3467" s="6" t="s">
        <v>365</v>
      </c>
      <c r="D3467" s="6">
        <v>21.54125</v>
      </c>
      <c r="E3467" s="6" t="s">
        <v>44</v>
      </c>
      <c r="F3467" s="6" t="s">
        <v>53</v>
      </c>
      <c r="G3467" s="7">
        <v>47398.73115342639</v>
      </c>
      <c r="H3467" s="6">
        <v>1021027.917458746</v>
      </c>
      <c r="I3467" s="6" t="s">
        <v>180</v>
      </c>
      <c r="J3467" s="15">
        <v>10.79865493471494</v>
      </c>
    </row>
    <row r="3468" spans="1:10">
      <c r="A3468" s="6" t="s">
        <v>143</v>
      </c>
      <c r="B3468" s="6" t="s">
        <v>44</v>
      </c>
      <c r="C3468" s="6" t="s">
        <v>331</v>
      </c>
      <c r="D3468" s="6">
        <v>559.1797499999999</v>
      </c>
      <c r="E3468" s="6" t="s">
        <v>44</v>
      </c>
      <c r="F3468" s="6" t="s">
        <v>58</v>
      </c>
      <c r="G3468" s="7">
        <v>57688.3500255051</v>
      </c>
      <c r="H3468" s="6">
        <v>32258157.14517443</v>
      </c>
      <c r="I3468" s="6" t="s">
        <v>179</v>
      </c>
      <c r="J3468" s="15">
        <v>27.625</v>
      </c>
    </row>
    <row r="3469" spans="1:10">
      <c r="A3469" s="6" t="s">
        <v>143</v>
      </c>
      <c r="B3469" s="6" t="s">
        <v>44</v>
      </c>
      <c r="C3469" s="6" t="s">
        <v>332</v>
      </c>
      <c r="D3469" s="6">
        <v>1675.35475</v>
      </c>
      <c r="E3469" s="6" t="s">
        <v>44</v>
      </c>
      <c r="F3469" s="6" t="s">
        <v>55</v>
      </c>
      <c r="G3469" s="7">
        <v>45151.10383039913</v>
      </c>
      <c r="H3469" s="6">
        <v>75644116.27000238</v>
      </c>
      <c r="I3469" s="6" t="s">
        <v>179</v>
      </c>
      <c r="J3469" s="15">
        <v>40.03333333333333</v>
      </c>
    </row>
    <row r="3470" spans="1:10">
      <c r="A3470" s="6" t="s">
        <v>143</v>
      </c>
      <c r="B3470" s="6" t="s">
        <v>44</v>
      </c>
      <c r="C3470" s="6" t="s">
        <v>375</v>
      </c>
      <c r="D3470" s="6">
        <v>3.7705</v>
      </c>
      <c r="E3470" s="6" t="s">
        <v>44</v>
      </c>
      <c r="F3470" s="6" t="s">
        <v>55</v>
      </c>
      <c r="G3470" s="7">
        <v>44949.97309867274</v>
      </c>
      <c r="H3470" s="6">
        <v>169483.8735685456</v>
      </c>
      <c r="I3470" s="6" t="s">
        <v>180</v>
      </c>
      <c r="J3470" s="15">
        <v>9.891501731250248</v>
      </c>
    </row>
    <row r="3471" spans="1:10">
      <c r="A3471" s="6" t="s">
        <v>143</v>
      </c>
      <c r="B3471" s="6" t="s">
        <v>44</v>
      </c>
      <c r="C3471" s="6" t="s">
        <v>333</v>
      </c>
      <c r="D3471" s="6">
        <v>384.8710833333333</v>
      </c>
      <c r="E3471" s="6" t="s">
        <v>44</v>
      </c>
      <c r="F3471" s="6" t="s">
        <v>51</v>
      </c>
      <c r="G3471" s="7">
        <v>14927.02860564678</v>
      </c>
      <c r="H3471" s="6">
        <v>5744981.670402933</v>
      </c>
      <c r="I3471" s="6" t="s">
        <v>179</v>
      </c>
      <c r="J3471" s="15">
        <v>17</v>
      </c>
    </row>
    <row r="3472" spans="1:10">
      <c r="A3472" s="6" t="s">
        <v>143</v>
      </c>
      <c r="B3472" s="6" t="s">
        <v>86</v>
      </c>
      <c r="C3472" s="6" t="s">
        <v>194</v>
      </c>
      <c r="D3472" s="6">
        <v>0.3729166666666667</v>
      </c>
      <c r="E3472" s="6" t="s">
        <v>86</v>
      </c>
      <c r="F3472" s="6" t="s">
        <v>58</v>
      </c>
      <c r="G3472" s="7">
        <v>61487.56191741362</v>
      </c>
      <c r="H3472" s="6">
        <v>22929.73663170216</v>
      </c>
      <c r="I3472" s="6" t="s">
        <v>180</v>
      </c>
      <c r="J3472" s="15">
        <v>11.71747342741184</v>
      </c>
    </row>
    <row r="3473" spans="1:10">
      <c r="A3473" s="6" t="s">
        <v>143</v>
      </c>
      <c r="B3473" s="6" t="s">
        <v>90</v>
      </c>
      <c r="C3473" s="6" t="s">
        <v>195</v>
      </c>
      <c r="D3473" s="6">
        <v>39.4555</v>
      </c>
      <c r="E3473" s="6" t="s">
        <v>86</v>
      </c>
      <c r="F3473" s="6" t="s">
        <v>54</v>
      </c>
      <c r="G3473" s="7">
        <v>56976.27849226169</v>
      </c>
      <c r="H3473" s="6">
        <v>2248027.556051431</v>
      </c>
      <c r="I3473" s="6" t="s">
        <v>180</v>
      </c>
      <c r="J3473" s="15">
        <v>11.49610447263148</v>
      </c>
    </row>
    <row r="3474" spans="1:10">
      <c r="A3474" s="6" t="s">
        <v>143</v>
      </c>
      <c r="B3474" s="6" t="s">
        <v>86</v>
      </c>
      <c r="C3474" s="6" t="s">
        <v>334</v>
      </c>
      <c r="D3474" s="6">
        <v>0.0009166666666666666</v>
      </c>
      <c r="E3474" s="6" t="s">
        <v>86</v>
      </c>
      <c r="F3474" s="6" t="s">
        <v>54</v>
      </c>
      <c r="G3474" s="7">
        <v>79484.86508293969</v>
      </c>
      <c r="H3474" s="6">
        <v>72.86112632602806</v>
      </c>
      <c r="I3474" s="6" t="s">
        <v>180</v>
      </c>
      <c r="J3474" s="15">
        <v>72</v>
      </c>
    </row>
    <row r="3475" spans="1:10">
      <c r="A3475" s="6" t="s">
        <v>143</v>
      </c>
      <c r="B3475" s="6" t="s">
        <v>86</v>
      </c>
      <c r="C3475" s="6" t="s">
        <v>335</v>
      </c>
      <c r="D3475" s="6">
        <v>324.50875</v>
      </c>
      <c r="E3475" s="6" t="s">
        <v>86</v>
      </c>
      <c r="F3475" s="6" t="s">
        <v>52</v>
      </c>
      <c r="G3475" s="7">
        <v>101612.9380442109</v>
      </c>
      <c r="H3475" s="6">
        <v>32974287.50855432</v>
      </c>
      <c r="I3475" s="6" t="s">
        <v>179</v>
      </c>
      <c r="J3475" s="15">
        <v>76.41666666666666</v>
      </c>
    </row>
    <row r="3476" spans="1:10">
      <c r="A3476" s="6" t="s">
        <v>143</v>
      </c>
      <c r="B3476" s="6" t="s">
        <v>90</v>
      </c>
      <c r="C3476" s="6" t="s">
        <v>336</v>
      </c>
      <c r="D3476" s="6">
        <v>1595.194083333333</v>
      </c>
      <c r="E3476" s="6" t="s">
        <v>86</v>
      </c>
      <c r="F3476" s="6" t="s">
        <v>52</v>
      </c>
      <c r="G3476" s="7">
        <v>59918.03179942394</v>
      </c>
      <c r="H3476" s="6">
        <v>95580889.81141958</v>
      </c>
      <c r="I3476" s="6" t="s">
        <v>180</v>
      </c>
      <c r="J3476" s="15">
        <v>12.43871031134531</v>
      </c>
    </row>
    <row r="3477" spans="1:10">
      <c r="A3477" s="6" t="s">
        <v>143</v>
      </c>
      <c r="B3477" s="6" t="s">
        <v>90</v>
      </c>
      <c r="C3477" s="6" t="s">
        <v>197</v>
      </c>
      <c r="D3477" s="6">
        <v>73.41916666666667</v>
      </c>
      <c r="E3477" s="6" t="s">
        <v>86</v>
      </c>
      <c r="F3477" s="6" t="s">
        <v>53</v>
      </c>
      <c r="G3477" s="7">
        <v>24873.23941462196</v>
      </c>
      <c r="H3477" s="6">
        <v>1826172.510122032</v>
      </c>
      <c r="I3477" s="6" t="s">
        <v>179</v>
      </c>
      <c r="J3477" s="15">
        <v>27</v>
      </c>
    </row>
    <row r="3478" spans="1:10">
      <c r="A3478" s="6" t="s">
        <v>143</v>
      </c>
      <c r="B3478" s="6" t="s">
        <v>86</v>
      </c>
      <c r="C3478" s="6" t="s">
        <v>198</v>
      </c>
      <c r="D3478" s="6">
        <v>39.99608333333334</v>
      </c>
      <c r="E3478" s="6" t="s">
        <v>86</v>
      </c>
      <c r="F3478" s="6" t="s">
        <v>58</v>
      </c>
      <c r="G3478" s="7">
        <v>82331.46221962862</v>
      </c>
      <c r="H3478" s="6">
        <v>3292936.023891452</v>
      </c>
      <c r="I3478" s="6" t="s">
        <v>180</v>
      </c>
      <c r="J3478" s="15">
        <v>17.98136201752669</v>
      </c>
    </row>
    <row r="3479" spans="1:10">
      <c r="A3479" s="6" t="s">
        <v>143</v>
      </c>
      <c r="B3479" s="6" t="s">
        <v>86</v>
      </c>
      <c r="C3479" s="6" t="s">
        <v>199</v>
      </c>
      <c r="D3479" s="6">
        <v>72.34466666666667</v>
      </c>
      <c r="E3479" s="6" t="s">
        <v>86</v>
      </c>
      <c r="F3479" s="6" t="s">
        <v>57</v>
      </c>
      <c r="G3479" s="7">
        <v>52709.72675479725</v>
      </c>
      <c r="H3479" s="6">
        <v>3813267.612166889</v>
      </c>
      <c r="I3479" s="6" t="s">
        <v>179</v>
      </c>
      <c r="J3479" s="15">
        <v>49.53333333333333</v>
      </c>
    </row>
    <row r="3480" spans="1:10">
      <c r="A3480" s="6" t="s">
        <v>143</v>
      </c>
      <c r="B3480" s="6" t="s">
        <v>86</v>
      </c>
      <c r="C3480" s="6" t="s">
        <v>337</v>
      </c>
      <c r="D3480" s="6">
        <v>21.66883333333334</v>
      </c>
      <c r="E3480" s="6" t="s">
        <v>86</v>
      </c>
      <c r="F3480" s="6" t="s">
        <v>52</v>
      </c>
      <c r="G3480" s="7">
        <v>76118.45485007425</v>
      </c>
      <c r="H3480" s="6">
        <v>1649398.111737117</v>
      </c>
      <c r="I3480" s="6" t="s">
        <v>179</v>
      </c>
      <c r="J3480" s="15">
        <v>50.90833333333333</v>
      </c>
    </row>
    <row r="3481" spans="1:10">
      <c r="A3481" s="6" t="s">
        <v>143</v>
      </c>
      <c r="B3481" s="6" t="s">
        <v>86</v>
      </c>
      <c r="C3481" s="6" t="s">
        <v>200</v>
      </c>
      <c r="D3481" s="6">
        <v>72.92858333333334</v>
      </c>
      <c r="E3481" s="6" t="s">
        <v>86</v>
      </c>
      <c r="F3481" s="6" t="s">
        <v>52</v>
      </c>
      <c r="G3481" s="7">
        <v>74043.30178681524</v>
      </c>
      <c r="H3481" s="6">
        <v>5399873.104634904</v>
      </c>
      <c r="I3481" s="6" t="s">
        <v>179</v>
      </c>
      <c r="J3481" s="15">
        <v>64.11666666666666</v>
      </c>
    </row>
    <row r="3482" spans="1:10">
      <c r="A3482" s="6" t="s">
        <v>143</v>
      </c>
      <c r="B3482" s="6" t="s">
        <v>86</v>
      </c>
      <c r="C3482" s="6" t="s">
        <v>201</v>
      </c>
      <c r="D3482" s="6">
        <v>48.90725</v>
      </c>
      <c r="E3482" s="6" t="s">
        <v>86</v>
      </c>
      <c r="F3482" s="6" t="s">
        <v>56</v>
      </c>
      <c r="G3482" s="7">
        <v>57893.42884687793</v>
      </c>
      <c r="H3482" s="6">
        <v>2831408.39797147</v>
      </c>
      <c r="I3482" s="6" t="s">
        <v>179</v>
      </c>
      <c r="J3482" s="15">
        <v>34.10833333333333</v>
      </c>
    </row>
    <row r="3483" spans="1:10">
      <c r="A3483" s="6" t="s">
        <v>143</v>
      </c>
      <c r="B3483" s="6" t="s">
        <v>86</v>
      </c>
      <c r="C3483" s="6" t="s">
        <v>202</v>
      </c>
      <c r="D3483" s="6">
        <v>553.3016666666667</v>
      </c>
      <c r="E3483" s="6" t="s">
        <v>86</v>
      </c>
      <c r="F3483" s="6" t="s">
        <v>54</v>
      </c>
      <c r="G3483" s="7">
        <v>90789.34185131452</v>
      </c>
      <c r="H3483" s="6">
        <v>50233894.16190208</v>
      </c>
      <c r="I3483" s="6" t="s">
        <v>179</v>
      </c>
      <c r="J3483" s="15">
        <v>65.125</v>
      </c>
    </row>
    <row r="3484" spans="1:10">
      <c r="A3484" s="6" t="s">
        <v>143</v>
      </c>
      <c r="B3484" s="6" t="s">
        <v>86</v>
      </c>
      <c r="C3484" s="6" t="s">
        <v>203</v>
      </c>
      <c r="D3484" s="6">
        <v>679.0700000000001</v>
      </c>
      <c r="E3484" s="6" t="s">
        <v>86</v>
      </c>
      <c r="F3484" s="6" t="s">
        <v>53</v>
      </c>
      <c r="G3484" s="7">
        <v>22045.15542894867</v>
      </c>
      <c r="H3484" s="6">
        <v>14970203.69713617</v>
      </c>
      <c r="I3484" s="6" t="s">
        <v>179</v>
      </c>
      <c r="J3484" s="15">
        <v>8</v>
      </c>
    </row>
    <row r="3485" spans="1:10">
      <c r="A3485" s="6" t="s">
        <v>143</v>
      </c>
      <c r="B3485" s="6" t="s">
        <v>86</v>
      </c>
      <c r="C3485" s="6" t="s">
        <v>204</v>
      </c>
      <c r="D3485" s="6">
        <v>1597.83825</v>
      </c>
      <c r="E3485" s="6" t="s">
        <v>86</v>
      </c>
      <c r="F3485" s="6" t="s">
        <v>51</v>
      </c>
      <c r="G3485" s="7">
        <v>46344.34011305719</v>
      </c>
      <c r="H3485" s="6">
        <v>74050759.30365211</v>
      </c>
      <c r="I3485" s="6" t="s">
        <v>179</v>
      </c>
      <c r="J3485" s="15">
        <v>45</v>
      </c>
    </row>
    <row r="3486" spans="1:10">
      <c r="A3486" s="6" t="s">
        <v>143</v>
      </c>
      <c r="B3486" s="6" t="s">
        <v>86</v>
      </c>
      <c r="C3486" s="6" t="s">
        <v>338</v>
      </c>
      <c r="D3486" s="6">
        <v>6.001916666666666</v>
      </c>
      <c r="E3486" s="6" t="s">
        <v>86</v>
      </c>
      <c r="F3486" s="6" t="s">
        <v>52</v>
      </c>
      <c r="G3486" s="7">
        <v>71922.38560201312</v>
      </c>
      <c r="H3486" s="6">
        <v>431672.1648511493</v>
      </c>
      <c r="I3486" s="6" t="s">
        <v>179</v>
      </c>
      <c r="J3486" s="15">
        <v>54.91666666666667</v>
      </c>
    </row>
    <row r="3487" spans="1:10">
      <c r="A3487" s="6" t="s">
        <v>143</v>
      </c>
      <c r="B3487" s="6" t="s">
        <v>90</v>
      </c>
      <c r="C3487" s="6" t="s">
        <v>339</v>
      </c>
      <c r="D3487" s="6">
        <v>7.242249999999999</v>
      </c>
      <c r="E3487" s="6" t="s">
        <v>86</v>
      </c>
      <c r="F3487" s="6" t="s">
        <v>52</v>
      </c>
      <c r="G3487" s="7">
        <v>59918.03179942394</v>
      </c>
      <c r="H3487" s="6">
        <v>433941.365799378</v>
      </c>
      <c r="I3487" s="6" t="s">
        <v>180</v>
      </c>
      <c r="J3487" s="15">
        <v>12.43871031134531</v>
      </c>
    </row>
    <row r="3488" spans="1:10">
      <c r="A3488" s="6" t="s">
        <v>143</v>
      </c>
      <c r="B3488" s="6" t="s">
        <v>86</v>
      </c>
      <c r="C3488" s="6" t="s">
        <v>205</v>
      </c>
      <c r="D3488" s="6">
        <v>213.6885</v>
      </c>
      <c r="E3488" s="6" t="s">
        <v>86</v>
      </c>
      <c r="F3488" s="6" t="s">
        <v>56</v>
      </c>
      <c r="G3488" s="7">
        <v>60176.4051044983</v>
      </c>
      <c r="H3488" s="6">
        <v>12859005.74217258</v>
      </c>
      <c r="I3488" s="6" t="s">
        <v>179</v>
      </c>
      <c r="J3488" s="15">
        <v>41</v>
      </c>
    </row>
    <row r="3489" spans="1:10">
      <c r="A3489" s="6" t="s">
        <v>143</v>
      </c>
      <c r="B3489" s="6" t="s">
        <v>86</v>
      </c>
      <c r="C3489" s="6" t="s">
        <v>206</v>
      </c>
      <c r="D3489" s="6">
        <v>19.03216666666667</v>
      </c>
      <c r="E3489" s="6" t="s">
        <v>86</v>
      </c>
      <c r="F3489" s="6" t="s">
        <v>55</v>
      </c>
      <c r="G3489" s="7">
        <v>62775.43713070149</v>
      </c>
      <c r="H3489" s="6">
        <v>1194752.582044366</v>
      </c>
      <c r="I3489" s="6" t="s">
        <v>180</v>
      </c>
      <c r="J3489" s="15">
        <v>12.10449825179888</v>
      </c>
    </row>
    <row r="3490" spans="1:10">
      <c r="A3490" s="6" t="s">
        <v>143</v>
      </c>
      <c r="B3490" s="6" t="s">
        <v>86</v>
      </c>
      <c r="C3490" s="6" t="s">
        <v>340</v>
      </c>
      <c r="D3490" s="6">
        <v>467.6025833333333</v>
      </c>
      <c r="E3490" s="6" t="s">
        <v>86</v>
      </c>
      <c r="F3490" s="6" t="s">
        <v>52</v>
      </c>
      <c r="G3490" s="7">
        <v>76248.97905109002</v>
      </c>
      <c r="H3490" s="6">
        <v>35654219.58081891</v>
      </c>
      <c r="I3490" s="6" t="s">
        <v>179</v>
      </c>
      <c r="J3490" s="15">
        <v>53.35833333333333</v>
      </c>
    </row>
    <row r="3491" spans="1:10">
      <c r="A3491" s="6" t="s">
        <v>143</v>
      </c>
      <c r="B3491" s="6" t="s">
        <v>86</v>
      </c>
      <c r="C3491" s="6" t="s">
        <v>207</v>
      </c>
      <c r="D3491" s="6">
        <v>0.4505833333333333</v>
      </c>
      <c r="E3491" s="6" t="s">
        <v>86</v>
      </c>
      <c r="F3491" s="6" t="s">
        <v>55</v>
      </c>
      <c r="G3491" s="7">
        <v>52810.92507980197</v>
      </c>
      <c r="H3491" s="6">
        <v>23795.7226588741</v>
      </c>
      <c r="I3491" s="6" t="s">
        <v>180</v>
      </c>
      <c r="J3491" s="15">
        <v>9.110020613894488</v>
      </c>
    </row>
    <row r="3492" spans="1:10">
      <c r="A3492" s="6" t="s">
        <v>143</v>
      </c>
      <c r="B3492" s="6" t="s">
        <v>86</v>
      </c>
      <c r="C3492" s="6" t="s">
        <v>208</v>
      </c>
      <c r="D3492" s="6">
        <v>2.282583333333333</v>
      </c>
      <c r="E3492" s="6" t="s">
        <v>86</v>
      </c>
      <c r="F3492" s="6" t="s">
        <v>51</v>
      </c>
      <c r="G3492" s="7">
        <v>52043.19496136486</v>
      </c>
      <c r="H3492" s="6">
        <v>118792.9294322287</v>
      </c>
      <c r="I3492" s="6" t="s">
        <v>180</v>
      </c>
      <c r="J3492" s="15">
        <v>8.879306790692469</v>
      </c>
    </row>
    <row r="3493" spans="1:10">
      <c r="A3493" s="6" t="s">
        <v>143</v>
      </c>
      <c r="B3493" s="6" t="s">
        <v>86</v>
      </c>
      <c r="C3493" s="6" t="s">
        <v>209</v>
      </c>
      <c r="D3493" s="6">
        <v>0.4065833333333334</v>
      </c>
      <c r="E3493" s="6" t="s">
        <v>86</v>
      </c>
      <c r="F3493" s="6" t="s">
        <v>57</v>
      </c>
      <c r="G3493" s="7">
        <v>50343.81581786243</v>
      </c>
      <c r="H3493" s="6">
        <v>20468.9564479459</v>
      </c>
      <c r="I3493" s="6" t="s">
        <v>180</v>
      </c>
      <c r="J3493" s="15">
        <v>8.368619180747757</v>
      </c>
    </row>
    <row r="3494" spans="1:10">
      <c r="A3494" s="6" t="s">
        <v>143</v>
      </c>
      <c r="B3494" s="6" t="s">
        <v>90</v>
      </c>
      <c r="C3494" s="6" t="s">
        <v>210</v>
      </c>
      <c r="D3494" s="6">
        <v>0.5555</v>
      </c>
      <c r="E3494" s="6" t="s">
        <v>86</v>
      </c>
      <c r="F3494" s="6" t="s">
        <v>53</v>
      </c>
      <c r="G3494" s="7">
        <v>33962.09735450833</v>
      </c>
      <c r="H3494" s="6">
        <v>18865.94508042938</v>
      </c>
      <c r="I3494" s="6" t="s">
        <v>180</v>
      </c>
      <c r="J3494" s="15">
        <v>12</v>
      </c>
    </row>
    <row r="3495" spans="1:10">
      <c r="A3495" s="6" t="s">
        <v>143</v>
      </c>
      <c r="B3495" s="6" t="s">
        <v>86</v>
      </c>
      <c r="C3495" s="6" t="s">
        <v>211</v>
      </c>
      <c r="D3495" s="6">
        <v>307.1215833333333</v>
      </c>
      <c r="E3495" s="6" t="s">
        <v>86</v>
      </c>
      <c r="F3495" s="6" t="s">
        <v>55</v>
      </c>
      <c r="G3495" s="7">
        <v>53062.99242745514</v>
      </c>
      <c r="H3495" s="6">
        <v>16296790.2507247</v>
      </c>
      <c r="I3495" s="6" t="s">
        <v>179</v>
      </c>
      <c r="J3495" s="15">
        <v>38</v>
      </c>
    </row>
    <row r="3496" spans="1:10">
      <c r="A3496" s="6" t="s">
        <v>143</v>
      </c>
      <c r="B3496" s="6" t="s">
        <v>86</v>
      </c>
      <c r="C3496" s="6" t="s">
        <v>377</v>
      </c>
      <c r="D3496" s="6">
        <v>0.6653333333333333</v>
      </c>
      <c r="E3496" s="6" t="s">
        <v>86</v>
      </c>
      <c r="F3496" s="6" t="s">
        <v>51</v>
      </c>
      <c r="G3496" s="7">
        <v>69820.10309347716</v>
      </c>
      <c r="H3496" s="6">
        <v>46453.64192486013</v>
      </c>
      <c r="I3496" s="6" t="s">
        <v>180</v>
      </c>
      <c r="J3496" s="15">
        <v>14.22152059913335</v>
      </c>
    </row>
    <row r="3497" spans="1:10">
      <c r="A3497" s="6" t="s">
        <v>143</v>
      </c>
      <c r="B3497" s="6" t="s">
        <v>86</v>
      </c>
      <c r="C3497" s="6" t="s">
        <v>212</v>
      </c>
      <c r="D3497" s="6">
        <v>58.64225</v>
      </c>
      <c r="E3497" s="6" t="s">
        <v>86</v>
      </c>
      <c r="F3497" s="6" t="s">
        <v>55</v>
      </c>
      <c r="G3497" s="7">
        <v>52156.54206456027</v>
      </c>
      <c r="H3497" s="6">
        <v>3058576.978885459</v>
      </c>
      <c r="I3497" s="6" t="s">
        <v>179</v>
      </c>
      <c r="J3497" s="15">
        <v>36</v>
      </c>
    </row>
    <row r="3498" spans="1:10">
      <c r="A3498" s="6" t="s">
        <v>143</v>
      </c>
      <c r="B3498" s="6" t="s">
        <v>86</v>
      </c>
      <c r="C3498" s="6" t="s">
        <v>213</v>
      </c>
      <c r="D3498" s="6">
        <v>87.31183333333334</v>
      </c>
      <c r="E3498" s="6" t="s">
        <v>86</v>
      </c>
      <c r="F3498" s="6" t="s">
        <v>52</v>
      </c>
      <c r="G3498" s="7">
        <v>91659.65133947671</v>
      </c>
      <c r="H3498" s="6">
        <v>8002972.201143835</v>
      </c>
      <c r="I3498" s="6" t="s">
        <v>179</v>
      </c>
      <c r="J3498" s="15">
        <v>69</v>
      </c>
    </row>
    <row r="3499" spans="1:10">
      <c r="A3499" s="6" t="s">
        <v>143</v>
      </c>
      <c r="B3499" s="6" t="s">
        <v>90</v>
      </c>
      <c r="C3499" s="6" t="s">
        <v>214</v>
      </c>
      <c r="D3499" s="6">
        <v>0.728</v>
      </c>
      <c r="E3499" s="6" t="s">
        <v>86</v>
      </c>
      <c r="F3499" s="6" t="s">
        <v>53</v>
      </c>
      <c r="G3499" s="7">
        <v>29230.07315219457</v>
      </c>
      <c r="H3499" s="6">
        <v>21279.49325479765</v>
      </c>
      <c r="I3499" s="6" t="s">
        <v>179</v>
      </c>
      <c r="J3499" s="15">
        <v>27</v>
      </c>
    </row>
    <row r="3500" spans="1:10">
      <c r="A3500" s="6" t="s">
        <v>143</v>
      </c>
      <c r="B3500" s="6" t="s">
        <v>86</v>
      </c>
      <c r="C3500" s="6" t="s">
        <v>215</v>
      </c>
      <c r="D3500" s="6">
        <v>241.1501666666667</v>
      </c>
      <c r="E3500" s="6" t="s">
        <v>86</v>
      </c>
      <c r="F3500" s="6" t="s">
        <v>54</v>
      </c>
      <c r="G3500" s="7">
        <v>92290.56849765679</v>
      </c>
      <c r="H3500" s="6">
        <v>22255885.97497135</v>
      </c>
      <c r="I3500" s="6" t="s">
        <v>179</v>
      </c>
      <c r="J3500" s="15">
        <v>62</v>
      </c>
    </row>
    <row r="3501" spans="1:10">
      <c r="A3501" s="6" t="s">
        <v>143</v>
      </c>
      <c r="B3501" s="6" t="s">
        <v>86</v>
      </c>
      <c r="C3501" s="6" t="s">
        <v>216</v>
      </c>
      <c r="D3501" s="6">
        <v>3.15575</v>
      </c>
      <c r="E3501" s="6" t="s">
        <v>86</v>
      </c>
      <c r="F3501" s="6" t="s">
        <v>55</v>
      </c>
      <c r="G3501" s="7">
        <v>48830.3229287997</v>
      </c>
      <c r="H3501" s="6">
        <v>154096.2915825596</v>
      </c>
      <c r="I3501" s="6" t="s">
        <v>180</v>
      </c>
      <c r="J3501" s="15">
        <v>7.913793034893832</v>
      </c>
    </row>
    <row r="3502" spans="1:10">
      <c r="A3502" s="6" t="s">
        <v>143</v>
      </c>
      <c r="B3502" s="6" t="s">
        <v>86</v>
      </c>
      <c r="C3502" s="6" t="s">
        <v>341</v>
      </c>
      <c r="D3502" s="6">
        <v>3.429166666666667</v>
      </c>
      <c r="E3502" s="6" t="s">
        <v>86</v>
      </c>
      <c r="F3502" s="6" t="s">
        <v>52</v>
      </c>
      <c r="G3502" s="7">
        <v>67420.24760609666</v>
      </c>
      <c r="H3502" s="6">
        <v>231195.2657492398</v>
      </c>
      <c r="I3502" s="6" t="s">
        <v>179</v>
      </c>
      <c r="J3502" s="15">
        <v>49.875</v>
      </c>
    </row>
    <row r="3503" spans="1:10">
      <c r="A3503" s="6" t="s">
        <v>143</v>
      </c>
      <c r="B3503" s="6" t="s">
        <v>90</v>
      </c>
      <c r="C3503" s="6" t="s">
        <v>217</v>
      </c>
      <c r="D3503" s="6">
        <v>74.62083333333334</v>
      </c>
      <c r="E3503" s="6" t="s">
        <v>86</v>
      </c>
      <c r="F3503" s="6" t="s">
        <v>53</v>
      </c>
      <c r="G3503" s="7">
        <v>29595.99008532836</v>
      </c>
      <c r="H3503" s="6">
        <v>2208477.443492273</v>
      </c>
      <c r="I3503" s="6" t="s">
        <v>179</v>
      </c>
      <c r="J3503" s="15">
        <v>15</v>
      </c>
    </row>
    <row r="3504" spans="1:10">
      <c r="A3504" s="6" t="s">
        <v>143</v>
      </c>
      <c r="B3504" s="6" t="s">
        <v>90</v>
      </c>
      <c r="C3504" s="6" t="s">
        <v>218</v>
      </c>
      <c r="D3504" s="6">
        <v>10.15991666666667</v>
      </c>
      <c r="E3504" s="6" t="s">
        <v>86</v>
      </c>
      <c r="F3504" s="6" t="s">
        <v>54</v>
      </c>
      <c r="G3504" s="7">
        <v>55803.8509311504</v>
      </c>
      <c r="H3504" s="6">
        <v>566962.4751395772</v>
      </c>
      <c r="I3504" s="6" t="s">
        <v>180</v>
      </c>
      <c r="J3504" s="15">
        <v>11.12043154931672</v>
      </c>
    </row>
    <row r="3505" spans="1:10">
      <c r="A3505" s="6" t="s">
        <v>143</v>
      </c>
      <c r="B3505" s="6" t="s">
        <v>86</v>
      </c>
      <c r="C3505" s="6" t="s">
        <v>219</v>
      </c>
      <c r="D3505" s="6">
        <v>12.0475</v>
      </c>
      <c r="E3505" s="6" t="s">
        <v>86</v>
      </c>
      <c r="F3505" s="6" t="s">
        <v>51</v>
      </c>
      <c r="G3505" s="7">
        <v>52259.13647561446</v>
      </c>
      <c r="H3505" s="6">
        <v>629591.9466899652</v>
      </c>
      <c r="I3505" s="6" t="s">
        <v>180</v>
      </c>
      <c r="J3505" s="15">
        <v>8.944200287956821</v>
      </c>
    </row>
    <row r="3506" spans="1:10">
      <c r="A3506" s="6" t="s">
        <v>143</v>
      </c>
      <c r="B3506" s="6" t="s">
        <v>86</v>
      </c>
      <c r="C3506" s="6" t="s">
        <v>220</v>
      </c>
      <c r="D3506" s="6">
        <v>4.256416666666667</v>
      </c>
      <c r="E3506" s="6" t="s">
        <v>86</v>
      </c>
      <c r="F3506" s="6" t="s">
        <v>57</v>
      </c>
      <c r="G3506" s="7">
        <v>55010.17947726394</v>
      </c>
      <c r="H3506" s="6">
        <v>234146.2447633508</v>
      </c>
      <c r="I3506" s="6" t="s">
        <v>179</v>
      </c>
      <c r="J3506" s="15">
        <v>6.921154133661506</v>
      </c>
    </row>
    <row r="3507" spans="1:10">
      <c r="A3507" s="6" t="s">
        <v>143</v>
      </c>
      <c r="B3507" s="6" t="s">
        <v>86</v>
      </c>
      <c r="C3507" s="6" t="s">
        <v>221</v>
      </c>
      <c r="D3507" s="6">
        <v>43.83341666666666</v>
      </c>
      <c r="E3507" s="6" t="s">
        <v>86</v>
      </c>
      <c r="F3507" s="6" t="s">
        <v>51</v>
      </c>
      <c r="G3507" s="7">
        <v>49959.47837571311</v>
      </c>
      <c r="H3507" s="6">
        <v>2189894.632091956</v>
      </c>
      <c r="I3507" s="6" t="s">
        <v>180</v>
      </c>
      <c r="J3507" s="15">
        <v>8.25312031135539</v>
      </c>
    </row>
    <row r="3508" spans="1:10">
      <c r="A3508" s="6" t="s">
        <v>143</v>
      </c>
      <c r="B3508" s="6" t="s">
        <v>86</v>
      </c>
      <c r="C3508" s="6" t="s">
        <v>222</v>
      </c>
      <c r="D3508" s="6">
        <v>0.4970833333333333</v>
      </c>
      <c r="E3508" s="6" t="s">
        <v>86</v>
      </c>
      <c r="F3508" s="6" t="s">
        <v>57</v>
      </c>
      <c r="G3508" s="7">
        <v>49392.57285899352</v>
      </c>
      <c r="H3508" s="6">
        <v>24552.22475865803</v>
      </c>
      <c r="I3508" s="6" t="s">
        <v>180</v>
      </c>
      <c r="J3508" s="15">
        <v>8.082757138131251</v>
      </c>
    </row>
    <row r="3509" spans="1:10">
      <c r="A3509" s="6" t="s">
        <v>143</v>
      </c>
      <c r="B3509" s="6" t="s">
        <v>86</v>
      </c>
      <c r="C3509" s="6" t="s">
        <v>342</v>
      </c>
      <c r="D3509" s="6">
        <v>46.43408333333333</v>
      </c>
      <c r="E3509" s="6" t="s">
        <v>86</v>
      </c>
      <c r="F3509" s="6" t="s">
        <v>53</v>
      </c>
      <c r="G3509" s="7">
        <v>33275.25972937583</v>
      </c>
      <c r="H3509" s="6">
        <v>1545106.183212148</v>
      </c>
      <c r="I3509" s="6" t="s">
        <v>179</v>
      </c>
      <c r="J3509" s="15">
        <v>8</v>
      </c>
    </row>
    <row r="3510" spans="1:10">
      <c r="A3510" s="6" t="s">
        <v>143</v>
      </c>
      <c r="B3510" s="6" t="s">
        <v>86</v>
      </c>
      <c r="C3510" s="6" t="s">
        <v>343</v>
      </c>
      <c r="D3510" s="6">
        <v>11.10891666666667</v>
      </c>
      <c r="E3510" s="6" t="s">
        <v>86</v>
      </c>
      <c r="F3510" s="6" t="s">
        <v>52</v>
      </c>
      <c r="G3510" s="7">
        <v>69744.27374406446</v>
      </c>
      <c r="H3510" s="6">
        <v>774783.325</v>
      </c>
      <c r="I3510" s="6" t="s">
        <v>179</v>
      </c>
      <c r="J3510" s="15">
        <v>50.60833333333333</v>
      </c>
    </row>
    <row r="3511" spans="1:10">
      <c r="A3511" s="6" t="s">
        <v>143</v>
      </c>
      <c r="B3511" s="6" t="s">
        <v>86</v>
      </c>
      <c r="C3511" s="6" t="s">
        <v>223</v>
      </c>
      <c r="D3511" s="6">
        <v>44.2025</v>
      </c>
      <c r="E3511" s="6" t="s">
        <v>86</v>
      </c>
      <c r="F3511" s="6" t="s">
        <v>53</v>
      </c>
      <c r="G3511" s="7">
        <v>24418.66320757394</v>
      </c>
      <c r="H3511" s="6">
        <v>1079365.960432787</v>
      </c>
      <c r="I3511" s="6" t="s">
        <v>179</v>
      </c>
      <c r="J3511" s="15">
        <v>7.983333333333333</v>
      </c>
    </row>
    <row r="3512" spans="1:10">
      <c r="A3512" s="6" t="s">
        <v>143</v>
      </c>
      <c r="B3512" s="6" t="s">
        <v>86</v>
      </c>
      <c r="C3512" s="6" t="s">
        <v>224</v>
      </c>
      <c r="D3512" s="6">
        <v>629.2575000000001</v>
      </c>
      <c r="E3512" s="6" t="s">
        <v>86</v>
      </c>
      <c r="F3512" s="6" t="s">
        <v>51</v>
      </c>
      <c r="G3512" s="7">
        <v>44832.66432506633</v>
      </c>
      <c r="H3512" s="6">
        <v>28211290.27153043</v>
      </c>
      <c r="I3512" s="6" t="s">
        <v>179</v>
      </c>
      <c r="J3512" s="15">
        <v>47</v>
      </c>
    </row>
    <row r="3513" spans="1:10">
      <c r="A3513" s="6" t="s">
        <v>143</v>
      </c>
      <c r="B3513" s="6" t="s">
        <v>86</v>
      </c>
      <c r="C3513" s="6" t="s">
        <v>225</v>
      </c>
      <c r="D3513" s="6">
        <v>0.007666666666666667</v>
      </c>
      <c r="E3513" s="6" t="s">
        <v>86</v>
      </c>
      <c r="F3513" s="6" t="s">
        <v>54</v>
      </c>
      <c r="G3513" s="7">
        <v>67108.78662238816</v>
      </c>
      <c r="H3513" s="6">
        <v>514.5006974383092</v>
      </c>
      <c r="I3513" s="6" t="s">
        <v>180</v>
      </c>
      <c r="J3513" s="15">
        <v>13.40673142526458</v>
      </c>
    </row>
    <row r="3514" spans="1:10">
      <c r="A3514" s="6" t="s">
        <v>143</v>
      </c>
      <c r="B3514" s="6" t="s">
        <v>86</v>
      </c>
      <c r="C3514" s="6" t="s">
        <v>226</v>
      </c>
      <c r="D3514" s="6">
        <v>277.0481666666666</v>
      </c>
      <c r="E3514" s="6" t="s">
        <v>86</v>
      </c>
      <c r="F3514" s="6" t="s">
        <v>56</v>
      </c>
      <c r="G3514" s="7">
        <v>74819.13266235047</v>
      </c>
      <c r="H3514" s="6">
        <v>20728503.53569432</v>
      </c>
      <c r="I3514" s="6" t="s">
        <v>179</v>
      </c>
      <c r="J3514" s="15">
        <v>51.55</v>
      </c>
    </row>
    <row r="3515" spans="1:10">
      <c r="A3515" s="6" t="s">
        <v>143</v>
      </c>
      <c r="B3515" s="6" t="s">
        <v>90</v>
      </c>
      <c r="C3515" s="6" t="s">
        <v>344</v>
      </c>
      <c r="D3515" s="6">
        <v>45.14816666666667</v>
      </c>
      <c r="E3515" s="6" t="s">
        <v>86</v>
      </c>
      <c r="F3515" s="6" t="s">
        <v>52</v>
      </c>
      <c r="G3515" s="7">
        <v>59918.03179942394</v>
      </c>
      <c r="H3515" s="6">
        <v>2705189.286019025</v>
      </c>
      <c r="I3515" s="6" t="s">
        <v>180</v>
      </c>
      <c r="J3515" s="15">
        <v>12.43871031134531</v>
      </c>
    </row>
    <row r="3516" spans="1:10">
      <c r="A3516" s="6" t="s">
        <v>143</v>
      </c>
      <c r="B3516" s="6" t="s">
        <v>86</v>
      </c>
      <c r="C3516" s="6" t="s">
        <v>345</v>
      </c>
      <c r="D3516" s="6">
        <v>39.42883333333333</v>
      </c>
      <c r="E3516" s="6" t="s">
        <v>86</v>
      </c>
      <c r="F3516" s="6" t="s">
        <v>53</v>
      </c>
      <c r="G3516" s="7">
        <v>31603.56115403747</v>
      </c>
      <c r="H3516" s="6">
        <v>1246091.545482351</v>
      </c>
      <c r="I3516" s="6" t="s">
        <v>179</v>
      </c>
      <c r="J3516" s="15">
        <v>8</v>
      </c>
    </row>
    <row r="3517" spans="1:10">
      <c r="A3517" s="6" t="s">
        <v>143</v>
      </c>
      <c r="B3517" s="6" t="s">
        <v>86</v>
      </c>
      <c r="C3517" s="6" t="s">
        <v>227</v>
      </c>
      <c r="D3517" s="6">
        <v>54.21625</v>
      </c>
      <c r="E3517" s="6" t="s">
        <v>86</v>
      </c>
      <c r="F3517" s="6" t="s">
        <v>57</v>
      </c>
      <c r="G3517" s="7">
        <v>50057.03584104127</v>
      </c>
      <c r="H3517" s="6">
        <v>2713904.769416854</v>
      </c>
      <c r="I3517" s="6" t="s">
        <v>179</v>
      </c>
      <c r="J3517" s="15">
        <v>39</v>
      </c>
    </row>
    <row r="3518" spans="1:10">
      <c r="A3518" s="6" t="s">
        <v>143</v>
      </c>
      <c r="B3518" s="6" t="s">
        <v>90</v>
      </c>
      <c r="C3518" s="6" t="s">
        <v>228</v>
      </c>
      <c r="D3518" s="6">
        <v>84.26991666666666</v>
      </c>
      <c r="E3518" s="6" t="s">
        <v>86</v>
      </c>
      <c r="F3518" s="6" t="s">
        <v>51</v>
      </c>
      <c r="G3518" s="7">
        <v>55221.41986499156</v>
      </c>
      <c r="H3518" s="6">
        <v>4653504.45023785</v>
      </c>
      <c r="I3518" s="6" t="s">
        <v>180</v>
      </c>
      <c r="J3518" s="15">
        <v>10.933807156893</v>
      </c>
    </row>
    <row r="3519" spans="1:10">
      <c r="A3519" s="6" t="s">
        <v>143</v>
      </c>
      <c r="B3519" s="6" t="s">
        <v>86</v>
      </c>
      <c r="C3519" s="6" t="s">
        <v>229</v>
      </c>
      <c r="D3519" s="6">
        <v>44.88108333333333</v>
      </c>
      <c r="E3519" s="6" t="s">
        <v>86</v>
      </c>
      <c r="F3519" s="6" t="s">
        <v>53</v>
      </c>
      <c r="G3519" s="7">
        <v>21180.73880713652</v>
      </c>
      <c r="H3519" s="6">
        <v>950614.5034646612</v>
      </c>
      <c r="I3519" s="6" t="s">
        <v>179</v>
      </c>
      <c r="J3519" s="15">
        <v>5</v>
      </c>
    </row>
    <row r="3520" spans="1:10">
      <c r="A3520" s="6" t="s">
        <v>143</v>
      </c>
      <c r="B3520" s="6" t="s">
        <v>86</v>
      </c>
      <c r="C3520" s="6" t="s">
        <v>367</v>
      </c>
      <c r="D3520" s="6">
        <v>2.594833333333333</v>
      </c>
      <c r="E3520" s="6" t="s">
        <v>86</v>
      </c>
      <c r="F3520" s="6" t="s">
        <v>55</v>
      </c>
      <c r="G3520" s="7">
        <v>60915.58547543351</v>
      </c>
      <c r="H3520" s="6">
        <v>158065.7917111707</v>
      </c>
      <c r="I3520" s="6" t="s">
        <v>180</v>
      </c>
      <c r="J3520" s="15">
        <v>11.5455863690021</v>
      </c>
    </row>
    <row r="3521" spans="1:10">
      <c r="A3521" s="6" t="s">
        <v>143</v>
      </c>
      <c r="B3521" s="6" t="s">
        <v>86</v>
      </c>
      <c r="C3521" s="6" t="s">
        <v>230</v>
      </c>
      <c r="D3521" s="6">
        <v>63.41158333333333</v>
      </c>
      <c r="E3521" s="6" t="s">
        <v>86</v>
      </c>
      <c r="F3521" s="6" t="s">
        <v>53</v>
      </c>
      <c r="G3521" s="7">
        <v>31425.98001427314</v>
      </c>
      <c r="H3521" s="6">
        <v>1992771.150506749</v>
      </c>
      <c r="I3521" s="6" t="s">
        <v>179</v>
      </c>
      <c r="J3521" s="15">
        <v>8</v>
      </c>
    </row>
    <row r="3522" spans="1:10">
      <c r="A3522" s="6" t="s">
        <v>143</v>
      </c>
      <c r="B3522" s="6" t="s">
        <v>86</v>
      </c>
      <c r="C3522" s="6" t="s">
        <v>378</v>
      </c>
      <c r="D3522" s="6">
        <v>4.6905</v>
      </c>
      <c r="E3522" s="6" t="s">
        <v>86</v>
      </c>
      <c r="F3522" s="6" t="s">
        <v>51</v>
      </c>
      <c r="G3522" s="7">
        <v>54762.15567895858</v>
      </c>
      <c r="H3522" s="6">
        <v>256861.8912121552</v>
      </c>
      <c r="I3522" s="6" t="s">
        <v>180</v>
      </c>
      <c r="J3522" s="15">
        <v>9.696393169391754</v>
      </c>
    </row>
    <row r="3523" spans="1:10">
      <c r="A3523" s="6" t="s">
        <v>143</v>
      </c>
      <c r="B3523" s="6" t="s">
        <v>86</v>
      </c>
      <c r="C3523" s="6" t="s">
        <v>231</v>
      </c>
      <c r="D3523" s="6">
        <v>25.65958333333333</v>
      </c>
      <c r="E3523" s="6" t="s">
        <v>86</v>
      </c>
      <c r="F3523" s="6" t="s">
        <v>52</v>
      </c>
      <c r="G3523" s="7">
        <v>92791.93151714627</v>
      </c>
      <c r="H3523" s="6">
        <v>2381002.299425174</v>
      </c>
      <c r="I3523" s="6" t="s">
        <v>179</v>
      </c>
      <c r="J3523" s="15">
        <v>46</v>
      </c>
    </row>
    <row r="3524" spans="1:10">
      <c r="A3524" s="6" t="s">
        <v>143</v>
      </c>
      <c r="B3524" s="6" t="s">
        <v>86</v>
      </c>
      <c r="C3524" s="6" t="s">
        <v>346</v>
      </c>
      <c r="D3524" s="6">
        <v>15.90741666666667</v>
      </c>
      <c r="E3524" s="6" t="s">
        <v>86</v>
      </c>
      <c r="F3524" s="6" t="s">
        <v>52</v>
      </c>
      <c r="G3524" s="7">
        <v>91431.43065714603</v>
      </c>
      <c r="H3524" s="6">
        <v>1454437.863892662</v>
      </c>
      <c r="I3524" s="6" t="s">
        <v>179</v>
      </c>
      <c r="J3524" s="15">
        <v>46</v>
      </c>
    </row>
    <row r="3525" spans="1:10">
      <c r="A3525" s="6" t="s">
        <v>143</v>
      </c>
      <c r="B3525" s="6" t="s">
        <v>86</v>
      </c>
      <c r="C3525" s="6" t="s">
        <v>232</v>
      </c>
      <c r="D3525" s="6">
        <v>13.26591666666667</v>
      </c>
      <c r="E3525" s="6" t="s">
        <v>86</v>
      </c>
      <c r="F3525" s="6" t="s">
        <v>51</v>
      </c>
      <c r="G3525" s="7">
        <v>50639.92494996203</v>
      </c>
      <c r="H3525" s="6">
        <v>671785.0243924505</v>
      </c>
      <c r="I3525" s="6" t="s">
        <v>180</v>
      </c>
      <c r="J3525" s="15">
        <v>8.457604187732773</v>
      </c>
    </row>
    <row r="3526" spans="1:10">
      <c r="A3526" s="6" t="s">
        <v>143</v>
      </c>
      <c r="B3526" s="6" t="s">
        <v>86</v>
      </c>
      <c r="C3526" s="6" t="s">
        <v>233</v>
      </c>
      <c r="D3526" s="6">
        <v>102.8916666666667</v>
      </c>
      <c r="E3526" s="6" t="s">
        <v>86</v>
      </c>
      <c r="F3526" s="6" t="s">
        <v>59</v>
      </c>
      <c r="G3526" s="7">
        <v>42805.8355381377</v>
      </c>
      <c r="H3526" s="6">
        <v>4404363.761578218</v>
      </c>
      <c r="I3526" s="6" t="s">
        <v>179</v>
      </c>
      <c r="J3526" s="15">
        <v>27.26666666666667</v>
      </c>
    </row>
    <row r="3527" spans="1:10">
      <c r="A3527" s="6" t="s">
        <v>143</v>
      </c>
      <c r="B3527" s="6" t="s">
        <v>86</v>
      </c>
      <c r="C3527" s="6" t="s">
        <v>234</v>
      </c>
      <c r="D3527" s="6">
        <v>85.14341666666667</v>
      </c>
      <c r="E3527" s="6" t="s">
        <v>86</v>
      </c>
      <c r="F3527" s="6" t="s">
        <v>56</v>
      </c>
      <c r="G3527" s="7">
        <v>61798.18645536575</v>
      </c>
      <c r="H3527" s="6">
        <v>5261708.738613563</v>
      </c>
      <c r="I3527" s="6" t="s">
        <v>179</v>
      </c>
      <c r="J3527" s="15">
        <v>49</v>
      </c>
    </row>
    <row r="3528" spans="1:10">
      <c r="A3528" s="6" t="s">
        <v>143</v>
      </c>
      <c r="B3528" s="6" t="s">
        <v>86</v>
      </c>
      <c r="C3528" s="6" t="s">
        <v>235</v>
      </c>
      <c r="D3528" s="6">
        <v>0.11575</v>
      </c>
      <c r="E3528" s="6" t="s">
        <v>86</v>
      </c>
      <c r="F3528" s="6" t="s">
        <v>53</v>
      </c>
      <c r="G3528" s="7">
        <v>36703.49839619301</v>
      </c>
      <c r="H3528" s="6">
        <v>4248.429939359341</v>
      </c>
      <c r="I3528" s="6" t="s">
        <v>180</v>
      </c>
      <c r="J3528" s="15">
        <v>4.269509732692095</v>
      </c>
    </row>
    <row r="3529" spans="1:10">
      <c r="A3529" s="6" t="s">
        <v>143</v>
      </c>
      <c r="B3529" s="6" t="s">
        <v>86</v>
      </c>
      <c r="C3529" s="6" t="s">
        <v>236</v>
      </c>
      <c r="D3529" s="6">
        <v>696.9534166666667</v>
      </c>
      <c r="E3529" s="6" t="s">
        <v>86</v>
      </c>
      <c r="F3529" s="6" t="s">
        <v>51</v>
      </c>
      <c r="G3529" s="7">
        <v>45192.70977200848</v>
      </c>
      <c r="H3529" s="6">
        <v>31497213.48402636</v>
      </c>
      <c r="I3529" s="6" t="s">
        <v>179</v>
      </c>
      <c r="J3529" s="15">
        <v>44.98333333333333</v>
      </c>
    </row>
    <row r="3530" spans="1:10">
      <c r="A3530" s="6" t="s">
        <v>143</v>
      </c>
      <c r="B3530" s="6" t="s">
        <v>86</v>
      </c>
      <c r="C3530" s="6" t="s">
        <v>237</v>
      </c>
      <c r="D3530" s="6">
        <v>29.70883333333333</v>
      </c>
      <c r="E3530" s="6" t="s">
        <v>86</v>
      </c>
      <c r="F3530" s="6" t="s">
        <v>51</v>
      </c>
      <c r="G3530" s="7">
        <v>63094.71676521076</v>
      </c>
      <c r="H3530" s="6">
        <v>1874470.424591519</v>
      </c>
      <c r="I3530" s="6" t="s">
        <v>179</v>
      </c>
      <c r="J3530" s="15">
        <v>44</v>
      </c>
    </row>
    <row r="3531" spans="1:10">
      <c r="A3531" s="6" t="s">
        <v>143</v>
      </c>
      <c r="B3531" s="6" t="s">
        <v>86</v>
      </c>
      <c r="C3531" s="6" t="s">
        <v>238</v>
      </c>
      <c r="D3531" s="6">
        <v>120.2070833333333</v>
      </c>
      <c r="E3531" s="6" t="s">
        <v>86</v>
      </c>
      <c r="F3531" s="6" t="s">
        <v>51</v>
      </c>
      <c r="G3531" s="7">
        <v>52817.93378501572</v>
      </c>
      <c r="H3531" s="6">
        <v>6349089.767989867</v>
      </c>
      <c r="I3531" s="6" t="s">
        <v>180</v>
      </c>
      <c r="J3531" s="15">
        <v>9.112126829525121</v>
      </c>
    </row>
    <row r="3532" spans="1:10">
      <c r="A3532" s="6" t="s">
        <v>143</v>
      </c>
      <c r="B3532" s="6" t="s">
        <v>86</v>
      </c>
      <c r="C3532" s="6" t="s">
        <v>239</v>
      </c>
      <c r="D3532" s="6">
        <v>147.8734166666667</v>
      </c>
      <c r="E3532" s="6" t="s">
        <v>86</v>
      </c>
      <c r="F3532" s="6" t="s">
        <v>54</v>
      </c>
      <c r="G3532" s="7">
        <v>81786.38878957105</v>
      </c>
      <c r="H3532" s="6">
        <v>12094032.74714223</v>
      </c>
      <c r="I3532" s="6" t="s">
        <v>179</v>
      </c>
      <c r="J3532" s="15">
        <v>44.55</v>
      </c>
    </row>
    <row r="3533" spans="1:10">
      <c r="A3533" s="6" t="s">
        <v>143</v>
      </c>
      <c r="B3533" s="6" t="s">
        <v>86</v>
      </c>
      <c r="C3533" s="6" t="s">
        <v>379</v>
      </c>
      <c r="D3533" s="6">
        <v>2.812083333333333</v>
      </c>
      <c r="E3533" s="6" t="s">
        <v>86</v>
      </c>
      <c r="F3533" s="6" t="s">
        <v>51</v>
      </c>
      <c r="G3533" s="7">
        <v>75094.96404458805</v>
      </c>
      <c r="H3533" s="6">
        <v>211173.296807052</v>
      </c>
      <c r="I3533" s="6" t="s">
        <v>180</v>
      </c>
      <c r="J3533" s="15">
        <v>15.80669136118093</v>
      </c>
    </row>
    <row r="3534" spans="1:10">
      <c r="A3534" s="6" t="s">
        <v>143</v>
      </c>
      <c r="B3534" s="6" t="s">
        <v>90</v>
      </c>
      <c r="C3534" s="6" t="s">
        <v>347</v>
      </c>
      <c r="D3534" s="6">
        <v>1.9025</v>
      </c>
      <c r="E3534" s="6" t="s">
        <v>86</v>
      </c>
      <c r="F3534" s="6" t="s">
        <v>52</v>
      </c>
      <c r="G3534" s="7">
        <v>59918.03179942394</v>
      </c>
      <c r="H3534" s="6">
        <v>113994.0554984041</v>
      </c>
      <c r="I3534" s="6" t="s">
        <v>180</v>
      </c>
      <c r="J3534" s="15">
        <v>12.43871031134531</v>
      </c>
    </row>
    <row r="3535" spans="1:10">
      <c r="A3535" s="6" t="s">
        <v>143</v>
      </c>
      <c r="B3535" s="6" t="s">
        <v>86</v>
      </c>
      <c r="C3535" s="6" t="s">
        <v>368</v>
      </c>
      <c r="D3535" s="6">
        <v>0.6507500000000001</v>
      </c>
      <c r="E3535" s="6" t="s">
        <v>86</v>
      </c>
      <c r="F3535" s="6" t="s">
        <v>55</v>
      </c>
      <c r="G3535" s="7">
        <v>60407.98176689334</v>
      </c>
      <c r="H3535" s="6">
        <v>39310.49413480584</v>
      </c>
      <c r="I3535" s="6" t="s">
        <v>180</v>
      </c>
      <c r="J3535" s="15">
        <v>11.3930442328316</v>
      </c>
    </row>
    <row r="3536" spans="1:10">
      <c r="A3536" s="6" t="s">
        <v>143</v>
      </c>
      <c r="B3536" s="6" t="s">
        <v>86</v>
      </c>
      <c r="C3536" s="6" t="s">
        <v>240</v>
      </c>
      <c r="D3536" s="6">
        <v>4.693</v>
      </c>
      <c r="E3536" s="6" t="s">
        <v>86</v>
      </c>
      <c r="F3536" s="6" t="s">
        <v>51</v>
      </c>
      <c r="G3536" s="7">
        <v>53422.25984326284</v>
      </c>
      <c r="H3536" s="6">
        <v>250710.6654444325</v>
      </c>
      <c r="I3536" s="6" t="s">
        <v>180</v>
      </c>
      <c r="J3536" s="15">
        <v>9.293735407865949</v>
      </c>
    </row>
    <row r="3537" spans="1:10">
      <c r="A3537" s="6" t="s">
        <v>143</v>
      </c>
      <c r="B3537" s="6" t="s">
        <v>86</v>
      </c>
      <c r="C3537" s="6" t="s">
        <v>241</v>
      </c>
      <c r="D3537" s="6">
        <v>40.09008333333334</v>
      </c>
      <c r="E3537" s="6" t="s">
        <v>86</v>
      </c>
      <c r="F3537" s="6" t="s">
        <v>53</v>
      </c>
      <c r="G3537" s="7">
        <v>43071.21343853512</v>
      </c>
      <c r="H3537" s="6">
        <v>1726728.53601866</v>
      </c>
      <c r="I3537" s="6" t="s">
        <v>179</v>
      </c>
      <c r="J3537" s="15">
        <v>8.983333333333333</v>
      </c>
    </row>
    <row r="3538" spans="1:10">
      <c r="A3538" s="6" t="s">
        <v>143</v>
      </c>
      <c r="B3538" s="6" t="s">
        <v>86</v>
      </c>
      <c r="C3538" s="6" t="s">
        <v>242</v>
      </c>
      <c r="D3538" s="6">
        <v>206.3644166666667</v>
      </c>
      <c r="E3538" s="6" t="s">
        <v>86</v>
      </c>
      <c r="F3538" s="6" t="s">
        <v>56</v>
      </c>
      <c r="G3538" s="7">
        <v>57221.26624687723</v>
      </c>
      <c r="H3538" s="6">
        <v>11808433.22996484</v>
      </c>
      <c r="I3538" s="6" t="s">
        <v>179</v>
      </c>
      <c r="J3538" s="15">
        <v>35.83333333333333</v>
      </c>
    </row>
    <row r="3539" spans="1:10">
      <c r="A3539" s="6" t="s">
        <v>143</v>
      </c>
      <c r="B3539" s="6" t="s">
        <v>86</v>
      </c>
      <c r="C3539" s="6" t="s">
        <v>243</v>
      </c>
      <c r="D3539" s="6">
        <v>0.181</v>
      </c>
      <c r="E3539" s="6" t="s">
        <v>86</v>
      </c>
      <c r="F3539" s="6" t="s">
        <v>58</v>
      </c>
      <c r="G3539" s="7">
        <v>65690.85748623914</v>
      </c>
      <c r="H3539" s="6">
        <v>11890.04520500928</v>
      </c>
      <c r="I3539" s="6" t="s">
        <v>180</v>
      </c>
      <c r="J3539" s="15">
        <v>12.98062354676108</v>
      </c>
    </row>
    <row r="3540" spans="1:10">
      <c r="A3540" s="6" t="s">
        <v>143</v>
      </c>
      <c r="B3540" s="6" t="s">
        <v>86</v>
      </c>
      <c r="C3540" s="6" t="s">
        <v>369</v>
      </c>
      <c r="D3540" s="6">
        <v>1.146</v>
      </c>
      <c r="E3540" s="6" t="s">
        <v>86</v>
      </c>
      <c r="F3540" s="6" t="s">
        <v>55</v>
      </c>
      <c r="G3540" s="7">
        <v>60294.88113470585</v>
      </c>
      <c r="H3540" s="6">
        <v>69097.93378037291</v>
      </c>
      <c r="I3540" s="6" t="s">
        <v>180</v>
      </c>
      <c r="J3540" s="15">
        <v>11.35905588375959</v>
      </c>
    </row>
    <row r="3541" spans="1:10">
      <c r="A3541" s="6" t="s">
        <v>143</v>
      </c>
      <c r="B3541" s="6" t="s">
        <v>86</v>
      </c>
      <c r="C3541" s="6" t="s">
        <v>244</v>
      </c>
      <c r="D3541" s="6">
        <v>9.708083333333333</v>
      </c>
      <c r="E3541" s="6" t="s">
        <v>86</v>
      </c>
      <c r="F3541" s="6" t="s">
        <v>55</v>
      </c>
      <c r="G3541" s="7">
        <v>58783.58446736775</v>
      </c>
      <c r="H3541" s="6">
        <v>570675.936641245</v>
      </c>
      <c r="I3541" s="6" t="s">
        <v>180</v>
      </c>
      <c r="J3541" s="15">
        <v>10.90488973377989</v>
      </c>
    </row>
    <row r="3542" spans="1:10">
      <c r="A3542" s="6" t="s">
        <v>143</v>
      </c>
      <c r="B3542" s="6" t="s">
        <v>86</v>
      </c>
      <c r="C3542" s="6" t="s">
        <v>245</v>
      </c>
      <c r="D3542" s="6">
        <v>85.00916666666667</v>
      </c>
      <c r="E3542" s="6" t="s">
        <v>86</v>
      </c>
      <c r="F3542" s="6" t="s">
        <v>53</v>
      </c>
      <c r="G3542" s="7">
        <v>25664.32175307323</v>
      </c>
      <c r="H3542" s="6">
        <v>2181702.605293961</v>
      </c>
      <c r="I3542" s="6" t="s">
        <v>179</v>
      </c>
      <c r="J3542" s="15">
        <v>6.05</v>
      </c>
    </row>
    <row r="3543" spans="1:10">
      <c r="A3543" s="6" t="s">
        <v>143</v>
      </c>
      <c r="B3543" s="6" t="s">
        <v>86</v>
      </c>
      <c r="C3543" s="6" t="s">
        <v>246</v>
      </c>
      <c r="D3543" s="6">
        <v>0.05316666666666667</v>
      </c>
      <c r="E3543" s="6" t="s">
        <v>86</v>
      </c>
      <c r="F3543" s="6" t="s">
        <v>53</v>
      </c>
      <c r="G3543" s="7">
        <v>34748.35236673716</v>
      </c>
      <c r="H3543" s="6">
        <v>1847.454067498192</v>
      </c>
      <c r="I3543" s="6" t="s">
        <v>180</v>
      </c>
      <c r="J3543" s="15">
        <v>3.681960534684491</v>
      </c>
    </row>
    <row r="3544" spans="1:10">
      <c r="A3544" s="6" t="s">
        <v>143</v>
      </c>
      <c r="B3544" s="6" t="s">
        <v>86</v>
      </c>
      <c r="C3544" s="6" t="s">
        <v>348</v>
      </c>
      <c r="D3544" s="6">
        <v>149.8928333333333</v>
      </c>
      <c r="E3544" s="6" t="s">
        <v>86</v>
      </c>
      <c r="F3544" s="6" t="s">
        <v>52</v>
      </c>
      <c r="G3544" s="7">
        <v>86810.6381175656</v>
      </c>
      <c r="H3544" s="6">
        <v>13012292.51091657</v>
      </c>
      <c r="I3544" s="6" t="s">
        <v>179</v>
      </c>
      <c r="J3544" s="15">
        <v>67</v>
      </c>
    </row>
    <row r="3545" spans="1:10">
      <c r="A3545" s="6" t="s">
        <v>143</v>
      </c>
      <c r="B3545" s="6" t="s">
        <v>90</v>
      </c>
      <c r="C3545" s="6" t="s">
        <v>349</v>
      </c>
      <c r="D3545" s="6">
        <v>4.857916666666667</v>
      </c>
      <c r="E3545" s="6" t="s">
        <v>86</v>
      </c>
      <c r="F3545" s="6" t="s">
        <v>52</v>
      </c>
      <c r="G3545" s="7">
        <v>59918.03179942394</v>
      </c>
      <c r="H3545" s="6">
        <v>291076.8053122849</v>
      </c>
      <c r="I3545" s="6" t="s">
        <v>180</v>
      </c>
      <c r="J3545" s="15">
        <v>12.43871031134531</v>
      </c>
    </row>
    <row r="3546" spans="1:10">
      <c r="A3546" s="6" t="s">
        <v>143</v>
      </c>
      <c r="B3546" s="6" t="s">
        <v>90</v>
      </c>
      <c r="C3546" s="6" t="s">
        <v>350</v>
      </c>
      <c r="D3546" s="6">
        <v>34.47208333333333</v>
      </c>
      <c r="E3546" s="6" t="s">
        <v>86</v>
      </c>
      <c r="F3546" s="6" t="s">
        <v>52</v>
      </c>
      <c r="G3546" s="7">
        <v>59918.03179942394</v>
      </c>
      <c r="H3546" s="6">
        <v>2065499.385359058</v>
      </c>
      <c r="I3546" s="6" t="s">
        <v>180</v>
      </c>
      <c r="J3546" s="15">
        <v>12.43871031134531</v>
      </c>
    </row>
    <row r="3547" spans="1:10">
      <c r="A3547" s="6" t="s">
        <v>143</v>
      </c>
      <c r="B3547" s="6" t="s">
        <v>86</v>
      </c>
      <c r="C3547" s="6" t="s">
        <v>247</v>
      </c>
      <c r="D3547" s="6">
        <v>262.3814166666667</v>
      </c>
      <c r="E3547" s="6" t="s">
        <v>86</v>
      </c>
      <c r="F3547" s="6" t="s">
        <v>51</v>
      </c>
      <c r="G3547" s="7">
        <v>47796.79242260937</v>
      </c>
      <c r="H3547" s="6">
        <v>12540990.10796685</v>
      </c>
      <c r="I3547" s="6" t="s">
        <v>179</v>
      </c>
      <c r="J3547" s="15">
        <v>27.70833333333334</v>
      </c>
    </row>
    <row r="3548" spans="1:10">
      <c r="A3548" s="6" t="s">
        <v>143</v>
      </c>
      <c r="B3548" s="6" t="s">
        <v>86</v>
      </c>
      <c r="C3548" s="6" t="s">
        <v>248</v>
      </c>
      <c r="D3548" s="6">
        <v>22.72116666666667</v>
      </c>
      <c r="E3548" s="6" t="s">
        <v>86</v>
      </c>
      <c r="F3548" s="6" t="s">
        <v>55</v>
      </c>
      <c r="G3548" s="7">
        <v>106714.629788976</v>
      </c>
      <c r="H3548" s="6">
        <v>2424680.889206957</v>
      </c>
      <c r="I3548" s="6" t="s">
        <v>179</v>
      </c>
      <c r="J3548" s="15">
        <v>59</v>
      </c>
    </row>
    <row r="3549" spans="1:10">
      <c r="A3549" s="6" t="s">
        <v>143</v>
      </c>
      <c r="B3549" s="6" t="s">
        <v>86</v>
      </c>
      <c r="C3549" s="6" t="s">
        <v>249</v>
      </c>
      <c r="D3549" s="6">
        <v>244.6179166666666</v>
      </c>
      <c r="E3549" s="6" t="s">
        <v>86</v>
      </c>
      <c r="F3549" s="6" t="s">
        <v>53</v>
      </c>
      <c r="G3549" s="7">
        <v>26147.16905457934</v>
      </c>
      <c r="H3549" s="6">
        <v>6396066.020862333</v>
      </c>
      <c r="I3549" s="6" t="s">
        <v>179</v>
      </c>
      <c r="J3549" s="15">
        <v>8</v>
      </c>
    </row>
    <row r="3550" spans="1:10">
      <c r="A3550" s="6" t="s">
        <v>143</v>
      </c>
      <c r="B3550" s="6" t="s">
        <v>86</v>
      </c>
      <c r="C3550" s="6" t="s">
        <v>351</v>
      </c>
      <c r="D3550" s="6">
        <v>3.166666666666667</v>
      </c>
      <c r="E3550" s="6" t="s">
        <v>86</v>
      </c>
      <c r="F3550" s="6" t="s">
        <v>53</v>
      </c>
      <c r="G3550" s="7">
        <v>56922.31407124049</v>
      </c>
      <c r="H3550" s="6">
        <v>180253.9945589282</v>
      </c>
      <c r="I3550" s="6" t="s">
        <v>179</v>
      </c>
      <c r="J3550" s="15">
        <v>9</v>
      </c>
    </row>
    <row r="3551" spans="1:10">
      <c r="A3551" s="6" t="s">
        <v>143</v>
      </c>
      <c r="B3551" s="6" t="s">
        <v>90</v>
      </c>
      <c r="C3551" s="6" t="s">
        <v>352</v>
      </c>
      <c r="D3551" s="6">
        <v>45.72716666666666</v>
      </c>
      <c r="E3551" s="6" t="s">
        <v>86</v>
      </c>
      <c r="F3551" s="6" t="s">
        <v>52</v>
      </c>
      <c r="G3551" s="7">
        <v>59918.03179942394</v>
      </c>
      <c r="H3551" s="6">
        <v>2739881.826430891</v>
      </c>
      <c r="I3551" s="6" t="s">
        <v>180</v>
      </c>
      <c r="J3551" s="15">
        <v>12.43871031134531</v>
      </c>
    </row>
    <row r="3552" spans="1:10">
      <c r="A3552" s="6" t="s">
        <v>143</v>
      </c>
      <c r="B3552" s="6" t="s">
        <v>86</v>
      </c>
      <c r="C3552" s="6" t="s">
        <v>250</v>
      </c>
      <c r="D3552" s="6">
        <v>8.253916666666667</v>
      </c>
      <c r="E3552" s="6" t="s">
        <v>86</v>
      </c>
      <c r="F3552" s="6" t="s">
        <v>55</v>
      </c>
      <c r="G3552" s="7">
        <v>66086.58612630059</v>
      </c>
      <c r="H3552" s="6">
        <v>545473.1746709746</v>
      </c>
      <c r="I3552" s="6" t="s">
        <v>180</v>
      </c>
      <c r="J3552" s="15">
        <v>13.09954563319033</v>
      </c>
    </row>
    <row r="3553" spans="1:10">
      <c r="A3553" s="6" t="s">
        <v>143</v>
      </c>
      <c r="B3553" s="6" t="s">
        <v>86</v>
      </c>
      <c r="C3553" s="6" t="s">
        <v>251</v>
      </c>
      <c r="D3553" s="6">
        <v>1.854583333333333</v>
      </c>
      <c r="E3553" s="6" t="s">
        <v>86</v>
      </c>
      <c r="F3553" s="6" t="s">
        <v>53</v>
      </c>
      <c r="G3553" s="7">
        <v>37508.53710293493</v>
      </c>
      <c r="H3553" s="6">
        <v>69562.70776881807</v>
      </c>
      <c r="I3553" s="6" t="s">
        <v>179</v>
      </c>
      <c r="J3553" s="15">
        <v>5.316666666666666</v>
      </c>
    </row>
    <row r="3554" spans="1:10">
      <c r="A3554" s="6" t="s">
        <v>143</v>
      </c>
      <c r="B3554" s="6" t="s">
        <v>86</v>
      </c>
      <c r="C3554" s="6" t="s">
        <v>252</v>
      </c>
      <c r="D3554" s="6">
        <v>35.59050000000001</v>
      </c>
      <c r="E3554" s="6" t="s">
        <v>86</v>
      </c>
      <c r="F3554" s="6" t="s">
        <v>57</v>
      </c>
      <c r="G3554" s="7">
        <v>46102.94284291674</v>
      </c>
      <c r="H3554" s="6">
        <v>1640826.787250828</v>
      </c>
      <c r="I3554" s="6" t="s">
        <v>179</v>
      </c>
      <c r="J3554" s="15">
        <v>35.93333333333333</v>
      </c>
    </row>
    <row r="3555" spans="1:10">
      <c r="A3555" s="6" t="s">
        <v>143</v>
      </c>
      <c r="B3555" s="6" t="s">
        <v>86</v>
      </c>
      <c r="C3555" s="6" t="s">
        <v>253</v>
      </c>
      <c r="D3555" s="6">
        <v>35.02825</v>
      </c>
      <c r="E3555" s="6" t="s">
        <v>86</v>
      </c>
      <c r="F3555" s="6" t="s">
        <v>53</v>
      </c>
      <c r="G3555" s="7">
        <v>38500.53307646881</v>
      </c>
      <c r="H3555" s="6">
        <v>1348606.297735819</v>
      </c>
      <c r="I3555" s="6" t="s">
        <v>179</v>
      </c>
      <c r="J3555" s="15">
        <v>7.241666666666667</v>
      </c>
    </row>
    <row r="3556" spans="1:10">
      <c r="A3556" s="6" t="s">
        <v>143</v>
      </c>
      <c r="B3556" s="6" t="s">
        <v>86</v>
      </c>
      <c r="C3556" s="6" t="s">
        <v>353</v>
      </c>
      <c r="D3556" s="6">
        <v>2.026833333333333</v>
      </c>
      <c r="E3556" s="6" t="s">
        <v>86</v>
      </c>
      <c r="F3556" s="6" t="s">
        <v>62</v>
      </c>
      <c r="G3556" s="7">
        <v>81005.34654028571</v>
      </c>
      <c r="H3556" s="6">
        <v>164184.3365460691</v>
      </c>
      <c r="I3556" s="6" t="s">
        <v>179</v>
      </c>
      <c r="J3556" s="15">
        <v>102.3</v>
      </c>
    </row>
    <row r="3557" spans="1:10">
      <c r="A3557" s="6" t="s">
        <v>143</v>
      </c>
      <c r="B3557" s="6" t="s">
        <v>86</v>
      </c>
      <c r="C3557" s="6" t="s">
        <v>254</v>
      </c>
      <c r="D3557" s="6">
        <v>1.061833333333333</v>
      </c>
      <c r="E3557" s="6" t="s">
        <v>86</v>
      </c>
      <c r="F3557" s="6" t="s">
        <v>51</v>
      </c>
      <c r="G3557" s="7">
        <v>51614.23657191667</v>
      </c>
      <c r="H3557" s="6">
        <v>54805.71686661352</v>
      </c>
      <c r="I3557" s="6" t="s">
        <v>180</v>
      </c>
      <c r="J3557" s="15">
        <v>8.750398691807874</v>
      </c>
    </row>
    <row r="3558" spans="1:10">
      <c r="A3558" s="6" t="s">
        <v>143</v>
      </c>
      <c r="B3558" s="6" t="s">
        <v>86</v>
      </c>
      <c r="C3558" s="6" t="s">
        <v>255</v>
      </c>
      <c r="D3558" s="6">
        <v>8.641916666666667</v>
      </c>
      <c r="E3558" s="6" t="s">
        <v>86</v>
      </c>
      <c r="F3558" s="6" t="s">
        <v>51</v>
      </c>
      <c r="G3558" s="7">
        <v>73355.33392821437</v>
      </c>
      <c r="H3558" s="6">
        <v>633930.6828631345</v>
      </c>
      <c r="I3558" s="6" t="s">
        <v>180</v>
      </c>
      <c r="J3558" s="15">
        <v>15.28390776123177</v>
      </c>
    </row>
    <row r="3559" spans="1:10">
      <c r="A3559" s="6" t="s">
        <v>143</v>
      </c>
      <c r="B3559" s="6" t="s">
        <v>86</v>
      </c>
      <c r="C3559" s="6" t="s">
        <v>256</v>
      </c>
      <c r="D3559" s="6">
        <v>0.2656666666666666</v>
      </c>
      <c r="E3559" s="6" t="s">
        <v>86</v>
      </c>
      <c r="F3559" s="6" t="s">
        <v>57</v>
      </c>
      <c r="G3559" s="7">
        <v>51479.56712363959</v>
      </c>
      <c r="H3559" s="6">
        <v>13676.40499918025</v>
      </c>
      <c r="I3559" s="6" t="s">
        <v>180</v>
      </c>
      <c r="J3559" s="15">
        <v>8.709928606638151</v>
      </c>
    </row>
    <row r="3560" spans="1:10">
      <c r="A3560" s="6" t="s">
        <v>143</v>
      </c>
      <c r="B3560" s="6" t="s">
        <v>86</v>
      </c>
      <c r="C3560" s="6" t="s">
        <v>257</v>
      </c>
      <c r="D3560" s="6">
        <v>32.68791666666667</v>
      </c>
      <c r="E3560" s="6" t="s">
        <v>86</v>
      </c>
      <c r="F3560" s="6" t="s">
        <v>52</v>
      </c>
      <c r="G3560" s="7">
        <v>92031.68978853835</v>
      </c>
      <c r="H3560" s="6">
        <v>3008324.206500259</v>
      </c>
      <c r="I3560" s="6" t="s">
        <v>179</v>
      </c>
      <c r="J3560" s="15">
        <v>47</v>
      </c>
    </row>
    <row r="3561" spans="1:10">
      <c r="A3561" s="6" t="s">
        <v>143</v>
      </c>
      <c r="B3561" s="6" t="s">
        <v>86</v>
      </c>
      <c r="C3561" s="6" t="s">
        <v>258</v>
      </c>
      <c r="D3561" s="6">
        <v>14.84858333333333</v>
      </c>
      <c r="E3561" s="6" t="s">
        <v>86</v>
      </c>
      <c r="F3561" s="6" t="s">
        <v>52</v>
      </c>
      <c r="G3561" s="7">
        <v>85328.84139394178</v>
      </c>
      <c r="H3561" s="6">
        <v>1267012.412174727</v>
      </c>
      <c r="I3561" s="6" t="s">
        <v>179</v>
      </c>
      <c r="J3561" s="15">
        <v>40.5</v>
      </c>
    </row>
    <row r="3562" spans="1:10">
      <c r="A3562" s="6" t="s">
        <v>143</v>
      </c>
      <c r="B3562" s="6" t="s">
        <v>86</v>
      </c>
      <c r="C3562" s="6" t="s">
        <v>259</v>
      </c>
      <c r="D3562" s="6">
        <v>89.57241666666667</v>
      </c>
      <c r="E3562" s="6" t="s">
        <v>86</v>
      </c>
      <c r="F3562" s="6" t="s">
        <v>56</v>
      </c>
      <c r="G3562" s="7">
        <v>59850.06651982686</v>
      </c>
      <c r="H3562" s="6">
        <v>5360915.095841648</v>
      </c>
      <c r="I3562" s="6" t="s">
        <v>179</v>
      </c>
      <c r="J3562" s="15">
        <v>61.94166666666666</v>
      </c>
    </row>
    <row r="3563" spans="1:10">
      <c r="A3563" s="6" t="s">
        <v>143</v>
      </c>
      <c r="B3563" s="6" t="s">
        <v>86</v>
      </c>
      <c r="C3563" s="6" t="s">
        <v>260</v>
      </c>
      <c r="D3563" s="6">
        <v>4943.98825</v>
      </c>
      <c r="E3563" s="6" t="s">
        <v>86</v>
      </c>
      <c r="F3563" s="6" t="s">
        <v>52</v>
      </c>
      <c r="G3563" s="7">
        <v>56913.67510083943</v>
      </c>
      <c r="H3563" s="6">
        <v>281380540.9628677</v>
      </c>
      <c r="I3563" s="6" t="s">
        <v>179</v>
      </c>
      <c r="J3563" s="15">
        <v>53.18333333333334</v>
      </c>
    </row>
    <row r="3564" spans="1:10">
      <c r="A3564" s="6" t="s">
        <v>143</v>
      </c>
      <c r="B3564" s="6" t="s">
        <v>86</v>
      </c>
      <c r="C3564" s="6" t="s">
        <v>261</v>
      </c>
      <c r="D3564" s="6">
        <v>0.3904166666666666</v>
      </c>
      <c r="E3564" s="6" t="s">
        <v>86</v>
      </c>
      <c r="F3564" s="6" t="s">
        <v>54</v>
      </c>
      <c r="G3564" s="7">
        <v>65516.52158123471</v>
      </c>
      <c r="H3564" s="6">
        <v>25578.74196734038</v>
      </c>
      <c r="I3564" s="6" t="s">
        <v>180</v>
      </c>
      <c r="J3564" s="15">
        <v>12.92823312700416</v>
      </c>
    </row>
    <row r="3565" spans="1:10">
      <c r="A3565" s="6" t="s">
        <v>143</v>
      </c>
      <c r="B3565" s="6" t="s">
        <v>86</v>
      </c>
      <c r="C3565" s="6" t="s">
        <v>262</v>
      </c>
      <c r="D3565" s="6">
        <v>70.566</v>
      </c>
      <c r="E3565" s="6" t="s">
        <v>86</v>
      </c>
      <c r="F3565" s="6" t="s">
        <v>51</v>
      </c>
      <c r="G3565" s="7">
        <v>49180.16248136549</v>
      </c>
      <c r="H3565" s="6">
        <v>3470447.345660037</v>
      </c>
      <c r="I3565" s="6" t="s">
        <v>179</v>
      </c>
      <c r="J3565" s="15">
        <v>85</v>
      </c>
    </row>
    <row r="3566" spans="1:10">
      <c r="A3566" s="6" t="s">
        <v>143</v>
      </c>
      <c r="B3566" s="6" t="s">
        <v>90</v>
      </c>
      <c r="C3566" s="6" t="s">
        <v>263</v>
      </c>
      <c r="D3566" s="6">
        <v>62.574</v>
      </c>
      <c r="E3566" s="6" t="s">
        <v>86</v>
      </c>
      <c r="F3566" s="6" t="s">
        <v>54</v>
      </c>
      <c r="G3566" s="7">
        <v>65896.61824279206</v>
      </c>
      <c r="H3566" s="6">
        <v>4123414.98992447</v>
      </c>
      <c r="I3566" s="6" t="s">
        <v>179</v>
      </c>
      <c r="J3566" s="15">
        <v>46.91666666666666</v>
      </c>
    </row>
    <row r="3567" spans="1:10">
      <c r="A3567" s="6" t="s">
        <v>143</v>
      </c>
      <c r="B3567" s="6" t="s">
        <v>86</v>
      </c>
      <c r="C3567" s="6" t="s">
        <v>264</v>
      </c>
      <c r="D3567" s="6">
        <v>26.537</v>
      </c>
      <c r="E3567" s="6" t="s">
        <v>86</v>
      </c>
      <c r="F3567" s="6" t="s">
        <v>54</v>
      </c>
      <c r="G3567" s="7">
        <v>105927.7948608726</v>
      </c>
      <c r="H3567" s="6">
        <v>2811005.892222977</v>
      </c>
      <c r="I3567" s="6" t="s">
        <v>179</v>
      </c>
      <c r="J3567" s="15">
        <v>64.26666666666667</v>
      </c>
    </row>
    <row r="3568" spans="1:10">
      <c r="A3568" s="6" t="s">
        <v>143</v>
      </c>
      <c r="B3568" s="6" t="s">
        <v>86</v>
      </c>
      <c r="C3568" s="6" t="s">
        <v>265</v>
      </c>
      <c r="D3568" s="6">
        <v>98.98241666666667</v>
      </c>
      <c r="E3568" s="6" t="s">
        <v>86</v>
      </c>
      <c r="F3568" s="6" t="s">
        <v>54</v>
      </c>
      <c r="G3568" s="7">
        <v>88690.92662794892</v>
      </c>
      <c r="H3568" s="6">
        <v>8778842.254040401</v>
      </c>
      <c r="I3568" s="6" t="s">
        <v>179</v>
      </c>
      <c r="J3568" s="15">
        <v>70.31666666666666</v>
      </c>
    </row>
    <row r="3569" spans="1:10">
      <c r="A3569" s="6" t="s">
        <v>143</v>
      </c>
      <c r="B3569" s="6" t="s">
        <v>86</v>
      </c>
      <c r="C3569" s="6" t="s">
        <v>266</v>
      </c>
      <c r="D3569" s="6">
        <v>22.86258333333333</v>
      </c>
      <c r="E3569" s="6" t="s">
        <v>86</v>
      </c>
      <c r="F3569" s="6" t="s">
        <v>57</v>
      </c>
      <c r="G3569" s="7">
        <v>56598.40474601523</v>
      </c>
      <c r="H3569" s="6">
        <v>1293985.745039502</v>
      </c>
      <c r="I3569" s="6" t="s">
        <v>179</v>
      </c>
      <c r="J3569" s="15">
        <v>41.60833333333333</v>
      </c>
    </row>
    <row r="3570" spans="1:10">
      <c r="A3570" s="6" t="s">
        <v>143</v>
      </c>
      <c r="B3570" s="6" t="s">
        <v>86</v>
      </c>
      <c r="C3570" s="6" t="s">
        <v>354</v>
      </c>
      <c r="D3570" s="6">
        <v>0.07541666666666666</v>
      </c>
      <c r="E3570" s="6" t="s">
        <v>86</v>
      </c>
      <c r="F3570" s="6" t="s">
        <v>51</v>
      </c>
      <c r="G3570" s="7">
        <v>44088.02354954973</v>
      </c>
      <c r="H3570" s="6">
        <v>3324.971776028542</v>
      </c>
      <c r="I3570" s="6" t="s">
        <v>180</v>
      </c>
      <c r="J3570" s="15">
        <v>6.488664602023904</v>
      </c>
    </row>
    <row r="3571" spans="1:10">
      <c r="A3571" s="6" t="s">
        <v>143</v>
      </c>
      <c r="B3571" s="6" t="s">
        <v>90</v>
      </c>
      <c r="C3571" s="6" t="s">
        <v>355</v>
      </c>
      <c r="D3571" s="6">
        <v>36.95558333333333</v>
      </c>
      <c r="E3571" s="6" t="s">
        <v>86</v>
      </c>
      <c r="F3571" s="6" t="s">
        <v>52</v>
      </c>
      <c r="G3571" s="7">
        <v>59918.03179942394</v>
      </c>
      <c r="H3571" s="6">
        <v>2214305.817332928</v>
      </c>
      <c r="I3571" s="6" t="s">
        <v>180</v>
      </c>
      <c r="J3571" s="15">
        <v>12.43871031134531</v>
      </c>
    </row>
    <row r="3572" spans="1:10">
      <c r="A3572" s="6" t="s">
        <v>143</v>
      </c>
      <c r="B3572" s="6" t="s">
        <v>86</v>
      </c>
      <c r="C3572" s="6" t="s">
        <v>267</v>
      </c>
      <c r="D3572" s="6">
        <v>363.3276666666667</v>
      </c>
      <c r="E3572" s="6" t="s">
        <v>86</v>
      </c>
      <c r="F3572" s="6" t="s">
        <v>53</v>
      </c>
      <c r="G3572" s="7">
        <v>29372.68127915858</v>
      </c>
      <c r="H3572" s="6">
        <v>10671907.75290037</v>
      </c>
      <c r="I3572" s="6" t="s">
        <v>179</v>
      </c>
      <c r="J3572" s="15">
        <v>8</v>
      </c>
    </row>
    <row r="3573" spans="1:10">
      <c r="A3573" s="6" t="s">
        <v>143</v>
      </c>
      <c r="B3573" s="6" t="s">
        <v>86</v>
      </c>
      <c r="C3573" s="6" t="s">
        <v>268</v>
      </c>
      <c r="D3573" s="6">
        <v>0.7615833333333334</v>
      </c>
      <c r="E3573" s="6" t="s">
        <v>86</v>
      </c>
      <c r="F3573" s="6" t="s">
        <v>51</v>
      </c>
      <c r="G3573" s="7">
        <v>54934.22900617691</v>
      </c>
      <c r="H3573" s="6">
        <v>41836.9932406209</v>
      </c>
      <c r="I3573" s="6" t="s">
        <v>180</v>
      </c>
      <c r="J3573" s="15">
        <v>9.748103652333924</v>
      </c>
    </row>
    <row r="3574" spans="1:10">
      <c r="A3574" s="6" t="s">
        <v>143</v>
      </c>
      <c r="B3574" s="6" t="s">
        <v>86</v>
      </c>
      <c r="C3574" s="6" t="s">
        <v>269</v>
      </c>
      <c r="D3574" s="6">
        <v>27.47183333333333</v>
      </c>
      <c r="E3574" s="6" t="s">
        <v>86</v>
      </c>
      <c r="F3574" s="6" t="s">
        <v>52</v>
      </c>
      <c r="G3574" s="7">
        <v>83790.30016891156</v>
      </c>
      <c r="H3574" s="6">
        <v>2301873.16119031</v>
      </c>
      <c r="I3574" s="6" t="s">
        <v>179</v>
      </c>
      <c r="J3574" s="15">
        <v>44.5</v>
      </c>
    </row>
    <row r="3575" spans="1:10">
      <c r="A3575" s="6" t="s">
        <v>143</v>
      </c>
      <c r="B3575" s="6" t="s">
        <v>86</v>
      </c>
      <c r="C3575" s="6" t="s">
        <v>356</v>
      </c>
      <c r="D3575" s="6">
        <v>28.51858333333334</v>
      </c>
      <c r="E3575" s="6" t="s">
        <v>86</v>
      </c>
      <c r="F3575" s="6" t="s">
        <v>52</v>
      </c>
      <c r="G3575" s="7">
        <v>55062.04930703079</v>
      </c>
      <c r="H3575" s="6">
        <v>1570291.641666667</v>
      </c>
      <c r="I3575" s="6" t="s">
        <v>179</v>
      </c>
      <c r="J3575" s="15">
        <v>48.93333333333333</v>
      </c>
    </row>
    <row r="3576" spans="1:10">
      <c r="A3576" s="6" t="s">
        <v>143</v>
      </c>
      <c r="B3576" s="6" t="s">
        <v>86</v>
      </c>
      <c r="C3576" s="6" t="s">
        <v>270</v>
      </c>
      <c r="D3576" s="6">
        <v>32.78608333333333</v>
      </c>
      <c r="E3576" s="6" t="s">
        <v>86</v>
      </c>
      <c r="F3576" s="6" t="s">
        <v>59</v>
      </c>
      <c r="G3576" s="7">
        <v>48832.25327446419</v>
      </c>
      <c r="H3576" s="6">
        <v>1601018.325211022</v>
      </c>
      <c r="I3576" s="6" t="s">
        <v>179</v>
      </c>
      <c r="J3576" s="15">
        <v>27.28333333333333</v>
      </c>
    </row>
    <row r="3577" spans="1:10">
      <c r="A3577" s="6" t="s">
        <v>143</v>
      </c>
      <c r="B3577" s="6" t="s">
        <v>86</v>
      </c>
      <c r="C3577" s="6" t="s">
        <v>271</v>
      </c>
      <c r="D3577" s="6">
        <v>296.2521666666667</v>
      </c>
      <c r="E3577" s="6" t="s">
        <v>86</v>
      </c>
      <c r="F3577" s="6" t="s">
        <v>54</v>
      </c>
      <c r="G3577" s="7">
        <v>81091.15446449892</v>
      </c>
      <c r="H3577" s="6">
        <v>24023430.20760915</v>
      </c>
      <c r="I3577" s="6" t="s">
        <v>179</v>
      </c>
      <c r="J3577" s="15">
        <v>47.58333333333334</v>
      </c>
    </row>
    <row r="3578" spans="1:10">
      <c r="A3578" s="6" t="s">
        <v>143</v>
      </c>
      <c r="B3578" s="6" t="s">
        <v>86</v>
      </c>
      <c r="C3578" s="6" t="s">
        <v>272</v>
      </c>
      <c r="D3578" s="6">
        <v>8.215</v>
      </c>
      <c r="E3578" s="6" t="s">
        <v>86</v>
      </c>
      <c r="F3578" s="6" t="s">
        <v>51</v>
      </c>
      <c r="G3578" s="7">
        <v>35610.26336083005</v>
      </c>
      <c r="H3578" s="6">
        <v>292538.3135092188</v>
      </c>
      <c r="I3578" s="6" t="s">
        <v>179</v>
      </c>
      <c r="J3578" s="15">
        <v>8.94980137224452</v>
      </c>
    </row>
    <row r="3579" spans="1:10">
      <c r="A3579" s="6" t="s">
        <v>143</v>
      </c>
      <c r="B3579" s="6" t="s">
        <v>86</v>
      </c>
      <c r="C3579" s="6" t="s">
        <v>273</v>
      </c>
      <c r="D3579" s="6">
        <v>182.9085833333333</v>
      </c>
      <c r="E3579" s="6" t="s">
        <v>86</v>
      </c>
      <c r="F3579" s="6" t="s">
        <v>51</v>
      </c>
      <c r="G3579" s="7">
        <v>67973.7631418879</v>
      </c>
      <c r="H3579" s="6">
        <v>12432984.72011826</v>
      </c>
      <c r="I3579" s="6" t="s">
        <v>179</v>
      </c>
      <c r="J3579" s="15">
        <v>38.09999999999999</v>
      </c>
    </row>
    <row r="3580" spans="1:10">
      <c r="A3580" s="6" t="s">
        <v>143</v>
      </c>
      <c r="B3580" s="6" t="s">
        <v>90</v>
      </c>
      <c r="C3580" s="6" t="s">
        <v>274</v>
      </c>
      <c r="D3580" s="6">
        <v>19.52583333333333</v>
      </c>
      <c r="E3580" s="6" t="s">
        <v>86</v>
      </c>
      <c r="F3580" s="6" t="s">
        <v>56</v>
      </c>
      <c r="G3580" s="7">
        <v>58346.71964656267</v>
      </c>
      <c r="H3580" s="6">
        <v>1139268.323365508</v>
      </c>
      <c r="I3580" s="6" t="s">
        <v>180</v>
      </c>
      <c r="J3580" s="15">
        <v>11.93522553370507</v>
      </c>
    </row>
    <row r="3581" spans="1:10">
      <c r="A3581" s="6" t="s">
        <v>143</v>
      </c>
      <c r="B3581" s="6" t="s">
        <v>86</v>
      </c>
      <c r="C3581" s="6" t="s">
        <v>275</v>
      </c>
      <c r="D3581" s="6">
        <v>2.776833333333333</v>
      </c>
      <c r="E3581" s="6" t="s">
        <v>86</v>
      </c>
      <c r="F3581" s="6" t="s">
        <v>51</v>
      </c>
      <c r="G3581" s="7">
        <v>56718.02460313684</v>
      </c>
      <c r="H3581" s="6">
        <v>157496.5013188105</v>
      </c>
      <c r="I3581" s="6" t="s">
        <v>180</v>
      </c>
      <c r="J3581" s="15">
        <v>10.28415960754818</v>
      </c>
    </row>
    <row r="3582" spans="1:10">
      <c r="A3582" s="6" t="s">
        <v>143</v>
      </c>
      <c r="B3582" s="6" t="s">
        <v>86</v>
      </c>
      <c r="C3582" s="6" t="s">
        <v>276</v>
      </c>
      <c r="D3582" s="6">
        <v>42.49341666666668</v>
      </c>
      <c r="E3582" s="6" t="s">
        <v>86</v>
      </c>
      <c r="F3582" s="6" t="s">
        <v>51</v>
      </c>
      <c r="G3582" s="7">
        <v>60321.29966037828</v>
      </c>
      <c r="H3582" s="6">
        <v>2563258.120343314</v>
      </c>
      <c r="I3582" s="6" t="s">
        <v>179</v>
      </c>
      <c r="J3582" s="15">
        <v>37.45</v>
      </c>
    </row>
    <row r="3583" spans="1:10">
      <c r="A3583" s="6" t="s">
        <v>143</v>
      </c>
      <c r="B3583" s="6" t="s">
        <v>86</v>
      </c>
      <c r="C3583" s="6" t="s">
        <v>277</v>
      </c>
      <c r="D3583" s="6">
        <v>0.3585</v>
      </c>
      <c r="E3583" s="6" t="s">
        <v>86</v>
      </c>
      <c r="F3583" s="6" t="s">
        <v>57</v>
      </c>
      <c r="G3583" s="7">
        <v>45163.47927531065</v>
      </c>
      <c r="H3583" s="6">
        <v>16191.10732019887</v>
      </c>
      <c r="I3583" s="6" t="s">
        <v>180</v>
      </c>
      <c r="J3583" s="15">
        <v>6.811854348285148</v>
      </c>
    </row>
    <row r="3584" spans="1:10">
      <c r="A3584" s="6" t="s">
        <v>143</v>
      </c>
      <c r="B3584" s="6" t="s">
        <v>86</v>
      </c>
      <c r="C3584" s="6" t="s">
        <v>278</v>
      </c>
      <c r="D3584" s="6">
        <v>508.8545833333334</v>
      </c>
      <c r="E3584" s="6" t="s">
        <v>86</v>
      </c>
      <c r="F3584" s="6" t="s">
        <v>55</v>
      </c>
      <c r="G3584" s="7">
        <v>53128.99840502581</v>
      </c>
      <c r="H3584" s="6">
        <v>27034934.34630674</v>
      </c>
      <c r="I3584" s="6" t="s">
        <v>179</v>
      </c>
      <c r="J3584" s="15">
        <v>40.01666666666667</v>
      </c>
    </row>
    <row r="3585" spans="1:10">
      <c r="A3585" s="6" t="s">
        <v>143</v>
      </c>
      <c r="B3585" s="6" t="s">
        <v>86</v>
      </c>
      <c r="C3585" s="6" t="s">
        <v>280</v>
      </c>
      <c r="D3585" s="6">
        <v>214.8651666666667</v>
      </c>
      <c r="E3585" s="6" t="s">
        <v>86</v>
      </c>
      <c r="F3585" s="6" t="s">
        <v>55</v>
      </c>
      <c r="G3585" s="7">
        <v>96599.03834307451</v>
      </c>
      <c r="H3585" s="6">
        <v>20755768.47342443</v>
      </c>
      <c r="I3585" s="6" t="s">
        <v>179</v>
      </c>
      <c r="J3585" s="15">
        <v>52.99166666666667</v>
      </c>
    </row>
    <row r="3586" spans="1:10">
      <c r="A3586" s="6" t="s">
        <v>143</v>
      </c>
      <c r="B3586" s="6" t="s">
        <v>86</v>
      </c>
      <c r="C3586" s="6" t="s">
        <v>281</v>
      </c>
      <c r="D3586" s="6">
        <v>424.0286666666667</v>
      </c>
      <c r="E3586" s="6" t="s">
        <v>86</v>
      </c>
      <c r="F3586" s="6" t="s">
        <v>57</v>
      </c>
      <c r="G3586" s="7">
        <v>64904.72664042063</v>
      </c>
      <c r="H3586" s="6">
        <v>27521464.69770204</v>
      </c>
      <c r="I3586" s="6" t="s">
        <v>179</v>
      </c>
      <c r="J3586" s="15">
        <v>37.11666666666667</v>
      </c>
    </row>
    <row r="3587" spans="1:10">
      <c r="A3587" s="6" t="s">
        <v>143</v>
      </c>
      <c r="B3587" s="6" t="s">
        <v>86</v>
      </c>
      <c r="C3587" s="6" t="s">
        <v>282</v>
      </c>
      <c r="D3587" s="6">
        <v>0.4995833333333333</v>
      </c>
      <c r="E3587" s="6" t="s">
        <v>86</v>
      </c>
      <c r="F3587" s="6" t="s">
        <v>56</v>
      </c>
      <c r="G3587" s="7">
        <v>58542.49321323277</v>
      </c>
      <c r="H3587" s="6">
        <v>29246.85390111087</v>
      </c>
      <c r="I3587" s="6" t="s">
        <v>180</v>
      </c>
      <c r="J3587" s="15">
        <v>10.83243838187085</v>
      </c>
    </row>
    <row r="3588" spans="1:10">
      <c r="A3588" s="6" t="s">
        <v>143</v>
      </c>
      <c r="B3588" s="6" t="s">
        <v>86</v>
      </c>
      <c r="C3588" s="6" t="s">
        <v>283</v>
      </c>
      <c r="D3588" s="6">
        <v>137.28725</v>
      </c>
      <c r="E3588" s="6" t="s">
        <v>86</v>
      </c>
      <c r="F3588" s="6" t="s">
        <v>51</v>
      </c>
      <c r="G3588" s="7">
        <v>43749.65798536066</v>
      </c>
      <c r="H3588" s="6">
        <v>6006270.233250706</v>
      </c>
      <c r="I3588" s="6" t="s">
        <v>179</v>
      </c>
      <c r="J3588" s="15">
        <v>26.78333333333333</v>
      </c>
    </row>
    <row r="3589" spans="1:10">
      <c r="A3589" s="6" t="s">
        <v>143</v>
      </c>
      <c r="B3589" s="6" t="s">
        <v>86</v>
      </c>
      <c r="C3589" s="6" t="s">
        <v>284</v>
      </c>
      <c r="D3589" s="6">
        <v>73.95475</v>
      </c>
      <c r="E3589" s="6" t="s">
        <v>86</v>
      </c>
      <c r="F3589" s="6" t="s">
        <v>55</v>
      </c>
      <c r="G3589" s="7">
        <v>63545.27884100618</v>
      </c>
      <c r="H3589" s="6">
        <v>4699475.210366902</v>
      </c>
      <c r="I3589" s="6" t="s">
        <v>179</v>
      </c>
      <c r="J3589" s="15">
        <v>52.41666666666666</v>
      </c>
    </row>
    <row r="3590" spans="1:10">
      <c r="A3590" s="6" t="s">
        <v>143</v>
      </c>
      <c r="B3590" s="6" t="s">
        <v>86</v>
      </c>
      <c r="C3590" s="6" t="s">
        <v>285</v>
      </c>
      <c r="D3590" s="6">
        <v>4.70025</v>
      </c>
      <c r="E3590" s="6" t="s">
        <v>86</v>
      </c>
      <c r="F3590" s="6" t="s">
        <v>52</v>
      </c>
      <c r="G3590" s="7">
        <v>124592.4363366081</v>
      </c>
      <c r="H3590" s="6">
        <v>585615.5988911421</v>
      </c>
      <c r="I3590" s="6" t="s">
        <v>179</v>
      </c>
      <c r="J3590" s="15">
        <v>102.5583333333333</v>
      </c>
    </row>
    <row r="3591" spans="1:10">
      <c r="A3591" s="6" t="s">
        <v>143</v>
      </c>
      <c r="B3591" s="6" t="s">
        <v>86</v>
      </c>
      <c r="C3591" s="6" t="s">
        <v>286</v>
      </c>
      <c r="D3591" s="6">
        <v>17.29508333333333</v>
      </c>
      <c r="E3591" s="6" t="s">
        <v>86</v>
      </c>
      <c r="F3591" s="6" t="s">
        <v>59</v>
      </c>
      <c r="G3591" s="7">
        <v>94264.55631912273</v>
      </c>
      <c r="H3591" s="6">
        <v>1630313.356918921</v>
      </c>
      <c r="I3591" s="6" t="s">
        <v>180</v>
      </c>
      <c r="J3591" s="15">
        <v>21.56742656834614</v>
      </c>
    </row>
    <row r="3592" spans="1:10">
      <c r="A3592" s="6" t="s">
        <v>143</v>
      </c>
      <c r="B3592" s="6" t="s">
        <v>86</v>
      </c>
      <c r="C3592" s="6" t="s">
        <v>287</v>
      </c>
      <c r="D3592" s="6">
        <v>0.5435000000000001</v>
      </c>
      <c r="E3592" s="6" t="s">
        <v>86</v>
      </c>
      <c r="F3592" s="6" t="s">
        <v>53</v>
      </c>
      <c r="G3592" s="7">
        <v>43228.14111673474</v>
      </c>
      <c r="H3592" s="6">
        <v>23494.49469694533</v>
      </c>
      <c r="I3592" s="6" t="s">
        <v>180</v>
      </c>
      <c r="J3592" s="15">
        <v>6.230257697286521</v>
      </c>
    </row>
    <row r="3593" spans="1:10">
      <c r="A3593" s="6" t="s">
        <v>143</v>
      </c>
      <c r="B3593" s="6" t="s">
        <v>86</v>
      </c>
      <c r="C3593" s="6" t="s">
        <v>376</v>
      </c>
      <c r="D3593" s="6">
        <v>0.3065</v>
      </c>
      <c r="E3593" s="6" t="s">
        <v>86</v>
      </c>
      <c r="F3593" s="6" t="s">
        <v>54</v>
      </c>
      <c r="G3593" s="7">
        <v>84102.59287945434</v>
      </c>
      <c r="H3593" s="6">
        <v>25777.44471755276</v>
      </c>
      <c r="I3593" s="6" t="s">
        <v>180</v>
      </c>
      <c r="J3593" s="15">
        <v>18.51361197894614</v>
      </c>
    </row>
    <row r="3594" spans="1:10">
      <c r="A3594" s="6" t="s">
        <v>143</v>
      </c>
      <c r="B3594" s="6" t="s">
        <v>90</v>
      </c>
      <c r="C3594" s="6" t="s">
        <v>357</v>
      </c>
      <c r="D3594" s="6">
        <v>34.72191666666667</v>
      </c>
      <c r="E3594" s="6" t="s">
        <v>86</v>
      </c>
      <c r="F3594" s="6" t="s">
        <v>52</v>
      </c>
      <c r="G3594" s="7">
        <v>59918.03179942394</v>
      </c>
      <c r="H3594" s="6">
        <v>2080468.906970281</v>
      </c>
      <c r="I3594" s="6" t="s">
        <v>180</v>
      </c>
      <c r="J3594" s="15">
        <v>27</v>
      </c>
    </row>
    <row r="3595" spans="1:10">
      <c r="A3595" s="6" t="s">
        <v>143</v>
      </c>
      <c r="B3595" s="6" t="s">
        <v>86</v>
      </c>
      <c r="C3595" s="6" t="s">
        <v>288</v>
      </c>
      <c r="D3595" s="6">
        <v>0.303</v>
      </c>
      <c r="E3595" s="6" t="s">
        <v>86</v>
      </c>
      <c r="F3595" s="6" t="s">
        <v>58</v>
      </c>
      <c r="G3595" s="7">
        <v>72708.53956010977</v>
      </c>
      <c r="H3595" s="6">
        <v>22030.68748671326</v>
      </c>
      <c r="I3595" s="6" t="s">
        <v>180</v>
      </c>
      <c r="J3595" s="15">
        <v>15.08953685157575</v>
      </c>
    </row>
    <row r="3596" spans="1:10">
      <c r="A3596" s="6" t="s">
        <v>143</v>
      </c>
      <c r="B3596" s="6" t="s">
        <v>86</v>
      </c>
      <c r="C3596" s="6" t="s">
        <v>370</v>
      </c>
      <c r="D3596" s="6">
        <v>1.158916666666667</v>
      </c>
      <c r="E3596" s="6" t="s">
        <v>86</v>
      </c>
      <c r="F3596" s="6" t="s">
        <v>55</v>
      </c>
      <c r="G3596" s="7">
        <v>65936.30235774722</v>
      </c>
      <c r="H3596" s="6">
        <v>76414.67974076587</v>
      </c>
      <c r="I3596" s="6" t="s">
        <v>180</v>
      </c>
      <c r="J3596" s="15">
        <v>13.0543832226303</v>
      </c>
    </row>
    <row r="3597" spans="1:10">
      <c r="A3597" s="6" t="s">
        <v>143</v>
      </c>
      <c r="B3597" s="6" t="s">
        <v>86</v>
      </c>
      <c r="C3597" s="6" t="s">
        <v>358</v>
      </c>
      <c r="D3597" s="6">
        <v>17.17558333333333</v>
      </c>
      <c r="E3597" s="6" t="s">
        <v>86</v>
      </c>
      <c r="F3597" s="6" t="s">
        <v>52</v>
      </c>
      <c r="G3597" s="7">
        <v>54855.48768358183</v>
      </c>
      <c r="H3597" s="6">
        <v>942174.9999999999</v>
      </c>
      <c r="I3597" s="6" t="s">
        <v>179</v>
      </c>
      <c r="J3597" s="15">
        <v>46.81666666666667</v>
      </c>
    </row>
    <row r="3598" spans="1:10">
      <c r="A3598" s="6" t="s">
        <v>143</v>
      </c>
      <c r="B3598" s="6" t="s">
        <v>90</v>
      </c>
      <c r="C3598" s="6" t="s">
        <v>359</v>
      </c>
      <c r="D3598" s="6">
        <v>15.13183333333333</v>
      </c>
      <c r="E3598" s="6" t="s">
        <v>86</v>
      </c>
      <c r="F3598" s="6" t="s">
        <v>60</v>
      </c>
      <c r="G3598" s="7">
        <v>44402.32112778664</v>
      </c>
      <c r="H3598" s="6">
        <v>671888.5229188129</v>
      </c>
      <c r="I3598" s="6" t="s">
        <v>180</v>
      </c>
      <c r="J3598" s="15">
        <v>7.467117542069946</v>
      </c>
    </row>
    <row r="3599" spans="1:10">
      <c r="A3599" s="6" t="s">
        <v>143</v>
      </c>
      <c r="B3599" s="6" t="s">
        <v>86</v>
      </c>
      <c r="C3599" s="6" t="s">
        <v>289</v>
      </c>
      <c r="D3599" s="6">
        <v>2105.678666666667</v>
      </c>
      <c r="E3599" s="6" t="s">
        <v>86</v>
      </c>
      <c r="F3599" s="6" t="s">
        <v>52</v>
      </c>
      <c r="G3599" s="7">
        <v>59342.46197897197</v>
      </c>
      <c r="H3599" s="6">
        <v>124956156.216599</v>
      </c>
      <c r="I3599" s="6" t="s">
        <v>179</v>
      </c>
      <c r="J3599" s="15">
        <v>65</v>
      </c>
    </row>
    <row r="3600" spans="1:10">
      <c r="A3600" s="6" t="s">
        <v>143</v>
      </c>
      <c r="B3600" s="6" t="s">
        <v>86</v>
      </c>
      <c r="C3600" s="6" t="s">
        <v>290</v>
      </c>
      <c r="D3600" s="6">
        <v>0.04175</v>
      </c>
      <c r="E3600" s="6" t="s">
        <v>86</v>
      </c>
      <c r="F3600" s="6" t="s">
        <v>53</v>
      </c>
      <c r="G3600" s="7">
        <v>34427.13805641644</v>
      </c>
      <c r="H3600" s="6">
        <v>1437.333013855386</v>
      </c>
      <c r="I3600" s="6" t="s">
        <v>180</v>
      </c>
      <c r="J3600" s="15">
        <v>3.585431064468892</v>
      </c>
    </row>
    <row r="3601" spans="1:10">
      <c r="A3601" s="6" t="s">
        <v>143</v>
      </c>
      <c r="B3601" s="6" t="s">
        <v>90</v>
      </c>
      <c r="C3601" s="6" t="s">
        <v>360</v>
      </c>
      <c r="D3601" s="6">
        <v>90.59691666666667</v>
      </c>
      <c r="E3601" s="6" t="s">
        <v>86</v>
      </c>
      <c r="F3601" s="6" t="s">
        <v>52</v>
      </c>
      <c r="G3601" s="7">
        <v>59918.03179942394</v>
      </c>
      <c r="H3601" s="6">
        <v>5428388.933763094</v>
      </c>
      <c r="I3601" s="6" t="s">
        <v>180</v>
      </c>
      <c r="J3601" s="15">
        <v>12.43871031134531</v>
      </c>
    </row>
    <row r="3602" spans="1:10">
      <c r="A3602" s="6" t="s">
        <v>143</v>
      </c>
      <c r="B3602" s="6" t="s">
        <v>86</v>
      </c>
      <c r="C3602" s="6" t="s">
        <v>291</v>
      </c>
      <c r="D3602" s="6">
        <v>0.01175</v>
      </c>
      <c r="E3602" s="6" t="s">
        <v>86</v>
      </c>
      <c r="F3602" s="6" t="s">
        <v>51</v>
      </c>
      <c r="G3602" s="7">
        <v>53740.19196942599</v>
      </c>
      <c r="H3602" s="6">
        <v>631.4472556407554</v>
      </c>
      <c r="I3602" s="6" t="s">
        <v>180</v>
      </c>
      <c r="J3602" s="15">
        <v>9.389278535046072</v>
      </c>
    </row>
    <row r="3603" spans="1:10">
      <c r="A3603" s="6" t="s">
        <v>143</v>
      </c>
      <c r="B3603" s="6" t="s">
        <v>86</v>
      </c>
      <c r="C3603" s="6" t="s">
        <v>292</v>
      </c>
      <c r="D3603" s="6">
        <v>35.8505</v>
      </c>
      <c r="E3603" s="6" t="s">
        <v>86</v>
      </c>
      <c r="F3603" s="6" t="s">
        <v>54</v>
      </c>
      <c r="G3603" s="7">
        <v>107403.6498671448</v>
      </c>
      <c r="H3603" s="6">
        <v>3850474.549562074</v>
      </c>
      <c r="I3603" s="6" t="s">
        <v>179</v>
      </c>
      <c r="J3603" s="15">
        <v>64.08333333333333</v>
      </c>
    </row>
    <row r="3604" spans="1:10">
      <c r="A3604" s="6" t="s">
        <v>143</v>
      </c>
      <c r="B3604" s="6" t="s">
        <v>86</v>
      </c>
      <c r="C3604" s="6" t="s">
        <v>293</v>
      </c>
      <c r="D3604" s="6">
        <v>257.194</v>
      </c>
      <c r="E3604" s="6" t="s">
        <v>86</v>
      </c>
      <c r="F3604" s="6" t="s">
        <v>53</v>
      </c>
      <c r="G3604" s="7">
        <v>41597.32934492987</v>
      </c>
      <c r="H3604" s="6">
        <v>10698583.52353989</v>
      </c>
      <c r="I3604" s="6" t="s">
        <v>179</v>
      </c>
      <c r="J3604" s="15">
        <v>8</v>
      </c>
    </row>
    <row r="3605" spans="1:10">
      <c r="A3605" s="6" t="s">
        <v>143</v>
      </c>
      <c r="B3605" s="6" t="s">
        <v>86</v>
      </c>
      <c r="C3605" s="6" t="s">
        <v>371</v>
      </c>
      <c r="D3605" s="6">
        <v>1.415166666666666</v>
      </c>
      <c r="E3605" s="6" t="s">
        <v>86</v>
      </c>
      <c r="F3605" s="6" t="s">
        <v>55</v>
      </c>
      <c r="G3605" s="7">
        <v>53143.73619775795</v>
      </c>
      <c r="H3605" s="6">
        <v>75207.24400919378</v>
      </c>
      <c r="I3605" s="6" t="s">
        <v>180</v>
      </c>
      <c r="J3605" s="15">
        <v>9.210035089794005</v>
      </c>
    </row>
    <row r="3606" spans="1:10">
      <c r="A3606" s="6" t="s">
        <v>143</v>
      </c>
      <c r="B3606" s="6" t="s">
        <v>86</v>
      </c>
      <c r="C3606" s="6" t="s">
        <v>294</v>
      </c>
      <c r="D3606" s="6">
        <v>0.2745</v>
      </c>
      <c r="E3606" s="6" t="s">
        <v>86</v>
      </c>
      <c r="F3606" s="6" t="s">
        <v>54</v>
      </c>
      <c r="G3606" s="7">
        <v>80294.88770816996</v>
      </c>
      <c r="H3606" s="6">
        <v>22040.94667589266</v>
      </c>
      <c r="I3606" s="6" t="s">
        <v>180</v>
      </c>
      <c r="J3606" s="15">
        <v>17.36934240218201</v>
      </c>
    </row>
    <row r="3607" spans="1:10">
      <c r="A3607" s="6" t="s">
        <v>143</v>
      </c>
      <c r="B3607" s="6" t="s">
        <v>86</v>
      </c>
      <c r="C3607" s="6" t="s">
        <v>295</v>
      </c>
      <c r="D3607" s="6">
        <v>21.91508333333333</v>
      </c>
      <c r="E3607" s="6" t="s">
        <v>86</v>
      </c>
      <c r="F3607" s="6" t="s">
        <v>53</v>
      </c>
      <c r="G3607" s="7">
        <v>42004.62287217464</v>
      </c>
      <c r="H3607" s="6">
        <v>920534.8106289466</v>
      </c>
      <c r="I3607" s="6" t="s">
        <v>179</v>
      </c>
      <c r="J3607" s="15">
        <v>8</v>
      </c>
    </row>
    <row r="3608" spans="1:10">
      <c r="A3608" s="6" t="s">
        <v>143</v>
      </c>
      <c r="B3608" s="6" t="s">
        <v>90</v>
      </c>
      <c r="C3608" s="6" t="s">
        <v>296</v>
      </c>
      <c r="D3608" s="6">
        <v>47.02116666666667</v>
      </c>
      <c r="E3608" s="6" t="s">
        <v>86</v>
      </c>
      <c r="F3608" s="6" t="s">
        <v>61</v>
      </c>
      <c r="G3608" s="7">
        <v>58003.92647416519</v>
      </c>
      <c r="H3608" s="6">
        <v>2727412.294062801</v>
      </c>
      <c r="I3608" s="6" t="s">
        <v>179</v>
      </c>
      <c r="J3608" s="15">
        <v>13</v>
      </c>
    </row>
    <row r="3609" spans="1:10">
      <c r="A3609" s="6" t="s">
        <v>143</v>
      </c>
      <c r="B3609" s="6" t="s">
        <v>86</v>
      </c>
      <c r="C3609" s="6" t="s">
        <v>297</v>
      </c>
      <c r="D3609" s="6">
        <v>13.852</v>
      </c>
      <c r="E3609" s="6" t="s">
        <v>86</v>
      </c>
      <c r="F3609" s="6" t="s">
        <v>52</v>
      </c>
      <c r="G3609" s="7">
        <v>101698.6474446838</v>
      </c>
      <c r="H3609" s="6">
        <v>1408729.66440376</v>
      </c>
      <c r="I3609" s="6" t="s">
        <v>179</v>
      </c>
      <c r="J3609" s="15">
        <v>48</v>
      </c>
    </row>
    <row r="3610" spans="1:10">
      <c r="A3610" s="6" t="s">
        <v>143</v>
      </c>
      <c r="B3610" s="6" t="s">
        <v>86</v>
      </c>
      <c r="C3610" s="6" t="s">
        <v>298</v>
      </c>
      <c r="D3610" s="6">
        <v>41.02191666666666</v>
      </c>
      <c r="E3610" s="6" t="s">
        <v>86</v>
      </c>
      <c r="F3610" s="6" t="s">
        <v>56</v>
      </c>
      <c r="G3610" s="7">
        <v>56461.9741659997</v>
      </c>
      <c r="H3610" s="6">
        <v>2316178.399073126</v>
      </c>
      <c r="I3610" s="6" t="s">
        <v>180</v>
      </c>
      <c r="J3610" s="15">
        <v>10.20721280832045</v>
      </c>
    </row>
    <row r="3611" spans="1:10">
      <c r="A3611" s="6" t="s">
        <v>143</v>
      </c>
      <c r="B3611" s="6" t="s">
        <v>86</v>
      </c>
      <c r="C3611" s="6" t="s">
        <v>299</v>
      </c>
      <c r="D3611" s="6">
        <v>0.4360833333333333</v>
      </c>
      <c r="E3611" s="6" t="s">
        <v>86</v>
      </c>
      <c r="F3611" s="6" t="s">
        <v>53</v>
      </c>
      <c r="G3611" s="7">
        <v>37262.91410991319</v>
      </c>
      <c r="H3611" s="6">
        <v>16249.73579476464</v>
      </c>
      <c r="I3611" s="6" t="s">
        <v>180</v>
      </c>
      <c r="J3611" s="15">
        <v>4.437622113556362</v>
      </c>
    </row>
    <row r="3612" spans="1:10">
      <c r="A3612" s="6" t="s">
        <v>143</v>
      </c>
      <c r="B3612" s="6" t="s">
        <v>86</v>
      </c>
      <c r="C3612" s="6" t="s">
        <v>300</v>
      </c>
      <c r="D3612" s="6">
        <v>56.0885</v>
      </c>
      <c r="E3612" s="6" t="s">
        <v>86</v>
      </c>
      <c r="F3612" s="6" t="s">
        <v>52</v>
      </c>
      <c r="G3612" s="7">
        <v>60613.11558221976</v>
      </c>
      <c r="H3612" s="6">
        <v>3399698.733333333</v>
      </c>
      <c r="I3612" s="6" t="s">
        <v>179</v>
      </c>
      <c r="J3612" s="15">
        <v>39.13333333333333</v>
      </c>
    </row>
    <row r="3613" spans="1:10">
      <c r="A3613" s="6" t="s">
        <v>143</v>
      </c>
      <c r="B3613" s="6" t="s">
        <v>86</v>
      </c>
      <c r="C3613" s="6" t="s">
        <v>301</v>
      </c>
      <c r="D3613" s="6">
        <v>6.935</v>
      </c>
      <c r="E3613" s="6" t="s">
        <v>86</v>
      </c>
      <c r="F3613" s="6" t="s">
        <v>59</v>
      </c>
      <c r="G3613" s="7">
        <v>80753.32287666532</v>
      </c>
      <c r="H3613" s="6">
        <v>560024.294149674</v>
      </c>
      <c r="I3613" s="6" t="s">
        <v>180</v>
      </c>
      <c r="J3613" s="15">
        <v>17.50710869254084</v>
      </c>
    </row>
    <row r="3614" spans="1:10">
      <c r="A3614" s="6" t="s">
        <v>143</v>
      </c>
      <c r="B3614" s="6" t="s">
        <v>86</v>
      </c>
      <c r="C3614" s="6" t="s">
        <v>302</v>
      </c>
      <c r="D3614" s="6">
        <v>684.3172499999999</v>
      </c>
      <c r="E3614" s="6" t="s">
        <v>86</v>
      </c>
      <c r="F3614" s="6" t="s">
        <v>52</v>
      </c>
      <c r="G3614" s="7">
        <v>80746.62125224819</v>
      </c>
      <c r="H3614" s="6">
        <v>55256305.80213004</v>
      </c>
      <c r="I3614" s="6" t="s">
        <v>179</v>
      </c>
      <c r="J3614" s="15">
        <v>74.09166666666667</v>
      </c>
    </row>
    <row r="3615" spans="1:10">
      <c r="A3615" s="6" t="s">
        <v>143</v>
      </c>
      <c r="B3615" s="6" t="s">
        <v>86</v>
      </c>
      <c r="C3615" s="6" t="s">
        <v>303</v>
      </c>
      <c r="D3615" s="6">
        <v>0.26525</v>
      </c>
      <c r="E3615" s="6" t="s">
        <v>86</v>
      </c>
      <c r="F3615" s="6" t="s">
        <v>53</v>
      </c>
      <c r="G3615" s="7">
        <v>36138.49003274566</v>
      </c>
      <c r="H3615" s="6">
        <v>9585.734481185786</v>
      </c>
      <c r="I3615" s="6" t="s">
        <v>180</v>
      </c>
      <c r="J3615" s="15">
        <v>4.099716681017344</v>
      </c>
    </row>
    <row r="3616" spans="1:10">
      <c r="A3616" s="6" t="s">
        <v>143</v>
      </c>
      <c r="B3616" s="6" t="s">
        <v>86</v>
      </c>
      <c r="C3616" s="6" t="s">
        <v>304</v>
      </c>
      <c r="D3616" s="6">
        <v>149.4990833333333</v>
      </c>
      <c r="E3616" s="6" t="s">
        <v>86</v>
      </c>
      <c r="F3616" s="6" t="s">
        <v>52</v>
      </c>
      <c r="G3616" s="7">
        <v>61933.94976223377</v>
      </c>
      <c r="H3616" s="6">
        <v>9259068.716666665</v>
      </c>
      <c r="I3616" s="6" t="s">
        <v>179</v>
      </c>
      <c r="J3616" s="15">
        <v>61.50833333333333</v>
      </c>
    </row>
    <row r="3617" spans="1:10">
      <c r="A3617" s="6" t="s">
        <v>143</v>
      </c>
      <c r="B3617" s="6" t="s">
        <v>86</v>
      </c>
      <c r="C3617" s="6" t="s">
        <v>361</v>
      </c>
      <c r="D3617" s="6">
        <v>629.591</v>
      </c>
      <c r="E3617" s="6" t="s">
        <v>86</v>
      </c>
      <c r="F3617" s="6" t="s">
        <v>52</v>
      </c>
      <c r="G3617" s="7">
        <v>58941.63635603187</v>
      </c>
      <c r="H3617" s="6">
        <v>37109123.77503046</v>
      </c>
      <c r="I3617" s="6" t="s">
        <v>179</v>
      </c>
      <c r="J3617" s="15">
        <v>64.18333333333334</v>
      </c>
    </row>
    <row r="3618" spans="1:10">
      <c r="A3618" s="6" t="s">
        <v>143</v>
      </c>
      <c r="B3618" s="6" t="s">
        <v>86</v>
      </c>
      <c r="C3618" s="6" t="s">
        <v>305</v>
      </c>
      <c r="D3618" s="6">
        <v>102.3990833333333</v>
      </c>
      <c r="E3618" s="6" t="s">
        <v>86</v>
      </c>
      <c r="F3618" s="6" t="s">
        <v>54</v>
      </c>
      <c r="G3618" s="7">
        <v>98575.27110239657</v>
      </c>
      <c r="H3618" s="6">
        <v>10094017.40022023</v>
      </c>
      <c r="I3618" s="6" t="s">
        <v>179</v>
      </c>
      <c r="J3618" s="15">
        <v>67.27500000000001</v>
      </c>
    </row>
    <row r="3619" spans="1:10">
      <c r="A3619" s="6" t="s">
        <v>143</v>
      </c>
      <c r="B3619" s="6" t="s">
        <v>86</v>
      </c>
      <c r="C3619" s="6" t="s">
        <v>306</v>
      </c>
      <c r="D3619" s="6">
        <v>6.672916666666667</v>
      </c>
      <c r="E3619" s="6" t="s">
        <v>86</v>
      </c>
      <c r="F3619" s="6" t="s">
        <v>57</v>
      </c>
      <c r="G3619" s="7">
        <v>54237.63482677883</v>
      </c>
      <c r="H3619" s="6">
        <v>361923.217396193</v>
      </c>
      <c r="I3619" s="6" t="s">
        <v>179</v>
      </c>
      <c r="J3619" s="15">
        <v>7.283649717513925</v>
      </c>
    </row>
    <row r="3620" spans="1:10">
      <c r="A3620" s="6" t="s">
        <v>143</v>
      </c>
      <c r="B3620" s="6" t="s">
        <v>86</v>
      </c>
      <c r="C3620" s="6" t="s">
        <v>307</v>
      </c>
      <c r="D3620" s="6">
        <v>0.1625</v>
      </c>
      <c r="E3620" s="6" t="s">
        <v>86</v>
      </c>
      <c r="F3620" s="6" t="s">
        <v>53</v>
      </c>
      <c r="G3620" s="7">
        <v>38849.90588497226</v>
      </c>
      <c r="H3620" s="6">
        <v>6313.109706307993</v>
      </c>
      <c r="I3620" s="6" t="s">
        <v>180</v>
      </c>
      <c r="J3620" s="15">
        <v>4.914535720331878</v>
      </c>
    </row>
    <row r="3621" spans="1:10">
      <c r="A3621" s="6" t="s">
        <v>143</v>
      </c>
      <c r="B3621" s="6" t="s">
        <v>86</v>
      </c>
      <c r="C3621" s="6" t="s">
        <v>362</v>
      </c>
      <c r="D3621" s="6">
        <v>2892.255833333334</v>
      </c>
      <c r="E3621" s="6" t="s">
        <v>86</v>
      </c>
      <c r="F3621" s="6" t="s">
        <v>52</v>
      </c>
      <c r="G3621" s="7">
        <v>57401.5078649952</v>
      </c>
      <c r="H3621" s="6">
        <v>166019845.9646616</v>
      </c>
      <c r="I3621" s="6" t="s">
        <v>179</v>
      </c>
      <c r="J3621" s="15">
        <v>50.76666666666667</v>
      </c>
    </row>
    <row r="3622" spans="1:10">
      <c r="A3622" s="6" t="s">
        <v>143</v>
      </c>
      <c r="B3622" s="6" t="s">
        <v>86</v>
      </c>
      <c r="C3622" s="6" t="s">
        <v>308</v>
      </c>
      <c r="D3622" s="6">
        <v>0.27075</v>
      </c>
      <c r="E3622" s="6" t="s">
        <v>86</v>
      </c>
      <c r="F3622" s="6" t="s">
        <v>54</v>
      </c>
      <c r="G3622" s="7">
        <v>68318.31691385624</v>
      </c>
      <c r="H3622" s="6">
        <v>18497.18430442658</v>
      </c>
      <c r="I3622" s="6" t="s">
        <v>180</v>
      </c>
      <c r="J3622" s="15">
        <v>13.7702124860198</v>
      </c>
    </row>
    <row r="3623" spans="1:10">
      <c r="A3623" s="6" t="s">
        <v>143</v>
      </c>
      <c r="B3623" s="6" t="s">
        <v>86</v>
      </c>
      <c r="C3623" s="6" t="s">
        <v>309</v>
      </c>
      <c r="D3623" s="6">
        <v>883.4463333333333</v>
      </c>
      <c r="E3623" s="6" t="s">
        <v>86</v>
      </c>
      <c r="F3623" s="6" t="s">
        <v>52</v>
      </c>
      <c r="G3623" s="7">
        <v>76640.37565605484</v>
      </c>
      <c r="H3623" s="6">
        <v>67707658.85863091</v>
      </c>
      <c r="I3623" s="6" t="s">
        <v>179</v>
      </c>
      <c r="J3623" s="15">
        <v>56.75</v>
      </c>
    </row>
    <row r="3624" spans="1:10">
      <c r="A3624" s="6" t="s">
        <v>143</v>
      </c>
      <c r="B3624" s="6" t="s">
        <v>86</v>
      </c>
      <c r="C3624" s="6" t="s">
        <v>310</v>
      </c>
      <c r="D3624" s="6">
        <v>72.44666666666667</v>
      </c>
      <c r="E3624" s="6" t="s">
        <v>86</v>
      </c>
      <c r="F3624" s="6" t="s">
        <v>52</v>
      </c>
      <c r="G3624" s="7">
        <v>90408.28872156367</v>
      </c>
      <c r="H3624" s="6">
        <v>6549779.156914883</v>
      </c>
      <c r="I3624" s="6" t="s">
        <v>179</v>
      </c>
      <c r="J3624" s="15">
        <v>71.22499999999999</v>
      </c>
    </row>
    <row r="3625" spans="1:10">
      <c r="A3625" s="6" t="s">
        <v>143</v>
      </c>
      <c r="B3625" s="6" t="s">
        <v>86</v>
      </c>
      <c r="C3625" s="6" t="s">
        <v>311</v>
      </c>
      <c r="D3625" s="6">
        <v>157.792</v>
      </c>
      <c r="E3625" s="6" t="s">
        <v>86</v>
      </c>
      <c r="F3625" s="6" t="s">
        <v>51</v>
      </c>
      <c r="G3625" s="7">
        <v>45054.61286131107</v>
      </c>
      <c r="H3625" s="6">
        <v>7109257.472611996</v>
      </c>
      <c r="I3625" s="6" t="s">
        <v>179</v>
      </c>
      <c r="J3625" s="15">
        <v>50.35</v>
      </c>
    </row>
    <row r="3626" spans="1:10">
      <c r="A3626" s="6" t="s">
        <v>143</v>
      </c>
      <c r="B3626" s="6" t="s">
        <v>86</v>
      </c>
      <c r="C3626" s="6" t="s">
        <v>312</v>
      </c>
      <c r="D3626" s="6">
        <v>98.48341666666668</v>
      </c>
      <c r="E3626" s="6" t="s">
        <v>86</v>
      </c>
      <c r="F3626" s="6" t="s">
        <v>54</v>
      </c>
      <c r="G3626" s="7">
        <v>81169.23103268788</v>
      </c>
      <c r="H3626" s="6">
        <v>7993823.200305132</v>
      </c>
      <c r="I3626" s="6" t="s">
        <v>179</v>
      </c>
      <c r="J3626" s="15">
        <v>47.825</v>
      </c>
    </row>
    <row r="3627" spans="1:10">
      <c r="A3627" s="6" t="s">
        <v>143</v>
      </c>
      <c r="B3627" s="6" t="s">
        <v>86</v>
      </c>
      <c r="C3627" s="6" t="s">
        <v>313</v>
      </c>
      <c r="D3627" s="6">
        <v>8.80475</v>
      </c>
      <c r="E3627" s="6" t="s">
        <v>86</v>
      </c>
      <c r="F3627" s="6" t="s">
        <v>51</v>
      </c>
      <c r="G3627" s="7">
        <v>53462.78643120329</v>
      </c>
      <c r="H3627" s="6">
        <v>470726.4688301372</v>
      </c>
      <c r="I3627" s="6" t="s">
        <v>180</v>
      </c>
      <c r="J3627" s="15">
        <v>9.305914224119906</v>
      </c>
    </row>
    <row r="3628" spans="1:10">
      <c r="A3628" s="6" t="s">
        <v>143</v>
      </c>
      <c r="B3628" s="6" t="s">
        <v>86</v>
      </c>
      <c r="C3628" s="6" t="s">
        <v>314</v>
      </c>
      <c r="D3628" s="6">
        <v>5.494</v>
      </c>
      <c r="E3628" s="6" t="s">
        <v>86</v>
      </c>
      <c r="F3628" s="6" t="s">
        <v>51</v>
      </c>
      <c r="G3628" s="7">
        <v>61051.11439376624</v>
      </c>
      <c r="H3628" s="6">
        <v>335414.8224793517</v>
      </c>
      <c r="I3628" s="6" t="s">
        <v>180</v>
      </c>
      <c r="J3628" s="15">
        <v>11.58631473715136</v>
      </c>
    </row>
    <row r="3629" spans="1:10">
      <c r="A3629" s="6" t="s">
        <v>143</v>
      </c>
      <c r="B3629" s="6" t="s">
        <v>86</v>
      </c>
      <c r="C3629" s="6" t="s">
        <v>315</v>
      </c>
      <c r="D3629" s="6">
        <v>17.163</v>
      </c>
      <c r="E3629" s="6" t="s">
        <v>86</v>
      </c>
      <c r="F3629" s="6" t="s">
        <v>51</v>
      </c>
      <c r="G3629" s="7">
        <v>37464.72792440534</v>
      </c>
      <c r="H3629" s="6">
        <v>643007.1253665689</v>
      </c>
      <c r="I3629" s="6" t="s">
        <v>179</v>
      </c>
      <c r="J3629" s="15">
        <v>14</v>
      </c>
    </row>
    <row r="3630" spans="1:10">
      <c r="A3630" s="6" t="s">
        <v>143</v>
      </c>
      <c r="B3630" s="6" t="s">
        <v>86</v>
      </c>
      <c r="C3630" s="6" t="s">
        <v>316</v>
      </c>
      <c r="D3630" s="6">
        <v>2.130333333333334</v>
      </c>
      <c r="E3630" s="6" t="s">
        <v>86</v>
      </c>
      <c r="F3630" s="6" t="s">
        <v>54</v>
      </c>
      <c r="G3630" s="7">
        <v>83552.76780903985</v>
      </c>
      <c r="H3630" s="6">
        <v>177995.2463558579</v>
      </c>
      <c r="I3630" s="6" t="s">
        <v>180</v>
      </c>
      <c r="J3630" s="15">
        <v>18.34838172284276</v>
      </c>
    </row>
    <row r="3631" spans="1:10">
      <c r="A3631" s="6" t="s">
        <v>143</v>
      </c>
      <c r="B3631" s="6" t="s">
        <v>86</v>
      </c>
      <c r="C3631" s="6" t="s">
        <v>317</v>
      </c>
      <c r="D3631" s="6">
        <v>0.4615833333333333</v>
      </c>
      <c r="E3631" s="6" t="s">
        <v>86</v>
      </c>
      <c r="F3631" s="6" t="s">
        <v>51</v>
      </c>
      <c r="G3631" s="7">
        <v>52842.46544157674</v>
      </c>
      <c r="H3631" s="6">
        <v>24391.20134007446</v>
      </c>
      <c r="I3631" s="6" t="s">
        <v>180</v>
      </c>
      <c r="J3631" s="15">
        <v>9.119498941337266</v>
      </c>
    </row>
    <row r="3632" spans="1:10">
      <c r="A3632" s="6" t="s">
        <v>143</v>
      </c>
      <c r="B3632" s="6" t="s">
        <v>86</v>
      </c>
      <c r="C3632" s="6" t="s">
        <v>319</v>
      </c>
      <c r="D3632" s="6">
        <v>88.81616666666667</v>
      </c>
      <c r="E3632" s="6" t="s">
        <v>86</v>
      </c>
      <c r="F3632" s="6" t="s">
        <v>52</v>
      </c>
      <c r="G3632" s="7">
        <v>75015.8326520299</v>
      </c>
      <c r="H3632" s="6">
        <v>6662618.695461464</v>
      </c>
      <c r="I3632" s="6" t="s">
        <v>179</v>
      </c>
      <c r="J3632" s="15">
        <v>68.13333333333333</v>
      </c>
    </row>
    <row r="3633" spans="1:10">
      <c r="A3633" s="6" t="s">
        <v>143</v>
      </c>
      <c r="B3633" s="6" t="s">
        <v>90</v>
      </c>
      <c r="C3633" s="6" t="s">
        <v>363</v>
      </c>
      <c r="D3633" s="6">
        <v>28.19275</v>
      </c>
      <c r="E3633" s="6" t="s">
        <v>86</v>
      </c>
      <c r="F3633" s="6" t="s">
        <v>52</v>
      </c>
      <c r="G3633" s="7">
        <v>59918.03179942394</v>
      </c>
      <c r="H3633" s="6">
        <v>1689254.091013209</v>
      </c>
      <c r="I3633" s="6" t="s">
        <v>180</v>
      </c>
      <c r="J3633" s="15">
        <v>12.43871031134531</v>
      </c>
    </row>
    <row r="3634" spans="1:10">
      <c r="A3634" s="6" t="s">
        <v>143</v>
      </c>
      <c r="B3634" s="6" t="s">
        <v>86</v>
      </c>
      <c r="C3634" s="6" t="s">
        <v>320</v>
      </c>
      <c r="D3634" s="6">
        <v>66.28825000000001</v>
      </c>
      <c r="E3634" s="6" t="s">
        <v>86</v>
      </c>
      <c r="F3634" s="6" t="s">
        <v>51</v>
      </c>
      <c r="G3634" s="7">
        <v>52021.16753243782</v>
      </c>
      <c r="H3634" s="6">
        <v>3448392.158682121</v>
      </c>
      <c r="I3634" s="6" t="s">
        <v>179</v>
      </c>
      <c r="J3634" s="15">
        <v>101.05</v>
      </c>
    </row>
    <row r="3635" spans="1:10">
      <c r="A3635" s="6" t="s">
        <v>143</v>
      </c>
      <c r="B3635" s="6" t="s">
        <v>90</v>
      </c>
      <c r="C3635" s="6" t="s">
        <v>321</v>
      </c>
      <c r="D3635" s="6">
        <v>6.273416666666667</v>
      </c>
      <c r="E3635" s="6" t="s">
        <v>86</v>
      </c>
      <c r="F3635" s="6" t="s">
        <v>54</v>
      </c>
      <c r="G3635" s="7">
        <v>49362.0809529337</v>
      </c>
      <c r="H3635" s="6">
        <v>309668.9013514835</v>
      </c>
      <c r="I3635" s="6" t="s">
        <v>180</v>
      </c>
      <c r="J3635" s="15">
        <v>9.05633937056912</v>
      </c>
    </row>
    <row r="3636" spans="1:10">
      <c r="A3636" s="6" t="s">
        <v>143</v>
      </c>
      <c r="B3636" s="6" t="s">
        <v>86</v>
      </c>
      <c r="C3636" s="6" t="s">
        <v>322</v>
      </c>
      <c r="D3636" s="6">
        <v>68.41391666666667</v>
      </c>
      <c r="E3636" s="6" t="s">
        <v>86</v>
      </c>
      <c r="F3636" s="6" t="s">
        <v>51</v>
      </c>
      <c r="G3636" s="7">
        <v>45195.78581875691</v>
      </c>
      <c r="H3636" s="6">
        <v>3092020.72468895</v>
      </c>
      <c r="I3636" s="6" t="s">
        <v>179</v>
      </c>
      <c r="J3636" s="15">
        <v>55</v>
      </c>
    </row>
    <row r="3637" spans="1:10">
      <c r="A3637" s="6" t="s">
        <v>143</v>
      </c>
      <c r="B3637" s="6" t="s">
        <v>86</v>
      </c>
      <c r="C3637" s="6" t="s">
        <v>323</v>
      </c>
      <c r="D3637" s="6">
        <v>50.30525</v>
      </c>
      <c r="E3637" s="6" t="s">
        <v>86</v>
      </c>
      <c r="F3637" s="6" t="s">
        <v>55</v>
      </c>
      <c r="G3637" s="7">
        <v>51933.23768987774</v>
      </c>
      <c r="H3637" s="6">
        <v>2612514.505298723</v>
      </c>
      <c r="I3637" s="6" t="s">
        <v>179</v>
      </c>
      <c r="J3637" s="15">
        <v>44.21666666666667</v>
      </c>
    </row>
    <row r="3638" spans="1:10">
      <c r="A3638" s="6" t="s">
        <v>143</v>
      </c>
      <c r="B3638" s="6" t="s">
        <v>86</v>
      </c>
      <c r="C3638" s="6" t="s">
        <v>324</v>
      </c>
      <c r="D3638" s="6">
        <v>134.8023333333333</v>
      </c>
      <c r="E3638" s="6" t="s">
        <v>86</v>
      </c>
      <c r="F3638" s="6" t="s">
        <v>51</v>
      </c>
      <c r="G3638" s="7">
        <v>65955.72298493661</v>
      </c>
      <c r="H3638" s="6">
        <v>8890985.35505642</v>
      </c>
      <c r="I3638" s="6" t="s">
        <v>179</v>
      </c>
      <c r="J3638" s="15">
        <v>47.5</v>
      </c>
    </row>
    <row r="3639" spans="1:10">
      <c r="A3639" s="6" t="s">
        <v>143</v>
      </c>
      <c r="B3639" s="6" t="s">
        <v>86</v>
      </c>
      <c r="C3639" s="6" t="s">
        <v>372</v>
      </c>
      <c r="D3639" s="6">
        <v>0.702</v>
      </c>
      <c r="E3639" s="6" t="s">
        <v>86</v>
      </c>
      <c r="F3639" s="6" t="s">
        <v>55</v>
      </c>
      <c r="G3639" s="7">
        <v>91947.22414896538</v>
      </c>
      <c r="H3639" s="6">
        <v>64546.95135257369</v>
      </c>
      <c r="I3639" s="6" t="s">
        <v>180</v>
      </c>
      <c r="J3639" s="15">
        <v>20.87103528218113</v>
      </c>
    </row>
    <row r="3640" spans="1:10">
      <c r="A3640" s="6" t="s">
        <v>143</v>
      </c>
      <c r="B3640" s="6" t="s">
        <v>90</v>
      </c>
      <c r="C3640" s="6" t="s">
        <v>325</v>
      </c>
      <c r="D3640" s="6">
        <v>0.496</v>
      </c>
      <c r="E3640" s="6" t="s">
        <v>86</v>
      </c>
      <c r="F3640" s="6" t="s">
        <v>53</v>
      </c>
      <c r="G3640" s="7">
        <v>27183.84720656899</v>
      </c>
      <c r="H3640" s="6">
        <v>13483.18821445822</v>
      </c>
      <c r="I3640" s="6" t="s">
        <v>179</v>
      </c>
      <c r="J3640" s="15">
        <v>16</v>
      </c>
    </row>
    <row r="3641" spans="1:10">
      <c r="A3641" s="6" t="s">
        <v>143</v>
      </c>
      <c r="B3641" s="6" t="s">
        <v>86</v>
      </c>
      <c r="C3641" s="6" t="s">
        <v>364</v>
      </c>
      <c r="D3641" s="6">
        <v>15.26966666666667</v>
      </c>
      <c r="E3641" s="6" t="s">
        <v>86</v>
      </c>
      <c r="F3641" s="6" t="s">
        <v>52</v>
      </c>
      <c r="G3641" s="7">
        <v>56618.13707440715</v>
      </c>
      <c r="H3641" s="6">
        <v>864540.080413839</v>
      </c>
      <c r="I3641" s="6" t="s">
        <v>179</v>
      </c>
      <c r="J3641" s="15">
        <v>40.41666666666667</v>
      </c>
    </row>
    <row r="3642" spans="1:10">
      <c r="A3642" s="6" t="s">
        <v>143</v>
      </c>
      <c r="B3642" s="6" t="s">
        <v>90</v>
      </c>
      <c r="C3642" s="6" t="s">
        <v>326</v>
      </c>
      <c r="D3642" s="6">
        <v>245.5696666666667</v>
      </c>
      <c r="E3642" s="6" t="s">
        <v>86</v>
      </c>
      <c r="F3642" s="6" t="s">
        <v>54</v>
      </c>
      <c r="G3642" s="7">
        <v>73204.69251441542</v>
      </c>
      <c r="H3642" s="6">
        <v>17976851.93920083</v>
      </c>
      <c r="I3642" s="6" t="s">
        <v>179</v>
      </c>
      <c r="J3642" s="15">
        <v>50.55</v>
      </c>
    </row>
    <row r="3643" spans="1:10">
      <c r="A3643" s="6" t="s">
        <v>143</v>
      </c>
      <c r="B3643" s="6" t="s">
        <v>86</v>
      </c>
      <c r="C3643" s="6" t="s">
        <v>373</v>
      </c>
      <c r="D3643" s="6">
        <v>0.3811666666666667</v>
      </c>
      <c r="E3643" s="6" t="s">
        <v>86</v>
      </c>
      <c r="F3643" s="6" t="s">
        <v>55</v>
      </c>
      <c r="G3643" s="7">
        <v>61336.46875046419</v>
      </c>
      <c r="H3643" s="6">
        <v>23379.4173387186</v>
      </c>
      <c r="I3643" s="6" t="s">
        <v>180</v>
      </c>
      <c r="J3643" s="15">
        <v>11.67206778111837</v>
      </c>
    </row>
    <row r="3644" spans="1:10">
      <c r="A3644" s="6" t="s">
        <v>143</v>
      </c>
      <c r="B3644" s="6" t="s">
        <v>86</v>
      </c>
      <c r="C3644" s="6" t="s">
        <v>374</v>
      </c>
      <c r="D3644" s="6">
        <v>0.17275</v>
      </c>
      <c r="E3644" s="6" t="s">
        <v>86</v>
      </c>
      <c r="F3644" s="6" t="s">
        <v>55</v>
      </c>
      <c r="G3644" s="7">
        <v>66583.71341381679</v>
      </c>
      <c r="H3644" s="6">
        <v>11502.33649223685</v>
      </c>
      <c r="I3644" s="6" t="s">
        <v>180</v>
      </c>
      <c r="J3644" s="15">
        <v>13.24893945579351</v>
      </c>
    </row>
    <row r="3645" spans="1:10">
      <c r="A3645" s="6" t="s">
        <v>143</v>
      </c>
      <c r="B3645" s="6" t="s">
        <v>86</v>
      </c>
      <c r="C3645" s="6" t="s">
        <v>327</v>
      </c>
      <c r="D3645" s="6">
        <v>81.568</v>
      </c>
      <c r="E3645" s="6" t="s">
        <v>86</v>
      </c>
      <c r="F3645" s="6" t="s">
        <v>57</v>
      </c>
      <c r="G3645" s="7">
        <v>42782.89879327323</v>
      </c>
      <c r="H3645" s="6">
        <v>3489715.488769711</v>
      </c>
      <c r="I3645" s="6" t="s">
        <v>179</v>
      </c>
      <c r="J3645" s="15">
        <v>30.675</v>
      </c>
    </row>
    <row r="3646" spans="1:10">
      <c r="A3646" s="6" t="s">
        <v>143</v>
      </c>
      <c r="B3646" s="6" t="s">
        <v>86</v>
      </c>
      <c r="C3646" s="6" t="s">
        <v>328</v>
      </c>
      <c r="D3646" s="6">
        <v>0.435</v>
      </c>
      <c r="E3646" s="6" t="s">
        <v>86</v>
      </c>
      <c r="F3646" s="6" t="s">
        <v>58</v>
      </c>
      <c r="G3646" s="7">
        <v>63344.38696068728</v>
      </c>
      <c r="H3646" s="6">
        <v>27554.80832789897</v>
      </c>
      <c r="I3646" s="6" t="s">
        <v>180</v>
      </c>
      <c r="J3646" s="15">
        <v>12.27547577024427</v>
      </c>
    </row>
    <row r="3647" spans="1:10">
      <c r="A3647" s="6" t="s">
        <v>143</v>
      </c>
      <c r="B3647" s="6" t="s">
        <v>90</v>
      </c>
      <c r="C3647" s="6" t="s">
        <v>329</v>
      </c>
      <c r="D3647" s="6">
        <v>226.82475</v>
      </c>
      <c r="E3647" s="6" t="s">
        <v>86</v>
      </c>
      <c r="F3647" s="6" t="s">
        <v>58</v>
      </c>
      <c r="G3647" s="7">
        <v>59375.40509749136</v>
      </c>
      <c r="H3647" s="6">
        <v>13467811.4173872</v>
      </c>
      <c r="I3647" s="6" t="s">
        <v>180</v>
      </c>
      <c r="J3647" s="15">
        <v>12.2648401583864</v>
      </c>
    </row>
    <row r="3648" spans="1:10">
      <c r="A3648" s="6" t="s">
        <v>143</v>
      </c>
      <c r="B3648" s="6" t="s">
        <v>86</v>
      </c>
      <c r="C3648" s="6" t="s">
        <v>330</v>
      </c>
      <c r="D3648" s="6">
        <v>20.93616666666667</v>
      </c>
      <c r="E3648" s="6" t="s">
        <v>86</v>
      </c>
      <c r="F3648" s="6" t="s">
        <v>52</v>
      </c>
      <c r="G3648" s="7">
        <v>68396.7450959322</v>
      </c>
      <c r="H3648" s="6">
        <v>1431965.654785953</v>
      </c>
      <c r="I3648" s="6" t="s">
        <v>179</v>
      </c>
      <c r="J3648" s="15">
        <v>71.97499999999999</v>
      </c>
    </row>
    <row r="3649" spans="1:10">
      <c r="A3649" s="6" t="s">
        <v>143</v>
      </c>
      <c r="B3649" s="6" t="s">
        <v>86</v>
      </c>
      <c r="C3649" s="6" t="s">
        <v>365</v>
      </c>
      <c r="D3649" s="6">
        <v>0.024</v>
      </c>
      <c r="E3649" s="6" t="s">
        <v>86</v>
      </c>
      <c r="F3649" s="6" t="s">
        <v>53</v>
      </c>
      <c r="G3649" s="7">
        <v>49907.27415437595</v>
      </c>
      <c r="H3649" s="6">
        <v>1197.774579705023</v>
      </c>
      <c r="I3649" s="6" t="s">
        <v>179</v>
      </c>
      <c r="J3649" s="15">
        <v>8</v>
      </c>
    </row>
    <row r="3650" spans="1:10">
      <c r="A3650" s="6" t="s">
        <v>143</v>
      </c>
      <c r="B3650" s="6" t="s">
        <v>90</v>
      </c>
      <c r="C3650" s="6" t="s">
        <v>331</v>
      </c>
      <c r="D3650" s="6">
        <v>68.20083333333334</v>
      </c>
      <c r="E3650" s="6" t="s">
        <v>86</v>
      </c>
      <c r="F3650" s="6" t="s">
        <v>58</v>
      </c>
      <c r="G3650" s="7">
        <v>62490.71047845359</v>
      </c>
      <c r="H3650" s="6">
        <v>4261918.5302226</v>
      </c>
      <c r="I3650" s="6" t="s">
        <v>180</v>
      </c>
      <c r="J3650" s="15">
        <v>13.26305609794943</v>
      </c>
    </row>
    <row r="3651" spans="1:10">
      <c r="A3651" s="6" t="s">
        <v>143</v>
      </c>
      <c r="B3651" s="6" t="s">
        <v>86</v>
      </c>
      <c r="C3651" s="6" t="s">
        <v>332</v>
      </c>
      <c r="D3651" s="6">
        <v>467.4395</v>
      </c>
      <c r="E3651" s="6" t="s">
        <v>86</v>
      </c>
      <c r="F3651" s="6" t="s">
        <v>55</v>
      </c>
      <c r="G3651" s="7">
        <v>52935.75827117996</v>
      </c>
      <c r="H3651" s="6">
        <v>24744264.37840122</v>
      </c>
      <c r="I3651" s="6" t="s">
        <v>179</v>
      </c>
      <c r="J3651" s="15">
        <v>39.75833333333333</v>
      </c>
    </row>
    <row r="3652" spans="1:10">
      <c r="A3652" s="6" t="s">
        <v>143</v>
      </c>
      <c r="B3652" s="6" t="s">
        <v>86</v>
      </c>
      <c r="C3652" s="6" t="s">
        <v>375</v>
      </c>
      <c r="D3652" s="6">
        <v>1.429</v>
      </c>
      <c r="E3652" s="6" t="s">
        <v>86</v>
      </c>
      <c r="F3652" s="6" t="s">
        <v>55</v>
      </c>
      <c r="G3652" s="7">
        <v>53013.0959774591</v>
      </c>
      <c r="H3652" s="6">
        <v>75755.71415178906</v>
      </c>
      <c r="I3652" s="6" t="s">
        <v>180</v>
      </c>
      <c r="J3652" s="15">
        <v>9.170775844956172</v>
      </c>
    </row>
    <row r="3653" spans="1:10">
      <c r="A3653" s="6" t="s">
        <v>143</v>
      </c>
      <c r="B3653" s="6" t="s">
        <v>86</v>
      </c>
      <c r="C3653" s="6" t="s">
        <v>333</v>
      </c>
      <c r="D3653" s="6">
        <v>53.00475000000001</v>
      </c>
      <c r="E3653" s="6" t="s">
        <v>86</v>
      </c>
      <c r="F3653" s="6" t="s">
        <v>51</v>
      </c>
      <c r="G3653" s="7">
        <v>51556.63499677741</v>
      </c>
      <c r="H3653" s="6">
        <v>2732746.548845438</v>
      </c>
      <c r="I3653" s="6" t="s">
        <v>180</v>
      </c>
      <c r="J3653" s="15">
        <v>8.73308859897227</v>
      </c>
    </row>
    <row r="3654" spans="1:10">
      <c r="A3654" s="6" t="s">
        <v>143</v>
      </c>
      <c r="B3654" s="6" t="s">
        <v>92</v>
      </c>
      <c r="C3654" s="6" t="s">
        <v>194</v>
      </c>
      <c r="D3654" s="6">
        <v>0.2043333333333333</v>
      </c>
      <c r="E3654" s="6" t="s">
        <v>88</v>
      </c>
      <c r="F3654" s="6" t="s">
        <v>58</v>
      </c>
      <c r="G3654" s="7">
        <v>50041.91995236529</v>
      </c>
      <c r="H3654" s="6">
        <v>10225.23231026664</v>
      </c>
      <c r="I3654" s="6" t="s">
        <v>180</v>
      </c>
      <c r="J3654" s="15">
        <v>11.97643504980967</v>
      </c>
    </row>
    <row r="3655" spans="1:10">
      <c r="A3655" s="6" t="s">
        <v>143</v>
      </c>
      <c r="B3655" s="6" t="s">
        <v>88</v>
      </c>
      <c r="C3655" s="6" t="s">
        <v>195</v>
      </c>
      <c r="D3655" s="6">
        <v>4.178569341485005</v>
      </c>
      <c r="E3655" s="6" t="s">
        <v>88</v>
      </c>
      <c r="F3655" s="6" t="s">
        <v>54</v>
      </c>
      <c r="G3655" s="7">
        <v>42234.92390540216</v>
      </c>
      <c r="H3655" s="6">
        <v>176481.5581710656</v>
      </c>
      <c r="I3655" s="6" t="s">
        <v>180</v>
      </c>
      <c r="J3655" s="15">
        <v>21.67396938950999</v>
      </c>
    </row>
    <row r="3656" spans="1:10">
      <c r="A3656" s="6" t="s">
        <v>143</v>
      </c>
      <c r="B3656" s="6" t="s">
        <v>92</v>
      </c>
      <c r="C3656" s="6" t="s">
        <v>195</v>
      </c>
      <c r="D3656" s="6">
        <v>8.926180658514994</v>
      </c>
      <c r="E3656" s="6" t="s">
        <v>88</v>
      </c>
      <c r="F3656" s="6" t="s">
        <v>54</v>
      </c>
      <c r="G3656" s="7">
        <v>74005.80825338791</v>
      </c>
      <c r="H3656" s="6">
        <v>660589.2142491605</v>
      </c>
      <c r="I3656" s="6" t="s">
        <v>180</v>
      </c>
      <c r="J3656" s="15">
        <v>20.94906742477332</v>
      </c>
    </row>
    <row r="3657" spans="1:10">
      <c r="A3657" s="6" t="s">
        <v>143</v>
      </c>
      <c r="B3657" s="6" t="s">
        <v>88</v>
      </c>
      <c r="C3657" s="6" t="s">
        <v>335</v>
      </c>
      <c r="D3657" s="6">
        <v>802.7560833333334</v>
      </c>
      <c r="E3657" s="6" t="s">
        <v>88</v>
      </c>
      <c r="F3657" s="6" t="s">
        <v>52</v>
      </c>
      <c r="G3657" s="7">
        <v>44280.88015614714</v>
      </c>
      <c r="H3657" s="6">
        <v>35546745.92070141</v>
      </c>
      <c r="I3657" s="6" t="s">
        <v>179</v>
      </c>
      <c r="J3657" s="15">
        <v>39</v>
      </c>
    </row>
    <row r="3658" spans="1:10">
      <c r="A3658" s="6" t="s">
        <v>143</v>
      </c>
      <c r="B3658" s="6" t="s">
        <v>92</v>
      </c>
      <c r="C3658" s="6" t="s">
        <v>197</v>
      </c>
      <c r="D3658" s="6">
        <v>53.09375</v>
      </c>
      <c r="E3658" s="6" t="s">
        <v>88</v>
      </c>
      <c r="F3658" s="6" t="s">
        <v>53</v>
      </c>
      <c r="G3658" s="7">
        <v>63461.32463788219</v>
      </c>
      <c r="H3658" s="6">
        <v>3369399.704992557</v>
      </c>
      <c r="I3658" s="6" t="s">
        <v>180</v>
      </c>
      <c r="J3658" s="15">
        <v>17.00096960870551</v>
      </c>
    </row>
    <row r="3659" spans="1:10">
      <c r="A3659" s="6" t="s">
        <v>143</v>
      </c>
      <c r="B3659" s="6" t="s">
        <v>88</v>
      </c>
      <c r="C3659" s="6" t="s">
        <v>198</v>
      </c>
      <c r="D3659" s="6">
        <v>15.88875</v>
      </c>
      <c r="E3659" s="6" t="s">
        <v>88</v>
      </c>
      <c r="F3659" s="6" t="s">
        <v>58</v>
      </c>
      <c r="G3659" s="7">
        <v>47148.15846411035</v>
      </c>
      <c r="H3659" s="6">
        <v>749125.3027966333</v>
      </c>
      <c r="I3659" s="6" t="s">
        <v>180</v>
      </c>
      <c r="J3659" s="15">
        <v>24.98177205229451</v>
      </c>
    </row>
    <row r="3660" spans="1:10">
      <c r="A3660" s="6" t="s">
        <v>143</v>
      </c>
      <c r="B3660" s="6" t="s">
        <v>92</v>
      </c>
      <c r="C3660" s="6" t="s">
        <v>199</v>
      </c>
      <c r="D3660" s="6">
        <v>47.27558333333333</v>
      </c>
      <c r="E3660" s="6" t="s">
        <v>88</v>
      </c>
      <c r="F3660" s="6" t="s">
        <v>57</v>
      </c>
      <c r="G3660" s="7">
        <v>45943.9020712533</v>
      </c>
      <c r="H3660" s="6">
        <v>2172024.771028041</v>
      </c>
      <c r="I3660" s="6" t="s">
        <v>179</v>
      </c>
      <c r="J3660" s="15">
        <v>30.95</v>
      </c>
    </row>
    <row r="3661" spans="1:10">
      <c r="A3661" s="6" t="s">
        <v>143</v>
      </c>
      <c r="B3661" s="6" t="s">
        <v>88</v>
      </c>
      <c r="C3661" s="6" t="s">
        <v>337</v>
      </c>
      <c r="D3661" s="6">
        <v>8.164250000000001</v>
      </c>
      <c r="E3661" s="6" t="s">
        <v>88</v>
      </c>
      <c r="F3661" s="6" t="s">
        <v>52</v>
      </c>
      <c r="G3661" s="7">
        <v>44335.59781697809</v>
      </c>
      <c r="H3661" s="6">
        <v>361966.9044772634</v>
      </c>
      <c r="I3661" s="6" t="s">
        <v>180</v>
      </c>
      <c r="J3661" s="15">
        <v>23.08823420331521</v>
      </c>
    </row>
    <row r="3662" spans="1:10">
      <c r="A3662" s="6" t="s">
        <v>143</v>
      </c>
      <c r="B3662" s="6" t="s">
        <v>88</v>
      </c>
      <c r="C3662" s="6" t="s">
        <v>200</v>
      </c>
      <c r="D3662" s="6">
        <v>140.3050833333333</v>
      </c>
      <c r="E3662" s="6" t="s">
        <v>88</v>
      </c>
      <c r="F3662" s="6" t="s">
        <v>52</v>
      </c>
      <c r="G3662" s="7">
        <v>32832.77265499769</v>
      </c>
      <c r="H3662" s="6">
        <v>4606604.903423839</v>
      </c>
      <c r="I3662" s="6" t="s">
        <v>179</v>
      </c>
      <c r="J3662" s="15">
        <v>28.025</v>
      </c>
    </row>
    <row r="3663" spans="1:10">
      <c r="A3663" s="6" t="s">
        <v>143</v>
      </c>
      <c r="B3663" s="6" t="s">
        <v>92</v>
      </c>
      <c r="C3663" s="6" t="s">
        <v>201</v>
      </c>
      <c r="D3663" s="6">
        <v>16.70283333333333</v>
      </c>
      <c r="E3663" s="6" t="s">
        <v>88</v>
      </c>
      <c r="F3663" s="6" t="s">
        <v>56</v>
      </c>
      <c r="G3663" s="7">
        <v>64076.14664886126</v>
      </c>
      <c r="H3663" s="6">
        <v>1070253.198118155</v>
      </c>
      <c r="I3663" s="6" t="s">
        <v>180</v>
      </c>
      <c r="J3663" s="15">
        <v>17.23117314709855</v>
      </c>
    </row>
    <row r="3664" spans="1:10">
      <c r="A3664" s="6" t="s">
        <v>143</v>
      </c>
      <c r="B3664" s="6" t="s">
        <v>88</v>
      </c>
      <c r="C3664" s="6" t="s">
        <v>202</v>
      </c>
      <c r="D3664" s="6">
        <v>1271.925166666667</v>
      </c>
      <c r="E3664" s="6" t="s">
        <v>88</v>
      </c>
      <c r="F3664" s="6" t="s">
        <v>54</v>
      </c>
      <c r="G3664" s="7">
        <v>52343.66061009689</v>
      </c>
      <c r="H3664" s="6">
        <v>66577219.24544092</v>
      </c>
      <c r="I3664" s="6" t="s">
        <v>180</v>
      </c>
      <c r="J3664" s="15">
        <v>28.47960950085214</v>
      </c>
    </row>
    <row r="3665" spans="1:10">
      <c r="A3665" s="6" t="s">
        <v>143</v>
      </c>
      <c r="B3665" s="6" t="s">
        <v>86</v>
      </c>
      <c r="C3665" s="6" t="s">
        <v>203</v>
      </c>
      <c r="D3665" s="6">
        <v>499.0579166666666</v>
      </c>
      <c r="E3665" s="6" t="s">
        <v>88</v>
      </c>
      <c r="F3665" s="6" t="s">
        <v>53</v>
      </c>
      <c r="G3665" s="7">
        <v>22045.15542894867</v>
      </c>
      <c r="H3665" s="6">
        <v>11001809.34096398</v>
      </c>
      <c r="I3665" s="6" t="s">
        <v>179</v>
      </c>
      <c r="J3665" s="15">
        <v>8</v>
      </c>
    </row>
    <row r="3666" spans="1:10">
      <c r="A3666" s="6" t="s">
        <v>143</v>
      </c>
      <c r="B3666" s="6" t="s">
        <v>92</v>
      </c>
      <c r="C3666" s="6" t="s">
        <v>204</v>
      </c>
      <c r="D3666" s="6">
        <v>2500.7715</v>
      </c>
      <c r="E3666" s="6" t="s">
        <v>88</v>
      </c>
      <c r="F3666" s="6" t="s">
        <v>51</v>
      </c>
      <c r="G3666" s="7">
        <v>45931.03732154475</v>
      </c>
      <c r="H3666" s="6">
        <v>114863029.0991555</v>
      </c>
      <c r="I3666" s="6" t="s">
        <v>179</v>
      </c>
      <c r="J3666" s="15">
        <v>41.54166666666667</v>
      </c>
    </row>
    <row r="3667" spans="1:10">
      <c r="A3667" s="6" t="s">
        <v>143</v>
      </c>
      <c r="B3667" s="6" t="s">
        <v>88</v>
      </c>
      <c r="C3667" s="6" t="s">
        <v>338</v>
      </c>
      <c r="D3667" s="6">
        <v>2.61025</v>
      </c>
      <c r="E3667" s="6" t="s">
        <v>88</v>
      </c>
      <c r="F3667" s="6" t="s">
        <v>52</v>
      </c>
      <c r="G3667" s="7">
        <v>44335.59781697809</v>
      </c>
      <c r="H3667" s="6">
        <v>115726.9942017671</v>
      </c>
      <c r="I3667" s="6" t="s">
        <v>180</v>
      </c>
      <c r="J3667" s="15">
        <v>23.08823420331521</v>
      </c>
    </row>
    <row r="3668" spans="1:10">
      <c r="A3668" s="6" t="s">
        <v>143</v>
      </c>
      <c r="B3668" s="6" t="s">
        <v>88</v>
      </c>
      <c r="C3668" s="6" t="s">
        <v>205</v>
      </c>
      <c r="D3668" s="6">
        <v>637.0635000000001</v>
      </c>
      <c r="E3668" s="6" t="s">
        <v>88</v>
      </c>
      <c r="F3668" s="6" t="s">
        <v>56</v>
      </c>
      <c r="G3668" s="7">
        <v>38874.1891890203</v>
      </c>
      <c r="H3668" s="6">
        <v>24765327.02441944</v>
      </c>
      <c r="I3668" s="6" t="s">
        <v>180</v>
      </c>
      <c r="J3668" s="15">
        <v>19.4113769748944</v>
      </c>
    </row>
    <row r="3669" spans="1:10">
      <c r="A3669" s="6" t="s">
        <v>143</v>
      </c>
      <c r="B3669" s="6" t="s">
        <v>92</v>
      </c>
      <c r="C3669" s="6" t="s">
        <v>206</v>
      </c>
      <c r="D3669" s="6">
        <v>6.860416666666667</v>
      </c>
      <c r="E3669" s="6" t="s">
        <v>88</v>
      </c>
      <c r="F3669" s="6" t="s">
        <v>55</v>
      </c>
      <c r="G3669" s="7">
        <v>31981.7567354776</v>
      </c>
      <c r="H3669" s="6">
        <v>219408.1769373495</v>
      </c>
      <c r="I3669" s="6" t="s">
        <v>179</v>
      </c>
      <c r="J3669" s="15">
        <v>16</v>
      </c>
    </row>
    <row r="3670" spans="1:10">
      <c r="A3670" s="6" t="s">
        <v>143</v>
      </c>
      <c r="B3670" s="6" t="s">
        <v>92</v>
      </c>
      <c r="C3670" s="6" t="s">
        <v>340</v>
      </c>
      <c r="D3670" s="6">
        <v>118.7876666666667</v>
      </c>
      <c r="E3670" s="6" t="s">
        <v>88</v>
      </c>
      <c r="F3670" s="6" t="s">
        <v>52</v>
      </c>
      <c r="G3670" s="7">
        <v>30591.57365130842</v>
      </c>
      <c r="H3670" s="6">
        <v>3633901.653700407</v>
      </c>
      <c r="I3670" s="6" t="s">
        <v>180</v>
      </c>
      <c r="J3670" s="15">
        <v>4.69377687961323</v>
      </c>
    </row>
    <row r="3671" spans="1:10">
      <c r="A3671" s="6" t="s">
        <v>143</v>
      </c>
      <c r="B3671" s="6" t="s">
        <v>92</v>
      </c>
      <c r="C3671" s="6" t="s">
        <v>207</v>
      </c>
      <c r="D3671" s="6">
        <v>0.2558333333333334</v>
      </c>
      <c r="E3671" s="6" t="s">
        <v>88</v>
      </c>
      <c r="F3671" s="6" t="s">
        <v>55</v>
      </c>
      <c r="G3671" s="7">
        <v>35193.17601920018</v>
      </c>
      <c r="H3671" s="6">
        <v>9003.587531578714</v>
      </c>
      <c r="I3671" s="6" t="s">
        <v>180</v>
      </c>
      <c r="J3671" s="15">
        <v>6.416722916759179</v>
      </c>
    </row>
    <row r="3672" spans="1:10">
      <c r="A3672" s="6" t="s">
        <v>143</v>
      </c>
      <c r="B3672" s="6" t="s">
        <v>92</v>
      </c>
      <c r="C3672" s="6" t="s">
        <v>208</v>
      </c>
      <c r="D3672" s="6">
        <v>2.200666666666667</v>
      </c>
      <c r="E3672" s="6" t="s">
        <v>88</v>
      </c>
      <c r="F3672" s="6" t="s">
        <v>51</v>
      </c>
      <c r="G3672" s="7">
        <v>50504.79293432883</v>
      </c>
      <c r="H3672" s="6">
        <v>111144.2143174797</v>
      </c>
      <c r="I3672" s="6" t="s">
        <v>180</v>
      </c>
      <c r="J3672" s="15">
        <v>12.14974536787207</v>
      </c>
    </row>
    <row r="3673" spans="1:10">
      <c r="A3673" s="6" t="s">
        <v>143</v>
      </c>
      <c r="B3673" s="6" t="s">
        <v>92</v>
      </c>
      <c r="C3673" s="6" t="s">
        <v>209</v>
      </c>
      <c r="D3673" s="6">
        <v>0.2256666666666667</v>
      </c>
      <c r="E3673" s="6" t="s">
        <v>88</v>
      </c>
      <c r="F3673" s="6" t="s">
        <v>57</v>
      </c>
      <c r="G3673" s="7">
        <v>37511.68520504731</v>
      </c>
      <c r="H3673" s="6">
        <v>8465.136961272343</v>
      </c>
      <c r="I3673" s="6" t="s">
        <v>180</v>
      </c>
      <c r="J3673" s="15">
        <v>7.284826219581484</v>
      </c>
    </row>
    <row r="3674" spans="1:10">
      <c r="A3674" s="6" t="s">
        <v>143</v>
      </c>
      <c r="B3674" s="6" t="s">
        <v>92</v>
      </c>
      <c r="C3674" s="6" t="s">
        <v>210</v>
      </c>
      <c r="D3674" s="6">
        <v>0.4045833333333334</v>
      </c>
      <c r="E3674" s="6" t="s">
        <v>88</v>
      </c>
      <c r="F3674" s="6" t="s">
        <v>53</v>
      </c>
      <c r="G3674" s="7">
        <v>49345.5773914262</v>
      </c>
      <c r="H3674" s="6">
        <v>19964.39818628119</v>
      </c>
      <c r="I3674" s="6" t="s">
        <v>180</v>
      </c>
      <c r="J3674" s="15">
        <v>11.71570833768923</v>
      </c>
    </row>
    <row r="3675" spans="1:10">
      <c r="A3675" s="6" t="s">
        <v>143</v>
      </c>
      <c r="B3675" s="6" t="s">
        <v>92</v>
      </c>
      <c r="C3675" s="6" t="s">
        <v>211</v>
      </c>
      <c r="D3675" s="6">
        <v>404.5624166666666</v>
      </c>
      <c r="E3675" s="6" t="s">
        <v>88</v>
      </c>
      <c r="F3675" s="6" t="s">
        <v>55</v>
      </c>
      <c r="G3675" s="7">
        <v>25336.04217074411</v>
      </c>
      <c r="H3675" s="6">
        <v>10250010.44936481</v>
      </c>
      <c r="I3675" s="6" t="s">
        <v>179</v>
      </c>
      <c r="J3675" s="15">
        <v>16</v>
      </c>
    </row>
    <row r="3676" spans="1:10">
      <c r="A3676" s="6" t="s">
        <v>143</v>
      </c>
      <c r="B3676" s="6" t="s">
        <v>92</v>
      </c>
      <c r="C3676" s="6" t="s">
        <v>377</v>
      </c>
      <c r="D3676" s="6">
        <v>4.25175</v>
      </c>
      <c r="E3676" s="6" t="s">
        <v>88</v>
      </c>
      <c r="F3676" s="6" t="s">
        <v>51</v>
      </c>
      <c r="G3676" s="7">
        <v>38568.74339775931</v>
      </c>
      <c r="H3676" s="6">
        <v>163984.6547414231</v>
      </c>
      <c r="I3676" s="6" t="s">
        <v>180</v>
      </c>
      <c r="J3676" s="15">
        <v>7.680613182156479</v>
      </c>
    </row>
    <row r="3677" spans="1:10">
      <c r="A3677" s="6" t="s">
        <v>143</v>
      </c>
      <c r="B3677" s="6" t="s">
        <v>92</v>
      </c>
      <c r="C3677" s="6" t="s">
        <v>212</v>
      </c>
      <c r="D3677" s="6">
        <v>25.90866666666667</v>
      </c>
      <c r="E3677" s="6" t="s">
        <v>88</v>
      </c>
      <c r="F3677" s="6" t="s">
        <v>55</v>
      </c>
      <c r="G3677" s="7">
        <v>23468.05749758728</v>
      </c>
      <c r="H3677" s="6">
        <v>608026.0790191562</v>
      </c>
      <c r="I3677" s="6" t="s">
        <v>179</v>
      </c>
      <c r="J3677" s="15">
        <v>15</v>
      </c>
    </row>
    <row r="3678" spans="1:10">
      <c r="A3678" s="6" t="s">
        <v>143</v>
      </c>
      <c r="B3678" s="6" t="s">
        <v>88</v>
      </c>
      <c r="C3678" s="6" t="s">
        <v>213</v>
      </c>
      <c r="D3678" s="6">
        <v>16.92391666666666</v>
      </c>
      <c r="E3678" s="6" t="s">
        <v>88</v>
      </c>
      <c r="F3678" s="6" t="s">
        <v>52</v>
      </c>
      <c r="G3678" s="7">
        <v>44335.59781697809</v>
      </c>
      <c r="H3678" s="6">
        <v>750331.9628213856</v>
      </c>
      <c r="I3678" s="6" t="s">
        <v>180</v>
      </c>
      <c r="J3678" s="15">
        <v>23.08823420331521</v>
      </c>
    </row>
    <row r="3679" spans="1:10">
      <c r="A3679" s="6" t="s">
        <v>143</v>
      </c>
      <c r="B3679" s="6" t="s">
        <v>92</v>
      </c>
      <c r="C3679" s="6" t="s">
        <v>214</v>
      </c>
      <c r="D3679" s="6">
        <v>0.3579166666666667</v>
      </c>
      <c r="E3679" s="6" t="s">
        <v>88</v>
      </c>
      <c r="F3679" s="6" t="s">
        <v>53</v>
      </c>
      <c r="G3679" s="7">
        <v>62422.24836497094</v>
      </c>
      <c r="H3679" s="6">
        <v>22341.96306062918</v>
      </c>
      <c r="I3679" s="6" t="s">
        <v>180</v>
      </c>
      <c r="J3679" s="15">
        <v>16.61191549155782</v>
      </c>
    </row>
    <row r="3680" spans="1:10">
      <c r="A3680" s="6" t="s">
        <v>143</v>
      </c>
      <c r="B3680" s="6" t="s">
        <v>88</v>
      </c>
      <c r="C3680" s="6" t="s">
        <v>215</v>
      </c>
      <c r="D3680" s="6">
        <v>199.4104166666667</v>
      </c>
      <c r="E3680" s="6" t="s">
        <v>88</v>
      </c>
      <c r="F3680" s="6" t="s">
        <v>54</v>
      </c>
      <c r="G3680" s="7">
        <v>49061.49876660256</v>
      </c>
      <c r="H3680" s="6">
        <v>9783373.911339369</v>
      </c>
      <c r="I3680" s="6" t="s">
        <v>180</v>
      </c>
      <c r="J3680" s="15">
        <v>26.26991575310344</v>
      </c>
    </row>
    <row r="3681" spans="1:10">
      <c r="A3681" s="6" t="s">
        <v>143</v>
      </c>
      <c r="B3681" s="6" t="s">
        <v>92</v>
      </c>
      <c r="C3681" s="6" t="s">
        <v>216</v>
      </c>
      <c r="D3681" s="6">
        <v>1.496333333333333</v>
      </c>
      <c r="E3681" s="6" t="s">
        <v>88</v>
      </c>
      <c r="F3681" s="6" t="s">
        <v>55</v>
      </c>
      <c r="G3681" s="7">
        <v>37794.08920614998</v>
      </c>
      <c r="H3681" s="6">
        <v>56552.55548213574</v>
      </c>
      <c r="I3681" s="6" t="s">
        <v>180</v>
      </c>
      <c r="J3681" s="15">
        <v>22.25</v>
      </c>
    </row>
    <row r="3682" spans="1:10">
      <c r="A3682" s="6" t="s">
        <v>143</v>
      </c>
      <c r="B3682" s="6" t="s">
        <v>88</v>
      </c>
      <c r="C3682" s="6" t="s">
        <v>341</v>
      </c>
      <c r="D3682" s="6">
        <v>11.00733333333333</v>
      </c>
      <c r="E3682" s="6" t="s">
        <v>88</v>
      </c>
      <c r="F3682" s="6" t="s">
        <v>52</v>
      </c>
      <c r="G3682" s="7">
        <v>44335.59781697809</v>
      </c>
      <c r="H3682" s="6">
        <v>488016.7037040835</v>
      </c>
      <c r="I3682" s="6" t="s">
        <v>180</v>
      </c>
      <c r="J3682" s="15">
        <v>23.08823420331521</v>
      </c>
    </row>
    <row r="3683" spans="1:10">
      <c r="A3683" s="6" t="s">
        <v>143</v>
      </c>
      <c r="B3683" s="6" t="s">
        <v>92</v>
      </c>
      <c r="C3683" s="6" t="s">
        <v>217</v>
      </c>
      <c r="D3683" s="6">
        <v>14.37508333333333</v>
      </c>
      <c r="E3683" s="6" t="s">
        <v>88</v>
      </c>
      <c r="F3683" s="6" t="s">
        <v>53</v>
      </c>
      <c r="G3683" s="7">
        <v>65939.82541874713</v>
      </c>
      <c r="H3683" s="6">
        <v>947890.4853799415</v>
      </c>
      <c r="I3683" s="6" t="s">
        <v>180</v>
      </c>
      <c r="J3683" s="15">
        <v>17.92897745402719</v>
      </c>
    </row>
    <row r="3684" spans="1:10">
      <c r="A3684" s="6" t="s">
        <v>143</v>
      </c>
      <c r="B3684" s="6" t="s">
        <v>92</v>
      </c>
      <c r="C3684" s="6" t="s">
        <v>218</v>
      </c>
      <c r="D3684" s="6">
        <v>0.2668333333333334</v>
      </c>
      <c r="E3684" s="6" t="s">
        <v>88</v>
      </c>
      <c r="F3684" s="6" t="s">
        <v>54</v>
      </c>
      <c r="G3684" s="7">
        <v>72528.9080341926</v>
      </c>
      <c r="H3684" s="6">
        <v>19353.1302937904</v>
      </c>
      <c r="I3684" s="6" t="s">
        <v>180</v>
      </c>
      <c r="J3684" s="15">
        <v>20.39608192613964</v>
      </c>
    </row>
    <row r="3685" spans="1:10">
      <c r="A3685" s="6" t="s">
        <v>143</v>
      </c>
      <c r="B3685" s="6" t="s">
        <v>92</v>
      </c>
      <c r="C3685" s="6" t="s">
        <v>219</v>
      </c>
      <c r="D3685" s="6">
        <v>7.749583333333334</v>
      </c>
      <c r="E3685" s="6" t="s">
        <v>88</v>
      </c>
      <c r="F3685" s="6" t="s">
        <v>51</v>
      </c>
      <c r="G3685" s="7">
        <v>50028.12386913064</v>
      </c>
      <c r="H3685" s="6">
        <v>387697.1149341503</v>
      </c>
      <c r="I3685" s="6" t="s">
        <v>180</v>
      </c>
      <c r="J3685" s="15">
        <v>11.97126947811596</v>
      </c>
    </row>
    <row r="3686" spans="1:10">
      <c r="A3686" s="6" t="s">
        <v>143</v>
      </c>
      <c r="B3686" s="6" t="s">
        <v>92</v>
      </c>
      <c r="C3686" s="6" t="s">
        <v>220</v>
      </c>
      <c r="D3686" s="6">
        <v>1.558333333333333</v>
      </c>
      <c r="E3686" s="6" t="s">
        <v>88</v>
      </c>
      <c r="F3686" s="6" t="s">
        <v>57</v>
      </c>
      <c r="G3686" s="7">
        <v>40832.06893400874</v>
      </c>
      <c r="H3686" s="6">
        <v>63629.97408883029</v>
      </c>
      <c r="I3686" s="6" t="s">
        <v>180</v>
      </c>
      <c r="J3686" s="15">
        <v>8.528054454062554</v>
      </c>
    </row>
    <row r="3687" spans="1:10">
      <c r="A3687" s="6" t="s">
        <v>143</v>
      </c>
      <c r="B3687" s="6" t="s">
        <v>92</v>
      </c>
      <c r="C3687" s="6" t="s">
        <v>221</v>
      </c>
      <c r="D3687" s="6">
        <v>38.65241666666667</v>
      </c>
      <c r="E3687" s="6" t="s">
        <v>88</v>
      </c>
      <c r="F3687" s="6" t="s">
        <v>51</v>
      </c>
      <c r="G3687" s="7">
        <v>44450.04061738423</v>
      </c>
      <c r="H3687" s="6">
        <v>1718101.490793393</v>
      </c>
      <c r="I3687" s="6" t="s">
        <v>179</v>
      </c>
      <c r="J3687" s="15">
        <v>39.525</v>
      </c>
    </row>
    <row r="3688" spans="1:10">
      <c r="A3688" s="6" t="s">
        <v>143</v>
      </c>
      <c r="B3688" s="6" t="s">
        <v>92</v>
      </c>
      <c r="C3688" s="6" t="s">
        <v>222</v>
      </c>
      <c r="D3688" s="6">
        <v>0.31175</v>
      </c>
      <c r="E3688" s="6" t="s">
        <v>88</v>
      </c>
      <c r="F3688" s="6" t="s">
        <v>57</v>
      </c>
      <c r="G3688" s="7">
        <v>38127.89574884072</v>
      </c>
      <c r="H3688" s="6">
        <v>11886.37149970109</v>
      </c>
      <c r="I3688" s="6" t="s">
        <v>180</v>
      </c>
      <c r="J3688" s="15">
        <v>7.515549656679076</v>
      </c>
    </row>
    <row r="3689" spans="1:10">
      <c r="A3689" s="6" t="s">
        <v>143</v>
      </c>
      <c r="B3689" s="6" t="s">
        <v>92</v>
      </c>
      <c r="C3689" s="6" t="s">
        <v>342</v>
      </c>
      <c r="D3689" s="6">
        <v>19.24808333333333</v>
      </c>
      <c r="E3689" s="6" t="s">
        <v>88</v>
      </c>
      <c r="F3689" s="6" t="s">
        <v>53</v>
      </c>
      <c r="G3689" s="7">
        <v>46480.71512957623</v>
      </c>
      <c r="H3689" s="6">
        <v>894664.6782070107</v>
      </c>
      <c r="I3689" s="6" t="s">
        <v>180</v>
      </c>
      <c r="J3689" s="15">
        <v>10.64303784458775</v>
      </c>
    </row>
    <row r="3690" spans="1:10">
      <c r="A3690" s="6" t="s">
        <v>143</v>
      </c>
      <c r="B3690" s="6" t="s">
        <v>92</v>
      </c>
      <c r="C3690" s="6" t="s">
        <v>223</v>
      </c>
      <c r="D3690" s="6">
        <v>49.886</v>
      </c>
      <c r="E3690" s="6" t="s">
        <v>88</v>
      </c>
      <c r="F3690" s="6" t="s">
        <v>53</v>
      </c>
      <c r="G3690" s="7">
        <v>48232.87547336299</v>
      </c>
      <c r="H3690" s="6">
        <v>2406145.225864186</v>
      </c>
      <c r="I3690" s="6" t="s">
        <v>179</v>
      </c>
      <c r="J3690" s="15">
        <v>53.5</v>
      </c>
    </row>
    <row r="3691" spans="1:10">
      <c r="A3691" s="6" t="s">
        <v>143</v>
      </c>
      <c r="B3691" s="6" t="s">
        <v>92</v>
      </c>
      <c r="C3691" s="6" t="s">
        <v>224</v>
      </c>
      <c r="D3691" s="6">
        <v>621.3332499999999</v>
      </c>
      <c r="E3691" s="6" t="s">
        <v>88</v>
      </c>
      <c r="F3691" s="6" t="s">
        <v>51</v>
      </c>
      <c r="G3691" s="7">
        <v>46793.10139429578</v>
      </c>
      <c r="H3691" s="6">
        <v>29074109.76689732</v>
      </c>
      <c r="I3691" s="6" t="s">
        <v>179</v>
      </c>
      <c r="J3691" s="15">
        <v>41.85</v>
      </c>
    </row>
    <row r="3692" spans="1:10">
      <c r="A3692" s="6" t="s">
        <v>143</v>
      </c>
      <c r="B3692" s="6" t="s">
        <v>88</v>
      </c>
      <c r="C3692" s="6" t="s">
        <v>225</v>
      </c>
      <c r="D3692" s="6">
        <v>0.004666666666666667</v>
      </c>
      <c r="E3692" s="6" t="s">
        <v>88</v>
      </c>
      <c r="F3692" s="6" t="s">
        <v>54</v>
      </c>
      <c r="G3692" s="7">
        <v>44268.94328669953</v>
      </c>
      <c r="H3692" s="6">
        <v>206.5884020045978</v>
      </c>
      <c r="I3692" s="6" t="s">
        <v>180</v>
      </c>
      <c r="J3692" s="15">
        <v>23.04335948176314</v>
      </c>
    </row>
    <row r="3693" spans="1:10">
      <c r="A3693" s="6" t="s">
        <v>143</v>
      </c>
      <c r="B3693" s="6" t="s">
        <v>88</v>
      </c>
      <c r="C3693" s="6" t="s">
        <v>226</v>
      </c>
      <c r="D3693" s="6">
        <v>230.1254166666667</v>
      </c>
      <c r="E3693" s="6" t="s">
        <v>88</v>
      </c>
      <c r="F3693" s="6" t="s">
        <v>56</v>
      </c>
      <c r="G3693" s="7">
        <v>43574.43033788576</v>
      </c>
      <c r="H3693" s="6">
        <v>10027583.9375186</v>
      </c>
      <c r="I3693" s="6" t="s">
        <v>180</v>
      </c>
      <c r="J3693" s="15">
        <v>22.57578323357593</v>
      </c>
    </row>
    <row r="3694" spans="1:10">
      <c r="A3694" s="6" t="s">
        <v>143</v>
      </c>
      <c r="B3694" s="6" t="s">
        <v>88</v>
      </c>
      <c r="C3694" s="6" t="s">
        <v>344</v>
      </c>
      <c r="D3694" s="6">
        <v>22.83183333333334</v>
      </c>
      <c r="E3694" s="6" t="s">
        <v>88</v>
      </c>
      <c r="F3694" s="6" t="s">
        <v>52</v>
      </c>
      <c r="G3694" s="7">
        <v>44335.59781697809</v>
      </c>
      <c r="H3694" s="6">
        <v>1012262.980090941</v>
      </c>
      <c r="I3694" s="6" t="s">
        <v>180</v>
      </c>
      <c r="J3694" s="15">
        <v>23.08823420331521</v>
      </c>
    </row>
    <row r="3695" spans="1:10">
      <c r="A3695" s="6" t="s">
        <v>143</v>
      </c>
      <c r="B3695" s="6" t="s">
        <v>92</v>
      </c>
      <c r="C3695" s="6" t="s">
        <v>345</v>
      </c>
      <c r="D3695" s="6">
        <v>16.05825</v>
      </c>
      <c r="E3695" s="6" t="s">
        <v>88</v>
      </c>
      <c r="F3695" s="6" t="s">
        <v>53</v>
      </c>
      <c r="G3695" s="7">
        <v>53287.30462003995</v>
      </c>
      <c r="H3695" s="6">
        <v>855700.8594147565</v>
      </c>
      <c r="I3695" s="6" t="s">
        <v>180</v>
      </c>
      <c r="J3695" s="15">
        <v>13.19158190630481</v>
      </c>
    </row>
    <row r="3696" spans="1:10">
      <c r="A3696" s="6" t="s">
        <v>143</v>
      </c>
      <c r="B3696" s="6" t="s">
        <v>92</v>
      </c>
      <c r="C3696" s="6" t="s">
        <v>227</v>
      </c>
      <c r="D3696" s="6">
        <v>28.6565</v>
      </c>
      <c r="E3696" s="6" t="s">
        <v>88</v>
      </c>
      <c r="F3696" s="6" t="s">
        <v>57</v>
      </c>
      <c r="G3696" s="7">
        <v>53193.31448576911</v>
      </c>
      <c r="H3696" s="6">
        <v>1524334.216561442</v>
      </c>
      <c r="I3696" s="6" t="s">
        <v>179</v>
      </c>
      <c r="J3696" s="15">
        <v>43</v>
      </c>
    </row>
    <row r="3697" spans="1:10">
      <c r="A3697" s="6" t="s">
        <v>143</v>
      </c>
      <c r="B3697" s="6" t="s">
        <v>92</v>
      </c>
      <c r="C3697" s="6" t="s">
        <v>228</v>
      </c>
      <c r="D3697" s="6">
        <v>45.89083333333333</v>
      </c>
      <c r="E3697" s="6" t="s">
        <v>88</v>
      </c>
      <c r="F3697" s="6" t="s">
        <v>51</v>
      </c>
      <c r="G3697" s="7">
        <v>40082.62252520998</v>
      </c>
      <c r="H3697" s="6">
        <v>1839424.949867324</v>
      </c>
      <c r="I3697" s="6" t="s">
        <v>179</v>
      </c>
      <c r="J3697" s="15">
        <v>26.025</v>
      </c>
    </row>
    <row r="3698" spans="1:10">
      <c r="A3698" s="6" t="s">
        <v>143</v>
      </c>
      <c r="B3698" s="6" t="s">
        <v>92</v>
      </c>
      <c r="C3698" s="6" t="s">
        <v>229</v>
      </c>
      <c r="D3698" s="6">
        <v>25.42741666666667</v>
      </c>
      <c r="E3698" s="6" t="s">
        <v>88</v>
      </c>
      <c r="F3698" s="6" t="s">
        <v>53</v>
      </c>
      <c r="G3698" s="7">
        <v>50225.07411158284</v>
      </c>
      <c r="H3698" s="6">
        <v>1277093.88654943</v>
      </c>
      <c r="I3698" s="6" t="s">
        <v>180</v>
      </c>
      <c r="J3698" s="15">
        <v>12.04501219046236</v>
      </c>
    </row>
    <row r="3699" spans="1:10">
      <c r="A3699" s="6" t="s">
        <v>143</v>
      </c>
      <c r="B3699" s="6" t="s">
        <v>92</v>
      </c>
      <c r="C3699" s="6" t="s">
        <v>367</v>
      </c>
      <c r="D3699" s="6">
        <v>0.9388333333333334</v>
      </c>
      <c r="E3699" s="6" t="s">
        <v>88</v>
      </c>
      <c r="F3699" s="6" t="s">
        <v>55</v>
      </c>
      <c r="G3699" s="7">
        <v>42283.6525693799</v>
      </c>
      <c r="H3699" s="6">
        <v>39697.30248721949</v>
      </c>
      <c r="I3699" s="6" t="s">
        <v>179</v>
      </c>
      <c r="J3699" s="15">
        <v>15</v>
      </c>
    </row>
    <row r="3700" spans="1:10">
      <c r="A3700" s="6" t="s">
        <v>143</v>
      </c>
      <c r="B3700" s="6" t="s">
        <v>92</v>
      </c>
      <c r="C3700" s="6" t="s">
        <v>230</v>
      </c>
      <c r="D3700" s="6">
        <v>90.47050000000002</v>
      </c>
      <c r="E3700" s="6" t="s">
        <v>88</v>
      </c>
      <c r="F3700" s="6" t="s">
        <v>53</v>
      </c>
      <c r="G3700" s="7">
        <v>50127.30283720783</v>
      </c>
      <c r="H3700" s="6">
        <v>4535042.151333611</v>
      </c>
      <c r="I3700" s="6" t="s">
        <v>180</v>
      </c>
      <c r="J3700" s="15">
        <v>42.83333333333334</v>
      </c>
    </row>
    <row r="3701" spans="1:10">
      <c r="A3701" s="6" t="s">
        <v>143</v>
      </c>
      <c r="B3701" s="6" t="s">
        <v>92</v>
      </c>
      <c r="C3701" s="6" t="s">
        <v>378</v>
      </c>
      <c r="D3701" s="6">
        <v>2.897416666666667</v>
      </c>
      <c r="E3701" s="6" t="s">
        <v>88</v>
      </c>
      <c r="F3701" s="6" t="s">
        <v>51</v>
      </c>
      <c r="G3701" s="7">
        <v>41089.89799783281</v>
      </c>
      <c r="H3701" s="6">
        <v>119054.5552905541</v>
      </c>
      <c r="I3701" s="6" t="s">
        <v>180</v>
      </c>
      <c r="J3701" s="15">
        <v>8.624591600965196</v>
      </c>
    </row>
    <row r="3702" spans="1:10">
      <c r="A3702" s="6" t="s">
        <v>143</v>
      </c>
      <c r="B3702" s="6" t="s">
        <v>88</v>
      </c>
      <c r="C3702" s="6" t="s">
        <v>231</v>
      </c>
      <c r="D3702" s="6">
        <v>1.936916666666667</v>
      </c>
      <c r="E3702" s="6" t="s">
        <v>88</v>
      </c>
      <c r="F3702" s="6" t="s">
        <v>52</v>
      </c>
      <c r="G3702" s="7">
        <v>44335.59781697809</v>
      </c>
      <c r="H3702" s="6">
        <v>85874.35833833515</v>
      </c>
      <c r="I3702" s="6" t="s">
        <v>180</v>
      </c>
      <c r="J3702" s="15">
        <v>23.08823420331521</v>
      </c>
    </row>
    <row r="3703" spans="1:10">
      <c r="A3703" s="6" t="s">
        <v>143</v>
      </c>
      <c r="B3703" s="6" t="s">
        <v>88</v>
      </c>
      <c r="C3703" s="6" t="s">
        <v>346</v>
      </c>
      <c r="D3703" s="6">
        <v>1.322916666666667</v>
      </c>
      <c r="E3703" s="6" t="s">
        <v>88</v>
      </c>
      <c r="F3703" s="6" t="s">
        <v>52</v>
      </c>
      <c r="G3703" s="7">
        <v>44335.59781697809</v>
      </c>
      <c r="H3703" s="6">
        <v>58652.3012787106</v>
      </c>
      <c r="I3703" s="6" t="s">
        <v>180</v>
      </c>
      <c r="J3703" s="15">
        <v>23.08823420331521</v>
      </c>
    </row>
    <row r="3704" spans="1:10">
      <c r="A3704" s="6" t="s">
        <v>143</v>
      </c>
      <c r="B3704" s="6" t="s">
        <v>92</v>
      </c>
      <c r="C3704" s="6" t="s">
        <v>232</v>
      </c>
      <c r="D3704" s="6">
        <v>12.86858333333333</v>
      </c>
      <c r="E3704" s="6" t="s">
        <v>88</v>
      </c>
      <c r="F3704" s="6" t="s">
        <v>51</v>
      </c>
      <c r="G3704" s="7">
        <v>47655.11283939263</v>
      </c>
      <c r="H3704" s="6">
        <v>613253.7908331273</v>
      </c>
      <c r="I3704" s="6" t="s">
        <v>180</v>
      </c>
      <c r="J3704" s="15">
        <v>11.08275942815615</v>
      </c>
    </row>
    <row r="3705" spans="1:10">
      <c r="A3705" s="6" t="s">
        <v>143</v>
      </c>
      <c r="B3705" s="6" t="s">
        <v>92</v>
      </c>
      <c r="C3705" s="6" t="s">
        <v>233</v>
      </c>
      <c r="D3705" s="6">
        <v>46.15808333333333</v>
      </c>
      <c r="E3705" s="6" t="s">
        <v>88</v>
      </c>
      <c r="F3705" s="6" t="s">
        <v>59</v>
      </c>
      <c r="G3705" s="7">
        <v>44232.39847084988</v>
      </c>
      <c r="H3705" s="6">
        <v>2041682.734650695</v>
      </c>
      <c r="I3705" s="6" t="s">
        <v>180</v>
      </c>
      <c r="J3705" s="15">
        <v>9.801216242523401</v>
      </c>
    </row>
    <row r="3706" spans="1:10">
      <c r="A3706" s="6" t="s">
        <v>143</v>
      </c>
      <c r="B3706" s="6" t="s">
        <v>88</v>
      </c>
      <c r="C3706" s="6" t="s">
        <v>234</v>
      </c>
      <c r="D3706" s="6">
        <v>142.3055833333333</v>
      </c>
      <c r="E3706" s="6" t="s">
        <v>88</v>
      </c>
      <c r="F3706" s="6" t="s">
        <v>56</v>
      </c>
      <c r="G3706" s="7">
        <v>38754.40855139481</v>
      </c>
      <c r="H3706" s="6">
        <v>5514968.715644559</v>
      </c>
      <c r="I3706" s="6" t="s">
        <v>180</v>
      </c>
      <c r="J3706" s="15">
        <v>19.33073545303068</v>
      </c>
    </row>
    <row r="3707" spans="1:10">
      <c r="A3707" s="6" t="s">
        <v>143</v>
      </c>
      <c r="B3707" s="6" t="s">
        <v>92</v>
      </c>
      <c r="C3707" s="6" t="s">
        <v>235</v>
      </c>
      <c r="D3707" s="6">
        <v>0.07575</v>
      </c>
      <c r="E3707" s="6" t="s">
        <v>88</v>
      </c>
      <c r="F3707" s="6" t="s">
        <v>53</v>
      </c>
      <c r="G3707" s="7">
        <v>47918.71656407737</v>
      </c>
      <c r="H3707" s="6">
        <v>3629.84277972886</v>
      </c>
      <c r="I3707" s="6" t="s">
        <v>180</v>
      </c>
      <c r="J3707" s="15">
        <v>11.18145874124577</v>
      </c>
    </row>
    <row r="3708" spans="1:10">
      <c r="A3708" s="6" t="s">
        <v>143</v>
      </c>
      <c r="B3708" s="6" t="s">
        <v>92</v>
      </c>
      <c r="C3708" s="6" t="s">
        <v>236</v>
      </c>
      <c r="D3708" s="6">
        <v>1182.403333333333</v>
      </c>
      <c r="E3708" s="6" t="s">
        <v>88</v>
      </c>
      <c r="F3708" s="6" t="s">
        <v>51</v>
      </c>
      <c r="G3708" s="7">
        <v>44660.20742498994</v>
      </c>
      <c r="H3708" s="6">
        <v>52806378.12666618</v>
      </c>
      <c r="I3708" s="6" t="s">
        <v>179</v>
      </c>
      <c r="J3708" s="15">
        <v>46.28333333333333</v>
      </c>
    </row>
    <row r="3709" spans="1:10">
      <c r="A3709" s="6" t="s">
        <v>143</v>
      </c>
      <c r="B3709" s="6" t="s">
        <v>92</v>
      </c>
      <c r="C3709" s="6" t="s">
        <v>237</v>
      </c>
      <c r="D3709" s="6">
        <v>19.15158333333333</v>
      </c>
      <c r="E3709" s="6" t="s">
        <v>88</v>
      </c>
      <c r="F3709" s="6" t="s">
        <v>51</v>
      </c>
      <c r="G3709" s="7">
        <v>45814.12048649801</v>
      </c>
      <c r="H3709" s="6">
        <v>877412.9463405405</v>
      </c>
      <c r="I3709" s="6" t="s">
        <v>180</v>
      </c>
      <c r="J3709" s="15">
        <v>10.39344943888626</v>
      </c>
    </row>
    <row r="3710" spans="1:10">
      <c r="A3710" s="6" t="s">
        <v>143</v>
      </c>
      <c r="B3710" s="6" t="s">
        <v>92</v>
      </c>
      <c r="C3710" s="6" t="s">
        <v>238</v>
      </c>
      <c r="D3710" s="6">
        <v>73.16891666666666</v>
      </c>
      <c r="E3710" s="6" t="s">
        <v>88</v>
      </c>
      <c r="F3710" s="6" t="s">
        <v>51</v>
      </c>
      <c r="G3710" s="7">
        <v>51984.33495522587</v>
      </c>
      <c r="H3710" s="6">
        <v>3803637.472311008</v>
      </c>
      <c r="I3710" s="6" t="s">
        <v>180</v>
      </c>
      <c r="J3710" s="15">
        <v>12.70372001798148</v>
      </c>
    </row>
    <row r="3711" spans="1:10">
      <c r="A3711" s="6" t="s">
        <v>143</v>
      </c>
      <c r="B3711" s="6" t="s">
        <v>88</v>
      </c>
      <c r="C3711" s="6" t="s">
        <v>239</v>
      </c>
      <c r="D3711" s="6">
        <v>117.7128333333333</v>
      </c>
      <c r="E3711" s="6" t="s">
        <v>88</v>
      </c>
      <c r="F3711" s="6" t="s">
        <v>54</v>
      </c>
      <c r="G3711" s="7">
        <v>51922.31915235746</v>
      </c>
      <c r="H3711" s="6">
        <v>6111923.300661595</v>
      </c>
      <c r="I3711" s="6" t="s">
        <v>180</v>
      </c>
      <c r="J3711" s="15">
        <v>28.19594415184457</v>
      </c>
    </row>
    <row r="3712" spans="1:10">
      <c r="A3712" s="6" t="s">
        <v>143</v>
      </c>
      <c r="B3712" s="6" t="s">
        <v>92</v>
      </c>
      <c r="C3712" s="6" t="s">
        <v>379</v>
      </c>
      <c r="D3712" s="6">
        <v>9.439</v>
      </c>
      <c r="E3712" s="6" t="s">
        <v>88</v>
      </c>
      <c r="F3712" s="6" t="s">
        <v>51</v>
      </c>
      <c r="G3712" s="7">
        <v>39736.55973566615</v>
      </c>
      <c r="H3712" s="6">
        <v>375073.3873449527</v>
      </c>
      <c r="I3712" s="6" t="s">
        <v>180</v>
      </c>
      <c r="J3712" s="15">
        <v>8.117870548318852</v>
      </c>
    </row>
    <row r="3713" spans="1:10">
      <c r="A3713" s="6" t="s">
        <v>143</v>
      </c>
      <c r="B3713" s="6" t="s">
        <v>92</v>
      </c>
      <c r="C3713" s="6" t="s">
        <v>368</v>
      </c>
      <c r="D3713" s="6">
        <v>0.3261666666666667</v>
      </c>
      <c r="E3713" s="6" t="s">
        <v>88</v>
      </c>
      <c r="F3713" s="6" t="s">
        <v>55</v>
      </c>
      <c r="G3713" s="7">
        <v>43717.6088593299</v>
      </c>
      <c r="H3713" s="6">
        <v>14259.22675628477</v>
      </c>
      <c r="I3713" s="6" t="s">
        <v>179</v>
      </c>
      <c r="J3713" s="15">
        <v>15</v>
      </c>
    </row>
    <row r="3714" spans="1:10">
      <c r="A3714" s="6" t="s">
        <v>143</v>
      </c>
      <c r="B3714" s="6" t="s">
        <v>92</v>
      </c>
      <c r="C3714" s="6" t="s">
        <v>240</v>
      </c>
      <c r="D3714" s="6">
        <v>2.63225</v>
      </c>
      <c r="E3714" s="6" t="s">
        <v>88</v>
      </c>
      <c r="F3714" s="6" t="s">
        <v>51</v>
      </c>
      <c r="G3714" s="7">
        <v>42218.72021108094</v>
      </c>
      <c r="H3714" s="6">
        <v>111130.2262756178</v>
      </c>
      <c r="I3714" s="6" t="s">
        <v>180</v>
      </c>
      <c r="J3714" s="15">
        <v>9.04724866767069</v>
      </c>
    </row>
    <row r="3715" spans="1:10">
      <c r="A3715" s="6" t="s">
        <v>143</v>
      </c>
      <c r="B3715" s="6" t="s">
        <v>92</v>
      </c>
      <c r="C3715" s="6" t="s">
        <v>241</v>
      </c>
      <c r="D3715" s="6">
        <v>31.65108333333334</v>
      </c>
      <c r="E3715" s="6" t="s">
        <v>88</v>
      </c>
      <c r="F3715" s="6" t="s">
        <v>53</v>
      </c>
      <c r="G3715" s="7">
        <v>52223.82604068523</v>
      </c>
      <c r="H3715" s="6">
        <v>1652940.669999232</v>
      </c>
      <c r="I3715" s="6" t="s">
        <v>180</v>
      </c>
      <c r="J3715" s="15">
        <v>12.79339100291993</v>
      </c>
    </row>
    <row r="3716" spans="1:10">
      <c r="A3716" s="6" t="s">
        <v>143</v>
      </c>
      <c r="B3716" s="6" t="s">
        <v>92</v>
      </c>
      <c r="C3716" s="6" t="s">
        <v>242</v>
      </c>
      <c r="D3716" s="6">
        <v>102.34575</v>
      </c>
      <c r="E3716" s="6" t="s">
        <v>88</v>
      </c>
      <c r="F3716" s="6" t="s">
        <v>56</v>
      </c>
      <c r="G3716" s="7">
        <v>67827.26265290676</v>
      </c>
      <c r="H3716" s="6">
        <v>6941832.066658732</v>
      </c>
      <c r="I3716" s="6" t="s">
        <v>180</v>
      </c>
      <c r="J3716" s="15">
        <v>18.63567747783801</v>
      </c>
    </row>
    <row r="3717" spans="1:10">
      <c r="A3717" s="6" t="s">
        <v>143</v>
      </c>
      <c r="B3717" s="6" t="s">
        <v>92</v>
      </c>
      <c r="C3717" s="6" t="s">
        <v>243</v>
      </c>
      <c r="D3717" s="6">
        <v>0.1345</v>
      </c>
      <c r="E3717" s="6" t="s">
        <v>88</v>
      </c>
      <c r="F3717" s="6" t="s">
        <v>58</v>
      </c>
      <c r="G3717" s="7">
        <v>50145.16283380362</v>
      </c>
      <c r="H3717" s="6">
        <v>6744.524401146587</v>
      </c>
      <c r="I3717" s="6" t="s">
        <v>180</v>
      </c>
      <c r="J3717" s="15">
        <v>12.01509156534846</v>
      </c>
    </row>
    <row r="3718" spans="1:10">
      <c r="A3718" s="6" t="s">
        <v>143</v>
      </c>
      <c r="B3718" s="6" t="s">
        <v>92</v>
      </c>
      <c r="C3718" s="6" t="s">
        <v>369</v>
      </c>
      <c r="D3718" s="6">
        <v>0.7195</v>
      </c>
      <c r="E3718" s="6" t="s">
        <v>88</v>
      </c>
      <c r="F3718" s="6" t="s">
        <v>55</v>
      </c>
      <c r="G3718" s="7">
        <v>40825.70263339478</v>
      </c>
      <c r="H3718" s="6">
        <v>29374.09304472755</v>
      </c>
      <c r="I3718" s="6" t="s">
        <v>179</v>
      </c>
      <c r="J3718" s="15">
        <v>15.5</v>
      </c>
    </row>
    <row r="3719" spans="1:10">
      <c r="A3719" s="6" t="s">
        <v>143</v>
      </c>
      <c r="B3719" s="6" t="s">
        <v>92</v>
      </c>
      <c r="C3719" s="6" t="s">
        <v>244</v>
      </c>
      <c r="D3719" s="6">
        <v>4.119083333333333</v>
      </c>
      <c r="E3719" s="6" t="s">
        <v>88</v>
      </c>
      <c r="F3719" s="6" t="s">
        <v>55</v>
      </c>
      <c r="G3719" s="7">
        <v>48892.00333862133</v>
      </c>
      <c r="H3719" s="6">
        <v>201390.2360853928</v>
      </c>
      <c r="I3719" s="6" t="s">
        <v>179</v>
      </c>
      <c r="J3719" s="15">
        <v>17</v>
      </c>
    </row>
    <row r="3720" spans="1:10">
      <c r="A3720" s="6" t="s">
        <v>143</v>
      </c>
      <c r="B3720" s="6" t="s">
        <v>90</v>
      </c>
      <c r="C3720" s="6" t="s">
        <v>245</v>
      </c>
      <c r="D3720" s="6">
        <v>109.08575</v>
      </c>
      <c r="E3720" s="6" t="s">
        <v>88</v>
      </c>
      <c r="F3720" s="6" t="s">
        <v>53</v>
      </c>
      <c r="G3720" s="7">
        <v>15981.96816829709</v>
      </c>
      <c r="H3720" s="6">
        <v>1743404.984114815</v>
      </c>
      <c r="I3720" s="6" t="s">
        <v>179</v>
      </c>
      <c r="J3720" s="15">
        <v>38</v>
      </c>
    </row>
    <row r="3721" spans="1:10">
      <c r="A3721" s="6" t="s">
        <v>143</v>
      </c>
      <c r="B3721" s="6" t="s">
        <v>92</v>
      </c>
      <c r="C3721" s="6" t="s">
        <v>246</v>
      </c>
      <c r="D3721" s="6">
        <v>0.06491666666666668</v>
      </c>
      <c r="E3721" s="6" t="s">
        <v>88</v>
      </c>
      <c r="F3721" s="6" t="s">
        <v>53</v>
      </c>
      <c r="G3721" s="7">
        <v>52060.28389589844</v>
      </c>
      <c r="H3721" s="6">
        <v>3379.580096242074</v>
      </c>
      <c r="I3721" s="6" t="s">
        <v>180</v>
      </c>
      <c r="J3721" s="15">
        <v>12.73215705271319</v>
      </c>
    </row>
    <row r="3722" spans="1:10">
      <c r="A3722" s="6" t="s">
        <v>143</v>
      </c>
      <c r="B3722" s="6" t="s">
        <v>88</v>
      </c>
      <c r="C3722" s="6" t="s">
        <v>348</v>
      </c>
      <c r="D3722" s="6">
        <v>46.96041666666667</v>
      </c>
      <c r="E3722" s="6" t="s">
        <v>88</v>
      </c>
      <c r="F3722" s="6" t="s">
        <v>52</v>
      </c>
      <c r="G3722" s="7">
        <v>44335.59781697809</v>
      </c>
      <c r="H3722" s="6">
        <v>2082018.146651048</v>
      </c>
      <c r="I3722" s="6" t="s">
        <v>180</v>
      </c>
      <c r="J3722" s="15">
        <v>23.08823420331521</v>
      </c>
    </row>
    <row r="3723" spans="1:10">
      <c r="A3723" s="6" t="s">
        <v>143</v>
      </c>
      <c r="B3723" s="6" t="s">
        <v>88</v>
      </c>
      <c r="C3723" s="6" t="s">
        <v>349</v>
      </c>
      <c r="D3723" s="6">
        <v>1.246333333333333</v>
      </c>
      <c r="E3723" s="6" t="s">
        <v>88</v>
      </c>
      <c r="F3723" s="6" t="s">
        <v>52</v>
      </c>
      <c r="G3723" s="7">
        <v>44335.59781697809</v>
      </c>
      <c r="H3723" s="6">
        <v>55256.93341256036</v>
      </c>
      <c r="I3723" s="6" t="s">
        <v>180</v>
      </c>
      <c r="J3723" s="15">
        <v>23.08823420331521</v>
      </c>
    </row>
    <row r="3724" spans="1:10">
      <c r="A3724" s="6" t="s">
        <v>143</v>
      </c>
      <c r="B3724" s="6" t="s">
        <v>92</v>
      </c>
      <c r="C3724" s="6" t="s">
        <v>247</v>
      </c>
      <c r="D3724" s="6">
        <v>234.6568333333333</v>
      </c>
      <c r="E3724" s="6" t="s">
        <v>88</v>
      </c>
      <c r="F3724" s="6" t="s">
        <v>51</v>
      </c>
      <c r="G3724" s="7">
        <v>46237.23227272295</v>
      </c>
      <c r="H3724" s="6">
        <v>10849882.50721497</v>
      </c>
      <c r="I3724" s="6" t="s">
        <v>179</v>
      </c>
      <c r="J3724" s="15">
        <v>29.3</v>
      </c>
    </row>
    <row r="3725" spans="1:10">
      <c r="A3725" s="6" t="s">
        <v>143</v>
      </c>
      <c r="B3725" s="6" t="s">
        <v>92</v>
      </c>
      <c r="C3725" s="6" t="s">
        <v>248</v>
      </c>
      <c r="D3725" s="6">
        <v>19.2925</v>
      </c>
      <c r="E3725" s="6" t="s">
        <v>88</v>
      </c>
      <c r="F3725" s="6" t="s">
        <v>55</v>
      </c>
      <c r="G3725" s="7">
        <v>58404.33083392808</v>
      </c>
      <c r="H3725" s="6">
        <v>1126765.552613558</v>
      </c>
      <c r="I3725" s="6" t="s">
        <v>179</v>
      </c>
      <c r="J3725" s="15">
        <v>49.38333333333333</v>
      </c>
    </row>
    <row r="3726" spans="1:10">
      <c r="A3726" s="6" t="s">
        <v>143</v>
      </c>
      <c r="B3726" s="6" t="s">
        <v>92</v>
      </c>
      <c r="C3726" s="6" t="s">
        <v>249</v>
      </c>
      <c r="D3726" s="6">
        <v>237.52175</v>
      </c>
      <c r="E3726" s="6" t="s">
        <v>88</v>
      </c>
      <c r="F3726" s="6" t="s">
        <v>53</v>
      </c>
      <c r="G3726" s="7">
        <v>38542.7817237839</v>
      </c>
      <c r="H3726" s="6">
        <v>9154748.964901168</v>
      </c>
      <c r="I3726" s="6" t="s">
        <v>179</v>
      </c>
      <c r="J3726" s="15">
        <v>47.575</v>
      </c>
    </row>
    <row r="3727" spans="1:10">
      <c r="A3727" s="6" t="s">
        <v>143</v>
      </c>
      <c r="B3727" s="6" t="s">
        <v>88</v>
      </c>
      <c r="C3727" s="6" t="s">
        <v>352</v>
      </c>
      <c r="D3727" s="6">
        <v>5.249666666666667</v>
      </c>
      <c r="E3727" s="6" t="s">
        <v>88</v>
      </c>
      <c r="F3727" s="6" t="s">
        <v>52</v>
      </c>
      <c r="G3727" s="7">
        <v>44335.59781697809</v>
      </c>
      <c r="H3727" s="6">
        <v>232747.1100065293</v>
      </c>
      <c r="I3727" s="6" t="s">
        <v>180</v>
      </c>
      <c r="J3727" s="15">
        <v>23.08823420331521</v>
      </c>
    </row>
    <row r="3728" spans="1:10">
      <c r="A3728" s="6" t="s">
        <v>143</v>
      </c>
      <c r="B3728" s="6" t="s">
        <v>92</v>
      </c>
      <c r="C3728" s="6" t="s">
        <v>250</v>
      </c>
      <c r="D3728" s="6">
        <v>2.650333333333333</v>
      </c>
      <c r="E3728" s="6" t="s">
        <v>88</v>
      </c>
      <c r="F3728" s="6" t="s">
        <v>55</v>
      </c>
      <c r="G3728" s="7">
        <v>37321.61329653078</v>
      </c>
      <c r="H3728" s="6">
        <v>98914.71577357207</v>
      </c>
      <c r="I3728" s="6" t="s">
        <v>179</v>
      </c>
      <c r="J3728" s="15">
        <v>15</v>
      </c>
    </row>
    <row r="3729" spans="1:10">
      <c r="A3729" s="6" t="s">
        <v>143</v>
      </c>
      <c r="B3729" s="6" t="s">
        <v>92</v>
      </c>
      <c r="C3729" s="6" t="s">
        <v>251</v>
      </c>
      <c r="D3729" s="6">
        <v>3.149583333333333</v>
      </c>
      <c r="E3729" s="6" t="s">
        <v>88</v>
      </c>
      <c r="F3729" s="6" t="s">
        <v>53</v>
      </c>
      <c r="G3729" s="7">
        <v>49502.3667901282</v>
      </c>
      <c r="H3729" s="6">
        <v>155911.8294027413</v>
      </c>
      <c r="I3729" s="6" t="s">
        <v>180</v>
      </c>
      <c r="J3729" s="15">
        <v>11.77441390404695</v>
      </c>
    </row>
    <row r="3730" spans="1:10">
      <c r="A3730" s="6" t="s">
        <v>143</v>
      </c>
      <c r="B3730" s="6" t="s">
        <v>92</v>
      </c>
      <c r="C3730" s="6" t="s">
        <v>252</v>
      </c>
      <c r="D3730" s="6">
        <v>20.45391666666667</v>
      </c>
      <c r="E3730" s="6" t="s">
        <v>88</v>
      </c>
      <c r="F3730" s="6" t="s">
        <v>57</v>
      </c>
      <c r="G3730" s="7">
        <v>48993.49682082658</v>
      </c>
      <c r="H3730" s="6">
        <v>1002108.901181785</v>
      </c>
      <c r="I3730" s="6" t="s">
        <v>180</v>
      </c>
      <c r="J3730" s="15">
        <v>11.58388125325807</v>
      </c>
    </row>
    <row r="3731" spans="1:10">
      <c r="A3731" s="6" t="s">
        <v>143</v>
      </c>
      <c r="B3731" s="6" t="s">
        <v>92</v>
      </c>
      <c r="C3731" s="6" t="s">
        <v>253</v>
      </c>
      <c r="D3731" s="6">
        <v>18.01516666666667</v>
      </c>
      <c r="E3731" s="6" t="s">
        <v>88</v>
      </c>
      <c r="F3731" s="6" t="s">
        <v>53</v>
      </c>
      <c r="G3731" s="7">
        <v>49900.32874056988</v>
      </c>
      <c r="H3731" s="6">
        <v>898962.7389828231</v>
      </c>
      <c r="I3731" s="6" t="s">
        <v>180</v>
      </c>
      <c r="J3731" s="15">
        <v>11.92342003509223</v>
      </c>
    </row>
    <row r="3732" spans="1:10">
      <c r="A3732" s="6" t="s">
        <v>143</v>
      </c>
      <c r="B3732" s="6" t="s">
        <v>86</v>
      </c>
      <c r="C3732" s="6" t="s">
        <v>353</v>
      </c>
      <c r="D3732" s="6">
        <v>1.652916666666667</v>
      </c>
      <c r="E3732" s="6" t="s">
        <v>88</v>
      </c>
      <c r="F3732" s="6" t="s">
        <v>62</v>
      </c>
      <c r="G3732" s="7">
        <v>81005.34654028571</v>
      </c>
      <c r="H3732" s="6">
        <v>133895.0873855473</v>
      </c>
      <c r="I3732" s="6" t="s">
        <v>179</v>
      </c>
      <c r="J3732" s="15">
        <v>102.3</v>
      </c>
    </row>
    <row r="3733" spans="1:10">
      <c r="A3733" s="6" t="s">
        <v>143</v>
      </c>
      <c r="B3733" s="6" t="s">
        <v>92</v>
      </c>
      <c r="C3733" s="6" t="s">
        <v>254</v>
      </c>
      <c r="D3733" s="6">
        <v>0.4851666666666667</v>
      </c>
      <c r="E3733" s="6" t="s">
        <v>88</v>
      </c>
      <c r="F3733" s="6" t="s">
        <v>51</v>
      </c>
      <c r="G3733" s="7">
        <v>46071.76246643075</v>
      </c>
      <c r="H3733" s="6">
        <v>22352.48342329665</v>
      </c>
      <c r="I3733" s="6" t="s">
        <v>180</v>
      </c>
      <c r="J3733" s="15">
        <v>10.48991653726593</v>
      </c>
    </row>
    <row r="3734" spans="1:10">
      <c r="A3734" s="6" t="s">
        <v>143</v>
      </c>
      <c r="B3734" s="6" t="s">
        <v>92</v>
      </c>
      <c r="C3734" s="6" t="s">
        <v>255</v>
      </c>
      <c r="D3734" s="6">
        <v>9.908416666666666</v>
      </c>
      <c r="E3734" s="6" t="s">
        <v>88</v>
      </c>
      <c r="F3734" s="6" t="s">
        <v>51</v>
      </c>
      <c r="G3734" s="7">
        <v>37181.66036935381</v>
      </c>
      <c r="H3734" s="6">
        <v>368411.3832980447</v>
      </c>
      <c r="I3734" s="6" t="s">
        <v>180</v>
      </c>
      <c r="J3734" s="15">
        <v>7.161257310893189</v>
      </c>
    </row>
    <row r="3735" spans="1:10">
      <c r="A3735" s="6" t="s">
        <v>143</v>
      </c>
      <c r="B3735" s="6" t="s">
        <v>92</v>
      </c>
      <c r="C3735" s="6" t="s">
        <v>256</v>
      </c>
      <c r="D3735" s="6">
        <v>0.1535</v>
      </c>
      <c r="E3735" s="6" t="s">
        <v>88</v>
      </c>
      <c r="F3735" s="6" t="s">
        <v>57</v>
      </c>
      <c r="G3735" s="7">
        <v>36188.63012585403</v>
      </c>
      <c r="H3735" s="6">
        <v>5554.954724318593</v>
      </c>
      <c r="I3735" s="6" t="s">
        <v>180</v>
      </c>
      <c r="J3735" s="15">
        <v>6.789443888955148</v>
      </c>
    </row>
    <row r="3736" spans="1:10">
      <c r="A3736" s="6" t="s">
        <v>143</v>
      </c>
      <c r="B3736" s="6" t="s">
        <v>88</v>
      </c>
      <c r="C3736" s="6" t="s">
        <v>257</v>
      </c>
      <c r="D3736" s="6">
        <v>3.505916666666667</v>
      </c>
      <c r="E3736" s="6" t="s">
        <v>88</v>
      </c>
      <c r="F3736" s="6" t="s">
        <v>52</v>
      </c>
      <c r="G3736" s="7">
        <v>44335.59781697809</v>
      </c>
      <c r="H3736" s="6">
        <v>155436.9113131738</v>
      </c>
      <c r="I3736" s="6" t="s">
        <v>180</v>
      </c>
      <c r="J3736" s="15">
        <v>23.08823420331521</v>
      </c>
    </row>
    <row r="3737" spans="1:10">
      <c r="A3737" s="6" t="s">
        <v>143</v>
      </c>
      <c r="B3737" s="6" t="s">
        <v>88</v>
      </c>
      <c r="C3737" s="6" t="s">
        <v>258</v>
      </c>
      <c r="D3737" s="6">
        <v>1.08975</v>
      </c>
      <c r="E3737" s="6" t="s">
        <v>88</v>
      </c>
      <c r="F3737" s="6" t="s">
        <v>52</v>
      </c>
      <c r="G3737" s="7">
        <v>44335.59781697809</v>
      </c>
      <c r="H3737" s="6">
        <v>48314.71772105187</v>
      </c>
      <c r="I3737" s="6" t="s">
        <v>180</v>
      </c>
      <c r="J3737" s="15">
        <v>23.08823420331521</v>
      </c>
    </row>
    <row r="3738" spans="1:10">
      <c r="A3738" s="6" t="s">
        <v>143</v>
      </c>
      <c r="B3738" s="6" t="s">
        <v>88</v>
      </c>
      <c r="C3738" s="6" t="s">
        <v>259</v>
      </c>
      <c r="D3738" s="6">
        <v>112.1245</v>
      </c>
      <c r="E3738" s="6" t="s">
        <v>88</v>
      </c>
      <c r="F3738" s="6" t="s">
        <v>56</v>
      </c>
      <c r="G3738" s="7">
        <v>38535.39804217755</v>
      </c>
      <c r="H3738" s="6">
        <v>4320762.237780136</v>
      </c>
      <c r="I3738" s="6" t="s">
        <v>180</v>
      </c>
      <c r="J3738" s="15">
        <v>19.18328807658034</v>
      </c>
    </row>
    <row r="3739" spans="1:10">
      <c r="A3739" s="6" t="s">
        <v>143</v>
      </c>
      <c r="B3739" s="6" t="s">
        <v>88</v>
      </c>
      <c r="C3739" s="6" t="s">
        <v>260</v>
      </c>
      <c r="D3739" s="6">
        <v>2059.23925</v>
      </c>
      <c r="E3739" s="6" t="s">
        <v>88</v>
      </c>
      <c r="F3739" s="6" t="s">
        <v>52</v>
      </c>
      <c r="G3739" s="7">
        <v>32200.609517864</v>
      </c>
      <c r="H3739" s="6">
        <v>66308758.99310911</v>
      </c>
      <c r="I3739" s="6" t="s">
        <v>179</v>
      </c>
      <c r="J3739" s="15">
        <v>31.95</v>
      </c>
    </row>
    <row r="3740" spans="1:10">
      <c r="A3740" s="6" t="s">
        <v>143</v>
      </c>
      <c r="B3740" s="6" t="s">
        <v>88</v>
      </c>
      <c r="C3740" s="6" t="s">
        <v>261</v>
      </c>
      <c r="D3740" s="6">
        <v>0.3685833333333334</v>
      </c>
      <c r="E3740" s="6" t="s">
        <v>88</v>
      </c>
      <c r="F3740" s="6" t="s">
        <v>54</v>
      </c>
      <c r="G3740" s="7">
        <v>43413.20480753685</v>
      </c>
      <c r="H3740" s="6">
        <v>16001.38373864463</v>
      </c>
      <c r="I3740" s="6" t="s">
        <v>180</v>
      </c>
      <c r="J3740" s="15">
        <v>22.46723921186792</v>
      </c>
    </row>
    <row r="3741" spans="1:10">
      <c r="A3741" s="6" t="s">
        <v>143</v>
      </c>
      <c r="B3741" s="6" t="s">
        <v>92</v>
      </c>
      <c r="C3741" s="6" t="s">
        <v>262</v>
      </c>
      <c r="D3741" s="6">
        <v>42.91933333333333</v>
      </c>
      <c r="E3741" s="6" t="s">
        <v>88</v>
      </c>
      <c r="F3741" s="6" t="s">
        <v>51</v>
      </c>
      <c r="G3741" s="7">
        <v>47917.77818891367</v>
      </c>
      <c r="H3741" s="6">
        <v>2056599.094682715</v>
      </c>
      <c r="I3741" s="6" t="s">
        <v>180</v>
      </c>
      <c r="J3741" s="15">
        <v>11.18110739194603</v>
      </c>
    </row>
    <row r="3742" spans="1:10">
      <c r="A3742" s="6" t="s">
        <v>143</v>
      </c>
      <c r="B3742" s="6" t="s">
        <v>88</v>
      </c>
      <c r="C3742" s="6" t="s">
        <v>263</v>
      </c>
      <c r="D3742" s="6">
        <v>6.920583333333333</v>
      </c>
      <c r="E3742" s="6" t="s">
        <v>88</v>
      </c>
      <c r="F3742" s="6" t="s">
        <v>54</v>
      </c>
      <c r="G3742" s="7">
        <v>44354.09550833685</v>
      </c>
      <c r="H3742" s="6">
        <v>306956.2141400708</v>
      </c>
      <c r="I3742" s="6" t="s">
        <v>180</v>
      </c>
      <c r="J3742" s="15">
        <v>23.10068765164966</v>
      </c>
    </row>
    <row r="3743" spans="1:10">
      <c r="A3743" s="6" t="s">
        <v>143</v>
      </c>
      <c r="B3743" s="6" t="s">
        <v>88</v>
      </c>
      <c r="C3743" s="6" t="s">
        <v>264</v>
      </c>
      <c r="D3743" s="6">
        <v>12.32333333333333</v>
      </c>
      <c r="E3743" s="6" t="s">
        <v>88</v>
      </c>
      <c r="F3743" s="6" t="s">
        <v>54</v>
      </c>
      <c r="G3743" s="7">
        <v>58216.48799252068</v>
      </c>
      <c r="H3743" s="6">
        <v>717421.1870278299</v>
      </c>
      <c r="I3743" s="6" t="s">
        <v>180</v>
      </c>
      <c r="J3743" s="15">
        <v>32.43345168394607</v>
      </c>
    </row>
    <row r="3744" spans="1:10">
      <c r="A3744" s="6" t="s">
        <v>143</v>
      </c>
      <c r="B3744" s="6" t="s">
        <v>88</v>
      </c>
      <c r="C3744" s="6" t="s">
        <v>265</v>
      </c>
      <c r="D3744" s="6">
        <v>107.28575</v>
      </c>
      <c r="E3744" s="6" t="s">
        <v>88</v>
      </c>
      <c r="F3744" s="6" t="s">
        <v>54</v>
      </c>
      <c r="G3744" s="7">
        <v>51838.86171354609</v>
      </c>
      <c r="H3744" s="6">
        <v>5561571.158084078</v>
      </c>
      <c r="I3744" s="6" t="s">
        <v>180</v>
      </c>
      <c r="J3744" s="15">
        <v>28.13975698328366</v>
      </c>
    </row>
    <row r="3745" spans="1:10">
      <c r="A3745" s="6" t="s">
        <v>143</v>
      </c>
      <c r="B3745" s="6" t="s">
        <v>88</v>
      </c>
      <c r="C3745" s="6" t="s">
        <v>266</v>
      </c>
      <c r="D3745" s="6">
        <v>9.835666666666667</v>
      </c>
      <c r="E3745" s="6" t="s">
        <v>88</v>
      </c>
      <c r="F3745" s="6" t="s">
        <v>57</v>
      </c>
      <c r="G3745" s="7">
        <v>24366.26087614369</v>
      </c>
      <c r="H3745" s="6">
        <v>239658.4198907907</v>
      </c>
      <c r="I3745" s="6" t="s">
        <v>180</v>
      </c>
      <c r="J3745" s="15">
        <v>9.644010216520485</v>
      </c>
    </row>
    <row r="3746" spans="1:10">
      <c r="A3746" s="6" t="s">
        <v>143</v>
      </c>
      <c r="B3746" s="6" t="s">
        <v>92</v>
      </c>
      <c r="C3746" s="6" t="s">
        <v>354</v>
      </c>
      <c r="D3746" s="6">
        <v>0.05883333333333333</v>
      </c>
      <c r="E3746" s="6" t="s">
        <v>88</v>
      </c>
      <c r="F3746" s="6" t="s">
        <v>51</v>
      </c>
      <c r="G3746" s="7">
        <v>46093.87409211043</v>
      </c>
      <c r="H3746" s="6">
        <v>2711.85625908583</v>
      </c>
      <c r="I3746" s="6" t="s">
        <v>180</v>
      </c>
      <c r="J3746" s="15">
        <v>10.49819563980323</v>
      </c>
    </row>
    <row r="3747" spans="1:10">
      <c r="A3747" s="6" t="s">
        <v>143</v>
      </c>
      <c r="B3747" s="6" t="s">
        <v>88</v>
      </c>
      <c r="C3747" s="6" t="s">
        <v>355</v>
      </c>
      <c r="D3747" s="6">
        <v>1.147333333333333</v>
      </c>
      <c r="E3747" s="6" t="s">
        <v>88</v>
      </c>
      <c r="F3747" s="6" t="s">
        <v>52</v>
      </c>
      <c r="G3747" s="7">
        <v>44335.59781697809</v>
      </c>
      <c r="H3747" s="6">
        <v>50867.70922867952</v>
      </c>
      <c r="I3747" s="6" t="s">
        <v>180</v>
      </c>
      <c r="J3747" s="15">
        <v>23.08823420331521</v>
      </c>
    </row>
    <row r="3748" spans="1:10">
      <c r="A3748" s="6" t="s">
        <v>143</v>
      </c>
      <c r="B3748" s="6" t="s">
        <v>92</v>
      </c>
      <c r="C3748" s="6" t="s">
        <v>267</v>
      </c>
      <c r="D3748" s="6">
        <v>396.14725</v>
      </c>
      <c r="E3748" s="6" t="s">
        <v>88</v>
      </c>
      <c r="F3748" s="6" t="s">
        <v>53</v>
      </c>
      <c r="G3748" s="7">
        <v>48956.37381074637</v>
      </c>
      <c r="H3748" s="6">
        <v>19393932.85509919</v>
      </c>
      <c r="I3748" s="6" t="s">
        <v>179</v>
      </c>
      <c r="J3748" s="15">
        <v>31.05</v>
      </c>
    </row>
    <row r="3749" spans="1:10">
      <c r="A3749" s="6" t="s">
        <v>143</v>
      </c>
      <c r="B3749" s="6" t="s">
        <v>92</v>
      </c>
      <c r="C3749" s="6" t="s">
        <v>268</v>
      </c>
      <c r="D3749" s="6">
        <v>0.4505</v>
      </c>
      <c r="E3749" s="6" t="s">
        <v>88</v>
      </c>
      <c r="F3749" s="6" t="s">
        <v>51</v>
      </c>
      <c r="G3749" s="7">
        <v>43172.09311535833</v>
      </c>
      <c r="H3749" s="6">
        <v>19449.02794846893</v>
      </c>
      <c r="I3749" s="6" t="s">
        <v>180</v>
      </c>
      <c r="J3749" s="15">
        <v>9.404213467325818</v>
      </c>
    </row>
    <row r="3750" spans="1:10">
      <c r="A3750" s="6" t="s">
        <v>143</v>
      </c>
      <c r="B3750" s="6" t="s">
        <v>88</v>
      </c>
      <c r="C3750" s="6" t="s">
        <v>269</v>
      </c>
      <c r="D3750" s="6">
        <v>4.08025</v>
      </c>
      <c r="E3750" s="6" t="s">
        <v>88</v>
      </c>
      <c r="F3750" s="6" t="s">
        <v>52</v>
      </c>
      <c r="G3750" s="7">
        <v>44335.59781697809</v>
      </c>
      <c r="H3750" s="6">
        <v>180900.3229927249</v>
      </c>
      <c r="I3750" s="6" t="s">
        <v>180</v>
      </c>
      <c r="J3750" s="15">
        <v>23.08823420331521</v>
      </c>
    </row>
    <row r="3751" spans="1:10">
      <c r="A3751" s="6" t="s">
        <v>143</v>
      </c>
      <c r="B3751" s="6" t="s">
        <v>92</v>
      </c>
      <c r="C3751" s="6" t="s">
        <v>270</v>
      </c>
      <c r="D3751" s="6">
        <v>18.5845</v>
      </c>
      <c r="E3751" s="6" t="s">
        <v>88</v>
      </c>
      <c r="F3751" s="6" t="s">
        <v>59</v>
      </c>
      <c r="G3751" s="7">
        <v>46459.09667024752</v>
      </c>
      <c r="H3751" s="6">
        <v>863419.082068215</v>
      </c>
      <c r="I3751" s="6" t="s">
        <v>180</v>
      </c>
      <c r="J3751" s="15">
        <v>10.63494339490442</v>
      </c>
    </row>
    <row r="3752" spans="1:10">
      <c r="A3752" s="6" t="s">
        <v>143</v>
      </c>
      <c r="B3752" s="6" t="s">
        <v>88</v>
      </c>
      <c r="C3752" s="6" t="s">
        <v>271</v>
      </c>
      <c r="D3752" s="6">
        <v>249.9280833333333</v>
      </c>
      <c r="E3752" s="6" t="s">
        <v>88</v>
      </c>
      <c r="F3752" s="6" t="s">
        <v>54</v>
      </c>
      <c r="G3752" s="7">
        <v>41071.74894263604</v>
      </c>
      <c r="H3752" s="6">
        <v>10264983.49238089</v>
      </c>
      <c r="I3752" s="6" t="s">
        <v>180</v>
      </c>
      <c r="J3752" s="15">
        <v>20.89086954089749</v>
      </c>
    </row>
    <row r="3753" spans="1:10">
      <c r="A3753" s="6" t="s">
        <v>143</v>
      </c>
      <c r="B3753" s="6" t="s">
        <v>92</v>
      </c>
      <c r="C3753" s="6" t="s">
        <v>272</v>
      </c>
      <c r="D3753" s="6">
        <v>10.09383333333333</v>
      </c>
      <c r="E3753" s="6" t="s">
        <v>88</v>
      </c>
      <c r="F3753" s="6" t="s">
        <v>51</v>
      </c>
      <c r="G3753" s="7">
        <v>48140.33007987355</v>
      </c>
      <c r="H3753" s="6">
        <v>485920.468437897</v>
      </c>
      <c r="I3753" s="6" t="s">
        <v>180</v>
      </c>
      <c r="J3753" s="15">
        <v>11.26443595185468</v>
      </c>
    </row>
    <row r="3754" spans="1:10">
      <c r="A3754" s="6" t="s">
        <v>143</v>
      </c>
      <c r="B3754" s="6" t="s">
        <v>92</v>
      </c>
      <c r="C3754" s="6" t="s">
        <v>273</v>
      </c>
      <c r="D3754" s="6">
        <v>465.2955000000001</v>
      </c>
      <c r="E3754" s="6" t="s">
        <v>88</v>
      </c>
      <c r="F3754" s="6" t="s">
        <v>51</v>
      </c>
      <c r="G3754" s="7">
        <v>39415.32644745876</v>
      </c>
      <c r="H3754" s="6">
        <v>18339774.02703355</v>
      </c>
      <c r="I3754" s="6" t="s">
        <v>179</v>
      </c>
      <c r="J3754" s="15">
        <v>27</v>
      </c>
    </row>
    <row r="3755" spans="1:10">
      <c r="A3755" s="6" t="s">
        <v>143</v>
      </c>
      <c r="B3755" s="6" t="s">
        <v>88</v>
      </c>
      <c r="C3755" s="6" t="s">
        <v>274</v>
      </c>
      <c r="D3755" s="6">
        <v>9.778666666666666</v>
      </c>
      <c r="E3755" s="6" t="s">
        <v>88</v>
      </c>
      <c r="F3755" s="6" t="s">
        <v>56</v>
      </c>
      <c r="G3755" s="7">
        <v>42560.66367428353</v>
      </c>
      <c r="H3755" s="6">
        <v>416186.5431829271</v>
      </c>
      <c r="I3755" s="6" t="s">
        <v>180</v>
      </c>
      <c r="J3755" s="15">
        <v>21.89327153395389</v>
      </c>
    </row>
    <row r="3756" spans="1:10">
      <c r="A3756" s="6" t="s">
        <v>143</v>
      </c>
      <c r="B3756" s="6" t="s">
        <v>92</v>
      </c>
      <c r="C3756" s="6" t="s">
        <v>275</v>
      </c>
      <c r="D3756" s="6">
        <v>0.6556666666666666</v>
      </c>
      <c r="E3756" s="6" t="s">
        <v>88</v>
      </c>
      <c r="F3756" s="6" t="s">
        <v>51</v>
      </c>
      <c r="G3756" s="7">
        <v>60987.13615097924</v>
      </c>
      <c r="H3756" s="6">
        <v>39987.23226965872</v>
      </c>
      <c r="I3756" s="6" t="s">
        <v>180</v>
      </c>
      <c r="J3756" s="15">
        <v>16.0745763856825</v>
      </c>
    </row>
    <row r="3757" spans="1:10">
      <c r="A3757" s="6" t="s">
        <v>143</v>
      </c>
      <c r="B3757" s="6" t="s">
        <v>92</v>
      </c>
      <c r="C3757" s="6" t="s">
        <v>276</v>
      </c>
      <c r="D3757" s="6">
        <v>14.35008333333333</v>
      </c>
      <c r="E3757" s="6" t="s">
        <v>88</v>
      </c>
      <c r="F3757" s="6" t="s">
        <v>51</v>
      </c>
      <c r="G3757" s="7">
        <v>36785.44810286325</v>
      </c>
      <c r="H3757" s="6">
        <v>527874.2457300962</v>
      </c>
      <c r="I3757" s="6" t="s">
        <v>180</v>
      </c>
      <c r="J3757" s="15">
        <v>7.012906301866028</v>
      </c>
    </row>
    <row r="3758" spans="1:10">
      <c r="A3758" s="6" t="s">
        <v>143</v>
      </c>
      <c r="B3758" s="6" t="s">
        <v>92</v>
      </c>
      <c r="C3758" s="6" t="s">
        <v>277</v>
      </c>
      <c r="D3758" s="6">
        <v>0.12675</v>
      </c>
      <c r="E3758" s="6" t="s">
        <v>88</v>
      </c>
      <c r="F3758" s="6" t="s">
        <v>57</v>
      </c>
      <c r="G3758" s="7">
        <v>41020.02489344452</v>
      </c>
      <c r="H3758" s="6">
        <v>5199.288155244091</v>
      </c>
      <c r="I3758" s="6" t="s">
        <v>180</v>
      </c>
      <c r="J3758" s="15">
        <v>8.598429499444013</v>
      </c>
    </row>
    <row r="3759" spans="1:10">
      <c r="A3759" s="6" t="s">
        <v>143</v>
      </c>
      <c r="B3759" s="6" t="s">
        <v>92</v>
      </c>
      <c r="C3759" s="6" t="s">
        <v>278</v>
      </c>
      <c r="D3759" s="6">
        <v>394.68225</v>
      </c>
      <c r="E3759" s="6" t="s">
        <v>88</v>
      </c>
      <c r="F3759" s="6" t="s">
        <v>55</v>
      </c>
      <c r="G3759" s="7">
        <v>30336.77880022909</v>
      </c>
      <c r="H3759" s="6">
        <v>11973388.11462672</v>
      </c>
      <c r="I3759" s="6" t="s">
        <v>179</v>
      </c>
      <c r="J3759" s="15">
        <v>14</v>
      </c>
    </row>
    <row r="3760" spans="1:10">
      <c r="A3760" s="6" t="s">
        <v>143</v>
      </c>
      <c r="B3760" s="6" t="s">
        <v>88</v>
      </c>
      <c r="C3760" s="6" t="s">
        <v>280</v>
      </c>
      <c r="D3760" s="6">
        <v>105.9163333333333</v>
      </c>
      <c r="E3760" s="6" t="s">
        <v>88</v>
      </c>
      <c r="F3760" s="6" t="s">
        <v>55</v>
      </c>
      <c r="G3760" s="7">
        <v>24869.46250635056</v>
      </c>
      <c r="H3760" s="6">
        <v>2634082.280643461</v>
      </c>
      <c r="I3760" s="6" t="s">
        <v>180</v>
      </c>
      <c r="J3760" s="15">
        <v>9.982787385089743</v>
      </c>
    </row>
    <row r="3761" spans="1:10">
      <c r="A3761" s="6" t="s">
        <v>143</v>
      </c>
      <c r="B3761" s="6" t="s">
        <v>92</v>
      </c>
      <c r="C3761" s="6" t="s">
        <v>281</v>
      </c>
      <c r="D3761" s="6">
        <v>717.1550833333333</v>
      </c>
      <c r="E3761" s="6" t="s">
        <v>88</v>
      </c>
      <c r="F3761" s="6" t="s">
        <v>57</v>
      </c>
      <c r="G3761" s="7">
        <v>47725.16793448776</v>
      </c>
      <c r="H3761" s="6">
        <v>34226346.7871549</v>
      </c>
      <c r="I3761" s="6" t="s">
        <v>179</v>
      </c>
      <c r="J3761" s="15">
        <v>36</v>
      </c>
    </row>
    <row r="3762" spans="1:10">
      <c r="A3762" s="6" t="s">
        <v>143</v>
      </c>
      <c r="B3762" s="6" t="s">
        <v>92</v>
      </c>
      <c r="C3762" s="6" t="s">
        <v>282</v>
      </c>
      <c r="D3762" s="6">
        <v>0.2808333333333333</v>
      </c>
      <c r="E3762" s="6" t="s">
        <v>88</v>
      </c>
      <c r="F3762" s="6" t="s">
        <v>56</v>
      </c>
      <c r="G3762" s="7">
        <v>68040.22841453915</v>
      </c>
      <c r="H3762" s="6">
        <v>19107.96414641641</v>
      </c>
      <c r="I3762" s="6" t="s">
        <v>180</v>
      </c>
      <c r="J3762" s="15">
        <v>18.71541676987519</v>
      </c>
    </row>
    <row r="3763" spans="1:10">
      <c r="A3763" s="6" t="s">
        <v>143</v>
      </c>
      <c r="B3763" s="6" t="s">
        <v>92</v>
      </c>
      <c r="C3763" s="6" t="s">
        <v>283</v>
      </c>
      <c r="D3763" s="6">
        <v>137.3395</v>
      </c>
      <c r="E3763" s="6" t="s">
        <v>88</v>
      </c>
      <c r="F3763" s="6" t="s">
        <v>51</v>
      </c>
      <c r="G3763" s="7">
        <v>40169.43882543561</v>
      </c>
      <c r="H3763" s="6">
        <v>5516850.643565914</v>
      </c>
      <c r="I3763" s="6" t="s">
        <v>179</v>
      </c>
      <c r="J3763" s="15">
        <v>27.40833333333333</v>
      </c>
    </row>
    <row r="3764" spans="1:10">
      <c r="A3764" s="6" t="s">
        <v>143</v>
      </c>
      <c r="B3764" s="6" t="s">
        <v>92</v>
      </c>
      <c r="C3764" s="6" t="s">
        <v>284</v>
      </c>
      <c r="D3764" s="6">
        <v>46.54083333333333</v>
      </c>
      <c r="E3764" s="6" t="s">
        <v>88</v>
      </c>
      <c r="F3764" s="6" t="s">
        <v>55</v>
      </c>
      <c r="G3764" s="7">
        <v>36138.38846146646</v>
      </c>
      <c r="H3764" s="6">
        <v>1681910.714320367</v>
      </c>
      <c r="I3764" s="6" t="s">
        <v>179</v>
      </c>
      <c r="J3764" s="15">
        <v>40.2</v>
      </c>
    </row>
    <row r="3765" spans="1:10">
      <c r="A3765" s="6" t="s">
        <v>143</v>
      </c>
      <c r="B3765" s="6" t="s">
        <v>92</v>
      </c>
      <c r="C3765" s="6" t="s">
        <v>286</v>
      </c>
      <c r="D3765" s="6">
        <v>8.121666666666666</v>
      </c>
      <c r="E3765" s="6" t="s">
        <v>88</v>
      </c>
      <c r="F3765" s="6" t="s">
        <v>59</v>
      </c>
      <c r="G3765" s="7">
        <v>51919.2206470298</v>
      </c>
      <c r="H3765" s="6">
        <v>421670.6036882937</v>
      </c>
      <c r="I3765" s="6" t="s">
        <v>180</v>
      </c>
      <c r="J3765" s="15">
        <v>12.67933971949008</v>
      </c>
    </row>
    <row r="3766" spans="1:10">
      <c r="A3766" s="6" t="s">
        <v>143</v>
      </c>
      <c r="B3766" s="6" t="s">
        <v>92</v>
      </c>
      <c r="C3766" s="6" t="s">
        <v>287</v>
      </c>
      <c r="D3766" s="6">
        <v>0.3740000000000001</v>
      </c>
      <c r="E3766" s="6" t="s">
        <v>88</v>
      </c>
      <c r="F3766" s="6" t="s">
        <v>53</v>
      </c>
      <c r="G3766" s="7">
        <v>57298.25349141887</v>
      </c>
      <c r="H3766" s="6">
        <v>21429.54680579066</v>
      </c>
      <c r="I3766" s="6" t="s">
        <v>180</v>
      </c>
      <c r="J3766" s="15">
        <v>14.69337365418751</v>
      </c>
    </row>
    <row r="3767" spans="1:10">
      <c r="A3767" s="6" t="s">
        <v>143</v>
      </c>
      <c r="B3767" s="6" t="s">
        <v>88</v>
      </c>
      <c r="C3767" s="6" t="s">
        <v>376</v>
      </c>
      <c r="D3767" s="6">
        <v>0.2081666666666667</v>
      </c>
      <c r="E3767" s="6" t="s">
        <v>88</v>
      </c>
      <c r="F3767" s="6" t="s">
        <v>54</v>
      </c>
      <c r="G3767" s="7">
        <v>52281.20456964882</v>
      </c>
      <c r="H3767" s="6">
        <v>10883.2040845819</v>
      </c>
      <c r="I3767" s="6" t="s">
        <v>180</v>
      </c>
      <c r="J3767" s="15">
        <v>28.43756138480302</v>
      </c>
    </row>
    <row r="3768" spans="1:10">
      <c r="A3768" s="6" t="s">
        <v>143</v>
      </c>
      <c r="B3768" s="6" t="s">
        <v>92</v>
      </c>
      <c r="C3768" s="6" t="s">
        <v>288</v>
      </c>
      <c r="D3768" s="6">
        <v>0.197</v>
      </c>
      <c r="E3768" s="6" t="s">
        <v>88</v>
      </c>
      <c r="F3768" s="6" t="s">
        <v>58</v>
      </c>
      <c r="G3768" s="7">
        <v>64645.17061643103</v>
      </c>
      <c r="H3768" s="6">
        <v>12735.09861143691</v>
      </c>
      <c r="I3768" s="6" t="s">
        <v>180</v>
      </c>
      <c r="J3768" s="15">
        <v>17.44422884195959</v>
      </c>
    </row>
    <row r="3769" spans="1:10">
      <c r="A3769" s="6" t="s">
        <v>143</v>
      </c>
      <c r="B3769" s="6" t="s">
        <v>88</v>
      </c>
      <c r="C3769" s="6" t="s">
        <v>370</v>
      </c>
      <c r="D3769" s="6">
        <v>0.2088333333333333</v>
      </c>
      <c r="E3769" s="6" t="s">
        <v>88</v>
      </c>
      <c r="F3769" s="6" t="s">
        <v>55</v>
      </c>
      <c r="G3769" s="7">
        <v>14611.98013674237</v>
      </c>
      <c r="H3769" s="6">
        <v>3051.468518556365</v>
      </c>
      <c r="I3769" s="6" t="s">
        <v>180</v>
      </c>
      <c r="J3769" s="15">
        <v>3.077005238882525</v>
      </c>
    </row>
    <row r="3770" spans="1:10">
      <c r="A3770" s="6" t="s">
        <v>143</v>
      </c>
      <c r="B3770" s="6" t="s">
        <v>92</v>
      </c>
      <c r="C3770" s="6" t="s">
        <v>359</v>
      </c>
      <c r="D3770" s="6">
        <v>4.2075</v>
      </c>
      <c r="E3770" s="6" t="s">
        <v>88</v>
      </c>
      <c r="F3770" s="6" t="s">
        <v>60</v>
      </c>
      <c r="G3770" s="7">
        <v>44697.22384667303</v>
      </c>
      <c r="H3770" s="6">
        <v>188063.5693348768</v>
      </c>
      <c r="I3770" s="6" t="s">
        <v>180</v>
      </c>
      <c r="J3770" s="15">
        <v>9.975257581868043</v>
      </c>
    </row>
    <row r="3771" spans="1:10">
      <c r="A3771" s="6" t="s">
        <v>143</v>
      </c>
      <c r="B3771" s="6" t="s">
        <v>88</v>
      </c>
      <c r="C3771" s="6" t="s">
        <v>289</v>
      </c>
      <c r="D3771" s="6">
        <v>1584.21425</v>
      </c>
      <c r="E3771" s="6" t="s">
        <v>88</v>
      </c>
      <c r="F3771" s="6" t="s">
        <v>52</v>
      </c>
      <c r="G3771" s="7">
        <v>34757.37314593359</v>
      </c>
      <c r="H3771" s="6">
        <v>55063125.83035532</v>
      </c>
      <c r="I3771" s="6" t="s">
        <v>179</v>
      </c>
      <c r="J3771" s="15">
        <v>49</v>
      </c>
    </row>
    <row r="3772" spans="1:10">
      <c r="A3772" s="6" t="s">
        <v>143</v>
      </c>
      <c r="B3772" s="6" t="s">
        <v>92</v>
      </c>
      <c r="C3772" s="6" t="s">
        <v>290</v>
      </c>
      <c r="D3772" s="6">
        <v>0.01525</v>
      </c>
      <c r="E3772" s="6" t="s">
        <v>88</v>
      </c>
      <c r="F3772" s="6" t="s">
        <v>53</v>
      </c>
      <c r="G3772" s="7">
        <v>49488.52827244454</v>
      </c>
      <c r="H3772" s="6">
        <v>754.7000561547792</v>
      </c>
      <c r="I3772" s="6" t="s">
        <v>180</v>
      </c>
      <c r="J3772" s="15">
        <v>11.76923244391702</v>
      </c>
    </row>
    <row r="3773" spans="1:10">
      <c r="A3773" s="6" t="s">
        <v>143</v>
      </c>
      <c r="B3773" s="6" t="s">
        <v>92</v>
      </c>
      <c r="C3773" s="6" t="s">
        <v>291</v>
      </c>
      <c r="D3773" s="6">
        <v>0.003416666666666667</v>
      </c>
      <c r="E3773" s="6" t="s">
        <v>88</v>
      </c>
      <c r="F3773" s="6" t="s">
        <v>51</v>
      </c>
      <c r="G3773" s="7">
        <v>42426.84693805363</v>
      </c>
      <c r="H3773" s="6">
        <v>144.9583937050166</v>
      </c>
      <c r="I3773" s="6" t="s">
        <v>180</v>
      </c>
      <c r="J3773" s="15">
        <v>9.125176113545601</v>
      </c>
    </row>
    <row r="3774" spans="1:10">
      <c r="A3774" s="6" t="s">
        <v>143</v>
      </c>
      <c r="B3774" s="6" t="s">
        <v>88</v>
      </c>
      <c r="C3774" s="6" t="s">
        <v>292</v>
      </c>
      <c r="D3774" s="6">
        <v>13.08775</v>
      </c>
      <c r="E3774" s="6" t="s">
        <v>88</v>
      </c>
      <c r="F3774" s="6" t="s">
        <v>54</v>
      </c>
      <c r="G3774" s="7">
        <v>57587.50593880366</v>
      </c>
      <c r="H3774" s="6">
        <v>753690.8808505776</v>
      </c>
      <c r="I3774" s="6" t="s">
        <v>180</v>
      </c>
      <c r="J3774" s="15">
        <v>32.00999367735827</v>
      </c>
    </row>
    <row r="3775" spans="1:10">
      <c r="A3775" s="6" t="s">
        <v>143</v>
      </c>
      <c r="B3775" s="6" t="s">
        <v>88</v>
      </c>
      <c r="C3775" s="6" t="s">
        <v>293</v>
      </c>
      <c r="D3775" s="6">
        <v>174.7410833333333</v>
      </c>
      <c r="E3775" s="6" t="s">
        <v>88</v>
      </c>
      <c r="F3775" s="6" t="s">
        <v>53</v>
      </c>
      <c r="G3775" s="7">
        <v>29405.08722093612</v>
      </c>
      <c r="H3775" s="6">
        <v>5138276.796497533</v>
      </c>
      <c r="I3775" s="6" t="s">
        <v>180</v>
      </c>
      <c r="J3775" s="15">
        <v>13.0363667184245</v>
      </c>
    </row>
    <row r="3776" spans="1:10">
      <c r="A3776" s="6" t="s">
        <v>143</v>
      </c>
      <c r="B3776" s="6" t="s">
        <v>88</v>
      </c>
      <c r="C3776" s="6" t="s">
        <v>371</v>
      </c>
      <c r="D3776" s="6">
        <v>0.41775</v>
      </c>
      <c r="E3776" s="6" t="s">
        <v>88</v>
      </c>
      <c r="F3776" s="6" t="s">
        <v>55</v>
      </c>
      <c r="G3776" s="7">
        <v>20381.74878536983</v>
      </c>
      <c r="H3776" s="6">
        <v>8514.475555088247</v>
      </c>
      <c r="I3776" s="6" t="s">
        <v>180</v>
      </c>
      <c r="J3776" s="15">
        <v>6.961463811240732</v>
      </c>
    </row>
    <row r="3777" spans="1:10">
      <c r="A3777" s="6" t="s">
        <v>143</v>
      </c>
      <c r="B3777" s="6" t="s">
        <v>88</v>
      </c>
      <c r="C3777" s="6" t="s">
        <v>294</v>
      </c>
      <c r="D3777" s="6">
        <v>0.2556666666666667</v>
      </c>
      <c r="E3777" s="6" t="s">
        <v>88</v>
      </c>
      <c r="F3777" s="6" t="s">
        <v>54</v>
      </c>
      <c r="G3777" s="7">
        <v>50619.94402359961</v>
      </c>
      <c r="H3777" s="6">
        <v>12941.83235536697</v>
      </c>
      <c r="I3777" s="6" t="s">
        <v>180</v>
      </c>
      <c r="J3777" s="15">
        <v>27.31912871236711</v>
      </c>
    </row>
    <row r="3778" spans="1:10">
      <c r="A3778" s="6" t="s">
        <v>143</v>
      </c>
      <c r="B3778" s="6" t="s">
        <v>92</v>
      </c>
      <c r="C3778" s="6" t="s">
        <v>295</v>
      </c>
      <c r="D3778" s="6">
        <v>44.90033333333334</v>
      </c>
      <c r="E3778" s="6" t="s">
        <v>88</v>
      </c>
      <c r="F3778" s="6" t="s">
        <v>53</v>
      </c>
      <c r="G3778" s="7">
        <v>43665.47276142767</v>
      </c>
      <c r="H3778" s="6">
        <v>1960594.28214569</v>
      </c>
      <c r="I3778" s="6" t="s">
        <v>179</v>
      </c>
      <c r="J3778" s="15">
        <v>37</v>
      </c>
    </row>
    <row r="3779" spans="1:10">
      <c r="A3779" s="6" t="s">
        <v>143</v>
      </c>
      <c r="B3779" s="6" t="s">
        <v>92</v>
      </c>
      <c r="C3779" s="6" t="s">
        <v>296</v>
      </c>
      <c r="D3779" s="6">
        <v>37.49591666666667</v>
      </c>
      <c r="E3779" s="6" t="s">
        <v>88</v>
      </c>
      <c r="F3779" s="6" t="s">
        <v>61</v>
      </c>
      <c r="G3779" s="7">
        <v>53088.58925206317</v>
      </c>
      <c r="H3779" s="6">
        <v>1990605.318546256</v>
      </c>
      <c r="I3779" s="6" t="s">
        <v>179</v>
      </c>
      <c r="J3779" s="15">
        <v>21</v>
      </c>
    </row>
    <row r="3780" spans="1:10">
      <c r="A3780" s="6" t="s">
        <v>143</v>
      </c>
      <c r="B3780" s="6" t="s">
        <v>88</v>
      </c>
      <c r="C3780" s="6" t="s">
        <v>297</v>
      </c>
      <c r="D3780" s="6">
        <v>0.9535</v>
      </c>
      <c r="E3780" s="6" t="s">
        <v>88</v>
      </c>
      <c r="F3780" s="6" t="s">
        <v>52</v>
      </c>
      <c r="G3780" s="7">
        <v>44335.59781697809</v>
      </c>
      <c r="H3780" s="6">
        <v>42273.99251848861</v>
      </c>
      <c r="I3780" s="6" t="s">
        <v>180</v>
      </c>
      <c r="J3780" s="15">
        <v>23.08823420331521</v>
      </c>
    </row>
    <row r="3781" spans="1:10">
      <c r="A3781" s="6" t="s">
        <v>143</v>
      </c>
      <c r="B3781" s="6" t="s">
        <v>92</v>
      </c>
      <c r="C3781" s="6" t="s">
        <v>298</v>
      </c>
      <c r="D3781" s="6">
        <v>24.49525</v>
      </c>
      <c r="E3781" s="6" t="s">
        <v>88</v>
      </c>
      <c r="F3781" s="6" t="s">
        <v>56</v>
      </c>
      <c r="G3781" s="7">
        <v>64956.33439155623</v>
      </c>
      <c r="H3781" s="6">
        <v>1591121.650004768</v>
      </c>
      <c r="I3781" s="6" t="s">
        <v>180</v>
      </c>
      <c r="J3781" s="15">
        <v>17.56073573464467</v>
      </c>
    </row>
    <row r="3782" spans="1:10">
      <c r="A3782" s="6" t="s">
        <v>143</v>
      </c>
      <c r="B3782" s="6" t="s">
        <v>92</v>
      </c>
      <c r="C3782" s="6" t="s">
        <v>299</v>
      </c>
      <c r="D3782" s="6">
        <v>0.486</v>
      </c>
      <c r="E3782" s="6" t="s">
        <v>88</v>
      </c>
      <c r="F3782" s="6" t="s">
        <v>53</v>
      </c>
      <c r="G3782" s="7">
        <v>52009.60071301651</v>
      </c>
      <c r="H3782" s="6">
        <v>25276.66594652602</v>
      </c>
      <c r="I3782" s="6" t="s">
        <v>180</v>
      </c>
      <c r="J3782" s="15">
        <v>12.7131801003138</v>
      </c>
    </row>
    <row r="3783" spans="1:10">
      <c r="A3783" s="6" t="s">
        <v>143</v>
      </c>
      <c r="B3783" s="6" t="s">
        <v>92</v>
      </c>
      <c r="C3783" s="6" t="s">
        <v>301</v>
      </c>
      <c r="D3783" s="6">
        <v>5.4905</v>
      </c>
      <c r="E3783" s="6" t="s">
        <v>88</v>
      </c>
      <c r="F3783" s="6" t="s">
        <v>59</v>
      </c>
      <c r="G3783" s="7">
        <v>60287.5334728343</v>
      </c>
      <c r="H3783" s="6">
        <v>331008.7025325967</v>
      </c>
      <c r="I3783" s="6" t="s">
        <v>180</v>
      </c>
      <c r="J3783" s="15">
        <v>15.81262901050354</v>
      </c>
    </row>
    <row r="3784" spans="1:10">
      <c r="A3784" s="6" t="s">
        <v>143</v>
      </c>
      <c r="B3784" s="6" t="s">
        <v>88</v>
      </c>
      <c r="C3784" s="6" t="s">
        <v>302</v>
      </c>
      <c r="D3784" s="6">
        <v>1068.670833333333</v>
      </c>
      <c r="E3784" s="6" t="s">
        <v>88</v>
      </c>
      <c r="F3784" s="6" t="s">
        <v>52</v>
      </c>
      <c r="G3784" s="7">
        <v>33240.74338740388</v>
      </c>
      <c r="H3784" s="6">
        <v>35523412.93643639</v>
      </c>
      <c r="I3784" s="6" t="s">
        <v>179</v>
      </c>
      <c r="J3784" s="15">
        <v>34</v>
      </c>
    </row>
    <row r="3785" spans="1:10">
      <c r="A3785" s="6" t="s">
        <v>143</v>
      </c>
      <c r="B3785" s="6" t="s">
        <v>92</v>
      </c>
      <c r="C3785" s="6" t="s">
        <v>303</v>
      </c>
      <c r="D3785" s="6">
        <v>0.18575</v>
      </c>
      <c r="E3785" s="6" t="s">
        <v>88</v>
      </c>
      <c r="F3785" s="6" t="s">
        <v>53</v>
      </c>
      <c r="G3785" s="7">
        <v>52579.50648328198</v>
      </c>
      <c r="H3785" s="6">
        <v>9766.643329269627</v>
      </c>
      <c r="I3785" s="6" t="s">
        <v>180</v>
      </c>
      <c r="J3785" s="15">
        <v>12.92656596243804</v>
      </c>
    </row>
    <row r="3786" spans="1:10">
      <c r="A3786" s="6" t="s">
        <v>143</v>
      </c>
      <c r="B3786" s="6" t="s">
        <v>88</v>
      </c>
      <c r="C3786" s="6" t="s">
        <v>361</v>
      </c>
      <c r="D3786" s="6">
        <v>59.64275</v>
      </c>
      <c r="E3786" s="6" t="s">
        <v>88</v>
      </c>
      <c r="F3786" s="6" t="s">
        <v>52</v>
      </c>
      <c r="G3786" s="7">
        <v>41929.97821752574</v>
      </c>
      <c r="H3786" s="6">
        <v>2500819.208333333</v>
      </c>
      <c r="I3786" s="6" t="s">
        <v>179</v>
      </c>
      <c r="J3786" s="15">
        <v>39.98333333333333</v>
      </c>
    </row>
    <row r="3787" spans="1:10">
      <c r="A3787" s="6" t="s">
        <v>143</v>
      </c>
      <c r="B3787" s="6" t="s">
        <v>88</v>
      </c>
      <c r="C3787" s="6" t="s">
        <v>305</v>
      </c>
      <c r="D3787" s="6">
        <v>35.40958333333334</v>
      </c>
      <c r="E3787" s="6" t="s">
        <v>88</v>
      </c>
      <c r="F3787" s="6" t="s">
        <v>54</v>
      </c>
      <c r="G3787" s="7">
        <v>54240.54060127008</v>
      </c>
      <c r="H3787" s="6">
        <v>1920634.942465723</v>
      </c>
      <c r="I3787" s="6" t="s">
        <v>180</v>
      </c>
      <c r="J3787" s="15">
        <v>29.75667140595994</v>
      </c>
    </row>
    <row r="3788" spans="1:10">
      <c r="A3788" s="6" t="s">
        <v>143</v>
      </c>
      <c r="B3788" s="6" t="s">
        <v>92</v>
      </c>
      <c r="C3788" s="6" t="s">
        <v>306</v>
      </c>
      <c r="D3788" s="6">
        <v>5.902083333333334</v>
      </c>
      <c r="E3788" s="6" t="s">
        <v>88</v>
      </c>
      <c r="F3788" s="6" t="s">
        <v>57</v>
      </c>
      <c r="G3788" s="7">
        <v>39936.89263645957</v>
      </c>
      <c r="H3788" s="6">
        <v>235710.8684147708</v>
      </c>
      <c r="I3788" s="6" t="s">
        <v>180</v>
      </c>
      <c r="J3788" s="15">
        <v>8.192879805950582</v>
      </c>
    </row>
    <row r="3789" spans="1:10">
      <c r="A3789" s="6" t="s">
        <v>143</v>
      </c>
      <c r="B3789" s="6" t="s">
        <v>92</v>
      </c>
      <c r="C3789" s="6" t="s">
        <v>307</v>
      </c>
      <c r="D3789" s="6">
        <v>0.09766666666666667</v>
      </c>
      <c r="E3789" s="6" t="s">
        <v>88</v>
      </c>
      <c r="F3789" s="6" t="s">
        <v>53</v>
      </c>
      <c r="G3789" s="7">
        <v>52756.89179587198</v>
      </c>
      <c r="H3789" s="6">
        <v>5152.58976539683</v>
      </c>
      <c r="I3789" s="6" t="s">
        <v>180</v>
      </c>
      <c r="J3789" s="15">
        <v>12.99298311388671</v>
      </c>
    </row>
    <row r="3790" spans="1:10">
      <c r="A3790" s="6" t="s">
        <v>143</v>
      </c>
      <c r="B3790" s="6" t="s">
        <v>88</v>
      </c>
      <c r="C3790" s="6" t="s">
        <v>362</v>
      </c>
      <c r="D3790" s="6">
        <v>181.7543333333333</v>
      </c>
      <c r="E3790" s="6" t="s">
        <v>88</v>
      </c>
      <c r="F3790" s="6" t="s">
        <v>52</v>
      </c>
      <c r="G3790" s="7">
        <v>36106.29405129155</v>
      </c>
      <c r="H3790" s="6">
        <v>6562475.404429795</v>
      </c>
      <c r="I3790" s="6" t="s">
        <v>179</v>
      </c>
      <c r="J3790" s="15">
        <v>34.25</v>
      </c>
    </row>
    <row r="3791" spans="1:10">
      <c r="A3791" s="6" t="s">
        <v>143</v>
      </c>
      <c r="B3791" s="6" t="s">
        <v>88</v>
      </c>
      <c r="C3791" s="6" t="s">
        <v>308</v>
      </c>
      <c r="D3791" s="6">
        <v>0.2456666666666667</v>
      </c>
      <c r="E3791" s="6" t="s">
        <v>88</v>
      </c>
      <c r="F3791" s="6" t="s">
        <v>54</v>
      </c>
      <c r="G3791" s="7">
        <v>44901.76692934829</v>
      </c>
      <c r="H3791" s="6">
        <v>11030.86740897656</v>
      </c>
      <c r="I3791" s="6" t="s">
        <v>180</v>
      </c>
      <c r="J3791" s="15">
        <v>23.46940381268491</v>
      </c>
    </row>
    <row r="3792" spans="1:10">
      <c r="A3792" s="6" t="s">
        <v>143</v>
      </c>
      <c r="B3792" s="6" t="s">
        <v>88</v>
      </c>
      <c r="C3792" s="6" t="s">
        <v>309</v>
      </c>
      <c r="D3792" s="6">
        <v>360.7226666666667</v>
      </c>
      <c r="E3792" s="6" t="s">
        <v>88</v>
      </c>
      <c r="F3792" s="6" t="s">
        <v>52</v>
      </c>
      <c r="G3792" s="7">
        <v>43401.39202919273</v>
      </c>
      <c r="H3792" s="6">
        <v>15655865.86981581</v>
      </c>
      <c r="I3792" s="6" t="s">
        <v>179</v>
      </c>
      <c r="J3792" s="15">
        <v>37.5</v>
      </c>
    </row>
    <row r="3793" spans="1:10">
      <c r="A3793" s="6" t="s">
        <v>143</v>
      </c>
      <c r="B3793" s="6" t="s">
        <v>92</v>
      </c>
      <c r="C3793" s="6" t="s">
        <v>310</v>
      </c>
      <c r="D3793" s="6">
        <v>35.30658333333333</v>
      </c>
      <c r="E3793" s="6" t="s">
        <v>88</v>
      </c>
      <c r="F3793" s="6" t="s">
        <v>52</v>
      </c>
      <c r="G3793" s="7">
        <v>77318.80490856594</v>
      </c>
      <c r="H3793" s="6">
        <v>2729862.828738025</v>
      </c>
      <c r="I3793" s="6" t="s">
        <v>180</v>
      </c>
      <c r="J3793" s="15">
        <v>22.18952976848772</v>
      </c>
    </row>
    <row r="3794" spans="1:10">
      <c r="A3794" s="6" t="s">
        <v>143</v>
      </c>
      <c r="B3794" s="6" t="s">
        <v>92</v>
      </c>
      <c r="C3794" s="6" t="s">
        <v>311</v>
      </c>
      <c r="D3794" s="6">
        <v>222.953</v>
      </c>
      <c r="E3794" s="6" t="s">
        <v>88</v>
      </c>
      <c r="F3794" s="6" t="s">
        <v>51</v>
      </c>
      <c r="G3794" s="7">
        <v>47093.06261970591</v>
      </c>
      <c r="H3794" s="6">
        <v>10499539.59025129</v>
      </c>
      <c r="I3794" s="6" t="s">
        <v>179</v>
      </c>
      <c r="J3794" s="15">
        <v>49.65833333333333</v>
      </c>
    </row>
    <row r="3795" spans="1:10">
      <c r="A3795" s="6" t="s">
        <v>143</v>
      </c>
      <c r="B3795" s="6" t="s">
        <v>88</v>
      </c>
      <c r="C3795" s="6" t="s">
        <v>312</v>
      </c>
      <c r="D3795" s="6">
        <v>54.05091666666667</v>
      </c>
      <c r="E3795" s="6" t="s">
        <v>88</v>
      </c>
      <c r="F3795" s="6" t="s">
        <v>54</v>
      </c>
      <c r="G3795" s="7">
        <v>43974.2296302894</v>
      </c>
      <c r="H3795" s="6">
        <v>2376847.421227636</v>
      </c>
      <c r="I3795" s="6" t="s">
        <v>180</v>
      </c>
      <c r="J3795" s="15">
        <v>22.84494546228496</v>
      </c>
    </row>
    <row r="3796" spans="1:10">
      <c r="A3796" s="6" t="s">
        <v>143</v>
      </c>
      <c r="B3796" s="6" t="s">
        <v>92</v>
      </c>
      <c r="C3796" s="6" t="s">
        <v>313</v>
      </c>
      <c r="D3796" s="6">
        <v>7.997000000000001</v>
      </c>
      <c r="E3796" s="6" t="s">
        <v>88</v>
      </c>
      <c r="F3796" s="6" t="s">
        <v>51</v>
      </c>
      <c r="G3796" s="7">
        <v>47731.50326829251</v>
      </c>
      <c r="H3796" s="6">
        <v>381708.8316365352</v>
      </c>
      <c r="I3796" s="6" t="s">
        <v>180</v>
      </c>
      <c r="J3796" s="15">
        <v>11.11136176626066</v>
      </c>
    </row>
    <row r="3797" spans="1:10">
      <c r="A3797" s="6" t="s">
        <v>143</v>
      </c>
      <c r="B3797" s="6" t="s">
        <v>92</v>
      </c>
      <c r="C3797" s="6" t="s">
        <v>314</v>
      </c>
      <c r="D3797" s="6">
        <v>2.293416666666666</v>
      </c>
      <c r="E3797" s="6" t="s">
        <v>88</v>
      </c>
      <c r="F3797" s="6" t="s">
        <v>51</v>
      </c>
      <c r="G3797" s="7">
        <v>66764.46796773297</v>
      </c>
      <c r="H3797" s="6">
        <v>153118.7435783316</v>
      </c>
      <c r="I3797" s="6" t="s">
        <v>180</v>
      </c>
      <c r="J3797" s="15">
        <v>18.23774264020472</v>
      </c>
    </row>
    <row r="3798" spans="1:10">
      <c r="A3798" s="6" t="s">
        <v>143</v>
      </c>
      <c r="B3798" s="6" t="s">
        <v>92</v>
      </c>
      <c r="C3798" s="6" t="s">
        <v>315</v>
      </c>
      <c r="D3798" s="6">
        <v>37.0025</v>
      </c>
      <c r="E3798" s="6" t="s">
        <v>88</v>
      </c>
      <c r="F3798" s="6" t="s">
        <v>51</v>
      </c>
      <c r="G3798" s="7">
        <v>36977.7141649833</v>
      </c>
      <c r="H3798" s="6">
        <v>1368267.868389794</v>
      </c>
      <c r="I3798" s="6" t="s">
        <v>179</v>
      </c>
      <c r="J3798" s="15">
        <v>20.63333333333333</v>
      </c>
    </row>
    <row r="3799" spans="1:10">
      <c r="A3799" s="6" t="s">
        <v>143</v>
      </c>
      <c r="B3799" s="6" t="s">
        <v>88</v>
      </c>
      <c r="C3799" s="6" t="s">
        <v>316</v>
      </c>
      <c r="D3799" s="6">
        <v>2.109166666666667</v>
      </c>
      <c r="E3799" s="6" t="s">
        <v>88</v>
      </c>
      <c r="F3799" s="6" t="s">
        <v>54</v>
      </c>
      <c r="G3799" s="7">
        <v>52119.57953683602</v>
      </c>
      <c r="H3799" s="6">
        <v>109928.8798397767</v>
      </c>
      <c r="I3799" s="6" t="s">
        <v>180</v>
      </c>
      <c r="J3799" s="15">
        <v>28.32874840070413</v>
      </c>
    </row>
    <row r="3800" spans="1:10">
      <c r="A3800" s="6" t="s">
        <v>143</v>
      </c>
      <c r="B3800" s="6" t="s">
        <v>92</v>
      </c>
      <c r="C3800" s="6" t="s">
        <v>317</v>
      </c>
      <c r="D3800" s="6">
        <v>0.3051666666666667</v>
      </c>
      <c r="E3800" s="6" t="s">
        <v>88</v>
      </c>
      <c r="F3800" s="6" t="s">
        <v>51</v>
      </c>
      <c r="G3800" s="7">
        <v>51135.75391883078</v>
      </c>
      <c r="H3800" s="6">
        <v>15604.92757089653</v>
      </c>
      <c r="I3800" s="6" t="s">
        <v>180</v>
      </c>
      <c r="J3800" s="15">
        <v>12.38599171010859</v>
      </c>
    </row>
    <row r="3801" spans="1:10">
      <c r="A3801" s="6" t="s">
        <v>143</v>
      </c>
      <c r="B3801" s="6" t="s">
        <v>88</v>
      </c>
      <c r="C3801" s="6" t="s">
        <v>319</v>
      </c>
      <c r="D3801" s="6">
        <v>4.120083333333334</v>
      </c>
      <c r="E3801" s="6" t="s">
        <v>88</v>
      </c>
      <c r="F3801" s="6" t="s">
        <v>52</v>
      </c>
      <c r="G3801" s="7">
        <v>44335.59781697809</v>
      </c>
      <c r="H3801" s="6">
        <v>182666.3576391011</v>
      </c>
      <c r="I3801" s="6" t="s">
        <v>180</v>
      </c>
      <c r="J3801" s="15">
        <v>23.08823420331521</v>
      </c>
    </row>
    <row r="3802" spans="1:10">
      <c r="A3802" s="6" t="s">
        <v>143</v>
      </c>
      <c r="B3802" s="6" t="s">
        <v>92</v>
      </c>
      <c r="C3802" s="6" t="s">
        <v>320</v>
      </c>
      <c r="D3802" s="6">
        <v>413.5562499999999</v>
      </c>
      <c r="E3802" s="6" t="s">
        <v>88</v>
      </c>
      <c r="F3802" s="6" t="s">
        <v>51</v>
      </c>
      <c r="G3802" s="7">
        <v>42399.1324717879</v>
      </c>
      <c r="H3802" s="6">
        <v>17534426.22828583</v>
      </c>
      <c r="I3802" s="6" t="s">
        <v>179</v>
      </c>
      <c r="J3802" s="15">
        <v>45</v>
      </c>
    </row>
    <row r="3803" spans="1:10">
      <c r="A3803" s="6" t="s">
        <v>143</v>
      </c>
      <c r="B3803" s="6" t="s">
        <v>92</v>
      </c>
      <c r="C3803" s="6" t="s">
        <v>321</v>
      </c>
      <c r="D3803" s="6">
        <v>0.1015833333333333</v>
      </c>
      <c r="E3803" s="6" t="s">
        <v>88</v>
      </c>
      <c r="F3803" s="6" t="s">
        <v>54</v>
      </c>
      <c r="G3803" s="7">
        <v>66126.21911984179</v>
      </c>
      <c r="H3803" s="6">
        <v>6717.321758923928</v>
      </c>
      <c r="I3803" s="6" t="s">
        <v>180</v>
      </c>
      <c r="J3803" s="15">
        <v>17.99876755386086</v>
      </c>
    </row>
    <row r="3804" spans="1:10">
      <c r="A3804" s="6" t="s">
        <v>143</v>
      </c>
      <c r="B3804" s="6" t="s">
        <v>92</v>
      </c>
      <c r="C3804" s="6" t="s">
        <v>322</v>
      </c>
      <c r="D3804" s="6">
        <v>85.50508333333333</v>
      </c>
      <c r="E3804" s="6" t="s">
        <v>88</v>
      </c>
      <c r="F3804" s="6" t="s">
        <v>51</v>
      </c>
      <c r="G3804" s="7">
        <v>51594.95855690809</v>
      </c>
      <c r="H3804" s="6">
        <v>4411631.230988306</v>
      </c>
      <c r="I3804" s="6" t="s">
        <v>180</v>
      </c>
      <c r="J3804" s="15">
        <v>12.55792851562985</v>
      </c>
    </row>
    <row r="3805" spans="1:10">
      <c r="A3805" s="6" t="s">
        <v>143</v>
      </c>
      <c r="B3805" s="6" t="s">
        <v>92</v>
      </c>
      <c r="C3805" s="6" t="s">
        <v>323</v>
      </c>
      <c r="D3805" s="6">
        <v>23.45583333333333</v>
      </c>
      <c r="E3805" s="6" t="s">
        <v>88</v>
      </c>
      <c r="F3805" s="6" t="s">
        <v>55</v>
      </c>
      <c r="G3805" s="7">
        <v>37901.84707720344</v>
      </c>
      <c r="H3805" s="6">
        <v>889019.4080683711</v>
      </c>
      <c r="I3805" s="6" t="s">
        <v>179</v>
      </c>
      <c r="J3805" s="15">
        <v>17</v>
      </c>
    </row>
    <row r="3806" spans="1:10">
      <c r="A3806" s="6" t="s">
        <v>143</v>
      </c>
      <c r="B3806" s="6" t="s">
        <v>92</v>
      </c>
      <c r="C3806" s="6" t="s">
        <v>324</v>
      </c>
      <c r="D3806" s="6">
        <v>237.2449166666667</v>
      </c>
      <c r="E3806" s="6" t="s">
        <v>88</v>
      </c>
      <c r="F3806" s="6" t="s">
        <v>51</v>
      </c>
      <c r="G3806" s="7">
        <v>59286.87997138536</v>
      </c>
      <c r="H3806" s="6">
        <v>14065510.89823799</v>
      </c>
      <c r="I3806" s="6" t="s">
        <v>179</v>
      </c>
      <c r="J3806" s="15">
        <v>44</v>
      </c>
    </row>
    <row r="3807" spans="1:10">
      <c r="A3807" s="6" t="s">
        <v>143</v>
      </c>
      <c r="B3807" s="6" t="s">
        <v>88</v>
      </c>
      <c r="C3807" s="6" t="s">
        <v>372</v>
      </c>
      <c r="D3807" s="6">
        <v>1.7615</v>
      </c>
      <c r="E3807" s="6" t="s">
        <v>88</v>
      </c>
      <c r="F3807" s="6" t="s">
        <v>55</v>
      </c>
      <c r="G3807" s="7">
        <v>26107.48186832325</v>
      </c>
      <c r="H3807" s="6">
        <v>45988.32931105141</v>
      </c>
      <c r="I3807" s="6" t="s">
        <v>180</v>
      </c>
      <c r="J3807" s="15">
        <v>10.81627573032942</v>
      </c>
    </row>
    <row r="3808" spans="1:10">
      <c r="A3808" s="6" t="s">
        <v>143</v>
      </c>
      <c r="B3808" s="6" t="s">
        <v>92</v>
      </c>
      <c r="C3808" s="6" t="s">
        <v>325</v>
      </c>
      <c r="D3808" s="6">
        <v>0.5835833333333333</v>
      </c>
      <c r="E3808" s="6" t="s">
        <v>88</v>
      </c>
      <c r="F3808" s="6" t="s">
        <v>53</v>
      </c>
      <c r="G3808" s="7">
        <v>65311.40887625943</v>
      </c>
      <c r="H3808" s="6">
        <v>38114.64969670373</v>
      </c>
      <c r="I3808" s="6" t="s">
        <v>180</v>
      </c>
      <c r="J3808" s="15">
        <v>17.69368380955434</v>
      </c>
    </row>
    <row r="3809" spans="1:10">
      <c r="A3809" s="6" t="s">
        <v>143</v>
      </c>
      <c r="B3809" s="6" t="s">
        <v>88</v>
      </c>
      <c r="C3809" s="6" t="s">
        <v>364</v>
      </c>
      <c r="D3809" s="6">
        <v>4.807583333333334</v>
      </c>
      <c r="E3809" s="6" t="s">
        <v>88</v>
      </c>
      <c r="F3809" s="6" t="s">
        <v>52</v>
      </c>
      <c r="G3809" s="7">
        <v>44335.59781697809</v>
      </c>
      <c r="H3809" s="6">
        <v>213147.0811382736</v>
      </c>
      <c r="I3809" s="6" t="s">
        <v>180</v>
      </c>
      <c r="J3809" s="15">
        <v>23.08823420331521</v>
      </c>
    </row>
    <row r="3810" spans="1:10">
      <c r="A3810" s="6" t="s">
        <v>143</v>
      </c>
      <c r="B3810" s="6" t="s">
        <v>88</v>
      </c>
      <c r="C3810" s="6" t="s">
        <v>326</v>
      </c>
      <c r="D3810" s="6">
        <v>288.858</v>
      </c>
      <c r="E3810" s="6" t="s">
        <v>88</v>
      </c>
      <c r="F3810" s="6" t="s">
        <v>54</v>
      </c>
      <c r="G3810" s="7">
        <v>52218.3360663061</v>
      </c>
      <c r="H3810" s="6">
        <v>15083684.11944105</v>
      </c>
      <c r="I3810" s="6" t="s">
        <v>180</v>
      </c>
      <c r="J3810" s="15">
        <v>28.39523558083876</v>
      </c>
    </row>
    <row r="3811" spans="1:10">
      <c r="A3811" s="6" t="s">
        <v>143</v>
      </c>
      <c r="B3811" s="6" t="s">
        <v>88</v>
      </c>
      <c r="C3811" s="6" t="s">
        <v>373</v>
      </c>
      <c r="D3811" s="6">
        <v>0.2316666666666667</v>
      </c>
      <c r="E3811" s="6" t="s">
        <v>88</v>
      </c>
      <c r="F3811" s="6" t="s">
        <v>55</v>
      </c>
      <c r="G3811" s="7">
        <v>16856.45138564954</v>
      </c>
      <c r="H3811" s="6">
        <v>3905.077904342143</v>
      </c>
      <c r="I3811" s="6" t="s">
        <v>180</v>
      </c>
      <c r="J3811" s="15">
        <v>4.588080658744115</v>
      </c>
    </row>
    <row r="3812" spans="1:10">
      <c r="A3812" s="6" t="s">
        <v>143</v>
      </c>
      <c r="B3812" s="6" t="s">
        <v>92</v>
      </c>
      <c r="C3812" s="6" t="s">
        <v>374</v>
      </c>
      <c r="D3812" s="6">
        <v>0.05691666666666666</v>
      </c>
      <c r="E3812" s="6" t="s">
        <v>88</v>
      </c>
      <c r="F3812" s="6" t="s">
        <v>55</v>
      </c>
      <c r="G3812" s="7">
        <v>29054.37866544401</v>
      </c>
      <c r="H3812" s="6">
        <v>1653.678385708188</v>
      </c>
      <c r="I3812" s="6" t="s">
        <v>180</v>
      </c>
      <c r="J3812" s="15">
        <v>15.81666666666667</v>
      </c>
    </row>
    <row r="3813" spans="1:10">
      <c r="A3813" s="6" t="s">
        <v>143</v>
      </c>
      <c r="B3813" s="6" t="s">
        <v>88</v>
      </c>
      <c r="C3813" s="6" t="s">
        <v>327</v>
      </c>
      <c r="D3813" s="6">
        <v>49.30216666666666</v>
      </c>
      <c r="E3813" s="6" t="s">
        <v>88</v>
      </c>
      <c r="F3813" s="6" t="s">
        <v>57</v>
      </c>
      <c r="G3813" s="7">
        <v>24260.20233969063</v>
      </c>
      <c r="H3813" s="6">
        <v>1196080.539118484</v>
      </c>
      <c r="I3813" s="6" t="s">
        <v>180</v>
      </c>
      <c r="J3813" s="15">
        <v>9.572607008491534</v>
      </c>
    </row>
    <row r="3814" spans="1:10">
      <c r="A3814" s="6" t="s">
        <v>143</v>
      </c>
      <c r="B3814" s="6" t="s">
        <v>92</v>
      </c>
      <c r="C3814" s="6" t="s">
        <v>328</v>
      </c>
      <c r="D3814" s="6">
        <v>0.1481666666666667</v>
      </c>
      <c r="E3814" s="6" t="s">
        <v>88</v>
      </c>
      <c r="F3814" s="6" t="s">
        <v>58</v>
      </c>
      <c r="G3814" s="7">
        <v>58185.92729035135</v>
      </c>
      <c r="H3814" s="6">
        <v>8621.214893520391</v>
      </c>
      <c r="I3814" s="6" t="s">
        <v>180</v>
      </c>
      <c r="J3814" s="15">
        <v>15.02573919381359</v>
      </c>
    </row>
    <row r="3815" spans="1:10">
      <c r="A3815" s="6" t="s">
        <v>143</v>
      </c>
      <c r="B3815" s="6" t="s">
        <v>88</v>
      </c>
      <c r="C3815" s="6" t="s">
        <v>329</v>
      </c>
      <c r="D3815" s="6">
        <v>192.4203333333333</v>
      </c>
      <c r="E3815" s="6" t="s">
        <v>88</v>
      </c>
      <c r="F3815" s="6" t="s">
        <v>58</v>
      </c>
      <c r="G3815" s="7">
        <v>28500.44322961068</v>
      </c>
      <c r="H3815" s="6">
        <v>5484064.786389429</v>
      </c>
      <c r="I3815" s="6" t="s">
        <v>180</v>
      </c>
      <c r="J3815" s="15">
        <v>12.42732113600372</v>
      </c>
    </row>
    <row r="3816" spans="1:10">
      <c r="A3816" s="6" t="s">
        <v>143</v>
      </c>
      <c r="B3816" s="6" t="s">
        <v>88</v>
      </c>
      <c r="C3816" s="6" t="s">
        <v>330</v>
      </c>
      <c r="D3816" s="6">
        <v>5.259333333333333</v>
      </c>
      <c r="E3816" s="6" t="s">
        <v>88</v>
      </c>
      <c r="F3816" s="6" t="s">
        <v>52</v>
      </c>
      <c r="G3816" s="7">
        <v>44335.59781697809</v>
      </c>
      <c r="H3816" s="6">
        <v>233175.6874520934</v>
      </c>
      <c r="I3816" s="6" t="s">
        <v>180</v>
      </c>
      <c r="J3816" s="15">
        <v>23.08823420331521</v>
      </c>
    </row>
    <row r="3817" spans="1:10">
      <c r="A3817" s="6" t="s">
        <v>143</v>
      </c>
      <c r="B3817" s="6" t="s">
        <v>92</v>
      </c>
      <c r="C3817" s="6" t="s">
        <v>331</v>
      </c>
      <c r="D3817" s="6">
        <v>52.29525</v>
      </c>
      <c r="E3817" s="6" t="s">
        <v>88</v>
      </c>
      <c r="F3817" s="6" t="s">
        <v>58</v>
      </c>
      <c r="G3817" s="7">
        <v>52490.82308035896</v>
      </c>
      <c r="H3817" s="6">
        <v>2745020.715693142</v>
      </c>
      <c r="I3817" s="6" t="s">
        <v>179</v>
      </c>
      <c r="J3817" s="15">
        <v>17.40719355741339</v>
      </c>
    </row>
    <row r="3818" spans="1:10">
      <c r="A3818" s="6" t="s">
        <v>143</v>
      </c>
      <c r="B3818" s="6" t="s">
        <v>92</v>
      </c>
      <c r="C3818" s="6" t="s">
        <v>332</v>
      </c>
      <c r="D3818" s="6">
        <v>807.2191666666666</v>
      </c>
      <c r="E3818" s="6" t="s">
        <v>88</v>
      </c>
      <c r="F3818" s="6" t="s">
        <v>55</v>
      </c>
      <c r="G3818" s="7">
        <v>18935.91078298569</v>
      </c>
      <c r="H3818" s="6">
        <v>15285430.12231605</v>
      </c>
      <c r="I3818" s="6" t="s">
        <v>179</v>
      </c>
      <c r="J3818" s="15">
        <v>13</v>
      </c>
    </row>
    <row r="3819" spans="1:10">
      <c r="A3819" s="6" t="s">
        <v>143</v>
      </c>
      <c r="B3819" s="6" t="s">
        <v>88</v>
      </c>
      <c r="C3819" s="6" t="s">
        <v>375</v>
      </c>
      <c r="D3819" s="6">
        <v>0.4240833333333333</v>
      </c>
      <c r="E3819" s="6" t="s">
        <v>88</v>
      </c>
      <c r="F3819" s="6" t="s">
        <v>55</v>
      </c>
      <c r="G3819" s="7">
        <v>20384.26846005159</v>
      </c>
      <c r="H3819" s="6">
        <v>8644.628516100212</v>
      </c>
      <c r="I3819" s="6" t="s">
        <v>180</v>
      </c>
      <c r="J3819" s="15">
        <v>6.963160165551133</v>
      </c>
    </row>
    <row r="3820" spans="1:10">
      <c r="A3820" s="6" t="s">
        <v>143</v>
      </c>
      <c r="B3820" s="6" t="s">
        <v>92</v>
      </c>
      <c r="C3820" s="6" t="s">
        <v>333</v>
      </c>
      <c r="D3820" s="6">
        <v>27.81408333333333</v>
      </c>
      <c r="E3820" s="6" t="s">
        <v>88</v>
      </c>
      <c r="F3820" s="6" t="s">
        <v>51</v>
      </c>
      <c r="G3820" s="7">
        <v>51151.59012928524</v>
      </c>
      <c r="H3820" s="6">
        <v>1422734.59048845</v>
      </c>
      <c r="I3820" s="6" t="s">
        <v>180</v>
      </c>
      <c r="J3820" s="15">
        <v>12.39192115247769</v>
      </c>
    </row>
    <row r="3821" spans="1:10">
      <c r="A3821" s="6" t="s">
        <v>143</v>
      </c>
      <c r="B3821" s="6" t="s">
        <v>90</v>
      </c>
      <c r="C3821" s="6" t="s">
        <v>194</v>
      </c>
      <c r="D3821" s="6">
        <v>0.2404166666666667</v>
      </c>
      <c r="E3821" s="6" t="s">
        <v>90</v>
      </c>
      <c r="F3821" s="6" t="s">
        <v>58</v>
      </c>
      <c r="G3821" s="7">
        <v>59839.94997846646</v>
      </c>
      <c r="H3821" s="6">
        <v>14386.52130732298</v>
      </c>
      <c r="I3821" s="6" t="s">
        <v>180</v>
      </c>
      <c r="J3821" s="15">
        <v>69.98333333333333</v>
      </c>
    </row>
    <row r="3822" spans="1:10">
      <c r="A3822" s="6" t="s">
        <v>143</v>
      </c>
      <c r="B3822" s="6" t="s">
        <v>90</v>
      </c>
      <c r="C3822" s="6" t="s">
        <v>195</v>
      </c>
      <c r="D3822" s="6">
        <v>20.51325</v>
      </c>
      <c r="E3822" s="6" t="s">
        <v>90</v>
      </c>
      <c r="F3822" s="6" t="s">
        <v>54</v>
      </c>
      <c r="G3822" s="7">
        <v>56976.27849226169</v>
      </c>
      <c r="H3822" s="6">
        <v>1168768.644781387</v>
      </c>
      <c r="I3822" s="6" t="s">
        <v>180</v>
      </c>
      <c r="J3822" s="15">
        <v>11.49610447263148</v>
      </c>
    </row>
    <row r="3823" spans="1:10">
      <c r="A3823" s="6" t="s">
        <v>143</v>
      </c>
      <c r="B3823" s="6" t="s">
        <v>90</v>
      </c>
      <c r="C3823" s="6" t="s">
        <v>334</v>
      </c>
      <c r="D3823" s="6">
        <v>0.003333333333333334</v>
      </c>
      <c r="E3823" s="6" t="s">
        <v>90</v>
      </c>
      <c r="F3823" s="6" t="s">
        <v>54</v>
      </c>
      <c r="G3823" s="7">
        <v>73156.13365961002</v>
      </c>
      <c r="H3823" s="6">
        <v>243.8537788653667</v>
      </c>
      <c r="I3823" s="6" t="s">
        <v>180</v>
      </c>
      <c r="J3823" s="15">
        <v>16.68050450820028</v>
      </c>
    </row>
    <row r="3824" spans="1:10">
      <c r="A3824" s="6" t="s">
        <v>143</v>
      </c>
      <c r="B3824" s="6" t="s">
        <v>90</v>
      </c>
      <c r="C3824" s="6" t="s">
        <v>335</v>
      </c>
      <c r="D3824" s="6">
        <v>295.1966666666667</v>
      </c>
      <c r="E3824" s="6" t="s">
        <v>90</v>
      </c>
      <c r="F3824" s="6" t="s">
        <v>52</v>
      </c>
      <c r="G3824" s="7">
        <v>95698.07693963528</v>
      </c>
      <c r="H3824" s="6">
        <v>28249753.31899054</v>
      </c>
      <c r="I3824" s="6" t="s">
        <v>179</v>
      </c>
      <c r="J3824" s="15">
        <v>62.25</v>
      </c>
    </row>
    <row r="3825" spans="1:10">
      <c r="A3825" s="6" t="s">
        <v>143</v>
      </c>
      <c r="B3825" s="6" t="s">
        <v>90</v>
      </c>
      <c r="C3825" s="6" t="s">
        <v>197</v>
      </c>
      <c r="D3825" s="6">
        <v>12.18166666666667</v>
      </c>
      <c r="E3825" s="6" t="s">
        <v>90</v>
      </c>
      <c r="F3825" s="6" t="s">
        <v>53</v>
      </c>
      <c r="G3825" s="7">
        <v>24873.23941462196</v>
      </c>
      <c r="H3825" s="6">
        <v>302997.5114691198</v>
      </c>
      <c r="I3825" s="6" t="s">
        <v>179</v>
      </c>
      <c r="J3825" s="15">
        <v>27</v>
      </c>
    </row>
    <row r="3826" spans="1:10">
      <c r="A3826" s="6" t="s">
        <v>143</v>
      </c>
      <c r="B3826" s="6" t="s">
        <v>90</v>
      </c>
      <c r="C3826" s="6" t="s">
        <v>198</v>
      </c>
      <c r="D3826" s="6">
        <v>9.533250000000001</v>
      </c>
      <c r="E3826" s="6" t="s">
        <v>90</v>
      </c>
      <c r="F3826" s="6" t="s">
        <v>58</v>
      </c>
      <c r="G3826" s="7">
        <v>77672.91374469569</v>
      </c>
      <c r="H3826" s="6">
        <v>740475.3049566202</v>
      </c>
      <c r="I3826" s="6" t="s">
        <v>180</v>
      </c>
      <c r="J3826" s="15">
        <v>18.12778537638943</v>
      </c>
    </row>
    <row r="3827" spans="1:10">
      <c r="A3827" s="6" t="s">
        <v>143</v>
      </c>
      <c r="B3827" s="6" t="s">
        <v>90</v>
      </c>
      <c r="C3827" s="6" t="s">
        <v>199</v>
      </c>
      <c r="D3827" s="6">
        <v>29.24225</v>
      </c>
      <c r="E3827" s="6" t="s">
        <v>90</v>
      </c>
      <c r="F3827" s="6" t="s">
        <v>57</v>
      </c>
      <c r="G3827" s="7">
        <v>56186.72410453543</v>
      </c>
      <c r="H3827" s="6">
        <v>1643026.232945851</v>
      </c>
      <c r="I3827" s="6" t="s">
        <v>179</v>
      </c>
      <c r="J3827" s="15">
        <v>8.999964910367698</v>
      </c>
    </row>
    <row r="3828" spans="1:10">
      <c r="A3828" s="6" t="s">
        <v>143</v>
      </c>
      <c r="B3828" s="6" t="s">
        <v>90</v>
      </c>
      <c r="C3828" s="6" t="s">
        <v>337</v>
      </c>
      <c r="D3828" s="6">
        <v>7.947416666666666</v>
      </c>
      <c r="E3828" s="6" t="s">
        <v>90</v>
      </c>
      <c r="F3828" s="6" t="s">
        <v>52</v>
      </c>
      <c r="G3828" s="7">
        <v>59918.03179942394</v>
      </c>
      <c r="H3828" s="6">
        <v>476193.5645566051</v>
      </c>
      <c r="I3828" s="6" t="s">
        <v>180</v>
      </c>
      <c r="J3828" s="15">
        <v>12.43871031134531</v>
      </c>
    </row>
    <row r="3829" spans="1:10">
      <c r="A3829" s="6" t="s">
        <v>143</v>
      </c>
      <c r="B3829" s="6" t="s">
        <v>90</v>
      </c>
      <c r="C3829" s="6" t="s">
        <v>200</v>
      </c>
      <c r="D3829" s="6">
        <v>4.313666666666667</v>
      </c>
      <c r="E3829" s="6" t="s">
        <v>90</v>
      </c>
      <c r="F3829" s="6" t="s">
        <v>52</v>
      </c>
      <c r="G3829" s="7">
        <v>59918.03179942394</v>
      </c>
      <c r="H3829" s="6">
        <v>258466.4165054484</v>
      </c>
      <c r="I3829" s="6" t="s">
        <v>180</v>
      </c>
      <c r="J3829" s="15">
        <v>12.43871031134531</v>
      </c>
    </row>
    <row r="3830" spans="1:10">
      <c r="A3830" s="6" t="s">
        <v>143</v>
      </c>
      <c r="B3830" s="6" t="s">
        <v>90</v>
      </c>
      <c r="C3830" s="6" t="s">
        <v>201</v>
      </c>
      <c r="D3830" s="6">
        <v>22.69891666666667</v>
      </c>
      <c r="E3830" s="6" t="s">
        <v>90</v>
      </c>
      <c r="F3830" s="6" t="s">
        <v>56</v>
      </c>
      <c r="G3830" s="7">
        <v>47784.13759688608</v>
      </c>
      <c r="H3830" s="6">
        <v>1084648.157300251</v>
      </c>
      <c r="I3830" s="6" t="s">
        <v>180</v>
      </c>
      <c r="J3830" s="15">
        <v>8.550729801966316</v>
      </c>
    </row>
    <row r="3831" spans="1:10">
      <c r="A3831" s="6" t="s">
        <v>143</v>
      </c>
      <c r="B3831" s="6" t="s">
        <v>90</v>
      </c>
      <c r="C3831" s="6" t="s">
        <v>202</v>
      </c>
      <c r="D3831" s="6">
        <v>247.3185833333333</v>
      </c>
      <c r="E3831" s="6" t="s">
        <v>90</v>
      </c>
      <c r="F3831" s="6" t="s">
        <v>54</v>
      </c>
      <c r="G3831" s="7">
        <v>97561.06954083586</v>
      </c>
      <c r="H3831" s="6">
        <v>24128665.50732434</v>
      </c>
      <c r="I3831" s="6" t="s">
        <v>179</v>
      </c>
      <c r="J3831" s="15">
        <v>17.88099969416268</v>
      </c>
    </row>
    <row r="3832" spans="1:10">
      <c r="A3832" s="6" t="s">
        <v>143</v>
      </c>
      <c r="B3832" s="6" t="s">
        <v>90</v>
      </c>
      <c r="C3832" s="6" t="s">
        <v>203</v>
      </c>
      <c r="D3832" s="6">
        <v>164.3901666666667</v>
      </c>
      <c r="E3832" s="6" t="s">
        <v>90</v>
      </c>
      <c r="F3832" s="6" t="s">
        <v>53</v>
      </c>
      <c r="G3832" s="7">
        <v>17844.00974373058</v>
      </c>
      <c r="H3832" s="6">
        <v>2933379.735773494</v>
      </c>
      <c r="I3832" s="6" t="s">
        <v>179</v>
      </c>
      <c r="J3832" s="15">
        <v>12</v>
      </c>
    </row>
    <row r="3833" spans="1:10">
      <c r="A3833" s="6" t="s">
        <v>143</v>
      </c>
      <c r="B3833" s="6" t="s">
        <v>90</v>
      </c>
      <c r="C3833" s="6" t="s">
        <v>204</v>
      </c>
      <c r="D3833" s="6">
        <v>807.5968333333334</v>
      </c>
      <c r="E3833" s="6" t="s">
        <v>90</v>
      </c>
      <c r="F3833" s="6" t="s">
        <v>51</v>
      </c>
      <c r="G3833" s="7">
        <v>48521.48309148364</v>
      </c>
      <c r="H3833" s="6">
        <v>39185796.09331907</v>
      </c>
      <c r="I3833" s="6" t="s">
        <v>179</v>
      </c>
      <c r="J3833" s="15">
        <v>44.48333333333333</v>
      </c>
    </row>
    <row r="3834" spans="1:10">
      <c r="A3834" s="6" t="s">
        <v>143</v>
      </c>
      <c r="B3834" s="6" t="s">
        <v>90</v>
      </c>
      <c r="C3834" s="6" t="s">
        <v>338</v>
      </c>
      <c r="D3834" s="6">
        <v>0.0795</v>
      </c>
      <c r="E3834" s="6" t="s">
        <v>90</v>
      </c>
      <c r="F3834" s="6" t="s">
        <v>52</v>
      </c>
      <c r="G3834" s="7">
        <v>59918.03179942394</v>
      </c>
      <c r="H3834" s="6">
        <v>4763.483528054203</v>
      </c>
      <c r="I3834" s="6" t="s">
        <v>180</v>
      </c>
      <c r="J3834" s="15">
        <v>12.43871031134531</v>
      </c>
    </row>
    <row r="3835" spans="1:10">
      <c r="A3835" s="6" t="s">
        <v>143</v>
      </c>
      <c r="B3835" s="6" t="s">
        <v>90</v>
      </c>
      <c r="C3835" s="6" t="s">
        <v>339</v>
      </c>
      <c r="D3835" s="6">
        <v>0.057</v>
      </c>
      <c r="E3835" s="6" t="s">
        <v>90</v>
      </c>
      <c r="F3835" s="6" t="s">
        <v>52</v>
      </c>
      <c r="G3835" s="7">
        <v>59918.03179942394</v>
      </c>
      <c r="H3835" s="6">
        <v>3415.327812567164</v>
      </c>
      <c r="I3835" s="6" t="s">
        <v>180</v>
      </c>
      <c r="J3835" s="15">
        <v>12.43871031134531</v>
      </c>
    </row>
    <row r="3836" spans="1:10">
      <c r="A3836" s="6" t="s">
        <v>143</v>
      </c>
      <c r="B3836" s="6" t="s">
        <v>90</v>
      </c>
      <c r="C3836" s="6" t="s">
        <v>205</v>
      </c>
      <c r="D3836" s="6">
        <v>56.71291666666667</v>
      </c>
      <c r="E3836" s="6" t="s">
        <v>90</v>
      </c>
      <c r="F3836" s="6" t="s">
        <v>56</v>
      </c>
      <c r="G3836" s="7">
        <v>54785.63728382858</v>
      </c>
      <c r="H3836" s="6">
        <v>3107053.281807997</v>
      </c>
      <c r="I3836" s="6" t="s">
        <v>180</v>
      </c>
      <c r="J3836" s="15">
        <v>10.79417233285323</v>
      </c>
    </row>
    <row r="3837" spans="1:10">
      <c r="A3837" s="6" t="s">
        <v>143</v>
      </c>
      <c r="B3837" s="6" t="s">
        <v>90</v>
      </c>
      <c r="C3837" s="6" t="s">
        <v>206</v>
      </c>
      <c r="D3837" s="6">
        <v>6.849416666666666</v>
      </c>
      <c r="E3837" s="6" t="s">
        <v>90</v>
      </c>
      <c r="F3837" s="6" t="s">
        <v>55</v>
      </c>
      <c r="G3837" s="7">
        <v>60123.96801866899</v>
      </c>
      <c r="H3837" s="6">
        <v>411814.108613205</v>
      </c>
      <c r="I3837" s="6" t="s">
        <v>180</v>
      </c>
      <c r="J3837" s="15">
        <v>12.5046970418405</v>
      </c>
    </row>
    <row r="3838" spans="1:10">
      <c r="A3838" s="6" t="s">
        <v>143</v>
      </c>
      <c r="B3838" s="6" t="s">
        <v>92</v>
      </c>
      <c r="C3838" s="6" t="s">
        <v>340</v>
      </c>
      <c r="D3838" s="6">
        <v>24.34158333333333</v>
      </c>
      <c r="E3838" s="6" t="s">
        <v>90</v>
      </c>
      <c r="F3838" s="6" t="s">
        <v>52</v>
      </c>
      <c r="G3838" s="7">
        <v>30591.57365130842</v>
      </c>
      <c r="H3838" s="6">
        <v>744647.3393311281</v>
      </c>
      <c r="I3838" s="6" t="s">
        <v>180</v>
      </c>
      <c r="J3838" s="15">
        <v>4.69377687961323</v>
      </c>
    </row>
    <row r="3839" spans="1:10">
      <c r="A3839" s="6" t="s">
        <v>143</v>
      </c>
      <c r="B3839" s="6" t="s">
        <v>90</v>
      </c>
      <c r="C3839" s="6" t="s">
        <v>207</v>
      </c>
      <c r="D3839" s="6">
        <v>0.2111666666666667</v>
      </c>
      <c r="E3839" s="6" t="s">
        <v>90</v>
      </c>
      <c r="F3839" s="6" t="s">
        <v>55</v>
      </c>
      <c r="G3839" s="7">
        <v>51379.92992151718</v>
      </c>
      <c r="H3839" s="6">
        <v>10849.72853509371</v>
      </c>
      <c r="I3839" s="6" t="s">
        <v>180</v>
      </c>
      <c r="J3839" s="15">
        <v>46</v>
      </c>
    </row>
    <row r="3840" spans="1:10">
      <c r="A3840" s="6" t="s">
        <v>143</v>
      </c>
      <c r="B3840" s="6" t="s">
        <v>90</v>
      </c>
      <c r="C3840" s="6" t="s">
        <v>208</v>
      </c>
      <c r="D3840" s="6">
        <v>3.447083333333333</v>
      </c>
      <c r="E3840" s="6" t="s">
        <v>90</v>
      </c>
      <c r="F3840" s="6" t="s">
        <v>51</v>
      </c>
      <c r="G3840" s="7">
        <v>50863.64364522683</v>
      </c>
      <c r="H3840" s="6">
        <v>175331.2182820673</v>
      </c>
      <c r="I3840" s="6" t="s">
        <v>180</v>
      </c>
      <c r="J3840" s="15">
        <v>49.81666666666667</v>
      </c>
    </row>
    <row r="3841" spans="1:10">
      <c r="A3841" s="6" t="s">
        <v>143</v>
      </c>
      <c r="B3841" s="6" t="s">
        <v>90</v>
      </c>
      <c r="C3841" s="6" t="s">
        <v>209</v>
      </c>
      <c r="D3841" s="6">
        <v>0.2245833333333333</v>
      </c>
      <c r="E3841" s="6" t="s">
        <v>90</v>
      </c>
      <c r="F3841" s="6" t="s">
        <v>57</v>
      </c>
      <c r="G3841" s="7">
        <v>49159.54940532756</v>
      </c>
      <c r="H3841" s="6">
        <v>11040.41547061315</v>
      </c>
      <c r="I3841" s="6" t="s">
        <v>180</v>
      </c>
      <c r="J3841" s="15">
        <v>8.991443575659162</v>
      </c>
    </row>
    <row r="3842" spans="1:10">
      <c r="A3842" s="6" t="s">
        <v>143</v>
      </c>
      <c r="B3842" s="6" t="s">
        <v>90</v>
      </c>
      <c r="C3842" s="6" t="s">
        <v>210</v>
      </c>
      <c r="D3842" s="6">
        <v>0.1821666666666667</v>
      </c>
      <c r="E3842" s="6" t="s">
        <v>90</v>
      </c>
      <c r="F3842" s="6" t="s">
        <v>53</v>
      </c>
      <c r="G3842" s="7">
        <v>33962.09735450833</v>
      </c>
      <c r="H3842" s="6">
        <v>6186.762068079602</v>
      </c>
      <c r="I3842" s="6" t="s">
        <v>180</v>
      </c>
      <c r="J3842" s="15">
        <v>12</v>
      </c>
    </row>
    <row r="3843" spans="1:10">
      <c r="A3843" s="6" t="s">
        <v>143</v>
      </c>
      <c r="B3843" s="6" t="s">
        <v>90</v>
      </c>
      <c r="C3843" s="6" t="s">
        <v>211</v>
      </c>
      <c r="D3843" s="6">
        <v>216.113</v>
      </c>
      <c r="E3843" s="6" t="s">
        <v>90</v>
      </c>
      <c r="F3843" s="6" t="s">
        <v>55</v>
      </c>
      <c r="G3843" s="7">
        <v>46692.76242695332</v>
      </c>
      <c r="H3843" s="6">
        <v>10090912.96637616</v>
      </c>
      <c r="I3843" s="6" t="s">
        <v>179</v>
      </c>
      <c r="J3843" s="15">
        <v>27.95</v>
      </c>
    </row>
    <row r="3844" spans="1:10">
      <c r="A3844" s="6" t="s">
        <v>143</v>
      </c>
      <c r="B3844" s="6" t="s">
        <v>90</v>
      </c>
      <c r="C3844" s="6" t="s">
        <v>212</v>
      </c>
      <c r="D3844" s="6">
        <v>28.14533333333333</v>
      </c>
      <c r="E3844" s="6" t="s">
        <v>90</v>
      </c>
      <c r="F3844" s="6" t="s">
        <v>55</v>
      </c>
      <c r="G3844" s="7">
        <v>50564.67204652241</v>
      </c>
      <c r="H3844" s="6">
        <v>1423159.549640055</v>
      </c>
      <c r="I3844" s="6" t="s">
        <v>179</v>
      </c>
      <c r="J3844" s="15">
        <v>30.11666666666667</v>
      </c>
    </row>
    <row r="3845" spans="1:10">
      <c r="A3845" s="6" t="s">
        <v>143</v>
      </c>
      <c r="B3845" s="6" t="s">
        <v>90</v>
      </c>
      <c r="C3845" s="6" t="s">
        <v>213</v>
      </c>
      <c r="D3845" s="6">
        <v>1.30775</v>
      </c>
      <c r="E3845" s="6" t="s">
        <v>90</v>
      </c>
      <c r="F3845" s="6" t="s">
        <v>52</v>
      </c>
      <c r="G3845" s="7">
        <v>87922.06742521108</v>
      </c>
      <c r="H3845" s="6">
        <v>114980.0836753198</v>
      </c>
      <c r="I3845" s="6" t="s">
        <v>179</v>
      </c>
      <c r="J3845" s="15">
        <v>49.5</v>
      </c>
    </row>
    <row r="3846" spans="1:10">
      <c r="A3846" s="6" t="s">
        <v>143</v>
      </c>
      <c r="B3846" s="6" t="s">
        <v>90</v>
      </c>
      <c r="C3846" s="6" t="s">
        <v>214</v>
      </c>
      <c r="D3846" s="6">
        <v>0.4549166666666666</v>
      </c>
      <c r="E3846" s="6" t="s">
        <v>90</v>
      </c>
      <c r="F3846" s="6" t="s">
        <v>53</v>
      </c>
      <c r="G3846" s="7">
        <v>29230.07315219457</v>
      </c>
      <c r="H3846" s="6">
        <v>13297.24744481918</v>
      </c>
      <c r="I3846" s="6" t="s">
        <v>179</v>
      </c>
      <c r="J3846" s="15">
        <v>27</v>
      </c>
    </row>
    <row r="3847" spans="1:10">
      <c r="A3847" s="6" t="s">
        <v>143</v>
      </c>
      <c r="B3847" s="6" t="s">
        <v>90</v>
      </c>
      <c r="C3847" s="6" t="s">
        <v>215</v>
      </c>
      <c r="D3847" s="6">
        <v>91.66666666666666</v>
      </c>
      <c r="E3847" s="6" t="s">
        <v>90</v>
      </c>
      <c r="F3847" s="6" t="s">
        <v>54</v>
      </c>
      <c r="G3847" s="7">
        <v>98451.26614065717</v>
      </c>
      <c r="H3847" s="6">
        <v>9024699.396226907</v>
      </c>
      <c r="I3847" s="6" t="s">
        <v>179</v>
      </c>
      <c r="J3847" s="15">
        <v>57.11666666666667</v>
      </c>
    </row>
    <row r="3848" spans="1:10">
      <c r="A3848" s="6" t="s">
        <v>143</v>
      </c>
      <c r="B3848" s="6" t="s">
        <v>90</v>
      </c>
      <c r="C3848" s="6" t="s">
        <v>216</v>
      </c>
      <c r="D3848" s="6">
        <v>1.65375</v>
      </c>
      <c r="E3848" s="6" t="s">
        <v>90</v>
      </c>
      <c r="F3848" s="6" t="s">
        <v>55</v>
      </c>
      <c r="G3848" s="7">
        <v>59347.09149684771</v>
      </c>
      <c r="H3848" s="6">
        <v>98145.2525629119</v>
      </c>
      <c r="I3848" s="6" t="s">
        <v>179</v>
      </c>
      <c r="J3848" s="15">
        <v>8.461003645555749</v>
      </c>
    </row>
    <row r="3849" spans="1:10">
      <c r="A3849" s="6" t="s">
        <v>143</v>
      </c>
      <c r="B3849" s="6" t="s">
        <v>90</v>
      </c>
      <c r="C3849" s="6" t="s">
        <v>341</v>
      </c>
      <c r="D3849" s="6">
        <v>0.271</v>
      </c>
      <c r="E3849" s="6" t="s">
        <v>90</v>
      </c>
      <c r="F3849" s="6" t="s">
        <v>52</v>
      </c>
      <c r="G3849" s="7">
        <v>59918.03179942394</v>
      </c>
      <c r="H3849" s="6">
        <v>16237.78661764389</v>
      </c>
      <c r="I3849" s="6" t="s">
        <v>180</v>
      </c>
      <c r="J3849" s="15">
        <v>12.43871031134531</v>
      </c>
    </row>
    <row r="3850" spans="1:10">
      <c r="A3850" s="6" t="s">
        <v>143</v>
      </c>
      <c r="B3850" s="6" t="s">
        <v>90</v>
      </c>
      <c r="C3850" s="6" t="s">
        <v>217</v>
      </c>
      <c r="D3850" s="6">
        <v>16.21591666666667</v>
      </c>
      <c r="E3850" s="6" t="s">
        <v>90</v>
      </c>
      <c r="F3850" s="6" t="s">
        <v>53</v>
      </c>
      <c r="G3850" s="7">
        <v>29595.99008532836</v>
      </c>
      <c r="H3850" s="6">
        <v>479926.1088911776</v>
      </c>
      <c r="I3850" s="6" t="s">
        <v>179</v>
      </c>
      <c r="J3850" s="15">
        <v>15</v>
      </c>
    </row>
    <row r="3851" spans="1:10">
      <c r="A3851" s="6" t="s">
        <v>143</v>
      </c>
      <c r="B3851" s="6" t="s">
        <v>90</v>
      </c>
      <c r="C3851" s="6" t="s">
        <v>218</v>
      </c>
      <c r="D3851" s="6">
        <v>0.4558333333333334</v>
      </c>
      <c r="E3851" s="6" t="s">
        <v>90</v>
      </c>
      <c r="F3851" s="6" t="s">
        <v>54</v>
      </c>
      <c r="G3851" s="7">
        <v>55803.8509311504</v>
      </c>
      <c r="H3851" s="6">
        <v>25437.25538278273</v>
      </c>
      <c r="I3851" s="6" t="s">
        <v>180</v>
      </c>
      <c r="J3851" s="15">
        <v>11.12043154931672</v>
      </c>
    </row>
    <row r="3852" spans="1:10">
      <c r="A3852" s="6" t="s">
        <v>143</v>
      </c>
      <c r="B3852" s="6" t="s">
        <v>90</v>
      </c>
      <c r="C3852" s="6" t="s">
        <v>219</v>
      </c>
      <c r="D3852" s="6">
        <v>43.862</v>
      </c>
      <c r="E3852" s="6" t="s">
        <v>90</v>
      </c>
      <c r="F3852" s="6" t="s">
        <v>51</v>
      </c>
      <c r="G3852" s="7">
        <v>51094.03428788485</v>
      </c>
      <c r="H3852" s="6">
        <v>2241086.531935205</v>
      </c>
      <c r="I3852" s="6" t="s">
        <v>180</v>
      </c>
      <c r="J3852" s="15">
        <v>34</v>
      </c>
    </row>
    <row r="3853" spans="1:10">
      <c r="A3853" s="6" t="s">
        <v>143</v>
      </c>
      <c r="B3853" s="6" t="s">
        <v>90</v>
      </c>
      <c r="C3853" s="6" t="s">
        <v>220</v>
      </c>
      <c r="D3853" s="6">
        <v>1.19925</v>
      </c>
      <c r="E3853" s="6" t="s">
        <v>90</v>
      </c>
      <c r="F3853" s="6" t="s">
        <v>57</v>
      </c>
      <c r="G3853" s="7">
        <v>53924.04503825644</v>
      </c>
      <c r="H3853" s="6">
        <v>64668.41101212903</v>
      </c>
      <c r="I3853" s="6" t="s">
        <v>179</v>
      </c>
      <c r="J3853" s="15">
        <v>7.538540506713255</v>
      </c>
    </row>
    <row r="3854" spans="1:10">
      <c r="A3854" s="6" t="s">
        <v>143</v>
      </c>
      <c r="B3854" s="6" t="s">
        <v>90</v>
      </c>
      <c r="C3854" s="6" t="s">
        <v>221</v>
      </c>
      <c r="D3854" s="6">
        <v>13.44641666666667</v>
      </c>
      <c r="E3854" s="6" t="s">
        <v>90</v>
      </c>
      <c r="F3854" s="6" t="s">
        <v>51</v>
      </c>
      <c r="G3854" s="7">
        <v>48425.8383555996</v>
      </c>
      <c r="H3854" s="6">
        <v>651153.9999620403</v>
      </c>
      <c r="I3854" s="6" t="s">
        <v>180</v>
      </c>
      <c r="J3854" s="15">
        <v>8.756345575524822</v>
      </c>
    </row>
    <row r="3855" spans="1:10">
      <c r="A3855" s="6" t="s">
        <v>143</v>
      </c>
      <c r="B3855" s="6" t="s">
        <v>90</v>
      </c>
      <c r="C3855" s="6" t="s">
        <v>222</v>
      </c>
      <c r="D3855" s="6">
        <v>0.1701666666666667</v>
      </c>
      <c r="E3855" s="6" t="s">
        <v>90</v>
      </c>
      <c r="F3855" s="6" t="s">
        <v>57</v>
      </c>
      <c r="G3855" s="7">
        <v>48262.84075043558</v>
      </c>
      <c r="H3855" s="6">
        <v>8212.726734365788</v>
      </c>
      <c r="I3855" s="6" t="s">
        <v>180</v>
      </c>
      <c r="J3855" s="15">
        <v>8.704117370681843</v>
      </c>
    </row>
    <row r="3856" spans="1:10">
      <c r="A3856" s="6" t="s">
        <v>143</v>
      </c>
      <c r="B3856" s="6" t="s">
        <v>90</v>
      </c>
      <c r="C3856" s="6" t="s">
        <v>342</v>
      </c>
      <c r="D3856" s="6">
        <v>9.646749999999999</v>
      </c>
      <c r="E3856" s="6" t="s">
        <v>90</v>
      </c>
      <c r="F3856" s="6" t="s">
        <v>53</v>
      </c>
      <c r="G3856" s="7">
        <v>31674.534542392</v>
      </c>
      <c r="H3856" s="6">
        <v>305556.3160968201</v>
      </c>
      <c r="I3856" s="6" t="s">
        <v>179</v>
      </c>
      <c r="J3856" s="15">
        <v>16</v>
      </c>
    </row>
    <row r="3857" spans="1:10">
      <c r="A3857" s="6" t="s">
        <v>143</v>
      </c>
      <c r="B3857" s="6" t="s">
        <v>90</v>
      </c>
      <c r="C3857" s="6" t="s">
        <v>223</v>
      </c>
      <c r="D3857" s="6">
        <v>35.832</v>
      </c>
      <c r="E3857" s="6" t="s">
        <v>90</v>
      </c>
      <c r="F3857" s="6" t="s">
        <v>53</v>
      </c>
      <c r="G3857" s="7">
        <v>25083.95562381905</v>
      </c>
      <c r="H3857" s="6">
        <v>898808.2979126842</v>
      </c>
      <c r="I3857" s="6" t="s">
        <v>179</v>
      </c>
      <c r="J3857" s="15">
        <v>13.5</v>
      </c>
    </row>
    <row r="3858" spans="1:10">
      <c r="A3858" s="6" t="s">
        <v>143</v>
      </c>
      <c r="B3858" s="6" t="s">
        <v>90</v>
      </c>
      <c r="C3858" s="6" t="s">
        <v>224</v>
      </c>
      <c r="D3858" s="6">
        <v>214.5294166666667</v>
      </c>
      <c r="E3858" s="6" t="s">
        <v>90</v>
      </c>
      <c r="F3858" s="6" t="s">
        <v>51</v>
      </c>
      <c r="G3858" s="7">
        <v>42799.40931898241</v>
      </c>
      <c r="H3858" s="6">
        <v>9181732.314879194</v>
      </c>
      <c r="I3858" s="6" t="s">
        <v>179</v>
      </c>
      <c r="J3858" s="15">
        <v>35.01666666666667</v>
      </c>
    </row>
    <row r="3859" spans="1:10">
      <c r="A3859" s="6" t="s">
        <v>143</v>
      </c>
      <c r="B3859" s="6" t="s">
        <v>90</v>
      </c>
      <c r="C3859" s="6" t="s">
        <v>225</v>
      </c>
      <c r="D3859" s="6">
        <v>0.0025</v>
      </c>
      <c r="E3859" s="6" t="s">
        <v>90</v>
      </c>
      <c r="F3859" s="6" t="s">
        <v>54</v>
      </c>
      <c r="G3859" s="7">
        <v>60801.11682439398</v>
      </c>
      <c r="H3859" s="6">
        <v>152.002792060985</v>
      </c>
      <c r="I3859" s="6" t="s">
        <v>180</v>
      </c>
      <c r="J3859" s="15">
        <v>12.72167119001276</v>
      </c>
    </row>
    <row r="3860" spans="1:10">
      <c r="A3860" s="6" t="s">
        <v>143</v>
      </c>
      <c r="B3860" s="6" t="s">
        <v>90</v>
      </c>
      <c r="C3860" s="6" t="s">
        <v>226</v>
      </c>
      <c r="D3860" s="6">
        <v>77.57266666666666</v>
      </c>
      <c r="E3860" s="6" t="s">
        <v>90</v>
      </c>
      <c r="F3860" s="6" t="s">
        <v>56</v>
      </c>
      <c r="G3860" s="7">
        <v>63445.86444387945</v>
      </c>
      <c r="H3860" s="6">
        <v>4921664.893883579</v>
      </c>
      <c r="I3860" s="6" t="s">
        <v>180</v>
      </c>
      <c r="J3860" s="15">
        <v>13.56910953298392</v>
      </c>
    </row>
    <row r="3861" spans="1:10">
      <c r="A3861" s="6" t="s">
        <v>143</v>
      </c>
      <c r="B3861" s="6" t="s">
        <v>90</v>
      </c>
      <c r="C3861" s="6" t="s">
        <v>344</v>
      </c>
      <c r="D3861" s="6">
        <v>2.162166666666667</v>
      </c>
      <c r="E3861" s="6" t="s">
        <v>90</v>
      </c>
      <c r="F3861" s="6" t="s">
        <v>52</v>
      </c>
      <c r="G3861" s="7">
        <v>59918.03179942394</v>
      </c>
      <c r="H3861" s="6">
        <v>129552.7710889878</v>
      </c>
      <c r="I3861" s="6" t="s">
        <v>180</v>
      </c>
      <c r="J3861" s="15">
        <v>12.43871031134531</v>
      </c>
    </row>
    <row r="3862" spans="1:10">
      <c r="A3862" s="6" t="s">
        <v>143</v>
      </c>
      <c r="B3862" s="6" t="s">
        <v>90</v>
      </c>
      <c r="C3862" s="6" t="s">
        <v>345</v>
      </c>
      <c r="D3862" s="6">
        <v>8.835416666666665</v>
      </c>
      <c r="E3862" s="6" t="s">
        <v>90</v>
      </c>
      <c r="F3862" s="6" t="s">
        <v>53</v>
      </c>
      <c r="G3862" s="7">
        <v>31666.61853090228</v>
      </c>
      <c r="H3862" s="6">
        <v>279787.7691449095</v>
      </c>
      <c r="I3862" s="6" t="s">
        <v>180</v>
      </c>
      <c r="J3862" s="15">
        <v>3.386303695878892</v>
      </c>
    </row>
    <row r="3863" spans="1:10">
      <c r="A3863" s="6" t="s">
        <v>143</v>
      </c>
      <c r="B3863" s="6" t="s">
        <v>90</v>
      </c>
      <c r="C3863" s="6" t="s">
        <v>227</v>
      </c>
      <c r="D3863" s="6">
        <v>19.96566666666666</v>
      </c>
      <c r="E3863" s="6" t="s">
        <v>90</v>
      </c>
      <c r="F3863" s="6" t="s">
        <v>57</v>
      </c>
      <c r="G3863" s="7">
        <v>55105.68966338142</v>
      </c>
      <c r="H3863" s="6">
        <v>1100221.831255852</v>
      </c>
      <c r="I3863" s="6" t="s">
        <v>179</v>
      </c>
      <c r="J3863" s="15">
        <v>105.6833333333333</v>
      </c>
    </row>
    <row r="3864" spans="1:10">
      <c r="A3864" s="6" t="s">
        <v>143</v>
      </c>
      <c r="B3864" s="6" t="s">
        <v>90</v>
      </c>
      <c r="C3864" s="6" t="s">
        <v>228</v>
      </c>
      <c r="D3864" s="6">
        <v>25.45341666666667</v>
      </c>
      <c r="E3864" s="6" t="s">
        <v>90</v>
      </c>
      <c r="F3864" s="6" t="s">
        <v>51</v>
      </c>
      <c r="G3864" s="7">
        <v>55221.41986499156</v>
      </c>
      <c r="H3864" s="6">
        <v>1405573.808748574</v>
      </c>
      <c r="I3864" s="6" t="s">
        <v>180</v>
      </c>
      <c r="J3864" s="15">
        <v>10.933807156893</v>
      </c>
    </row>
    <row r="3865" spans="1:10">
      <c r="A3865" s="6" t="s">
        <v>143</v>
      </c>
      <c r="B3865" s="6" t="s">
        <v>90</v>
      </c>
      <c r="C3865" s="6" t="s">
        <v>229</v>
      </c>
      <c r="D3865" s="6">
        <v>11.99041666666667</v>
      </c>
      <c r="E3865" s="6" t="s">
        <v>90</v>
      </c>
      <c r="F3865" s="6" t="s">
        <v>53</v>
      </c>
      <c r="G3865" s="7">
        <v>33699.99337319762</v>
      </c>
      <c r="H3865" s="6">
        <v>404076.962208545</v>
      </c>
      <c r="I3865" s="6" t="s">
        <v>180</v>
      </c>
      <c r="J3865" s="15">
        <v>4.037844052432551</v>
      </c>
    </row>
    <row r="3866" spans="1:10">
      <c r="A3866" s="6" t="s">
        <v>143</v>
      </c>
      <c r="B3866" s="6" t="s">
        <v>90</v>
      </c>
      <c r="C3866" s="6" t="s">
        <v>367</v>
      </c>
      <c r="D3866" s="6">
        <v>1.402083333333333</v>
      </c>
      <c r="E3866" s="6" t="s">
        <v>90</v>
      </c>
      <c r="F3866" s="6" t="s">
        <v>55</v>
      </c>
      <c r="G3866" s="7">
        <v>58813.07473894906</v>
      </c>
      <c r="H3866" s="6">
        <v>82460.83187356817</v>
      </c>
      <c r="I3866" s="6" t="s">
        <v>180</v>
      </c>
      <c r="J3866" s="15">
        <v>12.08465649786073</v>
      </c>
    </row>
    <row r="3867" spans="1:10">
      <c r="A3867" s="6" t="s">
        <v>143</v>
      </c>
      <c r="B3867" s="6" t="s">
        <v>90</v>
      </c>
      <c r="C3867" s="6" t="s">
        <v>230</v>
      </c>
      <c r="D3867" s="6">
        <v>27.72475</v>
      </c>
      <c r="E3867" s="6" t="s">
        <v>90</v>
      </c>
      <c r="F3867" s="6" t="s">
        <v>53</v>
      </c>
      <c r="G3867" s="7">
        <v>26357.64880300622</v>
      </c>
      <c r="H3867" s="6">
        <v>730759.2236511466</v>
      </c>
      <c r="I3867" s="6" t="s">
        <v>179</v>
      </c>
      <c r="J3867" s="15">
        <v>20</v>
      </c>
    </row>
    <row r="3868" spans="1:10">
      <c r="A3868" s="6" t="s">
        <v>143</v>
      </c>
      <c r="B3868" s="6" t="s">
        <v>90</v>
      </c>
      <c r="C3868" s="6" t="s">
        <v>378</v>
      </c>
      <c r="D3868" s="6">
        <v>2.450333333333333</v>
      </c>
      <c r="E3868" s="6" t="s">
        <v>90</v>
      </c>
      <c r="F3868" s="6" t="s">
        <v>51</v>
      </c>
      <c r="G3868" s="7">
        <v>53573.36913713455</v>
      </c>
      <c r="H3868" s="6">
        <v>131272.612175692</v>
      </c>
      <c r="I3868" s="6" t="s">
        <v>180</v>
      </c>
      <c r="J3868" s="15">
        <v>10.40573356391279</v>
      </c>
    </row>
    <row r="3869" spans="1:10">
      <c r="A3869" s="6" t="s">
        <v>143</v>
      </c>
      <c r="B3869" s="6" t="s">
        <v>90</v>
      </c>
      <c r="C3869" s="6" t="s">
        <v>231</v>
      </c>
      <c r="D3869" s="6">
        <v>0.07516666666666667</v>
      </c>
      <c r="E3869" s="6" t="s">
        <v>90</v>
      </c>
      <c r="F3869" s="6" t="s">
        <v>52</v>
      </c>
      <c r="G3869" s="7">
        <v>82232.89172108902</v>
      </c>
      <c r="H3869" s="6">
        <v>6181.172361035192</v>
      </c>
      <c r="I3869" s="6" t="s">
        <v>179</v>
      </c>
      <c r="J3869" s="15">
        <v>52</v>
      </c>
    </row>
    <row r="3870" spans="1:10">
      <c r="A3870" s="6" t="s">
        <v>143</v>
      </c>
      <c r="B3870" s="6" t="s">
        <v>90</v>
      </c>
      <c r="C3870" s="6" t="s">
        <v>346</v>
      </c>
      <c r="D3870" s="6">
        <v>0.08033333333333333</v>
      </c>
      <c r="E3870" s="6" t="s">
        <v>90</v>
      </c>
      <c r="F3870" s="6" t="s">
        <v>52</v>
      </c>
      <c r="G3870" s="7">
        <v>91163.5527628312</v>
      </c>
      <c r="H3870" s="6">
        <v>7323.472071947439</v>
      </c>
      <c r="I3870" s="6" t="s">
        <v>179</v>
      </c>
      <c r="J3870" s="15">
        <v>48.5</v>
      </c>
    </row>
    <row r="3871" spans="1:10">
      <c r="A3871" s="6" t="s">
        <v>143</v>
      </c>
      <c r="B3871" s="6" t="s">
        <v>90</v>
      </c>
      <c r="C3871" s="6" t="s">
        <v>232</v>
      </c>
      <c r="D3871" s="6">
        <v>5.913</v>
      </c>
      <c r="E3871" s="6" t="s">
        <v>90</v>
      </c>
      <c r="F3871" s="6" t="s">
        <v>51</v>
      </c>
      <c r="G3871" s="7">
        <v>49666.97485574454</v>
      </c>
      <c r="H3871" s="6">
        <v>293680.8223220175</v>
      </c>
      <c r="I3871" s="6" t="s">
        <v>180</v>
      </c>
      <c r="J3871" s="15">
        <v>9.154034432992617</v>
      </c>
    </row>
    <row r="3872" spans="1:10">
      <c r="A3872" s="6" t="s">
        <v>143</v>
      </c>
      <c r="B3872" s="6" t="s">
        <v>90</v>
      </c>
      <c r="C3872" s="6" t="s">
        <v>233</v>
      </c>
      <c r="D3872" s="6">
        <v>15.01383333333333</v>
      </c>
      <c r="E3872" s="6" t="s">
        <v>90</v>
      </c>
      <c r="F3872" s="6" t="s">
        <v>59</v>
      </c>
      <c r="G3872" s="7">
        <v>45010.3800065543</v>
      </c>
      <c r="H3872" s="6">
        <v>675778.3436884051</v>
      </c>
      <c r="I3872" s="6" t="s">
        <v>179</v>
      </c>
      <c r="J3872" s="15">
        <v>30.75</v>
      </c>
    </row>
    <row r="3873" spans="1:10">
      <c r="A3873" s="6" t="s">
        <v>143</v>
      </c>
      <c r="B3873" s="6" t="s">
        <v>86</v>
      </c>
      <c r="C3873" s="6" t="s">
        <v>234</v>
      </c>
      <c r="D3873" s="6">
        <v>64.4825</v>
      </c>
      <c r="E3873" s="6" t="s">
        <v>90</v>
      </c>
      <c r="F3873" s="6" t="s">
        <v>56</v>
      </c>
      <c r="G3873" s="7">
        <v>61798.18645536575</v>
      </c>
      <c r="H3873" s="6">
        <v>3984901.558108122</v>
      </c>
      <c r="I3873" s="6" t="s">
        <v>179</v>
      </c>
      <c r="J3873" s="15">
        <v>49</v>
      </c>
    </row>
    <row r="3874" spans="1:10">
      <c r="A3874" s="6" t="s">
        <v>143</v>
      </c>
      <c r="B3874" s="6" t="s">
        <v>90</v>
      </c>
      <c r="C3874" s="6" t="s">
        <v>235</v>
      </c>
      <c r="D3874" s="6">
        <v>0.08866666666666669</v>
      </c>
      <c r="E3874" s="6" t="s">
        <v>90</v>
      </c>
      <c r="F3874" s="6" t="s">
        <v>53</v>
      </c>
      <c r="G3874" s="7">
        <v>35566.8159439669</v>
      </c>
      <c r="H3874" s="6">
        <v>3153.591013698399</v>
      </c>
      <c r="I3874" s="6" t="s">
        <v>180</v>
      </c>
      <c r="J3874" s="15">
        <v>38</v>
      </c>
    </row>
    <row r="3875" spans="1:10">
      <c r="A3875" s="6" t="s">
        <v>143</v>
      </c>
      <c r="B3875" s="6" t="s">
        <v>90</v>
      </c>
      <c r="C3875" s="6" t="s">
        <v>236</v>
      </c>
      <c r="D3875" s="6">
        <v>187.33075</v>
      </c>
      <c r="E3875" s="6" t="s">
        <v>90</v>
      </c>
      <c r="F3875" s="6" t="s">
        <v>51</v>
      </c>
      <c r="G3875" s="7">
        <v>47804.16828302459</v>
      </c>
      <c r="H3875" s="6">
        <v>8955190.69758521</v>
      </c>
      <c r="I3875" s="6" t="s">
        <v>179</v>
      </c>
      <c r="J3875" s="15">
        <v>46.93333333333333</v>
      </c>
    </row>
    <row r="3876" spans="1:10">
      <c r="A3876" s="6" t="s">
        <v>143</v>
      </c>
      <c r="B3876" s="6" t="s">
        <v>90</v>
      </c>
      <c r="C3876" s="6" t="s">
        <v>237</v>
      </c>
      <c r="D3876" s="6">
        <v>10.8365</v>
      </c>
      <c r="E3876" s="6" t="s">
        <v>90</v>
      </c>
      <c r="F3876" s="6" t="s">
        <v>51</v>
      </c>
      <c r="G3876" s="7">
        <v>53666.69833269802</v>
      </c>
      <c r="H3876" s="6">
        <v>581559.176482282</v>
      </c>
      <c r="I3876" s="6" t="s">
        <v>180</v>
      </c>
      <c r="J3876" s="15">
        <v>10.43563839802869</v>
      </c>
    </row>
    <row r="3877" spans="1:10">
      <c r="A3877" s="6" t="s">
        <v>143</v>
      </c>
      <c r="B3877" s="6" t="s">
        <v>90</v>
      </c>
      <c r="C3877" s="6" t="s">
        <v>238</v>
      </c>
      <c r="D3877" s="6">
        <v>10.2735</v>
      </c>
      <c r="E3877" s="6" t="s">
        <v>90</v>
      </c>
      <c r="F3877" s="6" t="s">
        <v>51</v>
      </c>
      <c r="G3877" s="7">
        <v>51511.99694495334</v>
      </c>
      <c r="H3877" s="6">
        <v>529208.500613978</v>
      </c>
      <c r="I3877" s="6" t="s">
        <v>180</v>
      </c>
      <c r="J3877" s="15">
        <v>9.745222208531091</v>
      </c>
    </row>
    <row r="3878" spans="1:10">
      <c r="A3878" s="6" t="s">
        <v>143</v>
      </c>
      <c r="B3878" s="6" t="s">
        <v>90</v>
      </c>
      <c r="C3878" s="6" t="s">
        <v>239</v>
      </c>
      <c r="D3878" s="6">
        <v>31.68366666666666</v>
      </c>
      <c r="E3878" s="6" t="s">
        <v>90</v>
      </c>
      <c r="F3878" s="6" t="s">
        <v>54</v>
      </c>
      <c r="G3878" s="7">
        <v>77876.19751626256</v>
      </c>
      <c r="H3878" s="6">
        <v>2467403.483372757</v>
      </c>
      <c r="I3878" s="6" t="s">
        <v>179</v>
      </c>
      <c r="J3878" s="15">
        <v>17.61605692581799</v>
      </c>
    </row>
    <row r="3879" spans="1:10">
      <c r="A3879" s="6" t="s">
        <v>143</v>
      </c>
      <c r="B3879" s="6" t="s">
        <v>90</v>
      </c>
      <c r="C3879" s="6" t="s">
        <v>379</v>
      </c>
      <c r="D3879" s="6">
        <v>0.5156666666666667</v>
      </c>
      <c r="E3879" s="6" t="s">
        <v>90</v>
      </c>
      <c r="F3879" s="6" t="s">
        <v>51</v>
      </c>
      <c r="G3879" s="7">
        <v>72453.65556637621</v>
      </c>
      <c r="H3879" s="6">
        <v>37361.935053728</v>
      </c>
      <c r="I3879" s="6" t="s">
        <v>180</v>
      </c>
      <c r="J3879" s="15">
        <v>16.45541427013083</v>
      </c>
    </row>
    <row r="3880" spans="1:10">
      <c r="A3880" s="6" t="s">
        <v>143</v>
      </c>
      <c r="B3880" s="6" t="s">
        <v>90</v>
      </c>
      <c r="C3880" s="6" t="s">
        <v>368</v>
      </c>
      <c r="D3880" s="6">
        <v>0.39225</v>
      </c>
      <c r="E3880" s="6" t="s">
        <v>90</v>
      </c>
      <c r="F3880" s="6" t="s">
        <v>55</v>
      </c>
      <c r="G3880" s="7">
        <v>58353.01421955921</v>
      </c>
      <c r="H3880" s="6">
        <v>22888.9698276221</v>
      </c>
      <c r="I3880" s="6" t="s">
        <v>180</v>
      </c>
      <c r="J3880" s="15">
        <v>11.93724246056441</v>
      </c>
    </row>
    <row r="3881" spans="1:10">
      <c r="A3881" s="6" t="s">
        <v>143</v>
      </c>
      <c r="B3881" s="6" t="s">
        <v>90</v>
      </c>
      <c r="C3881" s="6" t="s">
        <v>240</v>
      </c>
      <c r="D3881" s="6">
        <v>2.793166666666667</v>
      </c>
      <c r="E3881" s="6" t="s">
        <v>90</v>
      </c>
      <c r="F3881" s="6" t="s">
        <v>51</v>
      </c>
      <c r="G3881" s="7">
        <v>52330.78471449605</v>
      </c>
      <c r="H3881" s="6">
        <v>146168.6035050399</v>
      </c>
      <c r="I3881" s="6" t="s">
        <v>180</v>
      </c>
      <c r="J3881" s="15">
        <v>42</v>
      </c>
    </row>
    <row r="3882" spans="1:10">
      <c r="A3882" s="6" t="s">
        <v>143</v>
      </c>
      <c r="B3882" s="6" t="s">
        <v>90</v>
      </c>
      <c r="C3882" s="6" t="s">
        <v>241</v>
      </c>
      <c r="D3882" s="6">
        <v>8.33075</v>
      </c>
      <c r="E3882" s="6" t="s">
        <v>90</v>
      </c>
      <c r="F3882" s="6" t="s">
        <v>53</v>
      </c>
      <c r="G3882" s="7">
        <v>26388.49277067184</v>
      </c>
      <c r="H3882" s="6">
        <v>219835.9361492744</v>
      </c>
      <c r="I3882" s="6" t="s">
        <v>179</v>
      </c>
      <c r="J3882" s="15">
        <v>14.36666666666667</v>
      </c>
    </row>
    <row r="3883" spans="1:10">
      <c r="A3883" s="6" t="s">
        <v>143</v>
      </c>
      <c r="B3883" s="6" t="s">
        <v>90</v>
      </c>
      <c r="C3883" s="6" t="s">
        <v>242</v>
      </c>
      <c r="D3883" s="6">
        <v>89.46600000000001</v>
      </c>
      <c r="E3883" s="6" t="s">
        <v>90</v>
      </c>
      <c r="F3883" s="6" t="s">
        <v>56</v>
      </c>
      <c r="G3883" s="7">
        <v>48613.69532428356</v>
      </c>
      <c r="H3883" s="6">
        <v>4349272.865882353</v>
      </c>
      <c r="I3883" s="6" t="s">
        <v>179</v>
      </c>
      <c r="J3883" s="15">
        <v>6.75</v>
      </c>
    </row>
    <row r="3884" spans="1:10">
      <c r="A3884" s="6" t="s">
        <v>143</v>
      </c>
      <c r="B3884" s="6" t="s">
        <v>90</v>
      </c>
      <c r="C3884" s="6" t="s">
        <v>243</v>
      </c>
      <c r="D3884" s="6">
        <v>0.12825</v>
      </c>
      <c r="E3884" s="6" t="s">
        <v>90</v>
      </c>
      <c r="F3884" s="6" t="s">
        <v>58</v>
      </c>
      <c r="G3884" s="7">
        <v>63812.70248767162</v>
      </c>
      <c r="H3884" s="6">
        <v>8183.979094043886</v>
      </c>
      <c r="I3884" s="6" t="s">
        <v>180</v>
      </c>
      <c r="J3884" s="15">
        <v>13.68665293171113</v>
      </c>
    </row>
    <row r="3885" spans="1:10">
      <c r="A3885" s="6" t="s">
        <v>143</v>
      </c>
      <c r="B3885" s="6" t="s">
        <v>90</v>
      </c>
      <c r="C3885" s="6" t="s">
        <v>369</v>
      </c>
      <c r="D3885" s="6">
        <v>0.8271666666666667</v>
      </c>
      <c r="E3885" s="6" t="s">
        <v>90</v>
      </c>
      <c r="F3885" s="6" t="s">
        <v>55</v>
      </c>
      <c r="G3885" s="7">
        <v>58207.75837622919</v>
      </c>
      <c r="H3885" s="6">
        <v>48147.51747020425</v>
      </c>
      <c r="I3885" s="6" t="s">
        <v>180</v>
      </c>
      <c r="J3885" s="15">
        <v>11.89069912679919</v>
      </c>
    </row>
    <row r="3886" spans="1:10">
      <c r="A3886" s="6" t="s">
        <v>143</v>
      </c>
      <c r="B3886" s="6" t="s">
        <v>90</v>
      </c>
      <c r="C3886" s="6" t="s">
        <v>244</v>
      </c>
      <c r="D3886" s="6">
        <v>4.35575</v>
      </c>
      <c r="E3886" s="6" t="s">
        <v>90</v>
      </c>
      <c r="F3886" s="6" t="s">
        <v>55</v>
      </c>
      <c r="G3886" s="7">
        <v>56778.78135882129</v>
      </c>
      <c r="H3886" s="6">
        <v>247314.1769036858</v>
      </c>
      <c r="I3886" s="6" t="s">
        <v>180</v>
      </c>
      <c r="J3886" s="15">
        <v>11.43282182052843</v>
      </c>
    </row>
    <row r="3887" spans="1:10">
      <c r="A3887" s="6" t="s">
        <v>143</v>
      </c>
      <c r="B3887" s="6" t="s">
        <v>90</v>
      </c>
      <c r="C3887" s="6" t="s">
        <v>245</v>
      </c>
      <c r="D3887" s="6">
        <v>3.313</v>
      </c>
      <c r="E3887" s="6" t="s">
        <v>90</v>
      </c>
      <c r="F3887" s="6" t="s">
        <v>53</v>
      </c>
      <c r="G3887" s="7">
        <v>15981.96816829709</v>
      </c>
      <c r="H3887" s="6">
        <v>52948.26054156827</v>
      </c>
      <c r="I3887" s="6" t="s">
        <v>179</v>
      </c>
      <c r="J3887" s="15">
        <v>38</v>
      </c>
    </row>
    <row r="3888" spans="1:10">
      <c r="A3888" s="6" t="s">
        <v>143</v>
      </c>
      <c r="B3888" s="6" t="s">
        <v>90</v>
      </c>
      <c r="C3888" s="6" t="s">
        <v>246</v>
      </c>
      <c r="D3888" s="6">
        <v>0.05258333333333334</v>
      </c>
      <c r="E3888" s="6" t="s">
        <v>90</v>
      </c>
      <c r="F3888" s="6" t="s">
        <v>53</v>
      </c>
      <c r="G3888" s="7">
        <v>33731.16398827116</v>
      </c>
      <c r="H3888" s="6">
        <v>1773.697039716592</v>
      </c>
      <c r="I3888" s="6" t="s">
        <v>180</v>
      </c>
      <c r="J3888" s="15">
        <v>34.44166666666666</v>
      </c>
    </row>
    <row r="3889" spans="1:10">
      <c r="A3889" s="6" t="s">
        <v>143</v>
      </c>
      <c r="B3889" s="6" t="s">
        <v>90</v>
      </c>
      <c r="C3889" s="6" t="s">
        <v>348</v>
      </c>
      <c r="D3889" s="6">
        <v>11.79933333333333</v>
      </c>
      <c r="E3889" s="6" t="s">
        <v>90</v>
      </c>
      <c r="F3889" s="6" t="s">
        <v>52</v>
      </c>
      <c r="G3889" s="7">
        <v>84173.86100654831</v>
      </c>
      <c r="H3889" s="6">
        <v>993195.4439699324</v>
      </c>
      <c r="I3889" s="6" t="s">
        <v>179</v>
      </c>
      <c r="J3889" s="15">
        <v>51</v>
      </c>
    </row>
    <row r="3890" spans="1:10">
      <c r="A3890" s="6" t="s">
        <v>143</v>
      </c>
      <c r="B3890" s="6" t="s">
        <v>90</v>
      </c>
      <c r="C3890" s="6" t="s">
        <v>247</v>
      </c>
      <c r="D3890" s="6">
        <v>66.07166666666666</v>
      </c>
      <c r="E3890" s="6" t="s">
        <v>90</v>
      </c>
      <c r="F3890" s="6" t="s">
        <v>51</v>
      </c>
      <c r="G3890" s="7">
        <v>47607.91710069619</v>
      </c>
      <c r="H3890" s="6">
        <v>3145534.429371498</v>
      </c>
      <c r="I3890" s="6" t="s">
        <v>179</v>
      </c>
      <c r="J3890" s="15">
        <v>22.81666666666667</v>
      </c>
    </row>
    <row r="3891" spans="1:10">
      <c r="A3891" s="6" t="s">
        <v>143</v>
      </c>
      <c r="B3891" s="6" t="s">
        <v>90</v>
      </c>
      <c r="C3891" s="6" t="s">
        <v>248</v>
      </c>
      <c r="D3891" s="6">
        <v>15.5335</v>
      </c>
      <c r="E3891" s="6" t="s">
        <v>90</v>
      </c>
      <c r="F3891" s="6" t="s">
        <v>55</v>
      </c>
      <c r="G3891" s="7">
        <v>105730.4534899073</v>
      </c>
      <c r="H3891" s="6">
        <v>1642363.999285476</v>
      </c>
      <c r="I3891" s="6" t="s">
        <v>179</v>
      </c>
      <c r="J3891" s="15">
        <v>62</v>
      </c>
    </row>
    <row r="3892" spans="1:10">
      <c r="A3892" s="6" t="s">
        <v>143</v>
      </c>
      <c r="B3892" s="6" t="s">
        <v>90</v>
      </c>
      <c r="C3892" s="6" t="s">
        <v>249</v>
      </c>
      <c r="D3892" s="6">
        <v>42.2025</v>
      </c>
      <c r="E3892" s="6" t="s">
        <v>90</v>
      </c>
      <c r="F3892" s="6" t="s">
        <v>53</v>
      </c>
      <c r="G3892" s="7">
        <v>24606.21147932586</v>
      </c>
      <c r="H3892" s="6">
        <v>1038443.63995625</v>
      </c>
      <c r="I3892" s="6" t="s">
        <v>179</v>
      </c>
      <c r="J3892" s="15">
        <v>18</v>
      </c>
    </row>
    <row r="3893" spans="1:10">
      <c r="A3893" s="6" t="s">
        <v>143</v>
      </c>
      <c r="B3893" s="6" t="s">
        <v>90</v>
      </c>
      <c r="C3893" s="6" t="s">
        <v>351</v>
      </c>
      <c r="D3893" s="6">
        <v>1.561166666666667</v>
      </c>
      <c r="E3893" s="6" t="s">
        <v>90</v>
      </c>
      <c r="F3893" s="6" t="s">
        <v>53</v>
      </c>
      <c r="G3893" s="7">
        <v>38920.81072942021</v>
      </c>
      <c r="H3893" s="6">
        <v>60761.87235041318</v>
      </c>
      <c r="I3893" s="6" t="s">
        <v>180</v>
      </c>
      <c r="J3893" s="15">
        <v>57</v>
      </c>
    </row>
    <row r="3894" spans="1:10">
      <c r="A3894" s="6" t="s">
        <v>143</v>
      </c>
      <c r="B3894" s="6" t="s">
        <v>90</v>
      </c>
      <c r="C3894" s="6" t="s">
        <v>352</v>
      </c>
      <c r="D3894" s="6">
        <v>6.905833333333334</v>
      </c>
      <c r="E3894" s="6" t="s">
        <v>90</v>
      </c>
      <c r="F3894" s="6" t="s">
        <v>52</v>
      </c>
      <c r="G3894" s="7">
        <v>59918.03179942394</v>
      </c>
      <c r="H3894" s="6">
        <v>413783.9412681885</v>
      </c>
      <c r="I3894" s="6" t="s">
        <v>180</v>
      </c>
      <c r="J3894" s="15">
        <v>12.43871031134531</v>
      </c>
    </row>
    <row r="3895" spans="1:10">
      <c r="A3895" s="6" t="s">
        <v>143</v>
      </c>
      <c r="B3895" s="6" t="s">
        <v>90</v>
      </c>
      <c r="C3895" s="6" t="s">
        <v>250</v>
      </c>
      <c r="D3895" s="6">
        <v>3.101333333333333</v>
      </c>
      <c r="E3895" s="6" t="s">
        <v>90</v>
      </c>
      <c r="F3895" s="6" t="s">
        <v>55</v>
      </c>
      <c r="G3895" s="7">
        <v>63627.67337809179</v>
      </c>
      <c r="H3895" s="6">
        <v>197330.624369922</v>
      </c>
      <c r="I3895" s="6" t="s">
        <v>180</v>
      </c>
      <c r="J3895" s="15">
        <v>13.62736532299243</v>
      </c>
    </row>
    <row r="3896" spans="1:10">
      <c r="A3896" s="6" t="s">
        <v>143</v>
      </c>
      <c r="B3896" s="6" t="s">
        <v>90</v>
      </c>
      <c r="C3896" s="6" t="s">
        <v>251</v>
      </c>
      <c r="D3896" s="6">
        <v>1.002666666666667</v>
      </c>
      <c r="E3896" s="6" t="s">
        <v>90</v>
      </c>
      <c r="F3896" s="6" t="s">
        <v>53</v>
      </c>
      <c r="G3896" s="7">
        <v>23642.19568206914</v>
      </c>
      <c r="H3896" s="6">
        <v>23705.24153722133</v>
      </c>
      <c r="I3896" s="6" t="s">
        <v>179</v>
      </c>
      <c r="J3896" s="15">
        <v>18.675</v>
      </c>
    </row>
    <row r="3897" spans="1:10">
      <c r="A3897" s="6" t="s">
        <v>143</v>
      </c>
      <c r="B3897" s="6" t="s">
        <v>90</v>
      </c>
      <c r="C3897" s="6" t="s">
        <v>252</v>
      </c>
      <c r="D3897" s="6">
        <v>8.4575</v>
      </c>
      <c r="E3897" s="6" t="s">
        <v>90</v>
      </c>
      <c r="F3897" s="6" t="s">
        <v>57</v>
      </c>
      <c r="G3897" s="7">
        <v>42694.47301830137</v>
      </c>
      <c r="H3897" s="6">
        <v>361088.5055522838</v>
      </c>
      <c r="I3897" s="6" t="s">
        <v>180</v>
      </c>
      <c r="J3897" s="15">
        <v>6.919883484163813</v>
      </c>
    </row>
    <row r="3898" spans="1:10">
      <c r="A3898" s="6" t="s">
        <v>143</v>
      </c>
      <c r="B3898" s="6" t="s">
        <v>90</v>
      </c>
      <c r="C3898" s="6" t="s">
        <v>253</v>
      </c>
      <c r="D3898" s="6">
        <v>16.84533333333333</v>
      </c>
      <c r="E3898" s="6" t="s">
        <v>90</v>
      </c>
      <c r="F3898" s="6" t="s">
        <v>53</v>
      </c>
      <c r="G3898" s="7">
        <v>32446.79249986879</v>
      </c>
      <c r="H3898" s="6">
        <v>546577.0352577897</v>
      </c>
      <c r="I3898" s="6" t="s">
        <v>179</v>
      </c>
      <c r="J3898" s="15">
        <v>16</v>
      </c>
    </row>
    <row r="3899" spans="1:10">
      <c r="A3899" s="6" t="s">
        <v>143</v>
      </c>
      <c r="B3899" s="6" t="s">
        <v>86</v>
      </c>
      <c r="C3899" s="6" t="s">
        <v>353</v>
      </c>
      <c r="D3899" s="6">
        <v>0.0495</v>
      </c>
      <c r="E3899" s="6" t="s">
        <v>90</v>
      </c>
      <c r="F3899" s="6" t="s">
        <v>62</v>
      </c>
      <c r="G3899" s="7">
        <v>81005.34654028571</v>
      </c>
      <c r="H3899" s="6">
        <v>4009.764653744142</v>
      </c>
      <c r="I3899" s="6" t="s">
        <v>179</v>
      </c>
      <c r="J3899" s="15">
        <v>102.3</v>
      </c>
    </row>
    <row r="3900" spans="1:10">
      <c r="A3900" s="6" t="s">
        <v>143</v>
      </c>
      <c r="B3900" s="6" t="s">
        <v>90</v>
      </c>
      <c r="C3900" s="6" t="s">
        <v>254</v>
      </c>
      <c r="D3900" s="6">
        <v>0.4480833333333334</v>
      </c>
      <c r="E3900" s="6" t="s">
        <v>90</v>
      </c>
      <c r="F3900" s="6" t="s">
        <v>51</v>
      </c>
      <c r="G3900" s="7">
        <v>50623.2876601551</v>
      </c>
      <c r="H3900" s="6">
        <v>22683.4514790545</v>
      </c>
      <c r="I3900" s="6" t="s">
        <v>180</v>
      </c>
      <c r="J3900" s="15">
        <v>9.460459186856067</v>
      </c>
    </row>
    <row r="3901" spans="1:10">
      <c r="A3901" s="6" t="s">
        <v>143</v>
      </c>
      <c r="B3901" s="6" t="s">
        <v>90</v>
      </c>
      <c r="C3901" s="6" t="s">
        <v>255</v>
      </c>
      <c r="D3901" s="6">
        <v>1.785916666666667</v>
      </c>
      <c r="E3901" s="6" t="s">
        <v>90</v>
      </c>
      <c r="F3901" s="6" t="s">
        <v>51</v>
      </c>
      <c r="G3901" s="7">
        <v>70751.8805274951</v>
      </c>
      <c r="H3901" s="6">
        <v>126356.9626320623</v>
      </c>
      <c r="I3901" s="6" t="s">
        <v>180</v>
      </c>
      <c r="J3901" s="15">
        <v>15.91012616459143</v>
      </c>
    </row>
    <row r="3902" spans="1:10">
      <c r="A3902" s="6" t="s">
        <v>143</v>
      </c>
      <c r="B3902" s="6" t="s">
        <v>90</v>
      </c>
      <c r="C3902" s="6" t="s">
        <v>256</v>
      </c>
      <c r="D3902" s="6">
        <v>0.1334166666666667</v>
      </c>
      <c r="E3902" s="6" t="s">
        <v>90</v>
      </c>
      <c r="F3902" s="6" t="s">
        <v>57</v>
      </c>
      <c r="G3902" s="7">
        <v>50139.25135563286</v>
      </c>
      <c r="H3902" s="6">
        <v>6689.411785030686</v>
      </c>
      <c r="I3902" s="6" t="s">
        <v>180</v>
      </c>
      <c r="J3902" s="15">
        <v>64</v>
      </c>
    </row>
    <row r="3903" spans="1:10">
      <c r="A3903" s="6" t="s">
        <v>143</v>
      </c>
      <c r="B3903" s="6" t="s">
        <v>90</v>
      </c>
      <c r="C3903" s="6" t="s">
        <v>257</v>
      </c>
      <c r="D3903" s="6">
        <v>0.1805833333333333</v>
      </c>
      <c r="E3903" s="6" t="s">
        <v>90</v>
      </c>
      <c r="F3903" s="6" t="s">
        <v>52</v>
      </c>
      <c r="G3903" s="7">
        <v>85265.7273803006</v>
      </c>
      <c r="H3903" s="6">
        <v>15397.56926942595</v>
      </c>
      <c r="I3903" s="6" t="s">
        <v>179</v>
      </c>
      <c r="J3903" s="15">
        <v>44</v>
      </c>
    </row>
    <row r="3904" spans="1:10">
      <c r="A3904" s="6" t="s">
        <v>143</v>
      </c>
      <c r="B3904" s="6" t="s">
        <v>90</v>
      </c>
      <c r="C3904" s="6" t="s">
        <v>258</v>
      </c>
      <c r="D3904" s="6">
        <v>0.08266666666666667</v>
      </c>
      <c r="E3904" s="6" t="s">
        <v>90</v>
      </c>
      <c r="F3904" s="6" t="s">
        <v>52</v>
      </c>
      <c r="G3904" s="7">
        <v>82626.29734022004</v>
      </c>
      <c r="H3904" s="6">
        <v>6830.440580124857</v>
      </c>
      <c r="I3904" s="6" t="s">
        <v>179</v>
      </c>
      <c r="J3904" s="15">
        <v>47</v>
      </c>
    </row>
    <row r="3905" spans="1:10">
      <c r="A3905" s="6" t="s">
        <v>143</v>
      </c>
      <c r="B3905" s="6" t="s">
        <v>90</v>
      </c>
      <c r="C3905" s="6" t="s">
        <v>259</v>
      </c>
      <c r="D3905" s="6">
        <v>0.8616666666666667</v>
      </c>
      <c r="E3905" s="6" t="s">
        <v>90</v>
      </c>
      <c r="F3905" s="6" t="s">
        <v>56</v>
      </c>
      <c r="G3905" s="7">
        <v>53809.54610454979</v>
      </c>
      <c r="H3905" s="6">
        <v>46365.89222675374</v>
      </c>
      <c r="I3905" s="6" t="s">
        <v>180</v>
      </c>
      <c r="J3905" s="15">
        <v>10.48141012996383</v>
      </c>
    </row>
    <row r="3906" spans="1:10">
      <c r="A3906" s="6" t="s">
        <v>143</v>
      </c>
      <c r="B3906" s="6" t="s">
        <v>90</v>
      </c>
      <c r="C3906" s="6" t="s">
        <v>260</v>
      </c>
      <c r="D3906" s="6">
        <v>344.8609166666667</v>
      </c>
      <c r="E3906" s="6" t="s">
        <v>90</v>
      </c>
      <c r="F3906" s="6" t="s">
        <v>52</v>
      </c>
      <c r="G3906" s="7">
        <v>55804.87767627013</v>
      </c>
      <c r="H3906" s="6">
        <v>19244921.26990972</v>
      </c>
      <c r="I3906" s="6" t="s">
        <v>179</v>
      </c>
      <c r="J3906" s="15">
        <v>64.03333333333333</v>
      </c>
    </row>
    <row r="3907" spans="1:10">
      <c r="A3907" s="6" t="s">
        <v>143</v>
      </c>
      <c r="B3907" s="6" t="s">
        <v>90</v>
      </c>
      <c r="C3907" s="6" t="s">
        <v>261</v>
      </c>
      <c r="D3907" s="6">
        <v>0.3043333333333333</v>
      </c>
      <c r="E3907" s="6" t="s">
        <v>90</v>
      </c>
      <c r="F3907" s="6" t="s">
        <v>54</v>
      </c>
      <c r="G3907" s="7">
        <v>59278.32258850268</v>
      </c>
      <c r="H3907" s="6">
        <v>18040.36950776765</v>
      </c>
      <c r="I3907" s="6" t="s">
        <v>180</v>
      </c>
      <c r="J3907" s="15">
        <v>12.23373267578856</v>
      </c>
    </row>
    <row r="3908" spans="1:10">
      <c r="A3908" s="6" t="s">
        <v>143</v>
      </c>
      <c r="B3908" s="6" t="s">
        <v>90</v>
      </c>
      <c r="C3908" s="6" t="s">
        <v>262</v>
      </c>
      <c r="D3908" s="6">
        <v>23.44041666666667</v>
      </c>
      <c r="E3908" s="6" t="s">
        <v>90</v>
      </c>
      <c r="F3908" s="6" t="s">
        <v>51</v>
      </c>
      <c r="G3908" s="7">
        <v>50796.40449219351</v>
      </c>
      <c r="H3908" s="6">
        <v>1190688.886465554</v>
      </c>
      <c r="I3908" s="6" t="s">
        <v>180</v>
      </c>
      <c r="J3908" s="15">
        <v>9.515929826172339</v>
      </c>
    </row>
    <row r="3909" spans="1:10">
      <c r="A3909" s="6" t="s">
        <v>143</v>
      </c>
      <c r="B3909" s="6" t="s">
        <v>90</v>
      </c>
      <c r="C3909" s="6" t="s">
        <v>263</v>
      </c>
      <c r="D3909" s="6">
        <v>15.20475</v>
      </c>
      <c r="E3909" s="6" t="s">
        <v>90</v>
      </c>
      <c r="F3909" s="6" t="s">
        <v>54</v>
      </c>
      <c r="G3909" s="7">
        <v>65896.61824279206</v>
      </c>
      <c r="H3909" s="6">
        <v>1001941.606227092</v>
      </c>
      <c r="I3909" s="6" t="s">
        <v>179</v>
      </c>
      <c r="J3909" s="15">
        <v>46.91666666666666</v>
      </c>
    </row>
    <row r="3910" spans="1:10">
      <c r="A3910" s="6" t="s">
        <v>143</v>
      </c>
      <c r="B3910" s="6" t="s">
        <v>90</v>
      </c>
      <c r="C3910" s="6" t="s">
        <v>264</v>
      </c>
      <c r="D3910" s="6">
        <v>5.5245</v>
      </c>
      <c r="E3910" s="6" t="s">
        <v>90</v>
      </c>
      <c r="F3910" s="6" t="s">
        <v>54</v>
      </c>
      <c r="G3910" s="7">
        <v>89766.53686395117</v>
      </c>
      <c r="H3910" s="6">
        <v>495915.2329048982</v>
      </c>
      <c r="I3910" s="6" t="s">
        <v>180</v>
      </c>
      <c r="J3910" s="15">
        <v>22.00286209871706</v>
      </c>
    </row>
    <row r="3911" spans="1:10">
      <c r="A3911" s="6" t="s">
        <v>143</v>
      </c>
      <c r="B3911" s="6" t="s">
        <v>90</v>
      </c>
      <c r="C3911" s="6" t="s">
        <v>265</v>
      </c>
      <c r="D3911" s="6">
        <v>51.68733333333333</v>
      </c>
      <c r="E3911" s="6" t="s">
        <v>90</v>
      </c>
      <c r="F3911" s="6" t="s">
        <v>54</v>
      </c>
      <c r="G3911" s="7">
        <v>88348.04007123776</v>
      </c>
      <c r="H3911" s="6">
        <v>4566474.596508756</v>
      </c>
      <c r="I3911" s="6" t="s">
        <v>179</v>
      </c>
      <c r="J3911" s="15">
        <v>17.53537223567039</v>
      </c>
    </row>
    <row r="3912" spans="1:10">
      <c r="A3912" s="6" t="s">
        <v>143</v>
      </c>
      <c r="B3912" s="6" t="s">
        <v>90</v>
      </c>
      <c r="C3912" s="6" t="s">
        <v>266</v>
      </c>
      <c r="D3912" s="6">
        <v>12.08091666666667</v>
      </c>
      <c r="E3912" s="6" t="s">
        <v>90</v>
      </c>
      <c r="F3912" s="6" t="s">
        <v>57</v>
      </c>
      <c r="G3912" s="7">
        <v>59085.91288749369</v>
      </c>
      <c r="H3912" s="6">
        <v>713811.9897677373</v>
      </c>
      <c r="I3912" s="6" t="s">
        <v>179</v>
      </c>
      <c r="J3912" s="15">
        <v>7.229441618985901</v>
      </c>
    </row>
    <row r="3913" spans="1:10">
      <c r="A3913" s="6" t="s">
        <v>143</v>
      </c>
      <c r="B3913" s="6" t="s">
        <v>90</v>
      </c>
      <c r="C3913" s="6" t="s">
        <v>354</v>
      </c>
      <c r="D3913" s="6">
        <v>0.003416666666666666</v>
      </c>
      <c r="E3913" s="6" t="s">
        <v>90</v>
      </c>
      <c r="F3913" s="6" t="s">
        <v>51</v>
      </c>
      <c r="G3913" s="7">
        <v>43580.99560846043</v>
      </c>
      <c r="H3913" s="6">
        <v>148.9017349955732</v>
      </c>
      <c r="I3913" s="6" t="s">
        <v>180</v>
      </c>
      <c r="J3913" s="15">
        <v>7.203945838271181</v>
      </c>
    </row>
    <row r="3914" spans="1:10">
      <c r="A3914" s="6" t="s">
        <v>143</v>
      </c>
      <c r="B3914" s="6" t="s">
        <v>90</v>
      </c>
      <c r="C3914" s="6" t="s">
        <v>355</v>
      </c>
      <c r="D3914" s="6">
        <v>0.0275</v>
      </c>
      <c r="E3914" s="6" t="s">
        <v>90</v>
      </c>
      <c r="F3914" s="6" t="s">
        <v>52</v>
      </c>
      <c r="G3914" s="7">
        <v>59918.03179942394</v>
      </c>
      <c r="H3914" s="6">
        <v>1647.745874484158</v>
      </c>
      <c r="I3914" s="6" t="s">
        <v>180</v>
      </c>
      <c r="J3914" s="15">
        <v>12.43871031134531</v>
      </c>
    </row>
    <row r="3915" spans="1:10">
      <c r="A3915" s="6" t="s">
        <v>143</v>
      </c>
      <c r="B3915" s="6" t="s">
        <v>90</v>
      </c>
      <c r="C3915" s="6" t="s">
        <v>267</v>
      </c>
      <c r="D3915" s="6">
        <v>229.4101666666667</v>
      </c>
      <c r="E3915" s="6" t="s">
        <v>90</v>
      </c>
      <c r="F3915" s="6" t="s">
        <v>53</v>
      </c>
      <c r="G3915" s="7">
        <v>28187.4549918804</v>
      </c>
      <c r="H3915" s="6">
        <v>6466488.747596449</v>
      </c>
      <c r="I3915" s="6" t="s">
        <v>179</v>
      </c>
      <c r="J3915" s="15">
        <v>17</v>
      </c>
    </row>
    <row r="3916" spans="1:10">
      <c r="A3916" s="6" t="s">
        <v>143</v>
      </c>
      <c r="B3916" s="6" t="s">
        <v>90</v>
      </c>
      <c r="C3916" s="6" t="s">
        <v>366</v>
      </c>
      <c r="D3916" s="6">
        <v>22.40266666666666</v>
      </c>
      <c r="E3916" s="6" t="s">
        <v>90</v>
      </c>
      <c r="F3916" s="6" t="s">
        <v>52</v>
      </c>
      <c r="G3916" s="7">
        <v>78732.78292762766</v>
      </c>
      <c r="H3916" s="6">
        <v>1763824.291666667</v>
      </c>
      <c r="I3916" s="6" t="s">
        <v>179</v>
      </c>
      <c r="J3916" s="15">
        <v>56.95</v>
      </c>
    </row>
    <row r="3917" spans="1:10">
      <c r="A3917" s="6" t="s">
        <v>143</v>
      </c>
      <c r="B3917" s="6" t="s">
        <v>90</v>
      </c>
      <c r="C3917" s="6" t="s">
        <v>268</v>
      </c>
      <c r="D3917" s="6">
        <v>0.3211666666666667</v>
      </c>
      <c r="E3917" s="6" t="s">
        <v>90</v>
      </c>
      <c r="F3917" s="6" t="s">
        <v>51</v>
      </c>
      <c r="G3917" s="7">
        <v>53756.28752738577</v>
      </c>
      <c r="H3917" s="6">
        <v>17264.7276775454</v>
      </c>
      <c r="I3917" s="6" t="s">
        <v>180</v>
      </c>
      <c r="J3917" s="15">
        <v>10.46434484931158</v>
      </c>
    </row>
    <row r="3918" spans="1:10">
      <c r="A3918" s="6" t="s">
        <v>143</v>
      </c>
      <c r="B3918" s="6" t="s">
        <v>90</v>
      </c>
      <c r="C3918" s="6" t="s">
        <v>269</v>
      </c>
      <c r="D3918" s="6">
        <v>0.1063333333333333</v>
      </c>
      <c r="E3918" s="6" t="s">
        <v>90</v>
      </c>
      <c r="F3918" s="6" t="s">
        <v>52</v>
      </c>
      <c r="G3918" s="7">
        <v>84417.47941334113</v>
      </c>
      <c r="H3918" s="6">
        <v>8976.391977618607</v>
      </c>
      <c r="I3918" s="6" t="s">
        <v>179</v>
      </c>
      <c r="J3918" s="15">
        <v>68</v>
      </c>
    </row>
    <row r="3919" spans="1:10">
      <c r="A3919" s="6" t="s">
        <v>143</v>
      </c>
      <c r="B3919" s="6" t="s">
        <v>90</v>
      </c>
      <c r="C3919" s="6" t="s">
        <v>270</v>
      </c>
      <c r="D3919" s="6">
        <v>5.706416666666667</v>
      </c>
      <c r="E3919" s="6" t="s">
        <v>90</v>
      </c>
      <c r="F3919" s="6" t="s">
        <v>59</v>
      </c>
      <c r="G3919" s="7">
        <v>54632.02416918429</v>
      </c>
      <c r="H3919" s="6">
        <v>311753.0932527694</v>
      </c>
      <c r="I3919" s="6" t="s">
        <v>179</v>
      </c>
      <c r="J3919" s="15">
        <v>20.25074634581768</v>
      </c>
    </row>
    <row r="3920" spans="1:10">
      <c r="A3920" s="6" t="s">
        <v>143</v>
      </c>
      <c r="B3920" s="6" t="s">
        <v>86</v>
      </c>
      <c r="C3920" s="6" t="s">
        <v>271</v>
      </c>
      <c r="D3920" s="6">
        <v>61.12525</v>
      </c>
      <c r="E3920" s="6" t="s">
        <v>90</v>
      </c>
      <c r="F3920" s="6" t="s">
        <v>54</v>
      </c>
      <c r="G3920" s="7">
        <v>81091.15446449892</v>
      </c>
      <c r="H3920" s="6">
        <v>4956717.089431113</v>
      </c>
      <c r="I3920" s="6" t="s">
        <v>179</v>
      </c>
      <c r="J3920" s="15">
        <v>47.58333333333334</v>
      </c>
    </row>
    <row r="3921" spans="1:10">
      <c r="A3921" s="6" t="s">
        <v>143</v>
      </c>
      <c r="B3921" s="6" t="s">
        <v>90</v>
      </c>
      <c r="C3921" s="6" t="s">
        <v>272</v>
      </c>
      <c r="D3921" s="6">
        <v>9.432416666666667</v>
      </c>
      <c r="E3921" s="6" t="s">
        <v>90</v>
      </c>
      <c r="F3921" s="6" t="s">
        <v>51</v>
      </c>
      <c r="G3921" s="7">
        <v>51191.96394899175</v>
      </c>
      <c r="H3921" s="6">
        <v>482863.933951869</v>
      </c>
      <c r="I3921" s="6" t="s">
        <v>180</v>
      </c>
      <c r="J3921" s="15">
        <v>9.642676230307826</v>
      </c>
    </row>
    <row r="3922" spans="1:10">
      <c r="A3922" s="6" t="s">
        <v>143</v>
      </c>
      <c r="B3922" s="6" t="s">
        <v>90</v>
      </c>
      <c r="C3922" s="6" t="s">
        <v>273</v>
      </c>
      <c r="D3922" s="6">
        <v>49.266</v>
      </c>
      <c r="E3922" s="6" t="s">
        <v>90</v>
      </c>
      <c r="F3922" s="6" t="s">
        <v>51</v>
      </c>
      <c r="G3922" s="7">
        <v>68796.23409337111</v>
      </c>
      <c r="H3922" s="6">
        <v>3389315.268844021</v>
      </c>
      <c r="I3922" s="6" t="s">
        <v>179</v>
      </c>
      <c r="J3922" s="15">
        <v>27</v>
      </c>
    </row>
    <row r="3923" spans="1:10">
      <c r="A3923" s="6" t="s">
        <v>143</v>
      </c>
      <c r="B3923" s="6" t="s">
        <v>90</v>
      </c>
      <c r="C3923" s="6" t="s">
        <v>274</v>
      </c>
      <c r="D3923" s="6">
        <v>8.7685</v>
      </c>
      <c r="E3923" s="6" t="s">
        <v>90</v>
      </c>
      <c r="F3923" s="6" t="s">
        <v>56</v>
      </c>
      <c r="G3923" s="7">
        <v>58346.71964656267</v>
      </c>
      <c r="H3923" s="6">
        <v>511613.2112208848</v>
      </c>
      <c r="I3923" s="6" t="s">
        <v>180</v>
      </c>
      <c r="J3923" s="15">
        <v>11.93522553370507</v>
      </c>
    </row>
    <row r="3924" spans="1:10">
      <c r="A3924" s="6" t="s">
        <v>143</v>
      </c>
      <c r="B3924" s="6" t="s">
        <v>90</v>
      </c>
      <c r="C3924" s="6" t="s">
        <v>275</v>
      </c>
      <c r="D3924" s="6">
        <v>0.9153333333333334</v>
      </c>
      <c r="E3924" s="6" t="s">
        <v>90</v>
      </c>
      <c r="F3924" s="6" t="s">
        <v>51</v>
      </c>
      <c r="G3924" s="7">
        <v>54453.54162987976</v>
      </c>
      <c r="H3924" s="6">
        <v>49843.14177188327</v>
      </c>
      <c r="I3924" s="6" t="s">
        <v>180</v>
      </c>
      <c r="J3924" s="15">
        <v>10.68776119985255</v>
      </c>
    </row>
    <row r="3925" spans="1:10">
      <c r="A3925" s="6" t="s">
        <v>143</v>
      </c>
      <c r="B3925" s="6" t="s">
        <v>90</v>
      </c>
      <c r="C3925" s="6" t="s">
        <v>276</v>
      </c>
      <c r="D3925" s="6">
        <v>8.119</v>
      </c>
      <c r="E3925" s="6" t="s">
        <v>90</v>
      </c>
      <c r="F3925" s="6" t="s">
        <v>51</v>
      </c>
      <c r="G3925" s="7">
        <v>63381.90932521886</v>
      </c>
      <c r="H3925" s="6">
        <v>514597.7218114519</v>
      </c>
      <c r="I3925" s="6" t="s">
        <v>179</v>
      </c>
      <c r="J3925" s="15">
        <v>57.28333333333333</v>
      </c>
    </row>
    <row r="3926" spans="1:10">
      <c r="A3926" s="6" t="s">
        <v>143</v>
      </c>
      <c r="B3926" s="6" t="s">
        <v>90</v>
      </c>
      <c r="C3926" s="6" t="s">
        <v>277</v>
      </c>
      <c r="D3926" s="6">
        <v>0.1289166666666667</v>
      </c>
      <c r="E3926" s="6" t="s">
        <v>90</v>
      </c>
      <c r="F3926" s="6" t="s">
        <v>57</v>
      </c>
      <c r="G3926" s="7">
        <v>44258.82186038292</v>
      </c>
      <c r="H3926" s="6">
        <v>5705.699784834365</v>
      </c>
      <c r="I3926" s="6" t="s">
        <v>180</v>
      </c>
      <c r="J3926" s="15">
        <v>7.421137055882822</v>
      </c>
    </row>
    <row r="3927" spans="1:10">
      <c r="A3927" s="6" t="s">
        <v>143</v>
      </c>
      <c r="B3927" s="6" t="s">
        <v>90</v>
      </c>
      <c r="C3927" s="6" t="s">
        <v>278</v>
      </c>
      <c r="D3927" s="6">
        <v>70.86924999999999</v>
      </c>
      <c r="E3927" s="6" t="s">
        <v>90</v>
      </c>
      <c r="F3927" s="6" t="s">
        <v>55</v>
      </c>
      <c r="G3927" s="7">
        <v>46621.33394129809</v>
      </c>
      <c r="H3927" s="6">
        <v>3304018.970419339</v>
      </c>
      <c r="I3927" s="6" t="s">
        <v>179</v>
      </c>
      <c r="J3927" s="15">
        <v>47.06666666666667</v>
      </c>
    </row>
    <row r="3928" spans="1:10">
      <c r="A3928" s="6" t="s">
        <v>143</v>
      </c>
      <c r="B3928" s="6" t="s">
        <v>90</v>
      </c>
      <c r="C3928" s="6" t="s">
        <v>280</v>
      </c>
      <c r="D3928" s="6">
        <v>61.20041666666667</v>
      </c>
      <c r="E3928" s="6" t="s">
        <v>90</v>
      </c>
      <c r="F3928" s="6" t="s">
        <v>55</v>
      </c>
      <c r="G3928" s="7">
        <v>88199.71827653726</v>
      </c>
      <c r="H3928" s="6">
        <v>5397859.508406696</v>
      </c>
      <c r="I3928" s="6" t="s">
        <v>179</v>
      </c>
      <c r="J3928" s="15">
        <v>61</v>
      </c>
    </row>
    <row r="3929" spans="1:10">
      <c r="A3929" s="6" t="s">
        <v>143</v>
      </c>
      <c r="B3929" s="6" t="s">
        <v>90</v>
      </c>
      <c r="C3929" s="6" t="s">
        <v>281</v>
      </c>
      <c r="D3929" s="6">
        <v>126.751</v>
      </c>
      <c r="E3929" s="6" t="s">
        <v>90</v>
      </c>
      <c r="F3929" s="6" t="s">
        <v>57</v>
      </c>
      <c r="G3929" s="7">
        <v>70375.78171760954</v>
      </c>
      <c r="H3929" s="6">
        <v>8920200.708488727</v>
      </c>
      <c r="I3929" s="6" t="s">
        <v>179</v>
      </c>
      <c r="J3929" s="15">
        <v>25</v>
      </c>
    </row>
    <row r="3930" spans="1:10">
      <c r="A3930" s="6" t="s">
        <v>143</v>
      </c>
      <c r="B3930" s="6" t="s">
        <v>90</v>
      </c>
      <c r="C3930" s="6" t="s">
        <v>282</v>
      </c>
      <c r="D3930" s="6">
        <v>0.228</v>
      </c>
      <c r="E3930" s="6" t="s">
        <v>90</v>
      </c>
      <c r="F3930" s="6" t="s">
        <v>56</v>
      </c>
      <c r="G3930" s="7">
        <v>55102.56172936118</v>
      </c>
      <c r="H3930" s="6">
        <v>12563.38407429435</v>
      </c>
      <c r="I3930" s="6" t="s">
        <v>180</v>
      </c>
      <c r="J3930" s="15">
        <v>10.89572225957987</v>
      </c>
    </row>
    <row r="3931" spans="1:10">
      <c r="A3931" s="6" t="s">
        <v>143</v>
      </c>
      <c r="B3931" s="6" t="s">
        <v>90</v>
      </c>
      <c r="C3931" s="6" t="s">
        <v>283</v>
      </c>
      <c r="D3931" s="6">
        <v>29.07399999999999</v>
      </c>
      <c r="E3931" s="6" t="s">
        <v>90</v>
      </c>
      <c r="F3931" s="6" t="s">
        <v>51</v>
      </c>
      <c r="G3931" s="7">
        <v>41673.53339700109</v>
      </c>
      <c r="H3931" s="6">
        <v>1211616.309984409</v>
      </c>
      <c r="I3931" s="6" t="s">
        <v>179</v>
      </c>
      <c r="J3931" s="15">
        <v>26.5</v>
      </c>
    </row>
    <row r="3932" spans="1:10">
      <c r="A3932" s="6" t="s">
        <v>143</v>
      </c>
      <c r="B3932" s="6" t="s">
        <v>90</v>
      </c>
      <c r="C3932" s="6" t="s">
        <v>284</v>
      </c>
      <c r="D3932" s="6">
        <v>23.773</v>
      </c>
      <c r="E3932" s="6" t="s">
        <v>90</v>
      </c>
      <c r="F3932" s="6" t="s">
        <v>55</v>
      </c>
      <c r="G3932" s="7">
        <v>71665.2692915682</v>
      </c>
      <c r="H3932" s="6">
        <v>1703698.446868451</v>
      </c>
      <c r="I3932" s="6" t="s">
        <v>180</v>
      </c>
      <c r="J3932" s="15">
        <v>16.20279706256738</v>
      </c>
    </row>
    <row r="3933" spans="1:10">
      <c r="A3933" s="6" t="s">
        <v>143</v>
      </c>
      <c r="B3933" s="6" t="s">
        <v>86</v>
      </c>
      <c r="C3933" s="6" t="s">
        <v>285</v>
      </c>
      <c r="D3933" s="6">
        <v>0.3499999999999999</v>
      </c>
      <c r="E3933" s="6" t="s">
        <v>90</v>
      </c>
      <c r="F3933" s="6" t="s">
        <v>52</v>
      </c>
      <c r="G3933" s="7">
        <v>124592.4363366081</v>
      </c>
      <c r="H3933" s="6">
        <v>43607.35271781282</v>
      </c>
      <c r="I3933" s="6" t="s">
        <v>179</v>
      </c>
      <c r="J3933" s="15">
        <v>102.5583333333333</v>
      </c>
    </row>
    <row r="3934" spans="1:10">
      <c r="A3934" s="6" t="s">
        <v>143</v>
      </c>
      <c r="B3934" s="6" t="s">
        <v>90</v>
      </c>
      <c r="C3934" s="6" t="s">
        <v>286</v>
      </c>
      <c r="D3934" s="6">
        <v>3.237166666666667</v>
      </c>
      <c r="E3934" s="6" t="s">
        <v>90</v>
      </c>
      <c r="F3934" s="6" t="s">
        <v>59</v>
      </c>
      <c r="G3934" s="7">
        <v>90288.54517641803</v>
      </c>
      <c r="H3934" s="6">
        <v>292279.0688269279</v>
      </c>
      <c r="I3934" s="6" t="s">
        <v>180</v>
      </c>
      <c r="J3934" s="15">
        <v>22.17012564253306</v>
      </c>
    </row>
    <row r="3935" spans="1:10">
      <c r="A3935" s="6" t="s">
        <v>143</v>
      </c>
      <c r="B3935" s="6" t="s">
        <v>90</v>
      </c>
      <c r="C3935" s="6" t="s">
        <v>287</v>
      </c>
      <c r="D3935" s="6">
        <v>0.3564166666666667</v>
      </c>
      <c r="E3935" s="6" t="s">
        <v>90</v>
      </c>
      <c r="F3935" s="6" t="s">
        <v>53</v>
      </c>
      <c r="G3935" s="7">
        <v>25443.86066146324</v>
      </c>
      <c r="H3935" s="6">
        <v>9068.616004089856</v>
      </c>
      <c r="I3935" s="6" t="s">
        <v>179</v>
      </c>
      <c r="J3935" s="15">
        <v>16</v>
      </c>
    </row>
    <row r="3936" spans="1:10">
      <c r="A3936" s="6" t="s">
        <v>143</v>
      </c>
      <c r="B3936" s="6" t="s">
        <v>90</v>
      </c>
      <c r="C3936" s="6" t="s">
        <v>376</v>
      </c>
      <c r="D3936" s="6">
        <v>0.2325</v>
      </c>
      <c r="E3936" s="6" t="s">
        <v>90</v>
      </c>
      <c r="F3936" s="6" t="s">
        <v>54</v>
      </c>
      <c r="G3936" s="7">
        <v>76892.37004653887</v>
      </c>
      <c r="H3936" s="6">
        <v>17877.47603582029</v>
      </c>
      <c r="I3936" s="6" t="s">
        <v>180</v>
      </c>
      <c r="J3936" s="15">
        <v>17.87768111188072</v>
      </c>
    </row>
    <row r="3937" spans="1:10">
      <c r="A3937" s="6" t="s">
        <v>143</v>
      </c>
      <c r="B3937" s="6" t="s">
        <v>90</v>
      </c>
      <c r="C3937" s="6" t="s">
        <v>357</v>
      </c>
      <c r="D3937" s="6">
        <v>11.031</v>
      </c>
      <c r="E3937" s="6" t="s">
        <v>90</v>
      </c>
      <c r="F3937" s="6" t="s">
        <v>52</v>
      </c>
      <c r="G3937" s="7">
        <v>59918.03179942394</v>
      </c>
      <c r="H3937" s="6">
        <v>660955.8087794454</v>
      </c>
      <c r="I3937" s="6" t="s">
        <v>180</v>
      </c>
      <c r="J3937" s="15">
        <v>27</v>
      </c>
    </row>
    <row r="3938" spans="1:10">
      <c r="A3938" s="6" t="s">
        <v>143</v>
      </c>
      <c r="B3938" s="6" t="s">
        <v>90</v>
      </c>
      <c r="C3938" s="6" t="s">
        <v>288</v>
      </c>
      <c r="D3938" s="6">
        <v>0.15025</v>
      </c>
      <c r="E3938" s="6" t="s">
        <v>90</v>
      </c>
      <c r="F3938" s="6" t="s">
        <v>58</v>
      </c>
      <c r="G3938" s="7">
        <v>69966.42569413477</v>
      </c>
      <c r="H3938" s="6">
        <v>10512.45546054375</v>
      </c>
      <c r="I3938" s="6" t="s">
        <v>180</v>
      </c>
      <c r="J3938" s="15">
        <v>15.65844825870828</v>
      </c>
    </row>
    <row r="3939" spans="1:10">
      <c r="A3939" s="6" t="s">
        <v>143</v>
      </c>
      <c r="B3939" s="6" t="s">
        <v>90</v>
      </c>
      <c r="C3939" s="6" t="s">
        <v>370</v>
      </c>
      <c r="D3939" s="6">
        <v>0.4484166666666666</v>
      </c>
      <c r="E3939" s="6" t="s">
        <v>90</v>
      </c>
      <c r="F3939" s="6" t="s">
        <v>55</v>
      </c>
      <c r="G3939" s="7">
        <v>63543.31246850626</v>
      </c>
      <c r="H3939" s="6">
        <v>28493.88036608601</v>
      </c>
      <c r="I3939" s="6" t="s">
        <v>180</v>
      </c>
      <c r="J3939" s="15">
        <v>13.60033413525112</v>
      </c>
    </row>
    <row r="3940" spans="1:10">
      <c r="A3940" s="6" t="s">
        <v>143</v>
      </c>
      <c r="B3940" s="6" t="s">
        <v>90</v>
      </c>
      <c r="C3940" s="6" t="s">
        <v>359</v>
      </c>
      <c r="D3940" s="6">
        <v>3.961416666666666</v>
      </c>
      <c r="E3940" s="6" t="s">
        <v>90</v>
      </c>
      <c r="F3940" s="6" t="s">
        <v>60</v>
      </c>
      <c r="G3940" s="7">
        <v>44402.32112778664</v>
      </c>
      <c r="H3940" s="6">
        <v>175896.0949542994</v>
      </c>
      <c r="I3940" s="6" t="s">
        <v>180</v>
      </c>
      <c r="J3940" s="15">
        <v>7.467117542069946</v>
      </c>
    </row>
    <row r="3941" spans="1:10">
      <c r="A3941" s="6" t="s">
        <v>143</v>
      </c>
      <c r="B3941" s="6" t="s">
        <v>90</v>
      </c>
      <c r="C3941" s="6" t="s">
        <v>289</v>
      </c>
      <c r="D3941" s="6">
        <v>96.7175</v>
      </c>
      <c r="E3941" s="6" t="s">
        <v>90</v>
      </c>
      <c r="F3941" s="6" t="s">
        <v>52</v>
      </c>
      <c r="G3941" s="7">
        <v>67135.49298692077</v>
      </c>
      <c r="H3941" s="6">
        <v>6493177.042962509</v>
      </c>
      <c r="I3941" s="6" t="s">
        <v>179</v>
      </c>
      <c r="J3941" s="15">
        <v>64</v>
      </c>
    </row>
    <row r="3942" spans="1:10">
      <c r="A3942" s="6" t="s">
        <v>143</v>
      </c>
      <c r="B3942" s="6" t="s">
        <v>90</v>
      </c>
      <c r="C3942" s="6" t="s">
        <v>290</v>
      </c>
      <c r="D3942" s="6">
        <v>0.006833333333333333</v>
      </c>
      <c r="E3942" s="6" t="s">
        <v>90</v>
      </c>
      <c r="F3942" s="6" t="s">
        <v>53</v>
      </c>
      <c r="G3942" s="7">
        <v>33776.0793312915</v>
      </c>
      <c r="H3942" s="6">
        <v>230.8032087638253</v>
      </c>
      <c r="I3942" s="6" t="s">
        <v>180</v>
      </c>
      <c r="J3942" s="15">
        <v>4.062223754214076</v>
      </c>
    </row>
    <row r="3943" spans="1:10">
      <c r="A3943" s="6" t="s">
        <v>143</v>
      </c>
      <c r="B3943" s="6" t="s">
        <v>90</v>
      </c>
      <c r="C3943" s="6" t="s">
        <v>291</v>
      </c>
      <c r="D3943" s="6">
        <v>0.004333333333333333</v>
      </c>
      <c r="E3943" s="6" t="s">
        <v>90</v>
      </c>
      <c r="F3943" s="6" t="s">
        <v>51</v>
      </c>
      <c r="G3943" s="7">
        <v>52631.38079889913</v>
      </c>
      <c r="H3943" s="6">
        <v>228.0693167952296</v>
      </c>
      <c r="I3943" s="6" t="s">
        <v>180</v>
      </c>
      <c r="J3943" s="15">
        <v>10.10389870051373</v>
      </c>
    </row>
    <row r="3944" spans="1:10">
      <c r="A3944" s="6" t="s">
        <v>143</v>
      </c>
      <c r="B3944" s="6" t="s">
        <v>90</v>
      </c>
      <c r="C3944" s="6" t="s">
        <v>292</v>
      </c>
      <c r="D3944" s="6">
        <v>14.54716666666667</v>
      </c>
      <c r="E3944" s="6" t="s">
        <v>90</v>
      </c>
      <c r="F3944" s="6" t="s">
        <v>54</v>
      </c>
      <c r="G3944" s="7">
        <v>102155.1088842532</v>
      </c>
      <c r="H3944" s="6">
        <v>1486067.394790712</v>
      </c>
      <c r="I3944" s="6" t="s">
        <v>179</v>
      </c>
      <c r="J3944" s="15">
        <v>55</v>
      </c>
    </row>
    <row r="3945" spans="1:10">
      <c r="A3945" s="6" t="s">
        <v>143</v>
      </c>
      <c r="B3945" s="6" t="s">
        <v>90</v>
      </c>
      <c r="C3945" s="6" t="s">
        <v>293</v>
      </c>
      <c r="D3945" s="6">
        <v>430.333</v>
      </c>
      <c r="E3945" s="6" t="s">
        <v>90</v>
      </c>
      <c r="F3945" s="6" t="s">
        <v>53</v>
      </c>
      <c r="G3945" s="7">
        <v>41041.87189365314</v>
      </c>
      <c r="H3945" s="6">
        <v>17661671.85761144</v>
      </c>
      <c r="I3945" s="6" t="s">
        <v>179</v>
      </c>
      <c r="J3945" s="15">
        <v>18</v>
      </c>
    </row>
    <row r="3946" spans="1:10">
      <c r="A3946" s="6" t="s">
        <v>143</v>
      </c>
      <c r="B3946" s="6" t="s">
        <v>90</v>
      </c>
      <c r="C3946" s="6" t="s">
        <v>371</v>
      </c>
      <c r="D3946" s="6">
        <v>0.4140833333333334</v>
      </c>
      <c r="E3946" s="6" t="s">
        <v>90</v>
      </c>
      <c r="F3946" s="6" t="s">
        <v>55</v>
      </c>
      <c r="G3946" s="7">
        <v>51459.79003816719</v>
      </c>
      <c r="H3946" s="6">
        <v>21308.64139163773</v>
      </c>
      <c r="I3946" s="6" t="s">
        <v>180</v>
      </c>
      <c r="J3946" s="15">
        <v>9.72849390740604</v>
      </c>
    </row>
    <row r="3947" spans="1:10">
      <c r="A3947" s="6" t="s">
        <v>143</v>
      </c>
      <c r="B3947" s="6" t="s">
        <v>90</v>
      </c>
      <c r="C3947" s="6" t="s">
        <v>294</v>
      </c>
      <c r="D3947" s="6">
        <v>0.21075</v>
      </c>
      <c r="E3947" s="6" t="s">
        <v>90</v>
      </c>
      <c r="F3947" s="6" t="s">
        <v>54</v>
      </c>
      <c r="G3947" s="7">
        <v>73336.4313640656</v>
      </c>
      <c r="H3947" s="6">
        <v>15455.65290997682</v>
      </c>
      <c r="I3947" s="6" t="s">
        <v>180</v>
      </c>
      <c r="J3947" s="15">
        <v>16.73827606522132</v>
      </c>
    </row>
    <row r="3948" spans="1:10">
      <c r="A3948" s="6" t="s">
        <v>143</v>
      </c>
      <c r="B3948" s="6" t="s">
        <v>90</v>
      </c>
      <c r="C3948" s="6" t="s">
        <v>295</v>
      </c>
      <c r="D3948" s="6">
        <v>7.973166666666666</v>
      </c>
      <c r="E3948" s="6" t="s">
        <v>90</v>
      </c>
      <c r="F3948" s="6" t="s">
        <v>53</v>
      </c>
      <c r="G3948" s="7">
        <v>29529.16394109224</v>
      </c>
      <c r="H3948" s="6">
        <v>235440.9456296519</v>
      </c>
      <c r="I3948" s="6" t="s">
        <v>179</v>
      </c>
      <c r="J3948" s="15">
        <v>15</v>
      </c>
    </row>
    <row r="3949" spans="1:10">
      <c r="A3949" s="6" t="s">
        <v>143</v>
      </c>
      <c r="B3949" s="6" t="s">
        <v>90</v>
      </c>
      <c r="C3949" s="6" t="s">
        <v>296</v>
      </c>
      <c r="D3949" s="6">
        <v>49.07875</v>
      </c>
      <c r="E3949" s="6" t="s">
        <v>90</v>
      </c>
      <c r="F3949" s="6" t="s">
        <v>61</v>
      </c>
      <c r="G3949" s="7">
        <v>58003.92647416519</v>
      </c>
      <c r="H3949" s="6">
        <v>2846760.206443935</v>
      </c>
      <c r="I3949" s="6" t="s">
        <v>179</v>
      </c>
      <c r="J3949" s="15">
        <v>13</v>
      </c>
    </row>
    <row r="3950" spans="1:10">
      <c r="A3950" s="6" t="s">
        <v>143</v>
      </c>
      <c r="B3950" s="6" t="s">
        <v>90</v>
      </c>
      <c r="C3950" s="6" t="s">
        <v>297</v>
      </c>
      <c r="D3950" s="6">
        <v>0.04833333333333334</v>
      </c>
      <c r="E3950" s="6" t="s">
        <v>90</v>
      </c>
      <c r="F3950" s="6" t="s">
        <v>52</v>
      </c>
      <c r="G3950" s="7">
        <v>86676.57256067361</v>
      </c>
      <c r="H3950" s="6">
        <v>4189.367673765892</v>
      </c>
      <c r="I3950" s="6" t="s">
        <v>179</v>
      </c>
      <c r="J3950" s="15">
        <v>50</v>
      </c>
    </row>
    <row r="3951" spans="1:10">
      <c r="A3951" s="6" t="s">
        <v>143</v>
      </c>
      <c r="B3951" s="6" t="s">
        <v>90</v>
      </c>
      <c r="C3951" s="6" t="s">
        <v>298</v>
      </c>
      <c r="D3951" s="6">
        <v>14.96525</v>
      </c>
      <c r="E3951" s="6" t="s">
        <v>90</v>
      </c>
      <c r="F3951" s="6" t="s">
        <v>56</v>
      </c>
      <c r="G3951" s="7">
        <v>48595.16583801468</v>
      </c>
      <c r="H3951" s="6">
        <v>727238.8055573492</v>
      </c>
      <c r="I3951" s="6" t="s">
        <v>179</v>
      </c>
      <c r="J3951" s="15">
        <v>63.75</v>
      </c>
    </row>
    <row r="3952" spans="1:10">
      <c r="A3952" s="6" t="s">
        <v>143</v>
      </c>
      <c r="B3952" s="6" t="s">
        <v>90</v>
      </c>
      <c r="C3952" s="6" t="s">
        <v>299</v>
      </c>
      <c r="D3952" s="6">
        <v>0.3615</v>
      </c>
      <c r="E3952" s="6" t="s">
        <v>90</v>
      </c>
      <c r="F3952" s="6" t="s">
        <v>53</v>
      </c>
      <c r="G3952" s="7">
        <v>25973.79370043561</v>
      </c>
      <c r="H3952" s="6">
        <v>9389.526422707475</v>
      </c>
      <c r="I3952" s="6" t="s">
        <v>179</v>
      </c>
      <c r="J3952" s="15">
        <v>14</v>
      </c>
    </row>
    <row r="3953" spans="1:10">
      <c r="A3953" s="6" t="s">
        <v>143</v>
      </c>
      <c r="B3953" s="6" t="s">
        <v>90</v>
      </c>
      <c r="C3953" s="6" t="s">
        <v>301</v>
      </c>
      <c r="D3953" s="6">
        <v>2.359833333333333</v>
      </c>
      <c r="E3953" s="6" t="s">
        <v>90</v>
      </c>
      <c r="F3953" s="6" t="s">
        <v>59</v>
      </c>
      <c r="G3953" s="7">
        <v>77898.61399430037</v>
      </c>
      <c r="H3953" s="6">
        <v>183827.7459242165</v>
      </c>
      <c r="I3953" s="6" t="s">
        <v>180</v>
      </c>
      <c r="J3953" s="15">
        <v>18.20010495959805</v>
      </c>
    </row>
    <row r="3954" spans="1:10">
      <c r="A3954" s="6" t="s">
        <v>143</v>
      </c>
      <c r="B3954" s="6" t="s">
        <v>90</v>
      </c>
      <c r="C3954" s="6" t="s">
        <v>302</v>
      </c>
      <c r="D3954" s="6">
        <v>106.7463333333333</v>
      </c>
      <c r="E3954" s="6" t="s">
        <v>90</v>
      </c>
      <c r="F3954" s="6" t="s">
        <v>52</v>
      </c>
      <c r="G3954" s="7">
        <v>75366.35678233257</v>
      </c>
      <c r="H3954" s="6">
        <v>8045082.2432058</v>
      </c>
      <c r="I3954" s="6" t="s">
        <v>179</v>
      </c>
      <c r="J3954" s="15">
        <v>59.01666666666667</v>
      </c>
    </row>
    <row r="3955" spans="1:10">
      <c r="A3955" s="6" t="s">
        <v>143</v>
      </c>
      <c r="B3955" s="6" t="s">
        <v>90</v>
      </c>
      <c r="C3955" s="6" t="s">
        <v>303</v>
      </c>
      <c r="D3955" s="6">
        <v>0.172</v>
      </c>
      <c r="E3955" s="6" t="s">
        <v>90</v>
      </c>
      <c r="F3955" s="6" t="s">
        <v>53</v>
      </c>
      <c r="G3955" s="7">
        <v>31792.00581425614</v>
      </c>
      <c r="H3955" s="6">
        <v>5468.225000052056</v>
      </c>
      <c r="I3955" s="6" t="s">
        <v>180</v>
      </c>
      <c r="J3955" s="15">
        <v>14</v>
      </c>
    </row>
    <row r="3956" spans="1:10">
      <c r="A3956" s="6" t="s">
        <v>143</v>
      </c>
      <c r="B3956" s="6" t="s">
        <v>90</v>
      </c>
      <c r="C3956" s="6" t="s">
        <v>361</v>
      </c>
      <c r="D3956" s="6">
        <v>4.722</v>
      </c>
      <c r="E3956" s="6" t="s">
        <v>90</v>
      </c>
      <c r="F3956" s="6" t="s">
        <v>52</v>
      </c>
      <c r="G3956" s="7">
        <v>77309.29947361469</v>
      </c>
      <c r="H3956" s="6">
        <v>365054.5121144086</v>
      </c>
      <c r="I3956" s="6" t="s">
        <v>179</v>
      </c>
      <c r="J3956" s="15">
        <v>52</v>
      </c>
    </row>
    <row r="3957" spans="1:10">
      <c r="A3957" s="6" t="s">
        <v>143</v>
      </c>
      <c r="B3957" s="6" t="s">
        <v>90</v>
      </c>
      <c r="C3957" s="6" t="s">
        <v>305</v>
      </c>
      <c r="D3957" s="6">
        <v>67.97133333333335</v>
      </c>
      <c r="E3957" s="6" t="s">
        <v>90</v>
      </c>
      <c r="F3957" s="6" t="s">
        <v>54</v>
      </c>
      <c r="G3957" s="7">
        <v>98512.45602947168</v>
      </c>
      <c r="H3957" s="6">
        <v>6696022.986264564</v>
      </c>
      <c r="I3957" s="6" t="s">
        <v>179</v>
      </c>
      <c r="J3957" s="15">
        <v>67</v>
      </c>
    </row>
    <row r="3958" spans="1:10">
      <c r="A3958" s="6" t="s">
        <v>143</v>
      </c>
      <c r="B3958" s="6" t="s">
        <v>90</v>
      </c>
      <c r="C3958" s="6" t="s">
        <v>306</v>
      </c>
      <c r="D3958" s="6">
        <v>2.177333333333333</v>
      </c>
      <c r="E3958" s="6" t="s">
        <v>90</v>
      </c>
      <c r="F3958" s="6" t="s">
        <v>57</v>
      </c>
      <c r="G3958" s="7">
        <v>50865.11911120607</v>
      </c>
      <c r="H3958" s="6">
        <v>110750.3193447994</v>
      </c>
      <c r="I3958" s="6" t="s">
        <v>179</v>
      </c>
      <c r="J3958" s="15">
        <v>39</v>
      </c>
    </row>
    <row r="3959" spans="1:10">
      <c r="A3959" s="6" t="s">
        <v>143</v>
      </c>
      <c r="B3959" s="6" t="s">
        <v>90</v>
      </c>
      <c r="C3959" s="6" t="s">
        <v>307</v>
      </c>
      <c r="D3959" s="6">
        <v>0.09833333333333333</v>
      </c>
      <c r="E3959" s="6" t="s">
        <v>90</v>
      </c>
      <c r="F3959" s="6" t="s">
        <v>53</v>
      </c>
      <c r="G3959" s="7">
        <v>34610.3479059413</v>
      </c>
      <c r="H3959" s="6">
        <v>3403.350877417561</v>
      </c>
      <c r="I3959" s="6" t="s">
        <v>180</v>
      </c>
      <c r="J3959" s="15">
        <v>13.5</v>
      </c>
    </row>
    <row r="3960" spans="1:10">
      <c r="A3960" s="6" t="s">
        <v>143</v>
      </c>
      <c r="B3960" s="6" t="s">
        <v>90</v>
      </c>
      <c r="C3960" s="6" t="s">
        <v>362</v>
      </c>
      <c r="D3960" s="6">
        <v>139.13325</v>
      </c>
      <c r="E3960" s="6" t="s">
        <v>90</v>
      </c>
      <c r="F3960" s="6" t="s">
        <v>52</v>
      </c>
      <c r="G3960" s="7">
        <v>56852.15728722059</v>
      </c>
      <c r="H3960" s="6">
        <v>7910025.412882185</v>
      </c>
      <c r="I3960" s="6" t="s">
        <v>179</v>
      </c>
      <c r="J3960" s="15">
        <v>69</v>
      </c>
    </row>
    <row r="3961" spans="1:10">
      <c r="A3961" s="6" t="s">
        <v>143</v>
      </c>
      <c r="B3961" s="6" t="s">
        <v>90</v>
      </c>
      <c r="C3961" s="6" t="s">
        <v>308</v>
      </c>
      <c r="D3961" s="6">
        <v>0.1401666666666667</v>
      </c>
      <c r="E3961" s="6" t="s">
        <v>90</v>
      </c>
      <c r="F3961" s="6" t="s">
        <v>54</v>
      </c>
      <c r="G3961" s="7">
        <v>61958.4525384317</v>
      </c>
      <c r="H3961" s="6">
        <v>8684.509764136843</v>
      </c>
      <c r="I3961" s="6" t="s">
        <v>180</v>
      </c>
      <c r="J3961" s="15">
        <v>13.09250833626427</v>
      </c>
    </row>
    <row r="3962" spans="1:10">
      <c r="A3962" s="6" t="s">
        <v>143</v>
      </c>
      <c r="B3962" s="6" t="s">
        <v>90</v>
      </c>
      <c r="C3962" s="6" t="s">
        <v>309</v>
      </c>
      <c r="D3962" s="6">
        <v>322.4103333333333</v>
      </c>
      <c r="E3962" s="6" t="s">
        <v>90</v>
      </c>
      <c r="F3962" s="6" t="s">
        <v>52</v>
      </c>
      <c r="G3962" s="7">
        <v>73075.41331885532</v>
      </c>
      <c r="H3962" s="6">
        <v>23560268.36660325</v>
      </c>
      <c r="I3962" s="6" t="s">
        <v>179</v>
      </c>
      <c r="J3962" s="15">
        <v>52</v>
      </c>
    </row>
    <row r="3963" spans="1:10">
      <c r="A3963" s="6" t="s">
        <v>143</v>
      </c>
      <c r="B3963" s="6" t="s">
        <v>90</v>
      </c>
      <c r="C3963" s="6" t="s">
        <v>310</v>
      </c>
      <c r="D3963" s="6">
        <v>18.93475</v>
      </c>
      <c r="E3963" s="6" t="s">
        <v>90</v>
      </c>
      <c r="F3963" s="6" t="s">
        <v>52</v>
      </c>
      <c r="G3963" s="7">
        <v>72589.43692380768</v>
      </c>
      <c r="H3963" s="6">
        <v>1374462.840793067</v>
      </c>
      <c r="I3963" s="6" t="s">
        <v>179</v>
      </c>
      <c r="J3963" s="15">
        <v>75.54166666666666</v>
      </c>
    </row>
    <row r="3964" spans="1:10">
      <c r="A3964" s="6" t="s">
        <v>143</v>
      </c>
      <c r="B3964" s="6" t="s">
        <v>90</v>
      </c>
      <c r="C3964" s="6" t="s">
        <v>311</v>
      </c>
      <c r="D3964" s="6">
        <v>2.588916666666667</v>
      </c>
      <c r="E3964" s="6" t="s">
        <v>90</v>
      </c>
      <c r="F3964" s="6" t="s">
        <v>51</v>
      </c>
      <c r="G3964" s="7">
        <v>52856.52992243581</v>
      </c>
      <c r="H3964" s="6">
        <v>136841.1512583594</v>
      </c>
      <c r="I3964" s="6" t="s">
        <v>180</v>
      </c>
      <c r="J3964" s="15">
        <v>10.1760416901758</v>
      </c>
    </row>
    <row r="3965" spans="1:10">
      <c r="A3965" s="6" t="s">
        <v>143</v>
      </c>
      <c r="B3965" s="6" t="s">
        <v>90</v>
      </c>
      <c r="C3965" s="6" t="s">
        <v>312</v>
      </c>
      <c r="D3965" s="6">
        <v>36.98800000000001</v>
      </c>
      <c r="E3965" s="6" t="s">
        <v>90</v>
      </c>
      <c r="F3965" s="6" t="s">
        <v>54</v>
      </c>
      <c r="G3965" s="7">
        <v>98038.89341868946</v>
      </c>
      <c r="H3965" s="6">
        <v>3626262.589770487</v>
      </c>
      <c r="I3965" s="6" t="s">
        <v>179</v>
      </c>
      <c r="J3965" s="15">
        <v>97.98333333333333</v>
      </c>
    </row>
    <row r="3966" spans="1:10">
      <c r="A3966" s="6" t="s">
        <v>143</v>
      </c>
      <c r="B3966" s="6" t="s">
        <v>90</v>
      </c>
      <c r="C3966" s="6" t="s">
        <v>313</v>
      </c>
      <c r="D3966" s="6">
        <v>24.502</v>
      </c>
      <c r="E3966" s="6" t="s">
        <v>90</v>
      </c>
      <c r="F3966" s="6" t="s">
        <v>51</v>
      </c>
      <c r="G3966" s="7">
        <v>52321.25291717758</v>
      </c>
      <c r="H3966" s="6">
        <v>1281975.338976685</v>
      </c>
      <c r="I3966" s="6" t="s">
        <v>180</v>
      </c>
      <c r="J3966" s="15">
        <v>10.00452655012064</v>
      </c>
    </row>
    <row r="3967" spans="1:10">
      <c r="A3967" s="6" t="s">
        <v>143</v>
      </c>
      <c r="B3967" s="6" t="s">
        <v>90</v>
      </c>
      <c r="C3967" s="6" t="s">
        <v>314</v>
      </c>
      <c r="D3967" s="6">
        <v>1.538583333333333</v>
      </c>
      <c r="E3967" s="6" t="s">
        <v>90</v>
      </c>
      <c r="F3967" s="6" t="s">
        <v>51</v>
      </c>
      <c r="G3967" s="7">
        <v>58052.11180989485</v>
      </c>
      <c r="H3967" s="6">
        <v>89318.01169550738</v>
      </c>
      <c r="I3967" s="6" t="s">
        <v>180</v>
      </c>
      <c r="J3967" s="15">
        <v>11.84082636491759</v>
      </c>
    </row>
    <row r="3968" spans="1:10">
      <c r="A3968" s="6" t="s">
        <v>143</v>
      </c>
      <c r="B3968" s="6" t="s">
        <v>90</v>
      </c>
      <c r="C3968" s="6" t="s">
        <v>315</v>
      </c>
      <c r="D3968" s="6">
        <v>3.810416666666667</v>
      </c>
      <c r="E3968" s="6" t="s">
        <v>90</v>
      </c>
      <c r="F3968" s="6" t="s">
        <v>51</v>
      </c>
      <c r="G3968" s="7">
        <v>56453.56097958141</v>
      </c>
      <c r="H3968" s="6">
        <v>215111.58964928</v>
      </c>
      <c r="I3968" s="6" t="s">
        <v>180</v>
      </c>
      <c r="J3968" s="15">
        <v>11.32861368465454</v>
      </c>
    </row>
    <row r="3969" spans="1:10">
      <c r="A3969" s="6" t="s">
        <v>143</v>
      </c>
      <c r="B3969" s="6" t="s">
        <v>86</v>
      </c>
      <c r="C3969" s="6" t="s">
        <v>316</v>
      </c>
      <c r="D3969" s="6">
        <v>1.882916666666667</v>
      </c>
      <c r="E3969" s="6" t="s">
        <v>90</v>
      </c>
      <c r="F3969" s="6" t="s">
        <v>54</v>
      </c>
      <c r="G3969" s="7">
        <v>83552.76780903985</v>
      </c>
      <c r="H3969" s="6">
        <v>157322.8990537713</v>
      </c>
      <c r="I3969" s="6" t="s">
        <v>180</v>
      </c>
      <c r="J3969" s="15">
        <v>18.34838172284276</v>
      </c>
    </row>
    <row r="3970" spans="1:10">
      <c r="A3970" s="6" t="s">
        <v>143</v>
      </c>
      <c r="B3970" s="6" t="s">
        <v>90</v>
      </c>
      <c r="C3970" s="6" t="s">
        <v>317</v>
      </c>
      <c r="D3970" s="6">
        <v>0.227</v>
      </c>
      <c r="E3970" s="6" t="s">
        <v>90</v>
      </c>
      <c r="F3970" s="6" t="s">
        <v>51</v>
      </c>
      <c r="G3970" s="7">
        <v>51588.11271374751</v>
      </c>
      <c r="H3970" s="6">
        <v>11710.50158602069</v>
      </c>
      <c r="I3970" s="6" t="s">
        <v>180</v>
      </c>
      <c r="J3970" s="15">
        <v>9.769611462350877</v>
      </c>
    </row>
    <row r="3971" spans="1:10">
      <c r="A3971" s="6" t="s">
        <v>143</v>
      </c>
      <c r="B3971" s="6" t="s">
        <v>90</v>
      </c>
      <c r="C3971" s="6" t="s">
        <v>319</v>
      </c>
      <c r="D3971" s="6">
        <v>19.55266666666667</v>
      </c>
      <c r="E3971" s="6" t="s">
        <v>90</v>
      </c>
      <c r="F3971" s="6" t="s">
        <v>52</v>
      </c>
      <c r="G3971" s="7">
        <v>59918.03179942394</v>
      </c>
      <c r="H3971" s="6">
        <v>1171557.30309687</v>
      </c>
      <c r="I3971" s="6" t="s">
        <v>180</v>
      </c>
      <c r="J3971" s="15">
        <v>12.43871031134531</v>
      </c>
    </row>
    <row r="3972" spans="1:10">
      <c r="A3972" s="6" t="s">
        <v>143</v>
      </c>
      <c r="B3972" s="6" t="s">
        <v>90</v>
      </c>
      <c r="C3972" s="6" t="s">
        <v>320</v>
      </c>
      <c r="D3972" s="6">
        <v>30.7435</v>
      </c>
      <c r="E3972" s="6" t="s">
        <v>90</v>
      </c>
      <c r="F3972" s="6" t="s">
        <v>51</v>
      </c>
      <c r="G3972" s="7">
        <v>50478.21140108545</v>
      </c>
      <c r="H3972" s="6">
        <v>1551876.89220927</v>
      </c>
      <c r="I3972" s="6" t="s">
        <v>180</v>
      </c>
      <c r="J3972" s="15">
        <v>9.413973396043877</v>
      </c>
    </row>
    <row r="3973" spans="1:10">
      <c r="A3973" s="6" t="s">
        <v>143</v>
      </c>
      <c r="B3973" s="6" t="s">
        <v>90</v>
      </c>
      <c r="C3973" s="6" t="s">
        <v>321</v>
      </c>
      <c r="D3973" s="6">
        <v>0.2525</v>
      </c>
      <c r="E3973" s="6" t="s">
        <v>90</v>
      </c>
      <c r="F3973" s="6" t="s">
        <v>54</v>
      </c>
      <c r="G3973" s="7">
        <v>49362.0809529337</v>
      </c>
      <c r="H3973" s="6">
        <v>12463.92544061576</v>
      </c>
      <c r="I3973" s="6" t="s">
        <v>180</v>
      </c>
      <c r="J3973" s="15">
        <v>9.05633937056912</v>
      </c>
    </row>
    <row r="3974" spans="1:10">
      <c r="A3974" s="6" t="s">
        <v>143</v>
      </c>
      <c r="B3974" s="6" t="s">
        <v>90</v>
      </c>
      <c r="C3974" s="6" t="s">
        <v>322</v>
      </c>
      <c r="D3974" s="6">
        <v>1.595166666666667</v>
      </c>
      <c r="E3974" s="6" t="s">
        <v>90</v>
      </c>
      <c r="F3974" s="6" t="s">
        <v>51</v>
      </c>
      <c r="G3974" s="7">
        <v>51362.83162893766</v>
      </c>
      <c r="H3974" s="6">
        <v>81932.27692009373</v>
      </c>
      <c r="I3974" s="6" t="s">
        <v>180</v>
      </c>
      <c r="J3974" s="15">
        <v>9.697426189242986</v>
      </c>
    </row>
    <row r="3975" spans="1:10">
      <c r="A3975" s="6" t="s">
        <v>143</v>
      </c>
      <c r="B3975" s="6" t="s">
        <v>90</v>
      </c>
      <c r="C3975" s="6" t="s">
        <v>323</v>
      </c>
      <c r="D3975" s="6">
        <v>24.05325</v>
      </c>
      <c r="E3975" s="6" t="s">
        <v>90</v>
      </c>
      <c r="F3975" s="6" t="s">
        <v>55</v>
      </c>
      <c r="G3975" s="7">
        <v>54663.87536141942</v>
      </c>
      <c r="H3975" s="6">
        <v>1314843.860037062</v>
      </c>
      <c r="I3975" s="6" t="s">
        <v>180</v>
      </c>
      <c r="J3975" s="15">
        <v>20.61666666666667</v>
      </c>
    </row>
    <row r="3976" spans="1:10">
      <c r="A3976" s="6" t="s">
        <v>143</v>
      </c>
      <c r="B3976" s="6" t="s">
        <v>90</v>
      </c>
      <c r="C3976" s="6" t="s">
        <v>324</v>
      </c>
      <c r="D3976" s="6">
        <v>26.03916666666667</v>
      </c>
      <c r="E3976" s="6" t="s">
        <v>90</v>
      </c>
      <c r="F3976" s="6" t="s">
        <v>51</v>
      </c>
      <c r="G3976" s="7">
        <v>52939.45685818696</v>
      </c>
      <c r="H3976" s="6">
        <v>1378499.34037314</v>
      </c>
      <c r="I3976" s="6" t="s">
        <v>180</v>
      </c>
      <c r="J3976" s="15">
        <v>10.20261339951505</v>
      </c>
    </row>
    <row r="3977" spans="1:10">
      <c r="A3977" s="6" t="s">
        <v>143</v>
      </c>
      <c r="B3977" s="6" t="s">
        <v>90</v>
      </c>
      <c r="C3977" s="6" t="s">
        <v>372</v>
      </c>
      <c r="D3977" s="6">
        <v>2.02625</v>
      </c>
      <c r="E3977" s="6" t="s">
        <v>90</v>
      </c>
      <c r="F3977" s="6" t="s">
        <v>55</v>
      </c>
      <c r="G3977" s="7">
        <v>87811.98275494319</v>
      </c>
      <c r="H3977" s="6">
        <v>177929.0300572037</v>
      </c>
      <c r="I3977" s="6" t="s">
        <v>180</v>
      </c>
      <c r="J3977" s="15">
        <v>21.37657772920605</v>
      </c>
    </row>
    <row r="3978" spans="1:10">
      <c r="A3978" s="6" t="s">
        <v>143</v>
      </c>
      <c r="B3978" s="6" t="s">
        <v>90</v>
      </c>
      <c r="C3978" s="6" t="s">
        <v>325</v>
      </c>
      <c r="D3978" s="6">
        <v>0.3846666666666667</v>
      </c>
      <c r="E3978" s="6" t="s">
        <v>90</v>
      </c>
      <c r="F3978" s="6" t="s">
        <v>53</v>
      </c>
      <c r="G3978" s="7">
        <v>27183.84720656899</v>
      </c>
      <c r="H3978" s="6">
        <v>10456.71989212687</v>
      </c>
      <c r="I3978" s="6" t="s">
        <v>179</v>
      </c>
      <c r="J3978" s="15">
        <v>16</v>
      </c>
    </row>
    <row r="3979" spans="1:10">
      <c r="A3979" s="6" t="s">
        <v>143</v>
      </c>
      <c r="B3979" s="6" t="s">
        <v>90</v>
      </c>
      <c r="C3979" s="6" t="s">
        <v>364</v>
      </c>
      <c r="D3979" s="6">
        <v>4.36225</v>
      </c>
      <c r="E3979" s="6" t="s">
        <v>90</v>
      </c>
      <c r="F3979" s="6" t="s">
        <v>52</v>
      </c>
      <c r="G3979" s="7">
        <v>51274.29567237874</v>
      </c>
      <c r="H3979" s="6">
        <v>223671.2962968342</v>
      </c>
      <c r="I3979" s="6" t="s">
        <v>179</v>
      </c>
      <c r="J3979" s="15">
        <v>65</v>
      </c>
    </row>
    <row r="3980" spans="1:10">
      <c r="A3980" s="6" t="s">
        <v>143</v>
      </c>
      <c r="B3980" s="6" t="s">
        <v>90</v>
      </c>
      <c r="C3980" s="6" t="s">
        <v>326</v>
      </c>
      <c r="D3980" s="6">
        <v>80.4315</v>
      </c>
      <c r="E3980" s="6" t="s">
        <v>90</v>
      </c>
      <c r="F3980" s="6" t="s">
        <v>54</v>
      </c>
      <c r="G3980" s="7">
        <v>73204.69251441542</v>
      </c>
      <c r="H3980" s="6">
        <v>5887963.225973204</v>
      </c>
      <c r="I3980" s="6" t="s">
        <v>179</v>
      </c>
      <c r="J3980" s="15">
        <v>50.55</v>
      </c>
    </row>
    <row r="3981" spans="1:10">
      <c r="A3981" s="6" t="s">
        <v>143</v>
      </c>
      <c r="B3981" s="6" t="s">
        <v>90</v>
      </c>
      <c r="C3981" s="6" t="s">
        <v>373</v>
      </c>
      <c r="D3981" s="6">
        <v>0.2753333333333334</v>
      </c>
      <c r="E3981" s="6" t="s">
        <v>90</v>
      </c>
      <c r="F3981" s="6" t="s">
        <v>55</v>
      </c>
      <c r="G3981" s="7">
        <v>59139.33667023354</v>
      </c>
      <c r="H3981" s="6">
        <v>16283.03069653764</v>
      </c>
      <c r="I3981" s="6" t="s">
        <v>180</v>
      </c>
      <c r="J3981" s="15">
        <v>12.18919837111368</v>
      </c>
    </row>
    <row r="3982" spans="1:10">
      <c r="A3982" s="6" t="s">
        <v>143</v>
      </c>
      <c r="B3982" s="6" t="s">
        <v>90</v>
      </c>
      <c r="C3982" s="6" t="s">
        <v>374</v>
      </c>
      <c r="D3982" s="6">
        <v>0.0575</v>
      </c>
      <c r="E3982" s="6" t="s">
        <v>90</v>
      </c>
      <c r="F3982" s="6" t="s">
        <v>55</v>
      </c>
      <c r="G3982" s="7">
        <v>64140.6251115471</v>
      </c>
      <c r="H3982" s="6">
        <v>3688.085943913958</v>
      </c>
      <c r="I3982" s="6" t="s">
        <v>180</v>
      </c>
      <c r="J3982" s="15">
        <v>13.79172692930257</v>
      </c>
    </row>
    <row r="3983" spans="1:10">
      <c r="A3983" s="6" t="s">
        <v>143</v>
      </c>
      <c r="B3983" s="6" t="s">
        <v>90</v>
      </c>
      <c r="C3983" s="6" t="s">
        <v>327</v>
      </c>
      <c r="D3983" s="6">
        <v>21.34533333333334</v>
      </c>
      <c r="E3983" s="6" t="s">
        <v>90</v>
      </c>
      <c r="F3983" s="6" t="s">
        <v>57</v>
      </c>
      <c r="G3983" s="7">
        <v>43941.25100916271</v>
      </c>
      <c r="H3983" s="6">
        <v>937940.649874248</v>
      </c>
      <c r="I3983" s="6" t="s">
        <v>180</v>
      </c>
      <c r="J3983" s="15">
        <v>7.319380005814523</v>
      </c>
    </row>
    <row r="3984" spans="1:10">
      <c r="A3984" s="6" t="s">
        <v>143</v>
      </c>
      <c r="B3984" s="6" t="s">
        <v>90</v>
      </c>
      <c r="C3984" s="6" t="s">
        <v>328</v>
      </c>
      <c r="D3984" s="6">
        <v>0.3508333333333333</v>
      </c>
      <c r="E3984" s="6" t="s">
        <v>90</v>
      </c>
      <c r="F3984" s="6" t="s">
        <v>58</v>
      </c>
      <c r="G3984" s="7">
        <v>61261.16637247237</v>
      </c>
      <c r="H3984" s="6">
        <v>21492.45920234239</v>
      </c>
      <c r="I3984" s="6" t="s">
        <v>180</v>
      </c>
      <c r="J3984" s="15">
        <v>12.86908171184699</v>
      </c>
    </row>
    <row r="3985" spans="1:10">
      <c r="A3985" s="6" t="s">
        <v>143</v>
      </c>
      <c r="B3985" s="6" t="s">
        <v>90</v>
      </c>
      <c r="C3985" s="6" t="s">
        <v>329</v>
      </c>
      <c r="D3985" s="6">
        <v>76.01233333333334</v>
      </c>
      <c r="E3985" s="6" t="s">
        <v>90</v>
      </c>
      <c r="F3985" s="6" t="s">
        <v>58</v>
      </c>
      <c r="G3985" s="7">
        <v>59375.40509749136</v>
      </c>
      <c r="H3985" s="6">
        <v>4513263.084072214</v>
      </c>
      <c r="I3985" s="6" t="s">
        <v>180</v>
      </c>
      <c r="J3985" s="15">
        <v>12.2648401583864</v>
      </c>
    </row>
    <row r="3986" spans="1:10">
      <c r="A3986" s="6" t="s">
        <v>143</v>
      </c>
      <c r="B3986" s="6" t="s">
        <v>90</v>
      </c>
      <c r="C3986" s="6" t="s">
        <v>330</v>
      </c>
      <c r="D3986" s="6">
        <v>1.315083333333333</v>
      </c>
      <c r="E3986" s="6" t="s">
        <v>90</v>
      </c>
      <c r="F3986" s="6" t="s">
        <v>52</v>
      </c>
      <c r="G3986" s="7">
        <v>59918.03179942394</v>
      </c>
      <c r="H3986" s="6">
        <v>78797.20498555909</v>
      </c>
      <c r="I3986" s="6" t="s">
        <v>180</v>
      </c>
      <c r="J3986" s="15">
        <v>47.43333333333333</v>
      </c>
    </row>
    <row r="3987" spans="1:10">
      <c r="A3987" s="6" t="s">
        <v>143</v>
      </c>
      <c r="B3987" s="6" t="s">
        <v>90</v>
      </c>
      <c r="C3987" s="6" t="s">
        <v>365</v>
      </c>
      <c r="D3987" s="6">
        <v>0.872</v>
      </c>
      <c r="E3987" s="6" t="s">
        <v>90</v>
      </c>
      <c r="F3987" s="6" t="s">
        <v>53</v>
      </c>
      <c r="G3987" s="7">
        <v>52809.46858302614</v>
      </c>
      <c r="H3987" s="6">
        <v>46049.85660439879</v>
      </c>
      <c r="I3987" s="6" t="s">
        <v>179</v>
      </c>
      <c r="J3987" s="15">
        <v>21.15</v>
      </c>
    </row>
    <row r="3988" spans="1:10">
      <c r="A3988" s="6" t="s">
        <v>143</v>
      </c>
      <c r="B3988" s="6" t="s">
        <v>90</v>
      </c>
      <c r="C3988" s="6" t="s">
        <v>331</v>
      </c>
      <c r="D3988" s="6">
        <v>22.69158333333333</v>
      </c>
      <c r="E3988" s="6" t="s">
        <v>90</v>
      </c>
      <c r="F3988" s="6" t="s">
        <v>58</v>
      </c>
      <c r="G3988" s="7">
        <v>62490.71047845359</v>
      </c>
      <c r="H3988" s="6">
        <v>1418013.164381036</v>
      </c>
      <c r="I3988" s="6" t="s">
        <v>180</v>
      </c>
      <c r="J3988" s="15">
        <v>13.26305609794943</v>
      </c>
    </row>
    <row r="3989" spans="1:10">
      <c r="A3989" s="6" t="s">
        <v>143</v>
      </c>
      <c r="B3989" s="6" t="s">
        <v>90</v>
      </c>
      <c r="C3989" s="6" t="s">
        <v>332</v>
      </c>
      <c r="D3989" s="6">
        <v>89.12649999999999</v>
      </c>
      <c r="E3989" s="6" t="s">
        <v>90</v>
      </c>
      <c r="F3989" s="6" t="s">
        <v>55</v>
      </c>
      <c r="G3989" s="7">
        <v>51480.939560739</v>
      </c>
      <c r="H3989" s="6">
        <v>4588315.959760204</v>
      </c>
      <c r="I3989" s="6" t="s">
        <v>179</v>
      </c>
      <c r="J3989" s="15">
        <v>30.66666666666666</v>
      </c>
    </row>
    <row r="3990" spans="1:10">
      <c r="A3990" s="6" t="s">
        <v>143</v>
      </c>
      <c r="B3990" s="6" t="s">
        <v>90</v>
      </c>
      <c r="C3990" s="6" t="s">
        <v>375</v>
      </c>
      <c r="D3990" s="6">
        <v>0.39725</v>
      </c>
      <c r="E3990" s="6" t="s">
        <v>90</v>
      </c>
      <c r="F3990" s="6" t="s">
        <v>55</v>
      </c>
      <c r="G3990" s="7">
        <v>51398.76773903722</v>
      </c>
      <c r="H3990" s="6">
        <v>20418.16048433253</v>
      </c>
      <c r="I3990" s="6" t="s">
        <v>180</v>
      </c>
      <c r="J3990" s="15">
        <v>9.708940950565097</v>
      </c>
    </row>
    <row r="3991" spans="1:10">
      <c r="A3991" s="6" t="s">
        <v>143</v>
      </c>
      <c r="B3991" s="6" t="s">
        <v>90</v>
      </c>
      <c r="C3991" s="6" t="s">
        <v>333</v>
      </c>
      <c r="D3991" s="6">
        <v>18.96441666666667</v>
      </c>
      <c r="E3991" s="6" t="s">
        <v>90</v>
      </c>
      <c r="F3991" s="6" t="s">
        <v>51</v>
      </c>
      <c r="G3991" s="7">
        <v>50361.75765821278</v>
      </c>
      <c r="H3991" s="6">
        <v>955081.3562960381</v>
      </c>
      <c r="I3991" s="6" t="s">
        <v>180</v>
      </c>
      <c r="J3991" s="15">
        <v>9.376658921813627</v>
      </c>
    </row>
    <row r="3992" spans="1:10">
      <c r="A3992" s="6" t="s">
        <v>143</v>
      </c>
      <c r="B3992" s="6" t="s">
        <v>92</v>
      </c>
      <c r="C3992" s="6" t="s">
        <v>195</v>
      </c>
      <c r="D3992" s="6">
        <v>0.042</v>
      </c>
      <c r="E3992" s="6" t="s">
        <v>92</v>
      </c>
      <c r="F3992" s="6" t="s">
        <v>54</v>
      </c>
      <c r="G3992" s="7">
        <v>74005.80825338791</v>
      </c>
      <c r="H3992" s="6">
        <v>3108.243946642292</v>
      </c>
      <c r="I3992" s="6" t="s">
        <v>180</v>
      </c>
      <c r="J3992" s="15">
        <v>20.94906742477332</v>
      </c>
    </row>
    <row r="3993" spans="1:10">
      <c r="A3993" s="6" t="s">
        <v>143</v>
      </c>
      <c r="B3993" s="6" t="s">
        <v>92</v>
      </c>
      <c r="C3993" s="6" t="s">
        <v>197</v>
      </c>
      <c r="D3993" s="6">
        <v>0.213</v>
      </c>
      <c r="E3993" s="6" t="s">
        <v>92</v>
      </c>
      <c r="F3993" s="6" t="s">
        <v>53</v>
      </c>
      <c r="G3993" s="7">
        <v>63461.32463788219</v>
      </c>
      <c r="H3993" s="6">
        <v>13517.26214786891</v>
      </c>
      <c r="I3993" s="6" t="s">
        <v>180</v>
      </c>
      <c r="J3993" s="15">
        <v>17.00096960870551</v>
      </c>
    </row>
    <row r="3994" spans="1:10">
      <c r="A3994" s="6" t="s">
        <v>143</v>
      </c>
      <c r="B3994" s="6" t="s">
        <v>92</v>
      </c>
      <c r="C3994" s="6" t="s">
        <v>199</v>
      </c>
      <c r="D3994" s="6">
        <v>0.1983333333333333</v>
      </c>
      <c r="E3994" s="6" t="s">
        <v>92</v>
      </c>
      <c r="F3994" s="6" t="s">
        <v>57</v>
      </c>
      <c r="G3994" s="7">
        <v>45943.9020712533</v>
      </c>
      <c r="H3994" s="6">
        <v>9112.207244131905</v>
      </c>
      <c r="I3994" s="6" t="s">
        <v>179</v>
      </c>
      <c r="J3994" s="15">
        <v>30.95</v>
      </c>
    </row>
    <row r="3995" spans="1:10">
      <c r="A3995" s="6" t="s">
        <v>143</v>
      </c>
      <c r="B3995" s="6" t="s">
        <v>92</v>
      </c>
      <c r="C3995" s="6" t="s">
        <v>200</v>
      </c>
      <c r="D3995" s="6">
        <v>0.426</v>
      </c>
      <c r="E3995" s="6" t="s">
        <v>92</v>
      </c>
      <c r="F3995" s="6" t="s">
        <v>52</v>
      </c>
      <c r="G3995" s="7">
        <v>77318.80490856594</v>
      </c>
      <c r="H3995" s="6">
        <v>32937.81089104909</v>
      </c>
      <c r="I3995" s="6" t="s">
        <v>180</v>
      </c>
      <c r="J3995" s="15">
        <v>22.18952976848772</v>
      </c>
    </row>
    <row r="3996" spans="1:10">
      <c r="A3996" s="6" t="s">
        <v>143</v>
      </c>
      <c r="B3996" s="6" t="s">
        <v>92</v>
      </c>
      <c r="C3996" s="6" t="s">
        <v>201</v>
      </c>
      <c r="D3996" s="6">
        <v>0.01</v>
      </c>
      <c r="E3996" s="6" t="s">
        <v>92</v>
      </c>
      <c r="F3996" s="6" t="s">
        <v>56</v>
      </c>
      <c r="G3996" s="7">
        <v>64076.14664886126</v>
      </c>
      <c r="H3996" s="6">
        <v>640.7614664886125</v>
      </c>
      <c r="I3996" s="6" t="s">
        <v>180</v>
      </c>
      <c r="J3996" s="15">
        <v>17.23117314709855</v>
      </c>
    </row>
    <row r="3997" spans="1:10">
      <c r="A3997" s="6" t="s">
        <v>143</v>
      </c>
      <c r="B3997" s="6" t="s">
        <v>88</v>
      </c>
      <c r="C3997" s="6" t="s">
        <v>202</v>
      </c>
      <c r="D3997" s="6">
        <v>1.297083333333333</v>
      </c>
      <c r="E3997" s="6" t="s">
        <v>92</v>
      </c>
      <c r="F3997" s="6" t="s">
        <v>54</v>
      </c>
      <c r="G3997" s="7">
        <v>52343.66061009689</v>
      </c>
      <c r="H3997" s="6">
        <v>67894.08978301319</v>
      </c>
      <c r="I3997" s="6" t="s">
        <v>180</v>
      </c>
      <c r="J3997" s="15">
        <v>28.47960950085214</v>
      </c>
    </row>
    <row r="3998" spans="1:10">
      <c r="A3998" s="6" t="s">
        <v>143</v>
      </c>
      <c r="B3998" s="6" t="s">
        <v>92</v>
      </c>
      <c r="C3998" s="6" t="s">
        <v>203</v>
      </c>
      <c r="D3998" s="6">
        <v>0.04533333333333334</v>
      </c>
      <c r="E3998" s="6" t="s">
        <v>92</v>
      </c>
      <c r="F3998" s="6" t="s">
        <v>53</v>
      </c>
      <c r="G3998" s="7">
        <v>53637.98510318315</v>
      </c>
      <c r="H3998" s="6">
        <v>2431.58865801097</v>
      </c>
      <c r="I3998" s="6" t="s">
        <v>179</v>
      </c>
      <c r="J3998" s="15">
        <v>51.68333333333333</v>
      </c>
    </row>
    <row r="3999" spans="1:10">
      <c r="A3999" s="6" t="s">
        <v>143</v>
      </c>
      <c r="B3999" s="6" t="s">
        <v>92</v>
      </c>
      <c r="C3999" s="6" t="s">
        <v>204</v>
      </c>
      <c r="D3999" s="6">
        <v>5.982416666666666</v>
      </c>
      <c r="E3999" s="6" t="s">
        <v>92</v>
      </c>
      <c r="F3999" s="6" t="s">
        <v>51</v>
      </c>
      <c r="G3999" s="7">
        <v>45931.03732154475</v>
      </c>
      <c r="H3999" s="6">
        <v>274778.603189698</v>
      </c>
      <c r="I3999" s="6" t="s">
        <v>179</v>
      </c>
      <c r="J3999" s="15">
        <v>41.54166666666667</v>
      </c>
    </row>
    <row r="4000" spans="1:10">
      <c r="A4000" s="6" t="s">
        <v>143</v>
      </c>
      <c r="B4000" s="6" t="s">
        <v>92</v>
      </c>
      <c r="C4000" s="6" t="s">
        <v>338</v>
      </c>
      <c r="D4000" s="6">
        <v>0.112</v>
      </c>
      <c r="E4000" s="6" t="s">
        <v>92</v>
      </c>
      <c r="F4000" s="6" t="s">
        <v>52</v>
      </c>
      <c r="G4000" s="7">
        <v>77318.80490856594</v>
      </c>
      <c r="H4000" s="6">
        <v>8659.706149759386</v>
      </c>
      <c r="I4000" s="6" t="s">
        <v>180</v>
      </c>
      <c r="J4000" s="15">
        <v>22.18952976848772</v>
      </c>
    </row>
    <row r="4001" spans="1:10">
      <c r="A4001" s="6" t="s">
        <v>143</v>
      </c>
      <c r="B4001" s="6" t="s">
        <v>92</v>
      </c>
      <c r="C4001" s="6" t="s">
        <v>205</v>
      </c>
      <c r="D4001" s="6">
        <v>1.111333333333333</v>
      </c>
      <c r="E4001" s="6" t="s">
        <v>92</v>
      </c>
      <c r="F4001" s="6" t="s">
        <v>56</v>
      </c>
      <c r="G4001" s="7">
        <v>74010.38875195781</v>
      </c>
      <c r="H4001" s="6">
        <v>82250.21203300911</v>
      </c>
      <c r="I4001" s="6" t="s">
        <v>179</v>
      </c>
      <c r="J4001" s="15">
        <v>55</v>
      </c>
    </row>
    <row r="4002" spans="1:10">
      <c r="A4002" s="6" t="s">
        <v>143</v>
      </c>
      <c r="B4002" s="6" t="s">
        <v>92</v>
      </c>
      <c r="C4002" s="6" t="s">
        <v>211</v>
      </c>
      <c r="D4002" s="6">
        <v>10.25733333333333</v>
      </c>
      <c r="E4002" s="6" t="s">
        <v>92</v>
      </c>
      <c r="F4002" s="6" t="s">
        <v>55</v>
      </c>
      <c r="G4002" s="7">
        <v>25336.04217074411</v>
      </c>
      <c r="H4002" s="6">
        <v>259880.2298927126</v>
      </c>
      <c r="I4002" s="6" t="s">
        <v>179</v>
      </c>
      <c r="J4002" s="15">
        <v>16</v>
      </c>
    </row>
    <row r="4003" spans="1:10">
      <c r="A4003" s="6" t="s">
        <v>143</v>
      </c>
      <c r="B4003" s="6" t="s">
        <v>92</v>
      </c>
      <c r="C4003" s="6" t="s">
        <v>215</v>
      </c>
      <c r="D4003" s="6">
        <v>0.3561666666666667</v>
      </c>
      <c r="E4003" s="6" t="s">
        <v>92</v>
      </c>
      <c r="F4003" s="6" t="s">
        <v>54</v>
      </c>
      <c r="G4003" s="7">
        <v>85640.90773693185</v>
      </c>
      <c r="H4003" s="6">
        <v>30502.43663897056</v>
      </c>
      <c r="I4003" s="6" t="s">
        <v>180</v>
      </c>
      <c r="J4003" s="15">
        <v>25.30551697088117</v>
      </c>
    </row>
    <row r="4004" spans="1:10">
      <c r="A4004" s="6" t="s">
        <v>143</v>
      </c>
      <c r="B4004" s="6" t="s">
        <v>92</v>
      </c>
      <c r="C4004" s="6" t="s">
        <v>217</v>
      </c>
      <c r="D4004" s="6">
        <v>0.09458333333333334</v>
      </c>
      <c r="E4004" s="6" t="s">
        <v>92</v>
      </c>
      <c r="F4004" s="6" t="s">
        <v>53</v>
      </c>
      <c r="G4004" s="7">
        <v>65939.82541874713</v>
      </c>
      <c r="H4004" s="6">
        <v>6236.808487523166</v>
      </c>
      <c r="I4004" s="6" t="s">
        <v>180</v>
      </c>
      <c r="J4004" s="15">
        <v>17.92897745402719</v>
      </c>
    </row>
    <row r="4005" spans="1:10">
      <c r="A4005" s="6" t="s">
        <v>143</v>
      </c>
      <c r="B4005" s="6" t="s">
        <v>92</v>
      </c>
      <c r="C4005" s="6" t="s">
        <v>221</v>
      </c>
      <c r="D4005" s="6">
        <v>0.03316666666666667</v>
      </c>
      <c r="E4005" s="6" t="s">
        <v>92</v>
      </c>
      <c r="F4005" s="6" t="s">
        <v>51</v>
      </c>
      <c r="G4005" s="7">
        <v>44450.04061738423</v>
      </c>
      <c r="H4005" s="6">
        <v>1474.259680476577</v>
      </c>
      <c r="I4005" s="6" t="s">
        <v>179</v>
      </c>
      <c r="J4005" s="15">
        <v>39.525</v>
      </c>
    </row>
    <row r="4006" spans="1:10">
      <c r="A4006" s="6" t="s">
        <v>143</v>
      </c>
      <c r="B4006" s="6" t="s">
        <v>92</v>
      </c>
      <c r="C4006" s="6" t="s">
        <v>342</v>
      </c>
      <c r="D4006" s="6">
        <v>0.2923333333333333</v>
      </c>
      <c r="E4006" s="6" t="s">
        <v>92</v>
      </c>
      <c r="F4006" s="6" t="s">
        <v>53</v>
      </c>
      <c r="G4006" s="7">
        <v>46480.71512957623</v>
      </c>
      <c r="H4006" s="6">
        <v>13587.86238954612</v>
      </c>
      <c r="I4006" s="6" t="s">
        <v>180</v>
      </c>
      <c r="J4006" s="15">
        <v>10.64303784458775</v>
      </c>
    </row>
    <row r="4007" spans="1:10">
      <c r="A4007" s="6" t="s">
        <v>143</v>
      </c>
      <c r="B4007" s="6" t="s">
        <v>92</v>
      </c>
      <c r="C4007" s="6" t="s">
        <v>223</v>
      </c>
      <c r="D4007" s="6">
        <v>1.0745</v>
      </c>
      <c r="E4007" s="6" t="s">
        <v>92</v>
      </c>
      <c r="F4007" s="6" t="s">
        <v>53</v>
      </c>
      <c r="G4007" s="7">
        <v>48232.87547336299</v>
      </c>
      <c r="H4007" s="6">
        <v>51826.22469612853</v>
      </c>
      <c r="I4007" s="6" t="s">
        <v>179</v>
      </c>
      <c r="J4007" s="15">
        <v>53.5</v>
      </c>
    </row>
    <row r="4008" spans="1:10">
      <c r="A4008" s="6" t="s">
        <v>143</v>
      </c>
      <c r="B4008" s="6" t="s">
        <v>92</v>
      </c>
      <c r="C4008" s="6" t="s">
        <v>224</v>
      </c>
      <c r="D4008" s="6">
        <v>2.665</v>
      </c>
      <c r="E4008" s="6" t="s">
        <v>92</v>
      </c>
      <c r="F4008" s="6" t="s">
        <v>51</v>
      </c>
      <c r="G4008" s="7">
        <v>46793.10139429578</v>
      </c>
      <c r="H4008" s="6">
        <v>124703.6152157983</v>
      </c>
      <c r="I4008" s="6" t="s">
        <v>179</v>
      </c>
      <c r="J4008" s="15">
        <v>41.85</v>
      </c>
    </row>
    <row r="4009" spans="1:10">
      <c r="A4009" s="6" t="s">
        <v>143</v>
      </c>
      <c r="B4009" s="6" t="s">
        <v>88</v>
      </c>
      <c r="C4009" s="6" t="s">
        <v>226</v>
      </c>
      <c r="D4009" s="6">
        <v>1.0315</v>
      </c>
      <c r="E4009" s="6" t="s">
        <v>92</v>
      </c>
      <c r="F4009" s="6" t="s">
        <v>56</v>
      </c>
      <c r="G4009" s="7">
        <v>43574.43033788576</v>
      </c>
      <c r="H4009" s="6">
        <v>44947.02489352916</v>
      </c>
      <c r="I4009" s="6" t="s">
        <v>180</v>
      </c>
      <c r="J4009" s="15">
        <v>22.57578323357593</v>
      </c>
    </row>
    <row r="4010" spans="1:10">
      <c r="A4010" s="6" t="s">
        <v>143</v>
      </c>
      <c r="B4010" s="6" t="s">
        <v>92</v>
      </c>
      <c r="C4010" s="6" t="s">
        <v>227</v>
      </c>
      <c r="D4010" s="6">
        <v>0.5519999999999999</v>
      </c>
      <c r="E4010" s="6" t="s">
        <v>92</v>
      </c>
      <c r="F4010" s="6" t="s">
        <v>57</v>
      </c>
      <c r="G4010" s="7">
        <v>53193.31448576911</v>
      </c>
      <c r="H4010" s="6">
        <v>29362.70959614455</v>
      </c>
      <c r="I4010" s="6" t="s">
        <v>179</v>
      </c>
      <c r="J4010" s="15">
        <v>43</v>
      </c>
    </row>
    <row r="4011" spans="1:10">
      <c r="A4011" s="6" t="s">
        <v>143</v>
      </c>
      <c r="B4011" s="6" t="s">
        <v>92</v>
      </c>
      <c r="C4011" s="6" t="s">
        <v>229</v>
      </c>
      <c r="D4011" s="6">
        <v>0.08266666666666667</v>
      </c>
      <c r="E4011" s="6" t="s">
        <v>92</v>
      </c>
      <c r="F4011" s="6" t="s">
        <v>53</v>
      </c>
      <c r="G4011" s="7">
        <v>50225.07411158284</v>
      </c>
      <c r="H4011" s="6">
        <v>4151.939459890848</v>
      </c>
      <c r="I4011" s="6" t="s">
        <v>180</v>
      </c>
      <c r="J4011" s="15">
        <v>12.04501219046236</v>
      </c>
    </row>
    <row r="4012" spans="1:10">
      <c r="A4012" s="6" t="s">
        <v>143</v>
      </c>
      <c r="B4012" s="6" t="s">
        <v>92</v>
      </c>
      <c r="C4012" s="6" t="s">
        <v>230</v>
      </c>
      <c r="D4012" s="6">
        <v>0.003</v>
      </c>
      <c r="E4012" s="6" t="s">
        <v>92</v>
      </c>
      <c r="F4012" s="6" t="s">
        <v>53</v>
      </c>
      <c r="G4012" s="7">
        <v>50127.30283720783</v>
      </c>
      <c r="H4012" s="6">
        <v>150.3819085116235</v>
      </c>
      <c r="I4012" s="6" t="s">
        <v>180</v>
      </c>
      <c r="J4012" s="15">
        <v>42.83333333333334</v>
      </c>
    </row>
    <row r="4013" spans="1:10">
      <c r="A4013" s="6" t="s">
        <v>143</v>
      </c>
      <c r="B4013" s="6" t="s">
        <v>92</v>
      </c>
      <c r="C4013" s="6" t="s">
        <v>236</v>
      </c>
      <c r="D4013" s="6">
        <v>2.0955</v>
      </c>
      <c r="E4013" s="6" t="s">
        <v>92</v>
      </c>
      <c r="F4013" s="6" t="s">
        <v>51</v>
      </c>
      <c r="G4013" s="7">
        <v>44660.20742498994</v>
      </c>
      <c r="H4013" s="6">
        <v>93585.46465906641</v>
      </c>
      <c r="I4013" s="6" t="s">
        <v>179</v>
      </c>
      <c r="J4013" s="15">
        <v>46.28333333333333</v>
      </c>
    </row>
    <row r="4014" spans="1:10">
      <c r="A4014" s="6" t="s">
        <v>143</v>
      </c>
      <c r="B4014" s="6" t="s">
        <v>92</v>
      </c>
      <c r="C4014" s="6" t="s">
        <v>237</v>
      </c>
      <c r="D4014" s="6">
        <v>0.06</v>
      </c>
      <c r="E4014" s="6" t="s">
        <v>92</v>
      </c>
      <c r="F4014" s="6" t="s">
        <v>51</v>
      </c>
      <c r="G4014" s="7">
        <v>45814.12048649801</v>
      </c>
      <c r="H4014" s="6">
        <v>2748.847229189881</v>
      </c>
      <c r="I4014" s="6" t="s">
        <v>180</v>
      </c>
      <c r="J4014" s="15">
        <v>10.39344943888626</v>
      </c>
    </row>
    <row r="4015" spans="1:10">
      <c r="A4015" s="6" t="s">
        <v>143</v>
      </c>
      <c r="B4015" s="6" t="s">
        <v>92</v>
      </c>
      <c r="C4015" s="6" t="s">
        <v>245</v>
      </c>
      <c r="D4015" s="6">
        <v>0.1956666666666667</v>
      </c>
      <c r="E4015" s="6" t="s">
        <v>92</v>
      </c>
      <c r="F4015" s="6" t="s">
        <v>53</v>
      </c>
      <c r="G4015" s="7">
        <v>55652.01866398296</v>
      </c>
      <c r="H4015" s="6">
        <v>10889.24498525267</v>
      </c>
      <c r="I4015" s="6" t="s">
        <v>179</v>
      </c>
      <c r="J4015" s="15">
        <v>39</v>
      </c>
    </row>
    <row r="4016" spans="1:10">
      <c r="A4016" s="6" t="s">
        <v>143</v>
      </c>
      <c r="B4016" s="6" t="s">
        <v>92</v>
      </c>
      <c r="C4016" s="6" t="s">
        <v>247</v>
      </c>
      <c r="D4016" s="6">
        <v>0.1738333333333334</v>
      </c>
      <c r="E4016" s="6" t="s">
        <v>92</v>
      </c>
      <c r="F4016" s="6" t="s">
        <v>51</v>
      </c>
      <c r="G4016" s="7">
        <v>46237.23227272295</v>
      </c>
      <c r="H4016" s="6">
        <v>8037.572210075007</v>
      </c>
      <c r="I4016" s="6" t="s">
        <v>179</v>
      </c>
      <c r="J4016" s="15">
        <v>29.3</v>
      </c>
    </row>
    <row r="4017" spans="1:10">
      <c r="A4017" s="6" t="s">
        <v>143</v>
      </c>
      <c r="B4017" s="6" t="s">
        <v>92</v>
      </c>
      <c r="C4017" s="6" t="s">
        <v>249</v>
      </c>
      <c r="D4017" s="6">
        <v>1.7325</v>
      </c>
      <c r="E4017" s="6" t="s">
        <v>92</v>
      </c>
      <c r="F4017" s="6" t="s">
        <v>53</v>
      </c>
      <c r="G4017" s="7">
        <v>38542.7817237839</v>
      </c>
      <c r="H4017" s="6">
        <v>66775.36933645559</v>
      </c>
      <c r="I4017" s="6" t="s">
        <v>179</v>
      </c>
      <c r="J4017" s="15">
        <v>47.575</v>
      </c>
    </row>
    <row r="4018" spans="1:10">
      <c r="A4018" s="6" t="s">
        <v>143</v>
      </c>
      <c r="B4018" s="6" t="s">
        <v>92</v>
      </c>
      <c r="C4018" s="6" t="s">
        <v>253</v>
      </c>
      <c r="D4018" s="6">
        <v>0.04266666666666667</v>
      </c>
      <c r="E4018" s="6" t="s">
        <v>92</v>
      </c>
      <c r="F4018" s="6" t="s">
        <v>53</v>
      </c>
      <c r="G4018" s="7">
        <v>49900.32874056988</v>
      </c>
      <c r="H4018" s="6">
        <v>2129.080692930982</v>
      </c>
      <c r="I4018" s="6" t="s">
        <v>180</v>
      </c>
      <c r="J4018" s="15">
        <v>11.92342003509223</v>
      </c>
    </row>
    <row r="4019" spans="1:10">
      <c r="A4019" s="6" t="s">
        <v>143</v>
      </c>
      <c r="B4019" s="6" t="s">
        <v>92</v>
      </c>
      <c r="C4019" s="6" t="s">
        <v>260</v>
      </c>
      <c r="D4019" s="6">
        <v>7.769833333333334</v>
      </c>
      <c r="E4019" s="6" t="s">
        <v>92</v>
      </c>
      <c r="F4019" s="6" t="s">
        <v>52</v>
      </c>
      <c r="G4019" s="7">
        <v>77318.80490856594</v>
      </c>
      <c r="H4019" s="6">
        <v>600754.2276720726</v>
      </c>
      <c r="I4019" s="6" t="s">
        <v>180</v>
      </c>
      <c r="J4019" s="15">
        <v>22.18952976848772</v>
      </c>
    </row>
    <row r="4020" spans="1:10">
      <c r="A4020" s="6" t="s">
        <v>143</v>
      </c>
      <c r="B4020" s="6" t="s">
        <v>92</v>
      </c>
      <c r="C4020" s="6" t="s">
        <v>266</v>
      </c>
      <c r="D4020" s="6">
        <v>0.2189166666666666</v>
      </c>
      <c r="E4020" s="6" t="s">
        <v>92</v>
      </c>
      <c r="F4020" s="6" t="s">
        <v>57</v>
      </c>
      <c r="G4020" s="7">
        <v>66010.94055680964</v>
      </c>
      <c r="H4020" s="6">
        <v>14450.89507022824</v>
      </c>
      <c r="I4020" s="6" t="s">
        <v>179</v>
      </c>
      <c r="J4020" s="15">
        <v>90.49166666666667</v>
      </c>
    </row>
    <row r="4021" spans="1:10">
      <c r="A4021" s="6" t="s">
        <v>143</v>
      </c>
      <c r="B4021" s="6" t="s">
        <v>92</v>
      </c>
      <c r="C4021" s="6" t="s">
        <v>267</v>
      </c>
      <c r="D4021" s="6">
        <v>0.2386666666666667</v>
      </c>
      <c r="E4021" s="6" t="s">
        <v>92</v>
      </c>
      <c r="F4021" s="6" t="s">
        <v>53</v>
      </c>
      <c r="G4021" s="7">
        <v>48956.37381074637</v>
      </c>
      <c r="H4021" s="6">
        <v>11684.25454949814</v>
      </c>
      <c r="I4021" s="6" t="s">
        <v>179</v>
      </c>
      <c r="J4021" s="15">
        <v>31.05</v>
      </c>
    </row>
    <row r="4022" spans="1:10">
      <c r="A4022" s="6" t="s">
        <v>143</v>
      </c>
      <c r="B4022" s="6" t="s">
        <v>88</v>
      </c>
      <c r="C4022" s="6" t="s">
        <v>271</v>
      </c>
      <c r="D4022" s="6">
        <v>0.3376666666666666</v>
      </c>
      <c r="E4022" s="6" t="s">
        <v>92</v>
      </c>
      <c r="F4022" s="6" t="s">
        <v>54</v>
      </c>
      <c r="G4022" s="7">
        <v>41071.74894263604</v>
      </c>
      <c r="H4022" s="6">
        <v>13868.5605596301</v>
      </c>
      <c r="I4022" s="6" t="s">
        <v>180</v>
      </c>
      <c r="J4022" s="15">
        <v>20.89086954089749</v>
      </c>
    </row>
    <row r="4023" spans="1:10">
      <c r="A4023" s="6" t="s">
        <v>143</v>
      </c>
      <c r="B4023" s="6" t="s">
        <v>92</v>
      </c>
      <c r="C4023" s="6" t="s">
        <v>273</v>
      </c>
      <c r="D4023" s="6">
        <v>1.252333333333333</v>
      </c>
      <c r="E4023" s="6" t="s">
        <v>92</v>
      </c>
      <c r="F4023" s="6" t="s">
        <v>51</v>
      </c>
      <c r="G4023" s="7">
        <v>39415.32644745876</v>
      </c>
      <c r="H4023" s="6">
        <v>49361.12715436752</v>
      </c>
      <c r="I4023" s="6" t="s">
        <v>179</v>
      </c>
      <c r="J4023" s="15">
        <v>27</v>
      </c>
    </row>
    <row r="4024" spans="1:10">
      <c r="A4024" s="6" t="s">
        <v>143</v>
      </c>
      <c r="B4024" s="6" t="s">
        <v>92</v>
      </c>
      <c r="C4024" s="6" t="s">
        <v>280</v>
      </c>
      <c r="D4024" s="6">
        <v>0.7324999999999999</v>
      </c>
      <c r="E4024" s="6" t="s">
        <v>92</v>
      </c>
      <c r="F4024" s="6" t="s">
        <v>55</v>
      </c>
      <c r="G4024" s="7">
        <v>58368.69681371454</v>
      </c>
      <c r="H4024" s="6">
        <v>42755.0704160459</v>
      </c>
      <c r="I4024" s="6" t="s">
        <v>179</v>
      </c>
      <c r="J4024" s="15">
        <v>52.875</v>
      </c>
    </row>
    <row r="4025" spans="1:10">
      <c r="A4025" s="6" t="s">
        <v>143</v>
      </c>
      <c r="B4025" s="6" t="s">
        <v>92</v>
      </c>
      <c r="C4025" s="6" t="s">
        <v>281</v>
      </c>
      <c r="D4025" s="6">
        <v>0.1154166666666667</v>
      </c>
      <c r="E4025" s="6" t="s">
        <v>92</v>
      </c>
      <c r="F4025" s="6" t="s">
        <v>57</v>
      </c>
      <c r="G4025" s="7">
        <v>47725.16793448776</v>
      </c>
      <c r="H4025" s="6">
        <v>5508.279799105463</v>
      </c>
      <c r="I4025" s="6" t="s">
        <v>179</v>
      </c>
      <c r="J4025" s="15">
        <v>36</v>
      </c>
    </row>
    <row r="4026" spans="1:10">
      <c r="A4026" s="6" t="s">
        <v>143</v>
      </c>
      <c r="B4026" s="6" t="s">
        <v>92</v>
      </c>
      <c r="C4026" s="6" t="s">
        <v>284</v>
      </c>
      <c r="D4026" s="6">
        <v>1.217416666666667</v>
      </c>
      <c r="E4026" s="6" t="s">
        <v>92</v>
      </c>
      <c r="F4026" s="6" t="s">
        <v>55</v>
      </c>
      <c r="G4026" s="7">
        <v>36138.38846146646</v>
      </c>
      <c r="H4026" s="6">
        <v>43995.47641946364</v>
      </c>
      <c r="I4026" s="6" t="s">
        <v>179</v>
      </c>
      <c r="J4026" s="15">
        <v>40.2</v>
      </c>
    </row>
    <row r="4027" spans="1:10">
      <c r="A4027" s="6" t="s">
        <v>143</v>
      </c>
      <c r="B4027" s="6" t="s">
        <v>92</v>
      </c>
      <c r="C4027" s="6" t="s">
        <v>289</v>
      </c>
      <c r="D4027" s="6">
        <v>19.85166666666667</v>
      </c>
      <c r="E4027" s="6" t="s">
        <v>92</v>
      </c>
      <c r="F4027" s="6" t="s">
        <v>52</v>
      </c>
      <c r="G4027" s="7">
        <v>77318.80490856594</v>
      </c>
      <c r="H4027" s="6">
        <v>1534907.142109882</v>
      </c>
      <c r="I4027" s="6" t="s">
        <v>180</v>
      </c>
      <c r="J4027" s="15">
        <v>22.18952976848772</v>
      </c>
    </row>
    <row r="4028" spans="1:10">
      <c r="A4028" s="6" t="s">
        <v>143</v>
      </c>
      <c r="B4028" s="6" t="s">
        <v>92</v>
      </c>
      <c r="C4028" s="6" t="s">
        <v>293</v>
      </c>
      <c r="D4028" s="6">
        <v>0.01916666666666667</v>
      </c>
      <c r="E4028" s="6" t="s">
        <v>92</v>
      </c>
      <c r="F4028" s="6" t="s">
        <v>53</v>
      </c>
      <c r="G4028" s="7">
        <v>67567.57931334202</v>
      </c>
      <c r="H4028" s="6">
        <v>1295.045270172389</v>
      </c>
      <c r="I4028" s="6" t="s">
        <v>179</v>
      </c>
      <c r="J4028" s="15">
        <v>26.71666666666667</v>
      </c>
    </row>
    <row r="4029" spans="1:10">
      <c r="A4029" s="6" t="s">
        <v>143</v>
      </c>
      <c r="B4029" s="6" t="s">
        <v>92</v>
      </c>
      <c r="C4029" s="6" t="s">
        <v>295</v>
      </c>
      <c r="D4029" s="6">
        <v>0.2248333333333333</v>
      </c>
      <c r="E4029" s="6" t="s">
        <v>92</v>
      </c>
      <c r="F4029" s="6" t="s">
        <v>53</v>
      </c>
      <c r="G4029" s="7">
        <v>43665.47276142767</v>
      </c>
      <c r="H4029" s="6">
        <v>9817.453792527655</v>
      </c>
      <c r="I4029" s="6" t="s">
        <v>179</v>
      </c>
      <c r="J4029" s="15">
        <v>37</v>
      </c>
    </row>
    <row r="4030" spans="1:10">
      <c r="A4030" s="6" t="s">
        <v>143</v>
      </c>
      <c r="B4030" s="6" t="s">
        <v>92</v>
      </c>
      <c r="C4030" s="6" t="s">
        <v>296</v>
      </c>
      <c r="D4030" s="6">
        <v>15.75533333333333</v>
      </c>
      <c r="E4030" s="6" t="s">
        <v>92</v>
      </c>
      <c r="F4030" s="6" t="s">
        <v>61</v>
      </c>
      <c r="G4030" s="7">
        <v>53088.58925206317</v>
      </c>
      <c r="H4030" s="6">
        <v>836428.4198626726</v>
      </c>
      <c r="I4030" s="6" t="s">
        <v>179</v>
      </c>
      <c r="J4030" s="15">
        <v>21</v>
      </c>
    </row>
    <row r="4031" spans="1:10">
      <c r="A4031" s="6" t="s">
        <v>143</v>
      </c>
      <c r="B4031" s="6" t="s">
        <v>92</v>
      </c>
      <c r="C4031" s="6" t="s">
        <v>298</v>
      </c>
      <c r="D4031" s="6">
        <v>0.02333333333333333</v>
      </c>
      <c r="E4031" s="6" t="s">
        <v>92</v>
      </c>
      <c r="F4031" s="6" t="s">
        <v>56</v>
      </c>
      <c r="G4031" s="7">
        <v>64956.33439155623</v>
      </c>
      <c r="H4031" s="6">
        <v>1515.647802469646</v>
      </c>
      <c r="I4031" s="6" t="s">
        <v>180</v>
      </c>
      <c r="J4031" s="15">
        <v>17.56073573464467</v>
      </c>
    </row>
    <row r="4032" spans="1:10">
      <c r="A4032" s="6" t="s">
        <v>143</v>
      </c>
      <c r="B4032" s="6" t="s">
        <v>92</v>
      </c>
      <c r="C4032" s="6" t="s">
        <v>361</v>
      </c>
      <c r="D4032" s="6">
        <v>0.021</v>
      </c>
      <c r="E4032" s="6" t="s">
        <v>92</v>
      </c>
      <c r="F4032" s="6" t="s">
        <v>52</v>
      </c>
      <c r="G4032" s="7">
        <v>77318.80490856594</v>
      </c>
      <c r="H4032" s="6">
        <v>1623.694903079885</v>
      </c>
      <c r="I4032" s="6" t="s">
        <v>180</v>
      </c>
      <c r="J4032" s="15">
        <v>22.18952976848772</v>
      </c>
    </row>
    <row r="4033" spans="1:10">
      <c r="A4033" s="6" t="s">
        <v>143</v>
      </c>
      <c r="B4033" s="6" t="s">
        <v>92</v>
      </c>
      <c r="C4033" s="6" t="s">
        <v>305</v>
      </c>
      <c r="D4033" s="6">
        <v>0.1513333333333333</v>
      </c>
      <c r="E4033" s="6" t="s">
        <v>92</v>
      </c>
      <c r="F4033" s="6" t="s">
        <v>54</v>
      </c>
      <c r="G4033" s="7">
        <v>95146.87757960078</v>
      </c>
      <c r="H4033" s="6">
        <v>14398.89414037958</v>
      </c>
      <c r="I4033" s="6" t="s">
        <v>180</v>
      </c>
      <c r="J4033" s="15">
        <v>28.86477128280014</v>
      </c>
    </row>
    <row r="4034" spans="1:10">
      <c r="A4034" s="6" t="s">
        <v>143</v>
      </c>
      <c r="B4034" s="6" t="s">
        <v>92</v>
      </c>
      <c r="C4034" s="6" t="s">
        <v>362</v>
      </c>
      <c r="D4034" s="6">
        <v>0.4080000000000001</v>
      </c>
      <c r="E4034" s="6" t="s">
        <v>92</v>
      </c>
      <c r="F4034" s="6" t="s">
        <v>52</v>
      </c>
      <c r="G4034" s="7">
        <v>77318.80490856594</v>
      </c>
      <c r="H4034" s="6">
        <v>31546.07240269491</v>
      </c>
      <c r="I4034" s="6" t="s">
        <v>180</v>
      </c>
      <c r="J4034" s="15">
        <v>22.18952976848772</v>
      </c>
    </row>
    <row r="4035" spans="1:10">
      <c r="A4035" s="6" t="s">
        <v>143</v>
      </c>
      <c r="B4035" s="6" t="s">
        <v>92</v>
      </c>
      <c r="C4035" s="6" t="s">
        <v>309</v>
      </c>
      <c r="D4035" s="6">
        <v>8.154</v>
      </c>
      <c r="E4035" s="6" t="s">
        <v>92</v>
      </c>
      <c r="F4035" s="6" t="s">
        <v>52</v>
      </c>
      <c r="G4035" s="7">
        <v>77318.80490856594</v>
      </c>
      <c r="H4035" s="6">
        <v>630457.5352244467</v>
      </c>
      <c r="I4035" s="6" t="s">
        <v>180</v>
      </c>
      <c r="J4035" s="15">
        <v>22.18952976848772</v>
      </c>
    </row>
    <row r="4036" spans="1:10">
      <c r="A4036" s="6" t="s">
        <v>143</v>
      </c>
      <c r="B4036" s="6" t="s">
        <v>92</v>
      </c>
      <c r="C4036" s="6" t="s">
        <v>312</v>
      </c>
      <c r="D4036" s="6">
        <v>0.2688333333333333</v>
      </c>
      <c r="E4036" s="6" t="s">
        <v>92</v>
      </c>
      <c r="F4036" s="6" t="s">
        <v>54</v>
      </c>
      <c r="G4036" s="7">
        <v>76542.49786788689</v>
      </c>
      <c r="H4036" s="6">
        <v>20577.17484348359</v>
      </c>
      <c r="I4036" s="6" t="s">
        <v>180</v>
      </c>
      <c r="J4036" s="15">
        <v>21.89886251121246</v>
      </c>
    </row>
    <row r="4037" spans="1:10">
      <c r="A4037" s="6" t="s">
        <v>143</v>
      </c>
      <c r="B4037" s="6" t="s">
        <v>92</v>
      </c>
      <c r="C4037" s="6" t="s">
        <v>318</v>
      </c>
      <c r="D4037" s="6">
        <v>0.1245</v>
      </c>
      <c r="E4037" s="6" t="s">
        <v>92</v>
      </c>
      <c r="F4037" s="6" t="s">
        <v>52</v>
      </c>
      <c r="G4037" s="7">
        <v>77318.80490856594</v>
      </c>
      <c r="H4037" s="6">
        <v>9626.19121111646</v>
      </c>
      <c r="I4037" s="6" t="s">
        <v>180</v>
      </c>
      <c r="J4037" s="15">
        <v>22.18952976848772</v>
      </c>
    </row>
    <row r="4038" spans="1:10">
      <c r="A4038" s="6" t="s">
        <v>143</v>
      </c>
      <c r="B4038" s="6" t="s">
        <v>92</v>
      </c>
      <c r="C4038" s="6" t="s">
        <v>319</v>
      </c>
      <c r="D4038" s="6">
        <v>0.5333333333333333</v>
      </c>
      <c r="E4038" s="6" t="s">
        <v>92</v>
      </c>
      <c r="F4038" s="6" t="s">
        <v>52</v>
      </c>
      <c r="G4038" s="7">
        <v>77318.80490856594</v>
      </c>
      <c r="H4038" s="6">
        <v>41236.69595123517</v>
      </c>
      <c r="I4038" s="6" t="s">
        <v>180</v>
      </c>
      <c r="J4038" s="15">
        <v>22.18952976848772</v>
      </c>
    </row>
    <row r="4039" spans="1:10">
      <c r="A4039" s="6" t="s">
        <v>143</v>
      </c>
      <c r="B4039" s="6" t="s">
        <v>92</v>
      </c>
      <c r="C4039" s="6" t="s">
        <v>320</v>
      </c>
      <c r="D4039" s="6">
        <v>0.6767500000000001</v>
      </c>
      <c r="E4039" s="6" t="s">
        <v>92</v>
      </c>
      <c r="F4039" s="6" t="s">
        <v>51</v>
      </c>
      <c r="G4039" s="7">
        <v>42399.1324717879</v>
      </c>
      <c r="H4039" s="6">
        <v>28693.61290028247</v>
      </c>
      <c r="I4039" s="6" t="s">
        <v>179</v>
      </c>
      <c r="J4039" s="15">
        <v>45</v>
      </c>
    </row>
    <row r="4040" spans="1:10">
      <c r="A4040" s="6" t="s">
        <v>143</v>
      </c>
      <c r="B4040" s="6" t="s">
        <v>92</v>
      </c>
      <c r="C4040" s="6" t="s">
        <v>323</v>
      </c>
      <c r="D4040" s="6">
        <v>0.7031666666666667</v>
      </c>
      <c r="E4040" s="6" t="s">
        <v>92</v>
      </c>
      <c r="F4040" s="6" t="s">
        <v>55</v>
      </c>
      <c r="G4040" s="7">
        <v>37901.84707720344</v>
      </c>
      <c r="H4040" s="6">
        <v>26651.31546978689</v>
      </c>
      <c r="I4040" s="6" t="s">
        <v>179</v>
      </c>
      <c r="J4040" s="15">
        <v>17</v>
      </c>
    </row>
    <row r="4041" spans="1:10">
      <c r="A4041" s="6" t="s">
        <v>143</v>
      </c>
      <c r="B4041" s="6" t="s">
        <v>92</v>
      </c>
      <c r="C4041" s="6" t="s">
        <v>324</v>
      </c>
      <c r="D4041" s="6">
        <v>0.2281666666666667</v>
      </c>
      <c r="E4041" s="6" t="s">
        <v>92</v>
      </c>
      <c r="F4041" s="6" t="s">
        <v>51</v>
      </c>
      <c r="G4041" s="7">
        <v>59286.87997138536</v>
      </c>
      <c r="H4041" s="6">
        <v>13527.28978013776</v>
      </c>
      <c r="I4041" s="6" t="s">
        <v>179</v>
      </c>
      <c r="J4041" s="15">
        <v>44</v>
      </c>
    </row>
    <row r="4042" spans="1:10">
      <c r="A4042" s="6" t="s">
        <v>143</v>
      </c>
      <c r="B4042" s="6" t="s">
        <v>92</v>
      </c>
      <c r="C4042" s="6" t="s">
        <v>326</v>
      </c>
      <c r="D4042" s="6">
        <v>0.1458333333333333</v>
      </c>
      <c r="E4042" s="6" t="s">
        <v>92</v>
      </c>
      <c r="F4042" s="6" t="s">
        <v>54</v>
      </c>
      <c r="G4042" s="7">
        <v>91760.91506579834</v>
      </c>
      <c r="H4042" s="6">
        <v>13381.80011376226</v>
      </c>
      <c r="I4042" s="6" t="s">
        <v>180</v>
      </c>
      <c r="J4042" s="15">
        <v>27.59698883906121</v>
      </c>
    </row>
    <row r="4043" spans="1:10">
      <c r="A4043" s="6" t="s">
        <v>143</v>
      </c>
      <c r="B4043" s="6" t="s">
        <v>92</v>
      </c>
      <c r="C4043" s="6" t="s">
        <v>329</v>
      </c>
      <c r="D4043" s="6">
        <v>0.5755</v>
      </c>
      <c r="E4043" s="6" t="s">
        <v>92</v>
      </c>
      <c r="F4043" s="6" t="s">
        <v>58</v>
      </c>
      <c r="G4043" s="7">
        <v>67115.81850755938</v>
      </c>
      <c r="H4043" s="6">
        <v>38625.15355110043</v>
      </c>
      <c r="I4043" s="6" t="s">
        <v>179</v>
      </c>
      <c r="J4043" s="15">
        <v>43.45833333333333</v>
      </c>
    </row>
    <row r="4044" spans="1:10">
      <c r="A4044" s="6" t="s">
        <v>143</v>
      </c>
      <c r="B4044" s="6" t="s">
        <v>92</v>
      </c>
      <c r="C4044" s="6" t="s">
        <v>330</v>
      </c>
      <c r="D4044" s="6">
        <v>0.0375</v>
      </c>
      <c r="E4044" s="6" t="s">
        <v>92</v>
      </c>
      <c r="F4044" s="6" t="s">
        <v>52</v>
      </c>
      <c r="G4044" s="7">
        <v>77318.80490856594</v>
      </c>
      <c r="H4044" s="6">
        <v>2899.455184071223</v>
      </c>
      <c r="I4044" s="6" t="s">
        <v>180</v>
      </c>
      <c r="J4044" s="15">
        <v>22.18952976848772</v>
      </c>
    </row>
    <row r="4045" spans="1:10">
      <c r="A4045" s="6" t="s">
        <v>143</v>
      </c>
      <c r="B4045" s="6" t="s">
        <v>92</v>
      </c>
      <c r="C4045" s="6" t="s">
        <v>331</v>
      </c>
      <c r="D4045" s="6">
        <v>0.56225</v>
      </c>
      <c r="E4045" s="6" t="s">
        <v>92</v>
      </c>
      <c r="F4045" s="6" t="s">
        <v>58</v>
      </c>
      <c r="G4045" s="7">
        <v>52490.82308035896</v>
      </c>
      <c r="H4045" s="6">
        <v>29512.96527693183</v>
      </c>
      <c r="I4045" s="6" t="s">
        <v>179</v>
      </c>
      <c r="J4045" s="15">
        <v>17.40719355741339</v>
      </c>
    </row>
    <row r="4046" spans="1:10">
      <c r="A4046" s="6" t="s">
        <v>143</v>
      </c>
      <c r="B4046" s="6" t="s">
        <v>92</v>
      </c>
      <c r="C4046" s="6" t="s">
        <v>332</v>
      </c>
      <c r="D4046" s="6">
        <v>1.032916666666667</v>
      </c>
      <c r="E4046" s="6" t="s">
        <v>92</v>
      </c>
      <c r="F4046" s="6" t="s">
        <v>55</v>
      </c>
      <c r="G4046" s="7">
        <v>18935.91078298569</v>
      </c>
      <c r="H4046" s="6">
        <v>19559.21784625897</v>
      </c>
      <c r="I4046" s="6" t="s">
        <v>179</v>
      </c>
      <c r="J4046" s="15">
        <v>13</v>
      </c>
    </row>
    <row r="4047" spans="1:10">
      <c r="A4047" s="6" t="s">
        <v>143</v>
      </c>
      <c r="B4047" s="6" t="s">
        <v>92</v>
      </c>
      <c r="C4047" s="6" t="s">
        <v>333</v>
      </c>
      <c r="D4047" s="6">
        <v>0.3538333333333334</v>
      </c>
      <c r="E4047" s="6" t="s">
        <v>92</v>
      </c>
      <c r="F4047" s="6" t="s">
        <v>51</v>
      </c>
      <c r="G4047" s="7">
        <v>51151.59012928524</v>
      </c>
      <c r="H4047" s="6">
        <v>18099.13764074543</v>
      </c>
      <c r="I4047" s="6" t="s">
        <v>180</v>
      </c>
      <c r="J4047" s="15">
        <v>12.39192115247769</v>
      </c>
    </row>
    <row r="4048" spans="1:10">
      <c r="A4048" s="6" t="s">
        <v>144</v>
      </c>
      <c r="B4048" s="6" t="s">
        <v>44</v>
      </c>
      <c r="C4048" s="6" t="s">
        <v>194</v>
      </c>
      <c r="D4048" s="6">
        <v>2.28025</v>
      </c>
      <c r="E4048" s="6" t="s">
        <v>44</v>
      </c>
      <c r="F4048" s="6" t="s">
        <v>58</v>
      </c>
      <c r="G4048" s="7">
        <v>20829.42392802728</v>
      </c>
      <c r="H4048" s="6">
        <v>47496.2939118842</v>
      </c>
      <c r="I4048" s="6" t="s">
        <v>179</v>
      </c>
      <c r="J4048" s="15">
        <v>14.33333333333333</v>
      </c>
    </row>
    <row r="4049" spans="1:10">
      <c r="A4049" s="6" t="s">
        <v>144</v>
      </c>
      <c r="B4049" s="6" t="s">
        <v>44</v>
      </c>
      <c r="C4049" s="6" t="s">
        <v>195</v>
      </c>
      <c r="D4049" s="6">
        <v>274.4003333333333</v>
      </c>
      <c r="E4049" s="6" t="s">
        <v>44</v>
      </c>
      <c r="F4049" s="6" t="s">
        <v>54</v>
      </c>
      <c r="G4049" s="7">
        <v>84052.83905275936</v>
      </c>
      <c r="H4049" s="6">
        <v>23064127.05369018</v>
      </c>
      <c r="I4049" s="6" t="s">
        <v>179</v>
      </c>
      <c r="J4049" s="15">
        <v>47.38333333333333</v>
      </c>
    </row>
    <row r="4050" spans="1:10">
      <c r="A4050" s="6" t="s">
        <v>144</v>
      </c>
      <c r="B4050" s="6" t="s">
        <v>101</v>
      </c>
      <c r="C4050" s="6" t="s">
        <v>196</v>
      </c>
      <c r="D4050" s="6">
        <v>10.6975</v>
      </c>
      <c r="E4050" s="6" t="s">
        <v>44</v>
      </c>
      <c r="F4050" s="6" t="s">
        <v>52</v>
      </c>
      <c r="G4050" s="7">
        <v>69869.94547012541</v>
      </c>
      <c r="H4050" s="6">
        <v>747433.7416666666</v>
      </c>
      <c r="I4050" s="6" t="s">
        <v>380</v>
      </c>
      <c r="J4050" s="15">
        <v>17.1184791392168</v>
      </c>
    </row>
    <row r="4051" spans="1:10">
      <c r="A4051" s="6" t="s">
        <v>144</v>
      </c>
      <c r="B4051" s="6" t="s">
        <v>44</v>
      </c>
      <c r="C4051" s="6" t="s">
        <v>197</v>
      </c>
      <c r="D4051" s="6">
        <v>6.178333333333285</v>
      </c>
      <c r="E4051" s="6" t="s">
        <v>44</v>
      </c>
      <c r="F4051" s="6" t="s">
        <v>53</v>
      </c>
      <c r="G4051" s="7">
        <v>60160.27030168513</v>
      </c>
      <c r="H4051" s="6">
        <v>371690.2033472417</v>
      </c>
      <c r="I4051" s="6" t="s">
        <v>180</v>
      </c>
      <c r="J4051" s="15">
        <v>15.52622330228389</v>
      </c>
    </row>
    <row r="4052" spans="1:10">
      <c r="A4052" s="6" t="s">
        <v>144</v>
      </c>
      <c r="B4052" s="6" t="s">
        <v>90</v>
      </c>
      <c r="C4052" s="6" t="s">
        <v>197</v>
      </c>
      <c r="D4052" s="6">
        <v>297.99275</v>
      </c>
      <c r="E4052" s="6" t="s">
        <v>44</v>
      </c>
      <c r="F4052" s="6" t="s">
        <v>53</v>
      </c>
      <c r="G4052" s="7">
        <v>24873.23941462196</v>
      </c>
      <c r="H4052" s="6">
        <v>7412045.014571587</v>
      </c>
      <c r="I4052" s="6" t="s">
        <v>179</v>
      </c>
      <c r="J4052" s="15">
        <v>27</v>
      </c>
    </row>
    <row r="4053" spans="1:10">
      <c r="A4053" s="6" t="s">
        <v>144</v>
      </c>
      <c r="B4053" s="6" t="s">
        <v>101</v>
      </c>
      <c r="C4053" s="6" t="s">
        <v>198</v>
      </c>
      <c r="D4053" s="6">
        <v>330.1125833333334</v>
      </c>
      <c r="E4053" s="6" t="s">
        <v>44</v>
      </c>
      <c r="F4053" s="6" t="s">
        <v>58</v>
      </c>
      <c r="G4053" s="7">
        <v>87192.31842895708</v>
      </c>
      <c r="H4053" s="6">
        <v>28783281.48340563</v>
      </c>
      <c r="I4053" s="6" t="s">
        <v>380</v>
      </c>
      <c r="J4053" s="15">
        <v>15.15416265943281</v>
      </c>
    </row>
    <row r="4054" spans="1:10">
      <c r="A4054" s="6" t="s">
        <v>144</v>
      </c>
      <c r="B4054" s="6" t="s">
        <v>44</v>
      </c>
      <c r="C4054" s="6" t="s">
        <v>199</v>
      </c>
      <c r="D4054" s="6">
        <v>652.5410000000001</v>
      </c>
      <c r="E4054" s="6" t="s">
        <v>44</v>
      </c>
      <c r="F4054" s="6" t="s">
        <v>57</v>
      </c>
      <c r="G4054" s="7">
        <v>42727.16197460723</v>
      </c>
      <c r="H4054" s="6">
        <v>27881225.00207218</v>
      </c>
      <c r="I4054" s="6" t="s">
        <v>179</v>
      </c>
      <c r="J4054" s="15">
        <v>44.83333333333334</v>
      </c>
    </row>
    <row r="4055" spans="1:10">
      <c r="A4055" s="6" t="s">
        <v>144</v>
      </c>
      <c r="B4055" s="6" t="s">
        <v>44</v>
      </c>
      <c r="C4055" s="6" t="s">
        <v>337</v>
      </c>
      <c r="D4055" s="6">
        <v>27.86608333333333</v>
      </c>
      <c r="E4055" s="6" t="s">
        <v>44</v>
      </c>
      <c r="F4055" s="6" t="s">
        <v>52</v>
      </c>
      <c r="G4055" s="7">
        <v>64169.74384104699</v>
      </c>
      <c r="H4055" s="6">
        <v>1788159.429353269</v>
      </c>
      <c r="I4055" s="6" t="s">
        <v>180</v>
      </c>
      <c r="J4055" s="15">
        <v>17.01155042897912</v>
      </c>
    </row>
    <row r="4056" spans="1:10">
      <c r="A4056" s="6" t="s">
        <v>144</v>
      </c>
      <c r="B4056" s="6" t="s">
        <v>44</v>
      </c>
      <c r="C4056" s="6" t="s">
        <v>200</v>
      </c>
      <c r="D4056" s="6">
        <v>5.533333333333334</v>
      </c>
      <c r="E4056" s="6" t="s">
        <v>44</v>
      </c>
      <c r="F4056" s="6" t="s">
        <v>52</v>
      </c>
      <c r="G4056" s="7">
        <v>79455.19213558563</v>
      </c>
      <c r="H4056" s="6">
        <v>439652.0631502406</v>
      </c>
      <c r="I4056" s="6" t="s">
        <v>179</v>
      </c>
      <c r="J4056" s="15">
        <v>83.38333333333334</v>
      </c>
    </row>
    <row r="4057" spans="1:10">
      <c r="A4057" s="6" t="s">
        <v>144</v>
      </c>
      <c r="B4057" s="6" t="s">
        <v>44</v>
      </c>
      <c r="C4057" s="6" t="s">
        <v>201</v>
      </c>
      <c r="D4057" s="6">
        <v>294.1160833333333</v>
      </c>
      <c r="E4057" s="6" t="s">
        <v>44</v>
      </c>
      <c r="F4057" s="6" t="s">
        <v>56</v>
      </c>
      <c r="G4057" s="7">
        <v>55387.37653085204</v>
      </c>
      <c r="H4057" s="6">
        <v>16290318.25136279</v>
      </c>
      <c r="I4057" s="6" t="s">
        <v>179</v>
      </c>
      <c r="J4057" s="15">
        <v>24</v>
      </c>
    </row>
    <row r="4058" spans="1:10">
      <c r="A4058" s="6" t="s">
        <v>144</v>
      </c>
      <c r="B4058" s="6" t="s">
        <v>44</v>
      </c>
      <c r="C4058" s="6" t="s">
        <v>202</v>
      </c>
      <c r="D4058" s="6">
        <v>1632.109</v>
      </c>
      <c r="E4058" s="6" t="s">
        <v>44</v>
      </c>
      <c r="F4058" s="6" t="s">
        <v>54</v>
      </c>
      <c r="G4058" s="7">
        <v>97582.35964345603</v>
      </c>
      <c r="H4058" s="6">
        <v>159265047.4153214</v>
      </c>
      <c r="I4058" s="6" t="s">
        <v>179</v>
      </c>
      <c r="J4058" s="15">
        <v>68</v>
      </c>
    </row>
    <row r="4059" spans="1:10">
      <c r="A4059" s="6" t="s">
        <v>144</v>
      </c>
      <c r="B4059" s="6" t="s">
        <v>44</v>
      </c>
      <c r="C4059" s="6" t="s">
        <v>203</v>
      </c>
      <c r="D4059" s="6">
        <v>2988.90425</v>
      </c>
      <c r="E4059" s="6" t="s">
        <v>44</v>
      </c>
      <c r="F4059" s="6" t="s">
        <v>53</v>
      </c>
      <c r="G4059" s="7">
        <v>40461.29080326468</v>
      </c>
      <c r="H4059" s="6">
        <v>120934924.0423637</v>
      </c>
      <c r="I4059" s="6" t="s">
        <v>179</v>
      </c>
      <c r="J4059" s="15">
        <v>44.11666666666667</v>
      </c>
    </row>
    <row r="4060" spans="1:10">
      <c r="A4060" s="6" t="s">
        <v>144</v>
      </c>
      <c r="B4060" s="6" t="s">
        <v>44</v>
      </c>
      <c r="C4060" s="6" t="s">
        <v>204</v>
      </c>
      <c r="D4060" s="6">
        <v>7636.022083333333</v>
      </c>
      <c r="E4060" s="6" t="s">
        <v>44</v>
      </c>
      <c r="F4060" s="6" t="s">
        <v>51</v>
      </c>
      <c r="G4060" s="7">
        <v>22075.51100893869</v>
      </c>
      <c r="H4060" s="6">
        <v>168569089.5651239</v>
      </c>
      <c r="I4060" s="6" t="s">
        <v>179</v>
      </c>
      <c r="J4060" s="15">
        <v>17.73333333333333</v>
      </c>
    </row>
    <row r="4061" spans="1:10">
      <c r="A4061" s="6" t="s">
        <v>144</v>
      </c>
      <c r="B4061" s="6" t="s">
        <v>44</v>
      </c>
      <c r="C4061" s="6" t="s">
        <v>338</v>
      </c>
      <c r="D4061" s="6">
        <v>41.77241666666666</v>
      </c>
      <c r="E4061" s="6" t="s">
        <v>44</v>
      </c>
      <c r="F4061" s="6" t="s">
        <v>52</v>
      </c>
      <c r="G4061" s="7">
        <v>64169.74384104699</v>
      </c>
      <c r="H4061" s="6">
        <v>2680525.277121482</v>
      </c>
      <c r="I4061" s="6" t="s">
        <v>180</v>
      </c>
      <c r="J4061" s="15">
        <v>17.01155042897912</v>
      </c>
    </row>
    <row r="4062" spans="1:10">
      <c r="A4062" s="6" t="s">
        <v>144</v>
      </c>
      <c r="B4062" s="6" t="s">
        <v>44</v>
      </c>
      <c r="C4062" s="6" t="s">
        <v>205</v>
      </c>
      <c r="D4062" s="6">
        <v>835.5104166666666</v>
      </c>
      <c r="E4062" s="6" t="s">
        <v>44</v>
      </c>
      <c r="F4062" s="6" t="s">
        <v>56</v>
      </c>
      <c r="G4062" s="7">
        <v>54049.79733429672</v>
      </c>
      <c r="H4062" s="6">
        <v>45159168.69152714</v>
      </c>
      <c r="I4062" s="6" t="s">
        <v>179</v>
      </c>
      <c r="J4062" s="15">
        <v>22.35</v>
      </c>
    </row>
    <row r="4063" spans="1:10">
      <c r="A4063" s="6" t="s">
        <v>144</v>
      </c>
      <c r="B4063" s="6" t="s">
        <v>44</v>
      </c>
      <c r="C4063" s="6" t="s">
        <v>206</v>
      </c>
      <c r="D4063" s="6">
        <v>225.55725</v>
      </c>
      <c r="E4063" s="6" t="s">
        <v>44</v>
      </c>
      <c r="F4063" s="6" t="s">
        <v>55</v>
      </c>
      <c r="G4063" s="7">
        <v>52787.66629507686</v>
      </c>
      <c r="H4063" s="6">
        <v>11906640.84343522</v>
      </c>
      <c r="I4063" s="6" t="s">
        <v>179</v>
      </c>
      <c r="J4063" s="15">
        <v>47</v>
      </c>
    </row>
    <row r="4064" spans="1:10">
      <c r="A4064" s="6" t="s">
        <v>144</v>
      </c>
      <c r="B4064" s="6" t="s">
        <v>44</v>
      </c>
      <c r="C4064" s="6" t="s">
        <v>207</v>
      </c>
      <c r="D4064" s="6">
        <v>3.05725</v>
      </c>
      <c r="E4064" s="6" t="s">
        <v>44</v>
      </c>
      <c r="F4064" s="6" t="s">
        <v>55</v>
      </c>
      <c r="G4064" s="7">
        <v>43102.17610390013</v>
      </c>
      <c r="H4064" s="6">
        <v>131774.1278936487</v>
      </c>
      <c r="I4064" s="6" t="s">
        <v>180</v>
      </c>
      <c r="J4064" s="15">
        <v>106.2666666666667</v>
      </c>
    </row>
    <row r="4065" spans="1:10">
      <c r="A4065" s="6" t="s">
        <v>144</v>
      </c>
      <c r="B4065" s="6" t="s">
        <v>44</v>
      </c>
      <c r="C4065" s="6" t="s">
        <v>208</v>
      </c>
      <c r="D4065" s="6">
        <v>46.00683333333333</v>
      </c>
      <c r="E4065" s="6" t="s">
        <v>44</v>
      </c>
      <c r="F4065" s="6" t="s">
        <v>51</v>
      </c>
      <c r="G4065" s="7">
        <v>21097.10902947491</v>
      </c>
      <c r="H4065" s="6">
        <v>970611.1789342141</v>
      </c>
      <c r="I4065" s="6" t="s">
        <v>179</v>
      </c>
      <c r="J4065" s="15">
        <v>30</v>
      </c>
    </row>
    <row r="4066" spans="1:10">
      <c r="A4066" s="6" t="s">
        <v>144</v>
      </c>
      <c r="B4066" s="6" t="s">
        <v>44</v>
      </c>
      <c r="C4066" s="6" t="s">
        <v>209</v>
      </c>
      <c r="D4066" s="6">
        <v>4.16675</v>
      </c>
      <c r="E4066" s="6" t="s">
        <v>44</v>
      </c>
      <c r="F4066" s="6" t="s">
        <v>57</v>
      </c>
      <c r="G4066" s="7">
        <v>41050.93445745452</v>
      </c>
      <c r="H4066" s="6">
        <v>171048.9811505986</v>
      </c>
      <c r="I4066" s="6" t="s">
        <v>180</v>
      </c>
      <c r="J4066" s="15">
        <v>8.447085698826186</v>
      </c>
    </row>
    <row r="4067" spans="1:10">
      <c r="A4067" s="6" t="s">
        <v>144</v>
      </c>
      <c r="B4067" s="6" t="s">
        <v>44</v>
      </c>
      <c r="C4067" s="6" t="s">
        <v>210</v>
      </c>
      <c r="D4067" s="6">
        <v>3.719166666666667</v>
      </c>
      <c r="E4067" s="6" t="s">
        <v>44</v>
      </c>
      <c r="F4067" s="6" t="s">
        <v>53</v>
      </c>
      <c r="G4067" s="7">
        <v>43419.65361451151</v>
      </c>
      <c r="H4067" s="6">
        <v>161484.9284013041</v>
      </c>
      <c r="I4067" s="6" t="s">
        <v>180</v>
      </c>
      <c r="J4067" s="15">
        <v>9.324588140221366</v>
      </c>
    </row>
    <row r="4068" spans="1:10">
      <c r="A4068" s="6" t="s">
        <v>144</v>
      </c>
      <c r="B4068" s="6" t="s">
        <v>44</v>
      </c>
      <c r="C4068" s="6" t="s">
        <v>211</v>
      </c>
      <c r="D4068" s="6">
        <v>2990.162916666667</v>
      </c>
      <c r="E4068" s="6" t="s">
        <v>44</v>
      </c>
      <c r="F4068" s="6" t="s">
        <v>55</v>
      </c>
      <c r="G4068" s="7">
        <v>51366.3962792253</v>
      </c>
      <c r="H4068" s="6">
        <v>153593893.3169442</v>
      </c>
      <c r="I4068" s="6" t="s">
        <v>179</v>
      </c>
      <c r="J4068" s="15">
        <v>40.03333333333333</v>
      </c>
    </row>
    <row r="4069" spans="1:10">
      <c r="A4069" s="6" t="s">
        <v>144</v>
      </c>
      <c r="B4069" s="6" t="s">
        <v>44</v>
      </c>
      <c r="C4069" s="6" t="s">
        <v>212</v>
      </c>
      <c r="D4069" s="6">
        <v>449.2996666666667</v>
      </c>
      <c r="E4069" s="6" t="s">
        <v>44</v>
      </c>
      <c r="F4069" s="6" t="s">
        <v>55</v>
      </c>
      <c r="G4069" s="7">
        <v>42485.0021579509</v>
      </c>
      <c r="H4069" s="6">
        <v>19088497.30789995</v>
      </c>
      <c r="I4069" s="6" t="s">
        <v>179</v>
      </c>
      <c r="J4069" s="15">
        <v>39.03333333333333</v>
      </c>
    </row>
    <row r="4070" spans="1:10">
      <c r="A4070" s="6" t="s">
        <v>144</v>
      </c>
      <c r="B4070" s="6" t="s">
        <v>44</v>
      </c>
      <c r="C4070" s="6" t="s">
        <v>213</v>
      </c>
      <c r="D4070" s="6">
        <v>31.05183333333333</v>
      </c>
      <c r="E4070" s="6" t="s">
        <v>44</v>
      </c>
      <c r="F4070" s="6" t="s">
        <v>52</v>
      </c>
      <c r="G4070" s="7">
        <v>64169.74384104699</v>
      </c>
      <c r="H4070" s="6">
        <v>1992588.190794884</v>
      </c>
      <c r="I4070" s="6" t="s">
        <v>180</v>
      </c>
      <c r="J4070" s="15">
        <v>68</v>
      </c>
    </row>
    <row r="4071" spans="1:10">
      <c r="A4071" s="6" t="s">
        <v>144</v>
      </c>
      <c r="B4071" s="6" t="s">
        <v>44</v>
      </c>
      <c r="C4071" s="6" t="s">
        <v>214</v>
      </c>
      <c r="D4071" s="6">
        <v>6.369916666666667</v>
      </c>
      <c r="E4071" s="6" t="s">
        <v>44</v>
      </c>
      <c r="F4071" s="6" t="s">
        <v>53</v>
      </c>
      <c r="G4071" s="7">
        <v>59521.22119718234</v>
      </c>
      <c r="H4071" s="6">
        <v>379145.2189242851</v>
      </c>
      <c r="I4071" s="6" t="s">
        <v>180</v>
      </c>
      <c r="J4071" s="15">
        <v>15.28948474773556</v>
      </c>
    </row>
    <row r="4072" spans="1:10">
      <c r="A4072" s="6" t="s">
        <v>144</v>
      </c>
      <c r="B4072" s="6" t="s">
        <v>44</v>
      </c>
      <c r="C4072" s="6" t="s">
        <v>215</v>
      </c>
      <c r="D4072" s="6">
        <v>1548.1725</v>
      </c>
      <c r="E4072" s="6" t="s">
        <v>44</v>
      </c>
      <c r="F4072" s="6" t="s">
        <v>54</v>
      </c>
      <c r="G4072" s="7">
        <v>99644.87381086698</v>
      </c>
      <c r="H4072" s="6">
        <v>154267453.3999545</v>
      </c>
      <c r="I4072" s="6" t="s">
        <v>179</v>
      </c>
      <c r="J4072" s="15">
        <v>65.5</v>
      </c>
    </row>
    <row r="4073" spans="1:10">
      <c r="A4073" s="6" t="s">
        <v>144</v>
      </c>
      <c r="B4073" s="6" t="s">
        <v>44</v>
      </c>
      <c r="C4073" s="6" t="s">
        <v>216</v>
      </c>
      <c r="D4073" s="6">
        <v>21.32758333333333</v>
      </c>
      <c r="E4073" s="6" t="s">
        <v>44</v>
      </c>
      <c r="F4073" s="6" t="s">
        <v>55</v>
      </c>
      <c r="G4073" s="7">
        <v>42969.13562366418</v>
      </c>
      <c r="H4073" s="6">
        <v>916427.8207749998</v>
      </c>
      <c r="I4073" s="6" t="s">
        <v>180</v>
      </c>
      <c r="J4073" s="15">
        <v>9.157691766844557</v>
      </c>
    </row>
    <row r="4074" spans="1:10">
      <c r="A4074" s="6" t="s">
        <v>144</v>
      </c>
      <c r="B4074" s="6" t="s">
        <v>90</v>
      </c>
      <c r="C4074" s="6" t="s">
        <v>217</v>
      </c>
      <c r="D4074" s="6">
        <v>448.3678333333334</v>
      </c>
      <c r="E4074" s="6" t="s">
        <v>44</v>
      </c>
      <c r="F4074" s="6" t="s">
        <v>53</v>
      </c>
      <c r="G4074" s="7">
        <v>29595.99008532836</v>
      </c>
      <c r="H4074" s="6">
        <v>13269889.94991349</v>
      </c>
      <c r="I4074" s="6" t="s">
        <v>179</v>
      </c>
      <c r="J4074" s="15">
        <v>15</v>
      </c>
    </row>
    <row r="4075" spans="1:10">
      <c r="A4075" s="6" t="s">
        <v>144</v>
      </c>
      <c r="B4075" s="6" t="s">
        <v>90</v>
      </c>
      <c r="C4075" s="6" t="s">
        <v>218</v>
      </c>
      <c r="D4075" s="6">
        <v>59.40616666666666</v>
      </c>
      <c r="E4075" s="6" t="s">
        <v>44</v>
      </c>
      <c r="F4075" s="6" t="s">
        <v>54</v>
      </c>
      <c r="G4075" s="7">
        <v>55803.8509311504</v>
      </c>
      <c r="H4075" s="6">
        <v>3315092.869057742</v>
      </c>
      <c r="I4075" s="6" t="s">
        <v>180</v>
      </c>
      <c r="J4075" s="15">
        <v>11.12043154931672</v>
      </c>
    </row>
    <row r="4076" spans="1:10">
      <c r="A4076" s="6" t="s">
        <v>144</v>
      </c>
      <c r="B4076" s="6" t="s">
        <v>44</v>
      </c>
      <c r="C4076" s="6" t="s">
        <v>219</v>
      </c>
      <c r="D4076" s="6">
        <v>177.2825</v>
      </c>
      <c r="E4076" s="6" t="s">
        <v>44</v>
      </c>
      <c r="F4076" s="6" t="s">
        <v>51</v>
      </c>
      <c r="G4076" s="7">
        <v>24699.68371704026</v>
      </c>
      <c r="H4076" s="6">
        <v>4378821.678566189</v>
      </c>
      <c r="I4076" s="6" t="s">
        <v>179</v>
      </c>
      <c r="J4076" s="15">
        <v>13.96666666666667</v>
      </c>
    </row>
    <row r="4077" spans="1:10">
      <c r="A4077" s="6" t="s">
        <v>144</v>
      </c>
      <c r="B4077" s="6" t="s">
        <v>44</v>
      </c>
      <c r="C4077" s="6" t="s">
        <v>220</v>
      </c>
      <c r="D4077" s="6">
        <v>17.20566666666667</v>
      </c>
      <c r="E4077" s="6" t="s">
        <v>44</v>
      </c>
      <c r="F4077" s="6" t="s">
        <v>57</v>
      </c>
      <c r="G4077" s="7">
        <v>40154.70104495549</v>
      </c>
      <c r="H4077" s="6">
        <v>690888.4012791559</v>
      </c>
      <c r="I4077" s="6" t="s">
        <v>180</v>
      </c>
      <c r="J4077" s="15">
        <v>8.115072084977196</v>
      </c>
    </row>
    <row r="4078" spans="1:10">
      <c r="A4078" s="6" t="s">
        <v>144</v>
      </c>
      <c r="B4078" s="6" t="s">
        <v>44</v>
      </c>
      <c r="C4078" s="6" t="s">
        <v>221</v>
      </c>
      <c r="D4078" s="6">
        <v>234.9538333333333</v>
      </c>
      <c r="E4078" s="6" t="s">
        <v>44</v>
      </c>
      <c r="F4078" s="6" t="s">
        <v>51</v>
      </c>
      <c r="G4078" s="7">
        <v>26492.73446871235</v>
      </c>
      <c r="H4078" s="6">
        <v>6224569.518906097</v>
      </c>
      <c r="I4078" s="6" t="s">
        <v>179</v>
      </c>
      <c r="J4078" s="15">
        <v>21.28333333333333</v>
      </c>
    </row>
    <row r="4079" spans="1:10">
      <c r="A4079" s="6" t="s">
        <v>144</v>
      </c>
      <c r="B4079" s="6" t="s">
        <v>44</v>
      </c>
      <c r="C4079" s="6" t="s">
        <v>222</v>
      </c>
      <c r="D4079" s="6">
        <v>3.96125</v>
      </c>
      <c r="E4079" s="6" t="s">
        <v>44</v>
      </c>
      <c r="F4079" s="6" t="s">
        <v>57</v>
      </c>
      <c r="G4079" s="7">
        <v>40818.44055788575</v>
      </c>
      <c r="H4079" s="6">
        <v>161692.0476599249</v>
      </c>
      <c r="I4079" s="6" t="s">
        <v>180</v>
      </c>
      <c r="J4079" s="15">
        <v>8.360957310041353</v>
      </c>
    </row>
    <row r="4080" spans="1:10">
      <c r="A4080" s="6" t="s">
        <v>144</v>
      </c>
      <c r="B4080" s="6" t="s">
        <v>44</v>
      </c>
      <c r="C4080" s="6" t="s">
        <v>342</v>
      </c>
      <c r="D4080" s="6">
        <v>343.5161666666667</v>
      </c>
      <c r="E4080" s="6" t="s">
        <v>44</v>
      </c>
      <c r="F4080" s="6" t="s">
        <v>53</v>
      </c>
      <c r="G4080" s="7">
        <v>45319.56223077881</v>
      </c>
      <c r="H4080" s="6">
        <v>15568002.29252859</v>
      </c>
      <c r="I4080" s="6" t="s">
        <v>180</v>
      </c>
      <c r="J4080" s="15">
        <v>10.02841765257</v>
      </c>
    </row>
    <row r="4081" spans="1:10">
      <c r="A4081" s="6" t="s">
        <v>144</v>
      </c>
      <c r="B4081" s="6" t="s">
        <v>86</v>
      </c>
      <c r="C4081" s="6" t="s">
        <v>223</v>
      </c>
      <c r="D4081" s="6">
        <v>742.1685833333333</v>
      </c>
      <c r="E4081" s="6" t="s">
        <v>44</v>
      </c>
      <c r="F4081" s="6" t="s">
        <v>53</v>
      </c>
      <c r="G4081" s="7">
        <v>24418.66320757394</v>
      </c>
      <c r="H4081" s="6">
        <v>18122764.67965894</v>
      </c>
      <c r="I4081" s="6" t="s">
        <v>179</v>
      </c>
      <c r="J4081" s="15">
        <v>7.983333333333333</v>
      </c>
    </row>
    <row r="4082" spans="1:10">
      <c r="A4082" s="6" t="s">
        <v>144</v>
      </c>
      <c r="B4082" s="6" t="s">
        <v>44</v>
      </c>
      <c r="C4082" s="6" t="s">
        <v>224</v>
      </c>
      <c r="D4082" s="6">
        <v>1916.15425</v>
      </c>
      <c r="E4082" s="6" t="s">
        <v>44</v>
      </c>
      <c r="F4082" s="6" t="s">
        <v>51</v>
      </c>
      <c r="G4082" s="7">
        <v>20842.13163725611</v>
      </c>
      <c r="H4082" s="6">
        <v>39936739.11578776</v>
      </c>
      <c r="I4082" s="6" t="s">
        <v>179</v>
      </c>
      <c r="J4082" s="15">
        <v>11</v>
      </c>
    </row>
    <row r="4083" spans="1:10">
      <c r="A4083" s="6" t="s">
        <v>144</v>
      </c>
      <c r="B4083" s="6" t="s">
        <v>44</v>
      </c>
      <c r="C4083" s="6" t="s">
        <v>225</v>
      </c>
      <c r="D4083" s="6">
        <v>0.07625</v>
      </c>
      <c r="E4083" s="6" t="s">
        <v>44</v>
      </c>
      <c r="F4083" s="6" t="s">
        <v>54</v>
      </c>
      <c r="G4083" s="7">
        <v>67290.20302962229</v>
      </c>
      <c r="H4083" s="6">
        <v>5130.8779810087</v>
      </c>
      <c r="I4083" s="6" t="s">
        <v>180</v>
      </c>
      <c r="J4083" s="15">
        <v>18.16753827502286</v>
      </c>
    </row>
    <row r="4084" spans="1:10">
      <c r="A4084" s="6" t="s">
        <v>144</v>
      </c>
      <c r="B4084" s="6" t="s">
        <v>44</v>
      </c>
      <c r="C4084" s="6" t="s">
        <v>226</v>
      </c>
      <c r="D4084" s="6">
        <v>1433.968916666667</v>
      </c>
      <c r="E4084" s="6" t="s">
        <v>44</v>
      </c>
      <c r="F4084" s="6" t="s">
        <v>56</v>
      </c>
      <c r="G4084" s="7">
        <v>59921.09743873261</v>
      </c>
      <c r="H4084" s="6">
        <v>85924991.17969717</v>
      </c>
      <c r="I4084" s="6" t="s">
        <v>179</v>
      </c>
      <c r="J4084" s="15">
        <v>47.875</v>
      </c>
    </row>
    <row r="4085" spans="1:10">
      <c r="A4085" s="6" t="s">
        <v>144</v>
      </c>
      <c r="B4085" s="6" t="s">
        <v>44</v>
      </c>
      <c r="C4085" s="6" t="s">
        <v>345</v>
      </c>
      <c r="D4085" s="6">
        <v>146.9273333333333</v>
      </c>
      <c r="E4085" s="6" t="s">
        <v>44</v>
      </c>
      <c r="F4085" s="6" t="s">
        <v>53</v>
      </c>
      <c r="G4085" s="7">
        <v>44066.89222480646</v>
      </c>
      <c r="H4085" s="6">
        <v>6474630.962878213</v>
      </c>
      <c r="I4085" s="6" t="s">
        <v>180</v>
      </c>
      <c r="J4085" s="15">
        <v>9.564360533249458</v>
      </c>
    </row>
    <row r="4086" spans="1:10">
      <c r="A4086" s="6" t="s">
        <v>144</v>
      </c>
      <c r="B4086" s="6" t="s">
        <v>44</v>
      </c>
      <c r="C4086" s="6" t="s">
        <v>227</v>
      </c>
      <c r="D4086" s="6">
        <v>368.9633333333334</v>
      </c>
      <c r="E4086" s="6" t="s">
        <v>44</v>
      </c>
      <c r="F4086" s="6" t="s">
        <v>57</v>
      </c>
      <c r="G4086" s="7">
        <v>47608.30251275475</v>
      </c>
      <c r="H4086" s="6">
        <v>17565717.98944771</v>
      </c>
      <c r="I4086" s="6" t="s">
        <v>179</v>
      </c>
      <c r="J4086" s="15">
        <v>51.93333333333333</v>
      </c>
    </row>
    <row r="4087" spans="1:10">
      <c r="A4087" s="6" t="s">
        <v>144</v>
      </c>
      <c r="B4087" s="6" t="s">
        <v>44</v>
      </c>
      <c r="C4087" s="6" t="s">
        <v>228</v>
      </c>
      <c r="D4087" s="6">
        <v>355.0551666666667</v>
      </c>
      <c r="E4087" s="6" t="s">
        <v>44</v>
      </c>
      <c r="F4087" s="6" t="s">
        <v>51</v>
      </c>
      <c r="G4087" s="7">
        <v>36404.73502976458</v>
      </c>
      <c r="H4087" s="6">
        <v>12925689.2634489</v>
      </c>
      <c r="I4087" s="6" t="s">
        <v>179</v>
      </c>
      <c r="J4087" s="15">
        <v>21</v>
      </c>
    </row>
    <row r="4088" spans="1:10">
      <c r="A4088" s="6" t="s">
        <v>144</v>
      </c>
      <c r="B4088" s="6" t="s">
        <v>44</v>
      </c>
      <c r="C4088" s="6" t="s">
        <v>229</v>
      </c>
      <c r="D4088" s="6">
        <v>292.6990833333333</v>
      </c>
      <c r="E4088" s="6" t="s">
        <v>44</v>
      </c>
      <c r="F4088" s="6" t="s">
        <v>53</v>
      </c>
      <c r="G4088" s="7">
        <v>41295.07283256564</v>
      </c>
      <c r="H4088" s="6">
        <v>12087029.9642752</v>
      </c>
      <c r="I4088" s="6" t="s">
        <v>180</v>
      </c>
      <c r="J4088" s="15">
        <v>8.537527834847253</v>
      </c>
    </row>
    <row r="4089" spans="1:10">
      <c r="A4089" s="6" t="s">
        <v>144</v>
      </c>
      <c r="B4089" s="6" t="s">
        <v>44</v>
      </c>
      <c r="C4089" s="6" t="s">
        <v>367</v>
      </c>
      <c r="D4089" s="6">
        <v>10.6565</v>
      </c>
      <c r="E4089" s="6" t="s">
        <v>44</v>
      </c>
      <c r="F4089" s="6" t="s">
        <v>55</v>
      </c>
      <c r="G4089" s="7">
        <v>49244.11517900768</v>
      </c>
      <c r="H4089" s="6">
        <v>524769.9134050955</v>
      </c>
      <c r="I4089" s="6" t="s">
        <v>180</v>
      </c>
      <c r="J4089" s="15">
        <v>11.48228557236773</v>
      </c>
    </row>
    <row r="4090" spans="1:10">
      <c r="A4090" s="6" t="s">
        <v>144</v>
      </c>
      <c r="B4090" s="6" t="s">
        <v>44</v>
      </c>
      <c r="C4090" s="6" t="s">
        <v>230</v>
      </c>
      <c r="D4090" s="6">
        <v>308.8215833333334</v>
      </c>
      <c r="E4090" s="6" t="s">
        <v>44</v>
      </c>
      <c r="F4090" s="6" t="s">
        <v>53</v>
      </c>
      <c r="G4090" s="7">
        <v>40526.99807878413</v>
      </c>
      <c r="H4090" s="6">
        <v>12515611.71443707</v>
      </c>
      <c r="I4090" s="6" t="s">
        <v>179</v>
      </c>
      <c r="J4090" s="15">
        <v>43.54166666666667</v>
      </c>
    </row>
    <row r="4091" spans="1:10">
      <c r="A4091" s="6" t="s">
        <v>144</v>
      </c>
      <c r="B4091" s="6" t="s">
        <v>44</v>
      </c>
      <c r="C4091" s="6" t="s">
        <v>378</v>
      </c>
      <c r="D4091" s="6">
        <v>20.81741666666667</v>
      </c>
      <c r="E4091" s="6" t="s">
        <v>44</v>
      </c>
      <c r="F4091" s="6" t="s">
        <v>51</v>
      </c>
      <c r="G4091" s="7">
        <v>36833.11874185415</v>
      </c>
      <c r="H4091" s="6">
        <v>766770.3799819869</v>
      </c>
      <c r="I4091" s="6" t="s">
        <v>180</v>
      </c>
      <c r="J4091" s="15">
        <v>6.884577295595829</v>
      </c>
    </row>
    <row r="4092" spans="1:10">
      <c r="A4092" s="6" t="s">
        <v>144</v>
      </c>
      <c r="B4092" s="6" t="s">
        <v>44</v>
      </c>
      <c r="C4092" s="6" t="s">
        <v>231</v>
      </c>
      <c r="D4092" s="6">
        <v>11.5035</v>
      </c>
      <c r="E4092" s="6" t="s">
        <v>44</v>
      </c>
      <c r="F4092" s="6" t="s">
        <v>52</v>
      </c>
      <c r="G4092" s="7">
        <v>106696.4944389694</v>
      </c>
      <c r="H4092" s="6">
        <v>1227383.123778685</v>
      </c>
      <c r="I4092" s="6" t="s">
        <v>179</v>
      </c>
      <c r="J4092" s="15">
        <v>75</v>
      </c>
    </row>
    <row r="4093" spans="1:10">
      <c r="A4093" s="6" t="s">
        <v>144</v>
      </c>
      <c r="B4093" s="6" t="s">
        <v>44</v>
      </c>
      <c r="C4093" s="6" t="s">
        <v>346</v>
      </c>
      <c r="D4093" s="6">
        <v>7.308166666666666</v>
      </c>
      <c r="E4093" s="6" t="s">
        <v>44</v>
      </c>
      <c r="F4093" s="6" t="s">
        <v>52</v>
      </c>
      <c r="G4093" s="7">
        <v>64169.74384104699</v>
      </c>
      <c r="H4093" s="6">
        <v>468963.1829476782</v>
      </c>
      <c r="I4093" s="6" t="s">
        <v>180</v>
      </c>
      <c r="J4093" s="15">
        <v>17.01155042897912</v>
      </c>
    </row>
    <row r="4094" spans="1:10">
      <c r="A4094" s="6" t="s">
        <v>144</v>
      </c>
      <c r="B4094" s="6" t="s">
        <v>44</v>
      </c>
      <c r="C4094" s="6" t="s">
        <v>232</v>
      </c>
      <c r="D4094" s="6">
        <v>38.29316666666666</v>
      </c>
      <c r="E4094" s="6" t="s">
        <v>44</v>
      </c>
      <c r="F4094" s="6" t="s">
        <v>51</v>
      </c>
      <c r="G4094" s="7">
        <v>28201.41411980885</v>
      </c>
      <c r="H4094" s="6">
        <v>1079921.451125527</v>
      </c>
      <c r="I4094" s="6" t="s">
        <v>179</v>
      </c>
      <c r="J4094" s="15">
        <v>20</v>
      </c>
    </row>
    <row r="4095" spans="1:10">
      <c r="A4095" s="6" t="s">
        <v>144</v>
      </c>
      <c r="B4095" s="6" t="s">
        <v>44</v>
      </c>
      <c r="C4095" s="6" t="s">
        <v>233</v>
      </c>
      <c r="D4095" s="6">
        <v>515.3255833333333</v>
      </c>
      <c r="E4095" s="6" t="s">
        <v>44</v>
      </c>
      <c r="F4095" s="6" t="s">
        <v>59</v>
      </c>
      <c r="G4095" s="7">
        <v>60259.27520860936</v>
      </c>
      <c r="H4095" s="6">
        <v>31053146.14812049</v>
      </c>
      <c r="I4095" s="6" t="s">
        <v>179</v>
      </c>
      <c r="J4095" s="15">
        <v>40.40833333333333</v>
      </c>
    </row>
    <row r="4096" spans="1:10">
      <c r="A4096" s="6" t="s">
        <v>144</v>
      </c>
      <c r="B4096" s="6" t="s">
        <v>44</v>
      </c>
      <c r="C4096" s="6" t="s">
        <v>234</v>
      </c>
      <c r="D4096" s="6">
        <v>186.5790833333333</v>
      </c>
      <c r="E4096" s="6" t="s">
        <v>44</v>
      </c>
      <c r="F4096" s="6" t="s">
        <v>56</v>
      </c>
      <c r="G4096" s="7">
        <v>60675.69596540061</v>
      </c>
      <c r="H4096" s="6">
        <v>11320815.73383648</v>
      </c>
      <c r="I4096" s="6" t="s">
        <v>179</v>
      </c>
      <c r="J4096" s="15">
        <v>37.40833333333333</v>
      </c>
    </row>
    <row r="4097" spans="1:10">
      <c r="A4097" s="6" t="s">
        <v>144</v>
      </c>
      <c r="B4097" s="6" t="s">
        <v>44</v>
      </c>
      <c r="C4097" s="6" t="s">
        <v>235</v>
      </c>
      <c r="D4097" s="6">
        <v>1.461583333333333</v>
      </c>
      <c r="E4097" s="6" t="s">
        <v>44</v>
      </c>
      <c r="F4097" s="6" t="s">
        <v>53</v>
      </c>
      <c r="G4097" s="7">
        <v>42906.76971531406</v>
      </c>
      <c r="H4097" s="6">
        <v>62711.81950307445</v>
      </c>
      <c r="I4097" s="6" t="s">
        <v>180</v>
      </c>
      <c r="J4097" s="15">
        <v>9.134588041494082</v>
      </c>
    </row>
    <row r="4098" spans="1:10">
      <c r="A4098" s="6" t="s">
        <v>144</v>
      </c>
      <c r="B4098" s="6" t="s">
        <v>44</v>
      </c>
      <c r="C4098" s="6" t="s">
        <v>236</v>
      </c>
      <c r="D4098" s="6">
        <v>2322.52375</v>
      </c>
      <c r="E4098" s="6" t="s">
        <v>44</v>
      </c>
      <c r="F4098" s="6" t="s">
        <v>51</v>
      </c>
      <c r="G4098" s="7">
        <v>16875.52434086435</v>
      </c>
      <c r="H4098" s="6">
        <v>39193806.07536056</v>
      </c>
      <c r="I4098" s="6" t="s">
        <v>179</v>
      </c>
      <c r="J4098" s="15">
        <v>16.31666666666667</v>
      </c>
    </row>
    <row r="4099" spans="1:10">
      <c r="A4099" s="6" t="s">
        <v>144</v>
      </c>
      <c r="B4099" s="6" t="s">
        <v>44</v>
      </c>
      <c r="C4099" s="6" t="s">
        <v>237</v>
      </c>
      <c r="D4099" s="6">
        <v>223.1323333333333</v>
      </c>
      <c r="E4099" s="6" t="s">
        <v>44</v>
      </c>
      <c r="F4099" s="6" t="s">
        <v>51</v>
      </c>
      <c r="G4099" s="7">
        <v>25931.08338799715</v>
      </c>
      <c r="H4099" s="6">
        <v>5786063.142225043</v>
      </c>
      <c r="I4099" s="6" t="s">
        <v>179</v>
      </c>
      <c r="J4099" s="15">
        <v>20</v>
      </c>
    </row>
    <row r="4100" spans="1:10">
      <c r="A4100" s="6" t="s">
        <v>144</v>
      </c>
      <c r="B4100" s="6" t="s">
        <v>44</v>
      </c>
      <c r="C4100" s="6" t="s">
        <v>238</v>
      </c>
      <c r="D4100" s="6">
        <v>530.5193333333334</v>
      </c>
      <c r="E4100" s="6" t="s">
        <v>44</v>
      </c>
      <c r="F4100" s="6" t="s">
        <v>51</v>
      </c>
      <c r="G4100" s="7">
        <v>21509.06685400382</v>
      </c>
      <c r="H4100" s="6">
        <v>11410975.80800821</v>
      </c>
      <c r="I4100" s="6" t="s">
        <v>179</v>
      </c>
      <c r="J4100" s="15">
        <v>11</v>
      </c>
    </row>
    <row r="4101" spans="1:10">
      <c r="A4101" s="6" t="s">
        <v>144</v>
      </c>
      <c r="B4101" s="6" t="s">
        <v>44</v>
      </c>
      <c r="C4101" s="6" t="s">
        <v>239</v>
      </c>
      <c r="D4101" s="6">
        <v>495.7991666666666</v>
      </c>
      <c r="E4101" s="6" t="s">
        <v>44</v>
      </c>
      <c r="F4101" s="6" t="s">
        <v>54</v>
      </c>
      <c r="G4101" s="7">
        <v>91141.09901653728</v>
      </c>
      <c r="H4101" s="6">
        <v>45187680.94148333</v>
      </c>
      <c r="I4101" s="6" t="s">
        <v>179</v>
      </c>
      <c r="J4101" s="15">
        <v>62</v>
      </c>
    </row>
    <row r="4102" spans="1:10">
      <c r="A4102" s="6" t="s">
        <v>144</v>
      </c>
      <c r="B4102" s="6" t="s">
        <v>44</v>
      </c>
      <c r="C4102" s="6" t="s">
        <v>379</v>
      </c>
      <c r="D4102" s="6">
        <v>7.57225</v>
      </c>
      <c r="E4102" s="6" t="s">
        <v>44</v>
      </c>
      <c r="F4102" s="6" t="s">
        <v>51</v>
      </c>
      <c r="G4102" s="7">
        <v>54300.15081254677</v>
      </c>
      <c r="H4102" s="6">
        <v>411174.3169903073</v>
      </c>
      <c r="I4102" s="6" t="s">
        <v>180</v>
      </c>
      <c r="J4102" s="15">
        <v>13.35531623494908</v>
      </c>
    </row>
    <row r="4103" spans="1:10">
      <c r="A4103" s="6" t="s">
        <v>144</v>
      </c>
      <c r="B4103" s="6" t="s">
        <v>44</v>
      </c>
      <c r="C4103" s="6" t="s">
        <v>347</v>
      </c>
      <c r="D4103" s="6">
        <v>1.398333333333333</v>
      </c>
      <c r="E4103" s="6" t="s">
        <v>44</v>
      </c>
      <c r="F4103" s="6" t="s">
        <v>52</v>
      </c>
      <c r="G4103" s="7">
        <v>64169.74384104699</v>
      </c>
      <c r="H4103" s="6">
        <v>89730.69180439737</v>
      </c>
      <c r="I4103" s="6" t="s">
        <v>180</v>
      </c>
      <c r="J4103" s="15">
        <v>17.01155042897912</v>
      </c>
    </row>
    <row r="4104" spans="1:10">
      <c r="A4104" s="6" t="s">
        <v>144</v>
      </c>
      <c r="B4104" s="6" t="s">
        <v>44</v>
      </c>
      <c r="C4104" s="6" t="s">
        <v>368</v>
      </c>
      <c r="D4104" s="6">
        <v>4.3285</v>
      </c>
      <c r="E4104" s="6" t="s">
        <v>44</v>
      </c>
      <c r="F4104" s="6" t="s">
        <v>55</v>
      </c>
      <c r="G4104" s="7">
        <v>48770.50191399889</v>
      </c>
      <c r="H4104" s="6">
        <v>211103.1175347442</v>
      </c>
      <c r="I4104" s="6" t="s">
        <v>180</v>
      </c>
      <c r="J4104" s="15">
        <v>11.30683345298744</v>
      </c>
    </row>
    <row r="4105" spans="1:10">
      <c r="A4105" s="6" t="s">
        <v>144</v>
      </c>
      <c r="B4105" s="6" t="s">
        <v>44</v>
      </c>
      <c r="C4105" s="6" t="s">
        <v>240</v>
      </c>
      <c r="D4105" s="6">
        <v>30.819</v>
      </c>
      <c r="E4105" s="6" t="s">
        <v>44</v>
      </c>
      <c r="F4105" s="6" t="s">
        <v>51</v>
      </c>
      <c r="G4105" s="7">
        <v>18174.39388396715</v>
      </c>
      <c r="H4105" s="6">
        <v>560116.6451099836</v>
      </c>
      <c r="I4105" s="6" t="s">
        <v>179</v>
      </c>
      <c r="J4105" s="15">
        <v>18</v>
      </c>
    </row>
    <row r="4106" spans="1:10">
      <c r="A4106" s="6" t="s">
        <v>144</v>
      </c>
      <c r="B4106" s="6" t="s">
        <v>90</v>
      </c>
      <c r="C4106" s="6" t="s">
        <v>241</v>
      </c>
      <c r="D4106" s="6">
        <v>238.216</v>
      </c>
      <c r="E4106" s="6" t="s">
        <v>44</v>
      </c>
      <c r="F4106" s="6" t="s">
        <v>53</v>
      </c>
      <c r="G4106" s="7">
        <v>26388.49277067184</v>
      </c>
      <c r="H4106" s="6">
        <v>6286161.193858364</v>
      </c>
      <c r="I4106" s="6" t="s">
        <v>179</v>
      </c>
      <c r="J4106" s="15">
        <v>14.36666666666667</v>
      </c>
    </row>
    <row r="4107" spans="1:10">
      <c r="A4107" s="6" t="s">
        <v>144</v>
      </c>
      <c r="B4107" s="6" t="s">
        <v>44</v>
      </c>
      <c r="C4107" s="6" t="s">
        <v>242</v>
      </c>
      <c r="D4107" s="6">
        <v>1323.39175</v>
      </c>
      <c r="E4107" s="6" t="s">
        <v>44</v>
      </c>
      <c r="F4107" s="6" t="s">
        <v>56</v>
      </c>
      <c r="G4107" s="7">
        <v>41454.84700212286</v>
      </c>
      <c r="H4107" s="6">
        <v>54861002.52012163</v>
      </c>
      <c r="I4107" s="6" t="s">
        <v>179</v>
      </c>
      <c r="J4107" s="15">
        <v>28.81666666666667</v>
      </c>
    </row>
    <row r="4108" spans="1:10">
      <c r="A4108" s="6" t="s">
        <v>144</v>
      </c>
      <c r="B4108" s="6" t="s">
        <v>44</v>
      </c>
      <c r="C4108" s="6" t="s">
        <v>243</v>
      </c>
      <c r="D4108" s="6">
        <v>1.592833333333333</v>
      </c>
      <c r="E4108" s="6" t="s">
        <v>44</v>
      </c>
      <c r="F4108" s="6" t="s">
        <v>58</v>
      </c>
      <c r="G4108" s="7">
        <v>39072.48177856206</v>
      </c>
      <c r="H4108" s="6">
        <v>62235.95139295293</v>
      </c>
      <c r="I4108" s="6" t="s">
        <v>180</v>
      </c>
      <c r="J4108" s="15">
        <v>7.714159192642155</v>
      </c>
    </row>
    <row r="4109" spans="1:10">
      <c r="A4109" s="6" t="s">
        <v>144</v>
      </c>
      <c r="B4109" s="6" t="s">
        <v>44</v>
      </c>
      <c r="C4109" s="6" t="s">
        <v>369</v>
      </c>
      <c r="D4109" s="6">
        <v>5.792583333333333</v>
      </c>
      <c r="E4109" s="6" t="s">
        <v>44</v>
      </c>
      <c r="F4109" s="6" t="s">
        <v>55</v>
      </c>
      <c r="G4109" s="7">
        <v>49104.86498874119</v>
      </c>
      <c r="H4109" s="6">
        <v>284444.0225193657</v>
      </c>
      <c r="I4109" s="6" t="s">
        <v>180</v>
      </c>
      <c r="J4109" s="15">
        <v>11.43069972625358</v>
      </c>
    </row>
    <row r="4110" spans="1:10">
      <c r="A4110" s="6" t="s">
        <v>144</v>
      </c>
      <c r="B4110" s="6" t="s">
        <v>44</v>
      </c>
      <c r="C4110" s="6" t="s">
        <v>244</v>
      </c>
      <c r="D4110" s="6">
        <v>48.03874999999999</v>
      </c>
      <c r="E4110" s="6" t="s">
        <v>44</v>
      </c>
      <c r="F4110" s="6" t="s">
        <v>55</v>
      </c>
      <c r="G4110" s="7">
        <v>48324.15434814322</v>
      </c>
      <c r="H4110" s="6">
        <v>2321431.969691865</v>
      </c>
      <c r="I4110" s="6" t="s">
        <v>180</v>
      </c>
      <c r="J4110" s="15">
        <v>25.75</v>
      </c>
    </row>
    <row r="4111" spans="1:10">
      <c r="A4111" s="6" t="s">
        <v>144</v>
      </c>
      <c r="B4111" s="6" t="s">
        <v>86</v>
      </c>
      <c r="C4111" s="6" t="s">
        <v>245</v>
      </c>
      <c r="D4111" s="6">
        <v>216.7365833333333</v>
      </c>
      <c r="E4111" s="6" t="s">
        <v>44</v>
      </c>
      <c r="F4111" s="6" t="s">
        <v>53</v>
      </c>
      <c r="G4111" s="7">
        <v>25664.32175307323</v>
      </c>
      <c r="H4111" s="6">
        <v>5562397.410328435</v>
      </c>
      <c r="I4111" s="6" t="s">
        <v>179</v>
      </c>
      <c r="J4111" s="15">
        <v>6.05</v>
      </c>
    </row>
    <row r="4112" spans="1:10">
      <c r="A4112" s="6" t="s">
        <v>144</v>
      </c>
      <c r="B4112" s="6" t="s">
        <v>44</v>
      </c>
      <c r="C4112" s="6" t="s">
        <v>246</v>
      </c>
      <c r="D4112" s="6">
        <v>0.7715833333333333</v>
      </c>
      <c r="E4112" s="6" t="s">
        <v>44</v>
      </c>
      <c r="F4112" s="6" t="s">
        <v>53</v>
      </c>
      <c r="G4112" s="7">
        <v>41073.70877033749</v>
      </c>
      <c r="H4112" s="6">
        <v>31691.78912537957</v>
      </c>
      <c r="I4112" s="6" t="s">
        <v>180</v>
      </c>
      <c r="J4112" s="15">
        <v>8.45552254331084</v>
      </c>
    </row>
    <row r="4113" spans="1:10">
      <c r="A4113" s="6" t="s">
        <v>144</v>
      </c>
      <c r="B4113" s="6" t="s">
        <v>44</v>
      </c>
      <c r="C4113" s="6" t="s">
        <v>348</v>
      </c>
      <c r="D4113" s="6">
        <v>3.374166666666667</v>
      </c>
      <c r="E4113" s="6" t="s">
        <v>44</v>
      </c>
      <c r="F4113" s="6" t="s">
        <v>52</v>
      </c>
      <c r="G4113" s="7">
        <v>64169.74384104699</v>
      </c>
      <c r="H4113" s="6">
        <v>216519.4106769994</v>
      </c>
      <c r="I4113" s="6" t="s">
        <v>180</v>
      </c>
      <c r="J4113" s="15">
        <v>17.01155042897912</v>
      </c>
    </row>
    <row r="4114" spans="1:10">
      <c r="A4114" s="6" t="s">
        <v>144</v>
      </c>
      <c r="B4114" s="6" t="s">
        <v>44</v>
      </c>
      <c r="C4114" s="6" t="s">
        <v>349</v>
      </c>
      <c r="D4114" s="6">
        <v>11.19583333333333</v>
      </c>
      <c r="E4114" s="6" t="s">
        <v>44</v>
      </c>
      <c r="F4114" s="6" t="s">
        <v>52</v>
      </c>
      <c r="G4114" s="7">
        <v>64169.74384104699</v>
      </c>
      <c r="H4114" s="6">
        <v>718433.7570870552</v>
      </c>
      <c r="I4114" s="6" t="s">
        <v>180</v>
      </c>
      <c r="J4114" s="15">
        <v>17.01155042897912</v>
      </c>
    </row>
    <row r="4115" spans="1:10">
      <c r="A4115" s="6" t="s">
        <v>144</v>
      </c>
      <c r="B4115" s="6" t="s">
        <v>44</v>
      </c>
      <c r="C4115" s="6" t="s">
        <v>247</v>
      </c>
      <c r="D4115" s="6">
        <v>1282.38175</v>
      </c>
      <c r="E4115" s="6" t="s">
        <v>44</v>
      </c>
      <c r="F4115" s="6" t="s">
        <v>51</v>
      </c>
      <c r="G4115" s="7">
        <v>30572.38239922268</v>
      </c>
      <c r="H4115" s="6">
        <v>39205465.24278438</v>
      </c>
      <c r="I4115" s="6" t="s">
        <v>179</v>
      </c>
      <c r="J4115" s="15">
        <v>25.55</v>
      </c>
    </row>
    <row r="4116" spans="1:10">
      <c r="A4116" s="6" t="s">
        <v>144</v>
      </c>
      <c r="B4116" s="6" t="s">
        <v>44</v>
      </c>
      <c r="C4116" s="6" t="s">
        <v>248</v>
      </c>
      <c r="D4116" s="6">
        <v>173.54175</v>
      </c>
      <c r="E4116" s="6" t="s">
        <v>44</v>
      </c>
      <c r="F4116" s="6" t="s">
        <v>55</v>
      </c>
      <c r="G4116" s="7">
        <v>87415.63794531897</v>
      </c>
      <c r="H4116" s="6">
        <v>15170262.78639706</v>
      </c>
      <c r="I4116" s="6" t="s">
        <v>179</v>
      </c>
      <c r="J4116" s="15">
        <v>48.6</v>
      </c>
    </row>
    <row r="4117" spans="1:10">
      <c r="A4117" s="6" t="s">
        <v>144</v>
      </c>
      <c r="B4117" s="6" t="s">
        <v>44</v>
      </c>
      <c r="C4117" s="6" t="s">
        <v>249</v>
      </c>
      <c r="D4117" s="6">
        <v>1555.548416666667</v>
      </c>
      <c r="E4117" s="6" t="s">
        <v>44</v>
      </c>
      <c r="F4117" s="6" t="s">
        <v>53</v>
      </c>
      <c r="G4117" s="7">
        <v>42005.85786023017</v>
      </c>
      <c r="H4117" s="6">
        <v>65342145.6852061</v>
      </c>
      <c r="I4117" s="6" t="s">
        <v>179</v>
      </c>
      <c r="J4117" s="15">
        <v>39.98333333333333</v>
      </c>
    </row>
    <row r="4118" spans="1:10">
      <c r="A4118" s="6" t="s">
        <v>144</v>
      </c>
      <c r="B4118" s="6" t="s">
        <v>44</v>
      </c>
      <c r="C4118" s="6" t="s">
        <v>351</v>
      </c>
      <c r="D4118" s="6">
        <v>8.927666666666667</v>
      </c>
      <c r="E4118" s="6" t="s">
        <v>44</v>
      </c>
      <c r="F4118" s="6" t="s">
        <v>53</v>
      </c>
      <c r="G4118" s="7">
        <v>50618.83248175711</v>
      </c>
      <c r="H4118" s="6">
        <v>451908.0634529669</v>
      </c>
      <c r="I4118" s="6" t="s">
        <v>180</v>
      </c>
      <c r="J4118" s="15">
        <v>11.99155565016354</v>
      </c>
    </row>
    <row r="4119" spans="1:10">
      <c r="A4119" s="6" t="s">
        <v>144</v>
      </c>
      <c r="B4119" s="6" t="s">
        <v>44</v>
      </c>
      <c r="C4119" s="6" t="s">
        <v>250</v>
      </c>
      <c r="D4119" s="6">
        <v>45.43375</v>
      </c>
      <c r="E4119" s="6" t="s">
        <v>44</v>
      </c>
      <c r="F4119" s="6" t="s">
        <v>55</v>
      </c>
      <c r="G4119" s="7">
        <v>52905.45321842405</v>
      </c>
      <c r="H4119" s="6">
        <v>2403693.135162574</v>
      </c>
      <c r="I4119" s="6" t="s">
        <v>180</v>
      </c>
      <c r="J4119" s="15">
        <v>29</v>
      </c>
    </row>
    <row r="4120" spans="1:10">
      <c r="A4120" s="6" t="s">
        <v>144</v>
      </c>
      <c r="B4120" s="6" t="s">
        <v>44</v>
      </c>
      <c r="C4120" s="6" t="s">
        <v>251</v>
      </c>
      <c r="D4120" s="6">
        <v>15.83183333333333</v>
      </c>
      <c r="E4120" s="6" t="s">
        <v>44</v>
      </c>
      <c r="F4120" s="6" t="s">
        <v>53</v>
      </c>
      <c r="G4120" s="7">
        <v>35076.47747982296</v>
      </c>
      <c r="H4120" s="6">
        <v>555324.9453809772</v>
      </c>
      <c r="I4120" s="6" t="s">
        <v>179</v>
      </c>
      <c r="J4120" s="15">
        <v>8.671570765153875</v>
      </c>
    </row>
    <row r="4121" spans="1:10">
      <c r="A4121" s="6" t="s">
        <v>144</v>
      </c>
      <c r="B4121" s="6" t="s">
        <v>44</v>
      </c>
      <c r="C4121" s="6" t="s">
        <v>252</v>
      </c>
      <c r="D4121" s="6">
        <v>177.26425</v>
      </c>
      <c r="E4121" s="6" t="s">
        <v>44</v>
      </c>
      <c r="F4121" s="6" t="s">
        <v>57</v>
      </c>
      <c r="G4121" s="7">
        <v>29402.0465874927</v>
      </c>
      <c r="H4121" s="6">
        <v>5211931.736796953</v>
      </c>
      <c r="I4121" s="6" t="s">
        <v>179</v>
      </c>
      <c r="J4121" s="15">
        <v>20</v>
      </c>
    </row>
    <row r="4122" spans="1:10">
      <c r="A4122" s="6" t="s">
        <v>144</v>
      </c>
      <c r="B4122" s="6" t="s">
        <v>86</v>
      </c>
      <c r="C4122" s="6" t="s">
        <v>253</v>
      </c>
      <c r="D4122" s="6">
        <v>410.5015</v>
      </c>
      <c r="E4122" s="6" t="s">
        <v>44</v>
      </c>
      <c r="F4122" s="6" t="s">
        <v>53</v>
      </c>
      <c r="G4122" s="7">
        <v>38500.53307646881</v>
      </c>
      <c r="H4122" s="6">
        <v>15804526.57869006</v>
      </c>
      <c r="I4122" s="6" t="s">
        <v>179</v>
      </c>
      <c r="J4122" s="15">
        <v>7.241666666666667</v>
      </c>
    </row>
    <row r="4123" spans="1:10">
      <c r="A4123" s="6" t="s">
        <v>144</v>
      </c>
      <c r="B4123" s="6" t="s">
        <v>86</v>
      </c>
      <c r="C4123" s="6" t="s">
        <v>353</v>
      </c>
      <c r="D4123" s="6">
        <v>7.990166666666667</v>
      </c>
      <c r="E4123" s="6" t="s">
        <v>44</v>
      </c>
      <c r="F4123" s="6" t="s">
        <v>62</v>
      </c>
      <c r="G4123" s="7">
        <v>81005.34654028571</v>
      </c>
      <c r="H4123" s="6">
        <v>647246.2197479729</v>
      </c>
      <c r="I4123" s="6" t="s">
        <v>179</v>
      </c>
      <c r="J4123" s="15">
        <v>102.3</v>
      </c>
    </row>
    <row r="4124" spans="1:10">
      <c r="A4124" s="6" t="s">
        <v>144</v>
      </c>
      <c r="B4124" s="6" t="s">
        <v>44</v>
      </c>
      <c r="C4124" s="6" t="s">
        <v>254</v>
      </c>
      <c r="D4124" s="6">
        <v>6.431416666666666</v>
      </c>
      <c r="E4124" s="6" t="s">
        <v>44</v>
      </c>
      <c r="F4124" s="6" t="s">
        <v>51</v>
      </c>
      <c r="G4124" s="7">
        <v>67100.46594067648</v>
      </c>
      <c r="H4124" s="6">
        <v>431551.0549919657</v>
      </c>
      <c r="I4124" s="6" t="s">
        <v>179</v>
      </c>
      <c r="J4124" s="15">
        <v>18.5</v>
      </c>
    </row>
    <row r="4125" spans="1:10">
      <c r="A4125" s="6" t="s">
        <v>144</v>
      </c>
      <c r="B4125" s="6" t="s">
        <v>44</v>
      </c>
      <c r="C4125" s="6" t="s">
        <v>255</v>
      </c>
      <c r="D4125" s="6">
        <v>86.04483333333333</v>
      </c>
      <c r="E4125" s="6" t="s">
        <v>44</v>
      </c>
      <c r="F4125" s="6" t="s">
        <v>51</v>
      </c>
      <c r="G4125" s="7">
        <v>32463.72189421727</v>
      </c>
      <c r="H4125" s="6">
        <v>2793335.539767609</v>
      </c>
      <c r="I4125" s="6" t="s">
        <v>179</v>
      </c>
      <c r="J4125" s="15">
        <v>13.29939623747558</v>
      </c>
    </row>
    <row r="4126" spans="1:10">
      <c r="A4126" s="6" t="s">
        <v>144</v>
      </c>
      <c r="B4126" s="6" t="s">
        <v>44</v>
      </c>
      <c r="C4126" s="6" t="s">
        <v>256</v>
      </c>
      <c r="D4126" s="6">
        <v>2.17225</v>
      </c>
      <c r="E4126" s="6" t="s">
        <v>44</v>
      </c>
      <c r="F4126" s="6" t="s">
        <v>57</v>
      </c>
      <c r="G4126" s="7">
        <v>42467.27080588165</v>
      </c>
      <c r="H4126" s="6">
        <v>92249.52900807641</v>
      </c>
      <c r="I4126" s="6" t="s">
        <v>180</v>
      </c>
      <c r="J4126" s="15">
        <v>25.26666666666667</v>
      </c>
    </row>
    <row r="4127" spans="1:10">
      <c r="A4127" s="6" t="s">
        <v>144</v>
      </c>
      <c r="B4127" s="6" t="s">
        <v>92</v>
      </c>
      <c r="C4127" s="6" t="s">
        <v>257</v>
      </c>
      <c r="D4127" s="6">
        <v>15.38883333333333</v>
      </c>
      <c r="E4127" s="6" t="s">
        <v>44</v>
      </c>
      <c r="F4127" s="6" t="s">
        <v>52</v>
      </c>
      <c r="G4127" s="7">
        <v>77318.80490856594</v>
      </c>
      <c r="H4127" s="6">
        <v>1189846.202270437</v>
      </c>
      <c r="I4127" s="6" t="s">
        <v>180</v>
      </c>
      <c r="J4127" s="15">
        <v>22.18952976848772</v>
      </c>
    </row>
    <row r="4128" spans="1:10">
      <c r="A4128" s="6" t="s">
        <v>144</v>
      </c>
      <c r="B4128" s="6" t="s">
        <v>86</v>
      </c>
      <c r="C4128" s="6" t="s">
        <v>258</v>
      </c>
      <c r="D4128" s="6">
        <v>10.9775</v>
      </c>
      <c r="E4128" s="6" t="s">
        <v>44</v>
      </c>
      <c r="F4128" s="6" t="s">
        <v>52</v>
      </c>
      <c r="G4128" s="7">
        <v>85328.84139394178</v>
      </c>
      <c r="H4128" s="6">
        <v>936697.356401996</v>
      </c>
      <c r="I4128" s="6" t="s">
        <v>179</v>
      </c>
      <c r="J4128" s="15">
        <v>40.5</v>
      </c>
    </row>
    <row r="4129" spans="1:10">
      <c r="A4129" s="6" t="s">
        <v>144</v>
      </c>
      <c r="B4129" s="6" t="s">
        <v>44</v>
      </c>
      <c r="C4129" s="6" t="s">
        <v>259</v>
      </c>
      <c r="D4129" s="6">
        <v>129.1553333333333</v>
      </c>
      <c r="E4129" s="6" t="s">
        <v>44</v>
      </c>
      <c r="F4129" s="6" t="s">
        <v>56</v>
      </c>
      <c r="G4129" s="7">
        <v>42233.6310286505</v>
      </c>
      <c r="H4129" s="6">
        <v>5454698.693382365</v>
      </c>
      <c r="I4129" s="6" t="s">
        <v>179</v>
      </c>
      <c r="J4129" s="15">
        <v>38.91666666666667</v>
      </c>
    </row>
    <row r="4130" spans="1:10">
      <c r="A4130" s="6" t="s">
        <v>144</v>
      </c>
      <c r="B4130" s="6" t="s">
        <v>44</v>
      </c>
      <c r="C4130" s="6" t="s">
        <v>260</v>
      </c>
      <c r="D4130" s="6">
        <v>837.7824166666667</v>
      </c>
      <c r="E4130" s="6" t="s">
        <v>44</v>
      </c>
      <c r="F4130" s="6" t="s">
        <v>52</v>
      </c>
      <c r="G4130" s="7">
        <v>54560.56274648917</v>
      </c>
      <c r="H4130" s="6">
        <v>45709880.112447</v>
      </c>
      <c r="I4130" s="6" t="s">
        <v>179</v>
      </c>
      <c r="J4130" s="15">
        <v>53</v>
      </c>
    </row>
    <row r="4131" spans="1:10">
      <c r="A4131" s="6" t="s">
        <v>144</v>
      </c>
      <c r="B4131" s="6" t="s">
        <v>44</v>
      </c>
      <c r="C4131" s="6" t="s">
        <v>261</v>
      </c>
      <c r="D4131" s="6">
        <v>1.820916666666667</v>
      </c>
      <c r="E4131" s="6" t="s">
        <v>44</v>
      </c>
      <c r="F4131" s="6" t="s">
        <v>54</v>
      </c>
      <c r="G4131" s="7">
        <v>66379.62434043601</v>
      </c>
      <c r="H4131" s="6">
        <v>120871.7642885723</v>
      </c>
      <c r="I4131" s="6" t="s">
        <v>180</v>
      </c>
      <c r="J4131" s="15">
        <v>17.83021039026165</v>
      </c>
    </row>
    <row r="4132" spans="1:10">
      <c r="A4132" s="6" t="s">
        <v>144</v>
      </c>
      <c r="B4132" s="6" t="s">
        <v>44</v>
      </c>
      <c r="C4132" s="6" t="s">
        <v>262</v>
      </c>
      <c r="D4132" s="6">
        <v>399.2974166666667</v>
      </c>
      <c r="E4132" s="6" t="s">
        <v>44</v>
      </c>
      <c r="F4132" s="6" t="s">
        <v>51</v>
      </c>
      <c r="G4132" s="7">
        <v>21698.35157241016</v>
      </c>
      <c r="H4132" s="6">
        <v>8664095.728788482</v>
      </c>
      <c r="I4132" s="6" t="s">
        <v>179</v>
      </c>
      <c r="J4132" s="15">
        <v>22.96666666666667</v>
      </c>
    </row>
    <row r="4133" spans="1:10">
      <c r="A4133" s="6" t="s">
        <v>144</v>
      </c>
      <c r="B4133" s="6" t="s">
        <v>101</v>
      </c>
      <c r="C4133" s="6" t="s">
        <v>263</v>
      </c>
      <c r="D4133" s="6">
        <v>304.8245833333333</v>
      </c>
      <c r="E4133" s="6" t="s">
        <v>44</v>
      </c>
      <c r="F4133" s="6" t="s">
        <v>54</v>
      </c>
      <c r="G4133" s="7">
        <v>94947.43860056643</v>
      </c>
      <c r="H4133" s="6">
        <v>28942313.40998491</v>
      </c>
      <c r="I4133" s="6" t="s">
        <v>380</v>
      </c>
      <c r="J4133" s="15">
        <v>16.98218214922268</v>
      </c>
    </row>
    <row r="4134" spans="1:10">
      <c r="A4134" s="6" t="s">
        <v>144</v>
      </c>
      <c r="B4134" s="6" t="s">
        <v>44</v>
      </c>
      <c r="C4134" s="6" t="s">
        <v>264</v>
      </c>
      <c r="D4134" s="6">
        <v>154.22675</v>
      </c>
      <c r="E4134" s="6" t="s">
        <v>44</v>
      </c>
      <c r="F4134" s="6" t="s">
        <v>54</v>
      </c>
      <c r="G4134" s="7">
        <v>119405.935407702</v>
      </c>
      <c r="H4134" s="6">
        <v>18415589.3486398</v>
      </c>
      <c r="I4134" s="6" t="s">
        <v>179</v>
      </c>
      <c r="J4134" s="15">
        <v>91.11666666666667</v>
      </c>
    </row>
    <row r="4135" spans="1:10">
      <c r="A4135" s="6" t="s">
        <v>144</v>
      </c>
      <c r="B4135" s="6" t="s">
        <v>44</v>
      </c>
      <c r="C4135" s="6" t="s">
        <v>265</v>
      </c>
      <c r="D4135" s="6">
        <v>554.6828333333333</v>
      </c>
      <c r="E4135" s="6" t="s">
        <v>44</v>
      </c>
      <c r="F4135" s="6" t="s">
        <v>54</v>
      </c>
      <c r="G4135" s="7">
        <v>99228.92218252944</v>
      </c>
      <c r="H4135" s="6">
        <v>55040579.70481827</v>
      </c>
      <c r="I4135" s="6" t="s">
        <v>179</v>
      </c>
      <c r="J4135" s="15">
        <v>72.81666666666666</v>
      </c>
    </row>
    <row r="4136" spans="1:10">
      <c r="A4136" s="6" t="s">
        <v>144</v>
      </c>
      <c r="B4136" s="6" t="s">
        <v>44</v>
      </c>
      <c r="C4136" s="6" t="s">
        <v>266</v>
      </c>
      <c r="D4136" s="6">
        <v>350.448</v>
      </c>
      <c r="E4136" s="6" t="s">
        <v>44</v>
      </c>
      <c r="F4136" s="6" t="s">
        <v>57</v>
      </c>
      <c r="G4136" s="7">
        <v>50415.37206732162</v>
      </c>
      <c r="H4136" s="6">
        <v>17667966.31024873</v>
      </c>
      <c r="I4136" s="6" t="s">
        <v>179</v>
      </c>
      <c r="J4136" s="15">
        <v>51.35</v>
      </c>
    </row>
    <row r="4137" spans="1:10">
      <c r="A4137" s="6" t="s">
        <v>144</v>
      </c>
      <c r="B4137" s="6" t="s">
        <v>44</v>
      </c>
      <c r="C4137" s="6" t="s">
        <v>354</v>
      </c>
      <c r="D4137" s="6">
        <v>0.14</v>
      </c>
      <c r="E4137" s="6" t="s">
        <v>44</v>
      </c>
      <c r="F4137" s="6" t="s">
        <v>51</v>
      </c>
      <c r="G4137" s="7">
        <v>34245.1170714133</v>
      </c>
      <c r="H4137" s="6">
        <v>4794.316389997862</v>
      </c>
      <c r="I4137" s="6" t="s">
        <v>180</v>
      </c>
      <c r="J4137" s="15">
        <v>5.925840681598826</v>
      </c>
    </row>
    <row r="4138" spans="1:10">
      <c r="A4138" s="6" t="s">
        <v>144</v>
      </c>
      <c r="B4138" s="6" t="s">
        <v>44</v>
      </c>
      <c r="C4138" s="6" t="s">
        <v>355</v>
      </c>
      <c r="D4138" s="6">
        <v>2.770833333333333</v>
      </c>
      <c r="E4138" s="6" t="s">
        <v>44</v>
      </c>
      <c r="F4138" s="6" t="s">
        <v>52</v>
      </c>
      <c r="G4138" s="7">
        <v>64169.74384104699</v>
      </c>
      <c r="H4138" s="6">
        <v>177803.6652262344</v>
      </c>
      <c r="I4138" s="6" t="s">
        <v>180</v>
      </c>
      <c r="J4138" s="15">
        <v>17.01155042897912</v>
      </c>
    </row>
    <row r="4139" spans="1:10">
      <c r="A4139" s="6" t="s">
        <v>144</v>
      </c>
      <c r="B4139" s="6" t="s">
        <v>44</v>
      </c>
      <c r="C4139" s="6" t="s">
        <v>267</v>
      </c>
      <c r="D4139" s="6">
        <v>2116.941802989184</v>
      </c>
      <c r="E4139" s="6" t="s">
        <v>44</v>
      </c>
      <c r="F4139" s="6" t="s">
        <v>53</v>
      </c>
      <c r="G4139" s="7">
        <v>48667.70261730252</v>
      </c>
      <c r="H4139" s="6">
        <v>103026694.1260138</v>
      </c>
      <c r="I4139" s="6" t="s">
        <v>179</v>
      </c>
      <c r="J4139" s="15">
        <v>37</v>
      </c>
    </row>
    <row r="4140" spans="1:10">
      <c r="A4140" s="6" t="s">
        <v>144</v>
      </c>
      <c r="B4140" s="6" t="s">
        <v>101</v>
      </c>
      <c r="C4140" s="6" t="s">
        <v>267</v>
      </c>
      <c r="D4140" s="6">
        <v>362.7032803441489</v>
      </c>
      <c r="E4140" s="6" t="s">
        <v>44</v>
      </c>
      <c r="F4140" s="6" t="s">
        <v>53</v>
      </c>
      <c r="G4140" s="7">
        <v>48667.70261730252</v>
      </c>
      <c r="H4140" s="6">
        <v>17651935.38610914</v>
      </c>
      <c r="I4140" s="6" t="s">
        <v>380</v>
      </c>
      <c r="J4140" s="15">
        <v>9.719454709069423</v>
      </c>
    </row>
    <row r="4141" spans="1:10">
      <c r="A4141" s="6" t="s">
        <v>144</v>
      </c>
      <c r="B4141" s="6" t="s">
        <v>44</v>
      </c>
      <c r="C4141" s="6" t="s">
        <v>268</v>
      </c>
      <c r="D4141" s="6">
        <v>3.975</v>
      </c>
      <c r="E4141" s="6" t="s">
        <v>44</v>
      </c>
      <c r="F4141" s="6" t="s">
        <v>51</v>
      </c>
      <c r="G4141" s="7">
        <v>19920.3047306236</v>
      </c>
      <c r="H4141" s="6">
        <v>79183.21130422883</v>
      </c>
      <c r="I4141" s="6" t="s">
        <v>179</v>
      </c>
      <c r="J4141" s="15">
        <v>6.233478833728606</v>
      </c>
    </row>
    <row r="4142" spans="1:10">
      <c r="A4142" s="6" t="s">
        <v>144</v>
      </c>
      <c r="B4142" s="6" t="s">
        <v>86</v>
      </c>
      <c r="C4142" s="6" t="s">
        <v>269</v>
      </c>
      <c r="D4142" s="6">
        <v>16.59816666666667</v>
      </c>
      <c r="E4142" s="6" t="s">
        <v>44</v>
      </c>
      <c r="F4142" s="6" t="s">
        <v>52</v>
      </c>
      <c r="G4142" s="7">
        <v>83790.30016891156</v>
      </c>
      <c r="H4142" s="6">
        <v>1390765.367253622</v>
      </c>
      <c r="I4142" s="6" t="s">
        <v>179</v>
      </c>
      <c r="J4142" s="15">
        <v>44.5</v>
      </c>
    </row>
    <row r="4143" spans="1:10">
      <c r="A4143" s="6" t="s">
        <v>144</v>
      </c>
      <c r="B4143" s="6" t="s">
        <v>44</v>
      </c>
      <c r="C4143" s="6" t="s">
        <v>270</v>
      </c>
      <c r="D4143" s="6">
        <v>193.1909166666667</v>
      </c>
      <c r="E4143" s="6" t="s">
        <v>44</v>
      </c>
      <c r="F4143" s="6" t="s">
        <v>59</v>
      </c>
      <c r="G4143" s="7">
        <v>65211.48255173301</v>
      </c>
      <c r="H4143" s="6">
        <v>12598266.09136164</v>
      </c>
      <c r="I4143" s="6" t="s">
        <v>179</v>
      </c>
      <c r="J4143" s="15">
        <v>52.22499999999999</v>
      </c>
    </row>
    <row r="4144" spans="1:10">
      <c r="A4144" s="6" t="s">
        <v>144</v>
      </c>
      <c r="B4144" s="6" t="s">
        <v>86</v>
      </c>
      <c r="C4144" s="6" t="s">
        <v>271</v>
      </c>
      <c r="D4144" s="6">
        <v>818.3128333333334</v>
      </c>
      <c r="E4144" s="6" t="s">
        <v>44</v>
      </c>
      <c r="F4144" s="6" t="s">
        <v>54</v>
      </c>
      <c r="G4144" s="7">
        <v>81091.15446449892</v>
      </c>
      <c r="H4144" s="6">
        <v>66357932.3681151</v>
      </c>
      <c r="I4144" s="6" t="s">
        <v>179</v>
      </c>
      <c r="J4144" s="15">
        <v>47.58333333333334</v>
      </c>
    </row>
    <row r="4145" spans="1:10">
      <c r="A4145" s="6" t="s">
        <v>144</v>
      </c>
      <c r="B4145" s="6" t="s">
        <v>44</v>
      </c>
      <c r="C4145" s="6" t="s">
        <v>272</v>
      </c>
      <c r="D4145" s="6">
        <v>65.2705</v>
      </c>
      <c r="E4145" s="6" t="s">
        <v>44</v>
      </c>
      <c r="F4145" s="6" t="s">
        <v>51</v>
      </c>
      <c r="G4145" s="7">
        <v>25556.23235325186</v>
      </c>
      <c r="H4145" s="6">
        <v>1668068.063812925</v>
      </c>
      <c r="I4145" s="6" t="s">
        <v>179</v>
      </c>
      <c r="J4145" s="15">
        <v>19</v>
      </c>
    </row>
    <row r="4146" spans="1:10">
      <c r="A4146" s="6" t="s">
        <v>144</v>
      </c>
      <c r="B4146" s="6" t="s">
        <v>44</v>
      </c>
      <c r="C4146" s="6" t="s">
        <v>273</v>
      </c>
      <c r="D4146" s="6">
        <v>1091.1455</v>
      </c>
      <c r="E4146" s="6" t="s">
        <v>44</v>
      </c>
      <c r="F4146" s="6" t="s">
        <v>51</v>
      </c>
      <c r="G4146" s="7">
        <v>40826.03765706107</v>
      </c>
      <c r="H4146" s="6">
        <v>44547147.27233272</v>
      </c>
      <c r="I4146" s="6" t="s">
        <v>179</v>
      </c>
      <c r="J4146" s="15">
        <v>26.31666666666667</v>
      </c>
    </row>
    <row r="4147" spans="1:10">
      <c r="A4147" s="6" t="s">
        <v>144</v>
      </c>
      <c r="B4147" s="6" t="s">
        <v>44</v>
      </c>
      <c r="C4147" s="6" t="s">
        <v>274</v>
      </c>
      <c r="D4147" s="6">
        <v>154.8745833333333</v>
      </c>
      <c r="E4147" s="6" t="s">
        <v>44</v>
      </c>
      <c r="F4147" s="6" t="s">
        <v>56</v>
      </c>
      <c r="G4147" s="7">
        <v>71131.25468556939</v>
      </c>
      <c r="H4147" s="6">
        <v>11016423.43140477</v>
      </c>
      <c r="I4147" s="6" t="s">
        <v>179</v>
      </c>
      <c r="J4147" s="15">
        <v>42</v>
      </c>
    </row>
    <row r="4148" spans="1:10">
      <c r="A4148" s="6" t="s">
        <v>144</v>
      </c>
      <c r="B4148" s="6" t="s">
        <v>44</v>
      </c>
      <c r="C4148" s="6" t="s">
        <v>275</v>
      </c>
      <c r="D4148" s="6">
        <v>12.52058333333333</v>
      </c>
      <c r="E4148" s="6" t="s">
        <v>44</v>
      </c>
      <c r="F4148" s="6" t="s">
        <v>51</v>
      </c>
      <c r="G4148" s="7">
        <v>59571.48346905452</v>
      </c>
      <c r="H4148" s="6">
        <v>745869.7230645863</v>
      </c>
      <c r="I4148" s="6" t="s">
        <v>179</v>
      </c>
      <c r="J4148" s="15">
        <v>19</v>
      </c>
    </row>
    <row r="4149" spans="1:10">
      <c r="A4149" s="6" t="s">
        <v>144</v>
      </c>
      <c r="B4149" s="6" t="s">
        <v>44</v>
      </c>
      <c r="C4149" s="6" t="s">
        <v>276</v>
      </c>
      <c r="D4149" s="6">
        <v>287.6583333333333</v>
      </c>
      <c r="E4149" s="6" t="s">
        <v>44</v>
      </c>
      <c r="F4149" s="6" t="s">
        <v>51</v>
      </c>
      <c r="G4149" s="7">
        <v>39632.99974164585</v>
      </c>
      <c r="H4149" s="6">
        <v>11400762.65068227</v>
      </c>
      <c r="I4149" s="6" t="s">
        <v>179</v>
      </c>
      <c r="J4149" s="15">
        <v>46</v>
      </c>
    </row>
    <row r="4150" spans="1:10">
      <c r="A4150" s="6" t="s">
        <v>144</v>
      </c>
      <c r="B4150" s="6" t="s">
        <v>44</v>
      </c>
      <c r="C4150" s="6" t="s">
        <v>277</v>
      </c>
      <c r="D4150" s="6">
        <v>1.565833333333333</v>
      </c>
      <c r="E4150" s="6" t="s">
        <v>44</v>
      </c>
      <c r="F4150" s="6" t="s">
        <v>57</v>
      </c>
      <c r="G4150" s="7">
        <v>40351.08108770724</v>
      </c>
      <c r="H4150" s="6">
        <v>63183.06780316826</v>
      </c>
      <c r="I4150" s="6" t="s">
        <v>180</v>
      </c>
      <c r="J4150" s="15">
        <v>8.187821936491906</v>
      </c>
    </row>
    <row r="4151" spans="1:10">
      <c r="A4151" s="6" t="s">
        <v>144</v>
      </c>
      <c r="B4151" s="6" t="s">
        <v>92</v>
      </c>
      <c r="C4151" s="6" t="s">
        <v>278</v>
      </c>
      <c r="D4151" s="6">
        <v>672.7735833333332</v>
      </c>
      <c r="E4151" s="6" t="s">
        <v>44</v>
      </c>
      <c r="F4151" s="6" t="s">
        <v>55</v>
      </c>
      <c r="G4151" s="7">
        <v>30336.77880022909</v>
      </c>
      <c r="H4151" s="6">
        <v>20409783.38022082</v>
      </c>
      <c r="I4151" s="6" t="s">
        <v>179</v>
      </c>
      <c r="J4151" s="15">
        <v>14</v>
      </c>
    </row>
    <row r="4152" spans="1:10">
      <c r="A4152" s="6" t="s">
        <v>144</v>
      </c>
      <c r="B4152" s="6" t="s">
        <v>44</v>
      </c>
      <c r="C4152" s="6" t="s">
        <v>279</v>
      </c>
      <c r="D4152" s="6">
        <v>133.3750833333333</v>
      </c>
      <c r="E4152" s="6" t="s">
        <v>44</v>
      </c>
      <c r="F4152" s="6" t="s">
        <v>52</v>
      </c>
      <c r="G4152" s="7">
        <v>53440.82611531692</v>
      </c>
      <c r="H4152" s="6">
        <v>7127674.63653257</v>
      </c>
      <c r="I4152" s="6" t="s">
        <v>179</v>
      </c>
      <c r="J4152" s="15">
        <v>43.65</v>
      </c>
    </row>
    <row r="4153" spans="1:10">
      <c r="A4153" s="6" t="s">
        <v>144</v>
      </c>
      <c r="B4153" s="6" t="s">
        <v>44</v>
      </c>
      <c r="C4153" s="6" t="s">
        <v>280</v>
      </c>
      <c r="D4153" s="6">
        <v>1201.196</v>
      </c>
      <c r="E4153" s="6" t="s">
        <v>44</v>
      </c>
      <c r="F4153" s="6" t="s">
        <v>55</v>
      </c>
      <c r="G4153" s="7">
        <v>70181.01398935323</v>
      </c>
      <c r="H4153" s="6">
        <v>84301153.27995515</v>
      </c>
      <c r="I4153" s="6" t="s">
        <v>179</v>
      </c>
      <c r="J4153" s="15">
        <v>56.09999999999999</v>
      </c>
    </row>
    <row r="4154" spans="1:10">
      <c r="A4154" s="6" t="s">
        <v>144</v>
      </c>
      <c r="B4154" s="6" t="s">
        <v>44</v>
      </c>
      <c r="C4154" s="6" t="s">
        <v>281</v>
      </c>
      <c r="D4154" s="6">
        <v>426.2254166666666</v>
      </c>
      <c r="E4154" s="6" t="s">
        <v>44</v>
      </c>
      <c r="F4154" s="6" t="s">
        <v>57</v>
      </c>
      <c r="G4154" s="7">
        <v>70012.88567894354</v>
      </c>
      <c r="H4154" s="6">
        <v>29841271.37054341</v>
      </c>
      <c r="I4154" s="6" t="s">
        <v>179</v>
      </c>
      <c r="J4154" s="15">
        <v>41.50833333333334</v>
      </c>
    </row>
    <row r="4155" spans="1:10">
      <c r="A4155" s="6" t="s">
        <v>144</v>
      </c>
      <c r="B4155" s="6" t="s">
        <v>99</v>
      </c>
      <c r="C4155" s="6" t="s">
        <v>281</v>
      </c>
      <c r="D4155" s="6">
        <v>443.0348333333333</v>
      </c>
      <c r="E4155" s="6" t="s">
        <v>44</v>
      </c>
      <c r="F4155" s="6" t="s">
        <v>57</v>
      </c>
      <c r="G4155" s="7">
        <v>35247.74734936949</v>
      </c>
      <c r="H4155" s="6">
        <v>15615979.87230335</v>
      </c>
      <c r="I4155" s="6" t="s">
        <v>180</v>
      </c>
      <c r="J4155" s="15">
        <v>5.008812304479592</v>
      </c>
    </row>
    <row r="4156" spans="1:10">
      <c r="A4156" s="6" t="s">
        <v>144</v>
      </c>
      <c r="B4156" s="6" t="s">
        <v>44</v>
      </c>
      <c r="C4156" s="6" t="s">
        <v>282</v>
      </c>
      <c r="D4156" s="6">
        <v>3.042083333333333</v>
      </c>
      <c r="E4156" s="6" t="s">
        <v>44</v>
      </c>
      <c r="F4156" s="6" t="s">
        <v>56</v>
      </c>
      <c r="G4156" s="7">
        <v>62372.04989791066</v>
      </c>
      <c r="H4156" s="6">
        <v>189740.973460269</v>
      </c>
      <c r="I4156" s="6" t="s">
        <v>179</v>
      </c>
      <c r="J4156" s="15">
        <v>43.03333333333333</v>
      </c>
    </row>
    <row r="4157" spans="1:10">
      <c r="A4157" s="6" t="s">
        <v>144</v>
      </c>
      <c r="B4157" s="6" t="s">
        <v>44</v>
      </c>
      <c r="C4157" s="6" t="s">
        <v>283</v>
      </c>
      <c r="D4157" s="6">
        <v>872.7574166666667</v>
      </c>
      <c r="E4157" s="6" t="s">
        <v>44</v>
      </c>
      <c r="F4157" s="6" t="s">
        <v>51</v>
      </c>
      <c r="G4157" s="7">
        <v>51675.72551452865</v>
      </c>
      <c r="H4157" s="6">
        <v>45100372.70443578</v>
      </c>
      <c r="I4157" s="6" t="s">
        <v>179</v>
      </c>
      <c r="J4157" s="15">
        <v>42.25</v>
      </c>
    </row>
    <row r="4158" spans="1:10">
      <c r="A4158" s="6" t="s">
        <v>144</v>
      </c>
      <c r="B4158" s="6" t="s">
        <v>44</v>
      </c>
      <c r="C4158" s="6" t="s">
        <v>284</v>
      </c>
      <c r="D4158" s="6">
        <v>461.4698333333334</v>
      </c>
      <c r="E4158" s="6" t="s">
        <v>44</v>
      </c>
      <c r="F4158" s="6" t="s">
        <v>55</v>
      </c>
      <c r="G4158" s="7">
        <v>52691.68338907469</v>
      </c>
      <c r="H4158" s="6">
        <v>24315622.35160907</v>
      </c>
      <c r="I4158" s="6" t="s">
        <v>179</v>
      </c>
      <c r="J4158" s="15">
        <v>61</v>
      </c>
    </row>
    <row r="4159" spans="1:10">
      <c r="A4159" s="6" t="s">
        <v>144</v>
      </c>
      <c r="B4159" s="6" t="s">
        <v>44</v>
      </c>
      <c r="C4159" s="6" t="s">
        <v>285</v>
      </c>
      <c r="D4159" s="6">
        <v>6.180666666666667</v>
      </c>
      <c r="E4159" s="6" t="s">
        <v>44</v>
      </c>
      <c r="F4159" s="6" t="s">
        <v>52</v>
      </c>
      <c r="G4159" s="7">
        <v>109530.9227207585</v>
      </c>
      <c r="H4159" s="6">
        <v>676974.1230294346</v>
      </c>
      <c r="I4159" s="6" t="s">
        <v>179</v>
      </c>
      <c r="J4159" s="15">
        <v>68.40000000000001</v>
      </c>
    </row>
    <row r="4160" spans="1:10">
      <c r="A4160" s="6" t="s">
        <v>144</v>
      </c>
      <c r="B4160" s="6" t="s">
        <v>44</v>
      </c>
      <c r="C4160" s="6" t="s">
        <v>286</v>
      </c>
      <c r="D4160" s="6">
        <v>92.97233333333334</v>
      </c>
      <c r="E4160" s="6" t="s">
        <v>44</v>
      </c>
      <c r="F4160" s="6" t="s">
        <v>59</v>
      </c>
      <c r="G4160" s="7">
        <v>70858.2206620012</v>
      </c>
      <c r="H4160" s="6">
        <v>6587854.110794463</v>
      </c>
      <c r="I4160" s="6" t="s">
        <v>179</v>
      </c>
      <c r="J4160" s="15">
        <v>56.70833333333333</v>
      </c>
    </row>
    <row r="4161" spans="1:10">
      <c r="A4161" s="6" t="s">
        <v>144</v>
      </c>
      <c r="B4161" s="6" t="s">
        <v>44</v>
      </c>
      <c r="C4161" s="6" t="s">
        <v>287</v>
      </c>
      <c r="D4161" s="6">
        <v>3.382833333333334</v>
      </c>
      <c r="E4161" s="6" t="s">
        <v>44</v>
      </c>
      <c r="F4161" s="6" t="s">
        <v>53</v>
      </c>
      <c r="G4161" s="7">
        <v>39870.55547829608</v>
      </c>
      <c r="H4161" s="6">
        <v>134875.4440904959</v>
      </c>
      <c r="I4161" s="6" t="s">
        <v>180</v>
      </c>
      <c r="J4161" s="15">
        <v>70</v>
      </c>
    </row>
    <row r="4162" spans="1:10">
      <c r="A4162" s="6" t="s">
        <v>144</v>
      </c>
      <c r="B4162" s="6" t="s">
        <v>44</v>
      </c>
      <c r="C4162" s="6" t="s">
        <v>376</v>
      </c>
      <c r="D4162" s="6">
        <v>1.542333333333333</v>
      </c>
      <c r="E4162" s="6" t="s">
        <v>44</v>
      </c>
      <c r="F4162" s="6" t="s">
        <v>54</v>
      </c>
      <c r="G4162" s="7">
        <v>79057.97495815926</v>
      </c>
      <c r="H4162" s="6">
        <v>121933.750043801</v>
      </c>
      <c r="I4162" s="6" t="s">
        <v>180</v>
      </c>
      <c r="J4162" s="15">
        <v>22.52696120040784</v>
      </c>
    </row>
    <row r="4163" spans="1:10">
      <c r="A4163" s="6" t="s">
        <v>144</v>
      </c>
      <c r="B4163" s="6" t="s">
        <v>44</v>
      </c>
      <c r="C4163" s="6" t="s">
        <v>288</v>
      </c>
      <c r="D4163" s="6">
        <v>1.123166666666667</v>
      </c>
      <c r="E4163" s="6" t="s">
        <v>44</v>
      </c>
      <c r="F4163" s="6" t="s">
        <v>58</v>
      </c>
      <c r="G4163" s="7">
        <v>43931.19520815281</v>
      </c>
      <c r="H4163" s="6">
        <v>49342.05408462363</v>
      </c>
      <c r="I4163" s="6" t="s">
        <v>180</v>
      </c>
      <c r="J4163" s="15">
        <v>17</v>
      </c>
    </row>
    <row r="4164" spans="1:10">
      <c r="A4164" s="6" t="s">
        <v>144</v>
      </c>
      <c r="B4164" s="6" t="s">
        <v>44</v>
      </c>
      <c r="C4164" s="6" t="s">
        <v>370</v>
      </c>
      <c r="D4164" s="6">
        <v>3.94725</v>
      </c>
      <c r="E4164" s="6" t="s">
        <v>44</v>
      </c>
      <c r="F4164" s="6" t="s">
        <v>55</v>
      </c>
      <c r="G4164" s="7">
        <v>52208.58507995072</v>
      </c>
      <c r="H4164" s="6">
        <v>206080.3374568355</v>
      </c>
      <c r="I4164" s="6" t="s">
        <v>180</v>
      </c>
      <c r="J4164" s="15">
        <v>12.58048649997455</v>
      </c>
    </row>
    <row r="4165" spans="1:10">
      <c r="A4165" s="6" t="s">
        <v>144</v>
      </c>
      <c r="B4165" s="6" t="s">
        <v>44</v>
      </c>
      <c r="C4165" s="6" t="s">
        <v>359</v>
      </c>
      <c r="D4165" s="6">
        <v>85.24508333333333</v>
      </c>
      <c r="E4165" s="6" t="s">
        <v>44</v>
      </c>
      <c r="F4165" s="6" t="s">
        <v>60</v>
      </c>
      <c r="G4165" s="7">
        <v>50100.63171043061</v>
      </c>
      <c r="H4165" s="6">
        <v>4270832.5252083</v>
      </c>
      <c r="I4165" s="6" t="s">
        <v>180</v>
      </c>
      <c r="J4165" s="15">
        <v>11.79958589274542</v>
      </c>
    </row>
    <row r="4166" spans="1:10">
      <c r="A4166" s="6" t="s">
        <v>144</v>
      </c>
      <c r="B4166" s="6" t="s">
        <v>44</v>
      </c>
      <c r="C4166" s="6" t="s">
        <v>289</v>
      </c>
      <c r="D4166" s="6">
        <v>862.0445</v>
      </c>
      <c r="E4166" s="6" t="s">
        <v>44</v>
      </c>
      <c r="F4166" s="6" t="s">
        <v>52</v>
      </c>
      <c r="G4166" s="7">
        <v>53667.82982646869</v>
      </c>
      <c r="H4166" s="6">
        <v>46264057.52884328</v>
      </c>
      <c r="I4166" s="6" t="s">
        <v>179</v>
      </c>
      <c r="J4166" s="15">
        <v>70</v>
      </c>
    </row>
    <row r="4167" spans="1:10">
      <c r="A4167" s="6" t="s">
        <v>144</v>
      </c>
      <c r="B4167" s="6" t="s">
        <v>44</v>
      </c>
      <c r="C4167" s="6" t="s">
        <v>290</v>
      </c>
      <c r="D4167" s="6">
        <v>0.255</v>
      </c>
      <c r="E4167" s="6" t="s">
        <v>44</v>
      </c>
      <c r="F4167" s="6" t="s">
        <v>53</v>
      </c>
      <c r="G4167" s="7">
        <v>42307.93424836712</v>
      </c>
      <c r="H4167" s="6">
        <v>10788.52323333362</v>
      </c>
      <c r="I4167" s="6" t="s">
        <v>180</v>
      </c>
      <c r="J4167" s="15">
        <v>8.912746806042239</v>
      </c>
    </row>
    <row r="4168" spans="1:10">
      <c r="A4168" s="6" t="s">
        <v>144</v>
      </c>
      <c r="B4168" s="6" t="s">
        <v>44</v>
      </c>
      <c r="C4168" s="6" t="s">
        <v>291</v>
      </c>
      <c r="D4168" s="6">
        <v>0.04799999999999999</v>
      </c>
      <c r="E4168" s="6" t="s">
        <v>44</v>
      </c>
      <c r="F4168" s="6" t="s">
        <v>51</v>
      </c>
      <c r="G4168" s="7">
        <v>35329.77696152869</v>
      </c>
      <c r="H4168" s="6">
        <v>1695.829294153377</v>
      </c>
      <c r="I4168" s="6" t="s">
        <v>180</v>
      </c>
      <c r="J4168" s="15">
        <v>6.327657713737932</v>
      </c>
    </row>
    <row r="4169" spans="1:10">
      <c r="A4169" s="6" t="s">
        <v>144</v>
      </c>
      <c r="B4169" s="6" t="s">
        <v>101</v>
      </c>
      <c r="C4169" s="6" t="s">
        <v>292</v>
      </c>
      <c r="D4169" s="6">
        <v>246.0250833333333</v>
      </c>
      <c r="E4169" s="6" t="s">
        <v>44</v>
      </c>
      <c r="F4169" s="6" t="s">
        <v>54</v>
      </c>
      <c r="G4169" s="7">
        <v>110583.058701143</v>
      </c>
      <c r="H4169" s="6">
        <v>27206206.2322036</v>
      </c>
      <c r="I4169" s="6" t="s">
        <v>380</v>
      </c>
      <c r="J4169" s="15">
        <v>24.35051807807822</v>
      </c>
    </row>
    <row r="4170" spans="1:10">
      <c r="A4170" s="6" t="s">
        <v>144</v>
      </c>
      <c r="B4170" s="6" t="s">
        <v>44</v>
      </c>
      <c r="C4170" s="6" t="s">
        <v>293</v>
      </c>
      <c r="D4170" s="6">
        <v>149.7498333333333</v>
      </c>
      <c r="E4170" s="6" t="s">
        <v>44</v>
      </c>
      <c r="F4170" s="6" t="s">
        <v>53</v>
      </c>
      <c r="G4170" s="7">
        <v>36013.86577983866</v>
      </c>
      <c r="H4170" s="6">
        <v>5393070.398219875</v>
      </c>
      <c r="I4170" s="6" t="s">
        <v>179</v>
      </c>
      <c r="J4170" s="15">
        <v>16</v>
      </c>
    </row>
    <row r="4171" spans="1:10">
      <c r="A4171" s="6" t="s">
        <v>144</v>
      </c>
      <c r="B4171" s="6" t="s">
        <v>44</v>
      </c>
      <c r="C4171" s="6" t="s">
        <v>371</v>
      </c>
      <c r="D4171" s="6">
        <v>4.2275</v>
      </c>
      <c r="E4171" s="6" t="s">
        <v>44</v>
      </c>
      <c r="F4171" s="6" t="s">
        <v>55</v>
      </c>
      <c r="G4171" s="7">
        <v>45569.36787795558</v>
      </c>
      <c r="H4171" s="6">
        <v>192644.5027040572</v>
      </c>
      <c r="I4171" s="6" t="s">
        <v>180</v>
      </c>
      <c r="J4171" s="15">
        <v>10.12095925448125</v>
      </c>
    </row>
    <row r="4172" spans="1:10">
      <c r="A4172" s="6" t="s">
        <v>144</v>
      </c>
      <c r="B4172" s="6" t="s">
        <v>44</v>
      </c>
      <c r="C4172" s="6" t="s">
        <v>294</v>
      </c>
      <c r="D4172" s="6">
        <v>1.351083333333333</v>
      </c>
      <c r="E4172" s="6" t="s">
        <v>44</v>
      </c>
      <c r="F4172" s="6" t="s">
        <v>54</v>
      </c>
      <c r="G4172" s="7">
        <v>75932.54966215488</v>
      </c>
      <c r="H4172" s="6">
        <v>102591.2023060431</v>
      </c>
      <c r="I4172" s="6" t="s">
        <v>180</v>
      </c>
      <c r="J4172" s="15">
        <v>98.8</v>
      </c>
    </row>
    <row r="4173" spans="1:10">
      <c r="A4173" s="6" t="s">
        <v>144</v>
      </c>
      <c r="B4173" s="6" t="s">
        <v>44</v>
      </c>
      <c r="C4173" s="6" t="s">
        <v>295</v>
      </c>
      <c r="D4173" s="6">
        <v>145.4831666666666</v>
      </c>
      <c r="E4173" s="6" t="s">
        <v>44</v>
      </c>
      <c r="F4173" s="6" t="s">
        <v>53</v>
      </c>
      <c r="G4173" s="7">
        <v>59372.17808614393</v>
      </c>
      <c r="H4173" s="6">
        <v>8637652.47986949</v>
      </c>
      <c r="I4173" s="6" t="s">
        <v>179</v>
      </c>
      <c r="J4173" s="15">
        <v>65.7</v>
      </c>
    </row>
    <row r="4174" spans="1:10">
      <c r="A4174" s="6" t="s">
        <v>144</v>
      </c>
      <c r="B4174" s="6" t="s">
        <v>92</v>
      </c>
      <c r="C4174" s="6" t="s">
        <v>296</v>
      </c>
      <c r="D4174" s="6">
        <v>503.9675833333333</v>
      </c>
      <c r="E4174" s="6" t="s">
        <v>44</v>
      </c>
      <c r="F4174" s="6" t="s">
        <v>61</v>
      </c>
      <c r="G4174" s="7">
        <v>53088.58925206317</v>
      </c>
      <c r="H4174" s="6">
        <v>26754928.02793825</v>
      </c>
      <c r="I4174" s="6" t="s">
        <v>179</v>
      </c>
      <c r="J4174" s="15">
        <v>21</v>
      </c>
    </row>
    <row r="4175" spans="1:10">
      <c r="A4175" s="6" t="s">
        <v>144</v>
      </c>
      <c r="B4175" s="6" t="s">
        <v>101</v>
      </c>
      <c r="C4175" s="6" t="s">
        <v>297</v>
      </c>
      <c r="D4175" s="6">
        <v>11.19316666666666</v>
      </c>
      <c r="E4175" s="6" t="s">
        <v>44</v>
      </c>
      <c r="F4175" s="6" t="s">
        <v>52</v>
      </c>
      <c r="G4175" s="7">
        <v>89849.66915387864</v>
      </c>
      <c r="H4175" s="6">
        <v>1005702.321784222</v>
      </c>
      <c r="I4175" s="6" t="s">
        <v>380</v>
      </c>
      <c r="J4175" s="15">
        <v>17.1184791392168</v>
      </c>
    </row>
    <row r="4176" spans="1:10">
      <c r="A4176" s="6" t="s">
        <v>144</v>
      </c>
      <c r="B4176" s="6" t="s">
        <v>44</v>
      </c>
      <c r="C4176" s="6" t="s">
        <v>298</v>
      </c>
      <c r="D4176" s="6">
        <v>328.2775</v>
      </c>
      <c r="E4176" s="6" t="s">
        <v>44</v>
      </c>
      <c r="F4176" s="6" t="s">
        <v>56</v>
      </c>
      <c r="G4176" s="7">
        <v>36500.00929252619</v>
      </c>
      <c r="H4176" s="6">
        <v>11982131.80052726</v>
      </c>
      <c r="I4176" s="6" t="s">
        <v>179</v>
      </c>
      <c r="J4176" s="15">
        <v>21</v>
      </c>
    </row>
    <row r="4177" spans="1:10">
      <c r="A4177" s="6" t="s">
        <v>144</v>
      </c>
      <c r="B4177" s="6" t="s">
        <v>44</v>
      </c>
      <c r="C4177" s="6" t="s">
        <v>299</v>
      </c>
      <c r="D4177" s="6">
        <v>3.7075</v>
      </c>
      <c r="E4177" s="6" t="s">
        <v>44</v>
      </c>
      <c r="F4177" s="6" t="s">
        <v>53</v>
      </c>
      <c r="G4177" s="7">
        <v>45885.15175897437</v>
      </c>
      <c r="H4177" s="6">
        <v>170119.2001463975</v>
      </c>
      <c r="I4177" s="6" t="s">
        <v>180</v>
      </c>
      <c r="J4177" s="15">
        <v>6.9</v>
      </c>
    </row>
    <row r="4178" spans="1:10">
      <c r="A4178" s="6" t="s">
        <v>144</v>
      </c>
      <c r="B4178" s="6" t="s">
        <v>44</v>
      </c>
      <c r="C4178" s="6" t="s">
        <v>300</v>
      </c>
      <c r="D4178" s="6">
        <v>540.0613333333333</v>
      </c>
      <c r="E4178" s="6" t="s">
        <v>44</v>
      </c>
      <c r="F4178" s="6" t="s">
        <v>52</v>
      </c>
      <c r="G4178" s="7">
        <v>79641.24563235717</v>
      </c>
      <c r="H4178" s="6">
        <v>43011157.30453832</v>
      </c>
      <c r="I4178" s="6" t="s">
        <v>179</v>
      </c>
      <c r="J4178" s="15">
        <v>66.55</v>
      </c>
    </row>
    <row r="4179" spans="1:10">
      <c r="A4179" s="6" t="s">
        <v>144</v>
      </c>
      <c r="B4179" s="6" t="s">
        <v>44</v>
      </c>
      <c r="C4179" s="6" t="s">
        <v>301</v>
      </c>
      <c r="D4179" s="6">
        <v>140.2705</v>
      </c>
      <c r="E4179" s="6" t="s">
        <v>44</v>
      </c>
      <c r="F4179" s="6" t="s">
        <v>59</v>
      </c>
      <c r="G4179" s="7">
        <v>69390.77724405598</v>
      </c>
      <c r="H4179" s="6">
        <v>9733479.019412354</v>
      </c>
      <c r="I4179" s="6" t="s">
        <v>179</v>
      </c>
      <c r="J4179" s="15">
        <v>26.65</v>
      </c>
    </row>
    <row r="4180" spans="1:10">
      <c r="A4180" s="6" t="s">
        <v>144</v>
      </c>
      <c r="B4180" s="6" t="s">
        <v>44</v>
      </c>
      <c r="C4180" s="6" t="s">
        <v>302</v>
      </c>
      <c r="D4180" s="6">
        <v>364.9715</v>
      </c>
      <c r="E4180" s="6" t="s">
        <v>44</v>
      </c>
      <c r="F4180" s="6" t="s">
        <v>52</v>
      </c>
      <c r="G4180" s="7">
        <v>92343.76797362817</v>
      </c>
      <c r="H4180" s="6">
        <v>33702843.51298703</v>
      </c>
      <c r="I4180" s="6" t="s">
        <v>179</v>
      </c>
      <c r="J4180" s="15">
        <v>67.58333333333333</v>
      </c>
    </row>
    <row r="4181" spans="1:10">
      <c r="A4181" s="6" t="s">
        <v>144</v>
      </c>
      <c r="B4181" s="6" t="s">
        <v>44</v>
      </c>
      <c r="C4181" s="6" t="s">
        <v>303</v>
      </c>
      <c r="D4181" s="6">
        <v>1.836333333333333</v>
      </c>
      <c r="E4181" s="6" t="s">
        <v>44</v>
      </c>
      <c r="F4181" s="6" t="s">
        <v>53</v>
      </c>
      <c r="G4181" s="7">
        <v>44904.12248503024</v>
      </c>
      <c r="H4181" s="6">
        <v>82458.93692334385</v>
      </c>
      <c r="I4181" s="6" t="s">
        <v>180</v>
      </c>
      <c r="J4181" s="15">
        <v>9.8745161695424</v>
      </c>
    </row>
    <row r="4182" spans="1:10">
      <c r="A4182" s="6" t="s">
        <v>144</v>
      </c>
      <c r="B4182" s="6" t="s">
        <v>44</v>
      </c>
      <c r="C4182" s="6" t="s">
        <v>304</v>
      </c>
      <c r="D4182" s="6">
        <v>6.078166666666665</v>
      </c>
      <c r="E4182" s="6" t="s">
        <v>44</v>
      </c>
      <c r="F4182" s="6" t="s">
        <v>52</v>
      </c>
      <c r="G4182" s="7">
        <v>50330.3901944117</v>
      </c>
      <c r="H4182" s="6">
        <v>305916.5</v>
      </c>
      <c r="I4182" s="6" t="s">
        <v>179</v>
      </c>
      <c r="J4182" s="15">
        <v>49.75</v>
      </c>
    </row>
    <row r="4183" spans="1:10">
      <c r="A4183" s="6" t="s">
        <v>144</v>
      </c>
      <c r="B4183" s="6" t="s">
        <v>44</v>
      </c>
      <c r="C4183" s="6" t="s">
        <v>361</v>
      </c>
      <c r="D4183" s="6">
        <v>5.93775</v>
      </c>
      <c r="E4183" s="6" t="s">
        <v>44</v>
      </c>
      <c r="F4183" s="6" t="s">
        <v>52</v>
      </c>
      <c r="G4183" s="7">
        <v>64169.74384104699</v>
      </c>
      <c r="H4183" s="6">
        <v>381023.8964921768</v>
      </c>
      <c r="I4183" s="6" t="s">
        <v>180</v>
      </c>
      <c r="J4183" s="15">
        <v>17.01155042897912</v>
      </c>
    </row>
    <row r="4184" spans="1:10">
      <c r="A4184" s="6" t="s">
        <v>144</v>
      </c>
      <c r="B4184" s="6" t="s">
        <v>44</v>
      </c>
      <c r="C4184" s="6" t="s">
        <v>305</v>
      </c>
      <c r="D4184" s="6">
        <v>788.73925</v>
      </c>
      <c r="E4184" s="6" t="s">
        <v>44</v>
      </c>
      <c r="F4184" s="6" t="s">
        <v>54</v>
      </c>
      <c r="G4184" s="7">
        <v>96370.04394739907</v>
      </c>
      <c r="H4184" s="6">
        <v>76010836.18553858</v>
      </c>
      <c r="I4184" s="6" t="s">
        <v>179</v>
      </c>
      <c r="J4184" s="15">
        <v>61.86666666666667</v>
      </c>
    </row>
    <row r="4185" spans="1:10">
      <c r="A4185" s="6" t="s">
        <v>144</v>
      </c>
      <c r="B4185" s="6" t="s">
        <v>44</v>
      </c>
      <c r="C4185" s="6" t="s">
        <v>306</v>
      </c>
      <c r="D4185" s="6">
        <v>25.56408333333334</v>
      </c>
      <c r="E4185" s="6" t="s">
        <v>44</v>
      </c>
      <c r="F4185" s="6" t="s">
        <v>57</v>
      </c>
      <c r="G4185" s="7">
        <v>40370.17715309708</v>
      </c>
      <c r="H4185" s="6">
        <v>1032026.572923203</v>
      </c>
      <c r="I4185" s="6" t="s">
        <v>180</v>
      </c>
      <c r="J4185" s="15">
        <v>8.194896157997103</v>
      </c>
    </row>
    <row r="4186" spans="1:10">
      <c r="A4186" s="6" t="s">
        <v>144</v>
      </c>
      <c r="B4186" s="6" t="s">
        <v>44</v>
      </c>
      <c r="C4186" s="6" t="s">
        <v>307</v>
      </c>
      <c r="D4186" s="6">
        <v>1.593583333333333</v>
      </c>
      <c r="E4186" s="6" t="s">
        <v>44</v>
      </c>
      <c r="F4186" s="6" t="s">
        <v>53</v>
      </c>
      <c r="G4186" s="7">
        <v>47182.63629472011</v>
      </c>
      <c r="H4186" s="6">
        <v>75189.46282199438</v>
      </c>
      <c r="I4186" s="6" t="s">
        <v>180</v>
      </c>
      <c r="J4186" s="15">
        <v>10.71860164282394</v>
      </c>
    </row>
    <row r="4187" spans="1:10">
      <c r="A4187" s="6" t="s">
        <v>144</v>
      </c>
      <c r="B4187" s="6" t="s">
        <v>44</v>
      </c>
      <c r="C4187" s="6" t="s">
        <v>308</v>
      </c>
      <c r="D4187" s="6">
        <v>2.121916666666666</v>
      </c>
      <c r="E4187" s="6" t="s">
        <v>44</v>
      </c>
      <c r="F4187" s="6" t="s">
        <v>54</v>
      </c>
      <c r="G4187" s="7">
        <v>67991.01390409522</v>
      </c>
      <c r="H4187" s="6">
        <v>144271.2655866647</v>
      </c>
      <c r="I4187" s="6" t="s">
        <v>180</v>
      </c>
      <c r="J4187" s="15">
        <v>117.3083333333333</v>
      </c>
    </row>
    <row r="4188" spans="1:10">
      <c r="A4188" s="6" t="s">
        <v>144</v>
      </c>
      <c r="B4188" s="6" t="s">
        <v>44</v>
      </c>
      <c r="C4188" s="6" t="s">
        <v>309</v>
      </c>
      <c r="D4188" s="6">
        <v>1356.105333333333</v>
      </c>
      <c r="E4188" s="6" t="s">
        <v>44</v>
      </c>
      <c r="F4188" s="6" t="s">
        <v>52</v>
      </c>
      <c r="G4188" s="7">
        <v>91168.45115770098</v>
      </c>
      <c r="H4188" s="6">
        <v>123634022.8466978</v>
      </c>
      <c r="I4188" s="6" t="s">
        <v>179</v>
      </c>
      <c r="J4188" s="15">
        <v>69.59999999999999</v>
      </c>
    </row>
    <row r="4189" spans="1:10">
      <c r="A4189" s="6" t="s">
        <v>144</v>
      </c>
      <c r="B4189" s="6" t="s">
        <v>101</v>
      </c>
      <c r="C4189" s="6" t="s">
        <v>310</v>
      </c>
      <c r="D4189" s="6">
        <v>253.6210833333333</v>
      </c>
      <c r="E4189" s="6" t="s">
        <v>44</v>
      </c>
      <c r="F4189" s="6" t="s">
        <v>52</v>
      </c>
      <c r="G4189" s="7">
        <v>101966.8194646016</v>
      </c>
      <c r="H4189" s="6">
        <v>25860935.21666667</v>
      </c>
      <c r="I4189" s="6" t="s">
        <v>380</v>
      </c>
      <c r="J4189" s="15">
        <v>17.1184791392168</v>
      </c>
    </row>
    <row r="4190" spans="1:10">
      <c r="A4190" s="6" t="s">
        <v>144</v>
      </c>
      <c r="B4190" s="6" t="s">
        <v>44</v>
      </c>
      <c r="C4190" s="6" t="s">
        <v>311</v>
      </c>
      <c r="D4190" s="6">
        <v>59.3705</v>
      </c>
      <c r="E4190" s="6" t="s">
        <v>44</v>
      </c>
      <c r="F4190" s="6" t="s">
        <v>51</v>
      </c>
      <c r="G4190" s="7">
        <v>22378.64345356504</v>
      </c>
      <c r="H4190" s="6">
        <v>1328631.251159883</v>
      </c>
      <c r="I4190" s="6" t="s">
        <v>179</v>
      </c>
      <c r="J4190" s="15">
        <v>31</v>
      </c>
    </row>
    <row r="4191" spans="1:10">
      <c r="A4191" s="6" t="s">
        <v>144</v>
      </c>
      <c r="B4191" s="6" t="s">
        <v>44</v>
      </c>
      <c r="C4191" s="6" t="s">
        <v>312</v>
      </c>
      <c r="D4191" s="6">
        <v>375.9980833333333</v>
      </c>
      <c r="E4191" s="6" t="s">
        <v>44</v>
      </c>
      <c r="F4191" s="6" t="s">
        <v>54</v>
      </c>
      <c r="G4191" s="7">
        <v>99103.91619886176</v>
      </c>
      <c r="H4191" s="6">
        <v>37262882.5415993</v>
      </c>
      <c r="I4191" s="6" t="s">
        <v>179</v>
      </c>
      <c r="J4191" s="15">
        <v>79.65000000000001</v>
      </c>
    </row>
    <row r="4192" spans="1:10">
      <c r="A4192" s="6" t="s">
        <v>144</v>
      </c>
      <c r="B4192" s="6" t="s">
        <v>44</v>
      </c>
      <c r="C4192" s="6" t="s">
        <v>313</v>
      </c>
      <c r="D4192" s="6">
        <v>84.63625</v>
      </c>
      <c r="E4192" s="6" t="s">
        <v>44</v>
      </c>
      <c r="F4192" s="6" t="s">
        <v>51</v>
      </c>
      <c r="G4192" s="7">
        <v>28821.66810714348</v>
      </c>
      <c r="H4192" s="6">
        <v>2439357.907333223</v>
      </c>
      <c r="I4192" s="6" t="s">
        <v>179</v>
      </c>
      <c r="J4192" s="15">
        <v>17</v>
      </c>
    </row>
    <row r="4193" spans="1:10">
      <c r="A4193" s="6" t="s">
        <v>144</v>
      </c>
      <c r="B4193" s="6" t="s">
        <v>44</v>
      </c>
      <c r="C4193" s="6" t="s">
        <v>314</v>
      </c>
      <c r="D4193" s="6">
        <v>40.17666666666667</v>
      </c>
      <c r="E4193" s="6" t="s">
        <v>44</v>
      </c>
      <c r="F4193" s="6" t="s">
        <v>51</v>
      </c>
      <c r="G4193" s="7">
        <v>57290.59885869359</v>
      </c>
      <c r="H4193" s="6">
        <v>2301745.293479446</v>
      </c>
      <c r="I4193" s="6" t="s">
        <v>179</v>
      </c>
      <c r="J4193" s="15">
        <v>17.49166666666667</v>
      </c>
    </row>
    <row r="4194" spans="1:10">
      <c r="A4194" s="6" t="s">
        <v>144</v>
      </c>
      <c r="B4194" s="6" t="s">
        <v>44</v>
      </c>
      <c r="C4194" s="6" t="s">
        <v>315</v>
      </c>
      <c r="D4194" s="6">
        <v>55.95516666666666</v>
      </c>
      <c r="E4194" s="6" t="s">
        <v>44</v>
      </c>
      <c r="F4194" s="6" t="s">
        <v>51</v>
      </c>
      <c r="G4194" s="7">
        <v>47743.91064626968</v>
      </c>
      <c r="H4194" s="6">
        <v>2671518.477530461</v>
      </c>
      <c r="I4194" s="6" t="s">
        <v>179</v>
      </c>
      <c r="J4194" s="15">
        <v>21</v>
      </c>
    </row>
    <row r="4195" spans="1:10">
      <c r="A4195" s="6" t="s">
        <v>144</v>
      </c>
      <c r="B4195" s="6" t="s">
        <v>44</v>
      </c>
      <c r="C4195" s="6" t="s">
        <v>316</v>
      </c>
      <c r="D4195" s="6">
        <v>12.76075</v>
      </c>
      <c r="E4195" s="6" t="s">
        <v>44</v>
      </c>
      <c r="F4195" s="6" t="s">
        <v>54</v>
      </c>
      <c r="G4195" s="7">
        <v>78233.00759152489</v>
      </c>
      <c r="H4195" s="6">
        <v>998311.8516235512</v>
      </c>
      <c r="I4195" s="6" t="s">
        <v>180</v>
      </c>
      <c r="J4195" s="15">
        <v>22.22134840703962</v>
      </c>
    </row>
    <row r="4196" spans="1:10">
      <c r="A4196" s="6" t="s">
        <v>144</v>
      </c>
      <c r="B4196" s="6" t="s">
        <v>44</v>
      </c>
      <c r="C4196" s="6" t="s">
        <v>317</v>
      </c>
      <c r="D4196" s="6">
        <v>2.72825</v>
      </c>
      <c r="E4196" s="6" t="s">
        <v>44</v>
      </c>
      <c r="F4196" s="6" t="s">
        <v>51</v>
      </c>
      <c r="G4196" s="7">
        <v>21140.95965465714</v>
      </c>
      <c r="H4196" s="6">
        <v>57677.82317781835</v>
      </c>
      <c r="I4196" s="6" t="s">
        <v>179</v>
      </c>
      <c r="J4196" s="15">
        <v>17</v>
      </c>
    </row>
    <row r="4197" spans="1:10">
      <c r="A4197" s="6" t="s">
        <v>144</v>
      </c>
      <c r="B4197" s="6" t="s">
        <v>86</v>
      </c>
      <c r="C4197" s="6" t="s">
        <v>318</v>
      </c>
      <c r="D4197" s="6">
        <v>5.7</v>
      </c>
      <c r="E4197" s="6" t="s">
        <v>44</v>
      </c>
      <c r="F4197" s="6" t="s">
        <v>52</v>
      </c>
      <c r="G4197" s="7">
        <v>65901.024793783</v>
      </c>
      <c r="H4197" s="6">
        <v>375635.8413245631</v>
      </c>
      <c r="I4197" s="6" t="s">
        <v>180</v>
      </c>
      <c r="J4197" s="15">
        <v>13.04378181275985</v>
      </c>
    </row>
    <row r="4198" spans="1:10">
      <c r="A4198" s="6" t="s">
        <v>144</v>
      </c>
      <c r="B4198" s="6" t="s">
        <v>90</v>
      </c>
      <c r="C4198" s="6" t="s">
        <v>319</v>
      </c>
      <c r="D4198" s="6">
        <v>21.30325</v>
      </c>
      <c r="E4198" s="6" t="s">
        <v>44</v>
      </c>
      <c r="F4198" s="6" t="s">
        <v>52</v>
      </c>
      <c r="G4198" s="7">
        <v>59918.03179942394</v>
      </c>
      <c r="H4198" s="6">
        <v>1276448.810931078</v>
      </c>
      <c r="I4198" s="6" t="s">
        <v>180</v>
      </c>
      <c r="J4198" s="15">
        <v>12.43871031134531</v>
      </c>
    </row>
    <row r="4199" spans="1:10">
      <c r="A4199" s="6" t="s">
        <v>144</v>
      </c>
      <c r="B4199" s="6" t="s">
        <v>44</v>
      </c>
      <c r="C4199" s="6" t="s">
        <v>320</v>
      </c>
      <c r="D4199" s="6">
        <v>329.3483333333333</v>
      </c>
      <c r="E4199" s="6" t="s">
        <v>44</v>
      </c>
      <c r="F4199" s="6" t="s">
        <v>51</v>
      </c>
      <c r="G4199" s="7">
        <v>19671.04087638638</v>
      </c>
      <c r="H4199" s="6">
        <v>6478624.527569727</v>
      </c>
      <c r="I4199" s="6" t="s">
        <v>179</v>
      </c>
      <c r="J4199" s="15">
        <v>13.5</v>
      </c>
    </row>
    <row r="4200" spans="1:10">
      <c r="A4200" s="6" t="s">
        <v>144</v>
      </c>
      <c r="B4200" s="6" t="s">
        <v>90</v>
      </c>
      <c r="C4200" s="6" t="s">
        <v>321</v>
      </c>
      <c r="D4200" s="6">
        <v>27.29666666666667</v>
      </c>
      <c r="E4200" s="6" t="s">
        <v>44</v>
      </c>
      <c r="F4200" s="6" t="s">
        <v>54</v>
      </c>
      <c r="G4200" s="7">
        <v>49362.0809529337</v>
      </c>
      <c r="H4200" s="6">
        <v>1347420.269745247</v>
      </c>
      <c r="I4200" s="6" t="s">
        <v>180</v>
      </c>
      <c r="J4200" s="15">
        <v>9.05633937056912</v>
      </c>
    </row>
    <row r="4201" spans="1:10">
      <c r="A4201" s="6" t="s">
        <v>144</v>
      </c>
      <c r="B4201" s="6" t="s">
        <v>44</v>
      </c>
      <c r="C4201" s="6" t="s">
        <v>322</v>
      </c>
      <c r="D4201" s="6">
        <v>48.16616666666666</v>
      </c>
      <c r="E4201" s="6" t="s">
        <v>44</v>
      </c>
      <c r="F4201" s="6" t="s">
        <v>51</v>
      </c>
      <c r="G4201" s="7">
        <v>17287.61454620521</v>
      </c>
      <c r="H4201" s="6">
        <v>832678.1235016111</v>
      </c>
      <c r="I4201" s="6" t="s">
        <v>179</v>
      </c>
      <c r="J4201" s="15">
        <v>34.25833333333333</v>
      </c>
    </row>
    <row r="4202" spans="1:10">
      <c r="A4202" s="6" t="s">
        <v>144</v>
      </c>
      <c r="B4202" s="6" t="s">
        <v>44</v>
      </c>
      <c r="C4202" s="6" t="s">
        <v>323</v>
      </c>
      <c r="D4202" s="6">
        <v>496.8723333333334</v>
      </c>
      <c r="E4202" s="6" t="s">
        <v>44</v>
      </c>
      <c r="F4202" s="6" t="s">
        <v>55</v>
      </c>
      <c r="G4202" s="7">
        <v>44740.69956922525</v>
      </c>
      <c r="H4202" s="6">
        <v>22230415.78992661</v>
      </c>
      <c r="I4202" s="6" t="s">
        <v>179</v>
      </c>
      <c r="J4202" s="15">
        <v>49</v>
      </c>
    </row>
    <row r="4203" spans="1:10">
      <c r="A4203" s="6" t="s">
        <v>144</v>
      </c>
      <c r="B4203" s="6" t="s">
        <v>44</v>
      </c>
      <c r="C4203" s="6" t="s">
        <v>324</v>
      </c>
      <c r="D4203" s="6">
        <v>391.3691666666667</v>
      </c>
      <c r="E4203" s="6" t="s">
        <v>44</v>
      </c>
      <c r="F4203" s="6" t="s">
        <v>51</v>
      </c>
      <c r="G4203" s="7">
        <v>24363.28610429227</v>
      </c>
      <c r="H4203" s="6">
        <v>9535038.979898447</v>
      </c>
      <c r="I4203" s="6" t="s">
        <v>179</v>
      </c>
      <c r="J4203" s="15">
        <v>23</v>
      </c>
    </row>
    <row r="4204" spans="1:10">
      <c r="A4204" s="6" t="s">
        <v>144</v>
      </c>
      <c r="B4204" s="6" t="s">
        <v>44</v>
      </c>
      <c r="C4204" s="6" t="s">
        <v>372</v>
      </c>
      <c r="D4204" s="6">
        <v>5.601166666666667</v>
      </c>
      <c r="E4204" s="6" t="s">
        <v>44</v>
      </c>
      <c r="F4204" s="6" t="s">
        <v>55</v>
      </c>
      <c r="G4204" s="7">
        <v>72406.7109908938</v>
      </c>
      <c r="H4204" s="6">
        <v>405562.0560451613</v>
      </c>
      <c r="I4204" s="6" t="s">
        <v>180</v>
      </c>
      <c r="J4204" s="15">
        <v>20.06297117767726</v>
      </c>
    </row>
    <row r="4205" spans="1:10">
      <c r="A4205" s="6" t="s">
        <v>144</v>
      </c>
      <c r="B4205" s="6" t="s">
        <v>44</v>
      </c>
      <c r="C4205" s="6" t="s">
        <v>325</v>
      </c>
      <c r="D4205" s="6">
        <v>2.799916666666666</v>
      </c>
      <c r="E4205" s="6" t="s">
        <v>44</v>
      </c>
      <c r="F4205" s="6" t="s">
        <v>53</v>
      </c>
      <c r="G4205" s="7">
        <v>62098.17040150194</v>
      </c>
      <c r="H4205" s="6">
        <v>173869.702276672</v>
      </c>
      <c r="I4205" s="6" t="s">
        <v>180</v>
      </c>
      <c r="J4205" s="15">
        <v>16.24412692699304</v>
      </c>
    </row>
    <row r="4206" spans="1:10">
      <c r="A4206" s="6" t="s">
        <v>144</v>
      </c>
      <c r="B4206" s="6" t="s">
        <v>44</v>
      </c>
      <c r="C4206" s="6" t="s">
        <v>364</v>
      </c>
      <c r="D4206" s="6">
        <v>83.78941666666667</v>
      </c>
      <c r="E4206" s="6" t="s">
        <v>44</v>
      </c>
      <c r="F4206" s="6" t="s">
        <v>52</v>
      </c>
      <c r="G4206" s="7">
        <v>64169.74384104699</v>
      </c>
      <c r="H4206" s="6">
        <v>5376745.404090754</v>
      </c>
      <c r="I4206" s="6" t="s">
        <v>180</v>
      </c>
      <c r="J4206" s="15">
        <v>17.01155042897912</v>
      </c>
    </row>
    <row r="4207" spans="1:10">
      <c r="A4207" s="6" t="s">
        <v>144</v>
      </c>
      <c r="B4207" s="6" t="s">
        <v>44</v>
      </c>
      <c r="C4207" s="6" t="s">
        <v>326</v>
      </c>
      <c r="D4207" s="6">
        <v>934.62175</v>
      </c>
      <c r="E4207" s="6" t="s">
        <v>44</v>
      </c>
      <c r="F4207" s="6" t="s">
        <v>54</v>
      </c>
      <c r="G4207" s="7">
        <v>88918.54864031605</v>
      </c>
      <c r="H4207" s="6">
        <v>83105209.53767231</v>
      </c>
      <c r="I4207" s="6" t="s">
        <v>179</v>
      </c>
      <c r="J4207" s="15">
        <v>66.75833333333333</v>
      </c>
    </row>
    <row r="4208" spans="1:10">
      <c r="A4208" s="6" t="s">
        <v>144</v>
      </c>
      <c r="B4208" s="6" t="s">
        <v>44</v>
      </c>
      <c r="C4208" s="6" t="s">
        <v>373</v>
      </c>
      <c r="D4208" s="6">
        <v>2.0795</v>
      </c>
      <c r="E4208" s="6" t="s">
        <v>44</v>
      </c>
      <c r="F4208" s="6" t="s">
        <v>55</v>
      </c>
      <c r="G4208" s="7">
        <v>50189.50053381042</v>
      </c>
      <c r="H4208" s="6">
        <v>104369.0663600588</v>
      </c>
      <c r="I4208" s="6" t="s">
        <v>180</v>
      </c>
      <c r="J4208" s="15">
        <v>11.83250773966314</v>
      </c>
    </row>
    <row r="4209" spans="1:10">
      <c r="A4209" s="6" t="s">
        <v>144</v>
      </c>
      <c r="B4209" s="6" t="s">
        <v>44</v>
      </c>
      <c r="C4209" s="6" t="s">
        <v>374</v>
      </c>
      <c r="D4209" s="6">
        <v>0.25875</v>
      </c>
      <c r="E4209" s="6" t="s">
        <v>44</v>
      </c>
      <c r="F4209" s="6" t="s">
        <v>55</v>
      </c>
      <c r="G4209" s="7">
        <v>52744.27292192488</v>
      </c>
      <c r="H4209" s="6">
        <v>13647.58061854806</v>
      </c>
      <c r="I4209" s="6" t="s">
        <v>180</v>
      </c>
      <c r="J4209" s="15">
        <v>12.7789344197111</v>
      </c>
    </row>
    <row r="4210" spans="1:10">
      <c r="A4210" s="6" t="s">
        <v>144</v>
      </c>
      <c r="B4210" s="6" t="s">
        <v>44</v>
      </c>
      <c r="C4210" s="6" t="s">
        <v>327</v>
      </c>
      <c r="D4210" s="6">
        <v>451.5265</v>
      </c>
      <c r="E4210" s="6" t="s">
        <v>44</v>
      </c>
      <c r="F4210" s="6" t="s">
        <v>57</v>
      </c>
      <c r="G4210" s="7">
        <v>40979.35428179214</v>
      </c>
      <c r="H4210" s="6">
        <v>18503264.41111762</v>
      </c>
      <c r="I4210" s="6" t="s">
        <v>179</v>
      </c>
      <c r="J4210" s="15">
        <v>43.75</v>
      </c>
    </row>
    <row r="4211" spans="1:10">
      <c r="A4211" s="6" t="s">
        <v>144</v>
      </c>
      <c r="B4211" s="6" t="s">
        <v>44</v>
      </c>
      <c r="C4211" s="6" t="s">
        <v>328</v>
      </c>
      <c r="D4211" s="6">
        <v>2.829916666666667</v>
      </c>
      <c r="E4211" s="6" t="s">
        <v>44</v>
      </c>
      <c r="F4211" s="6" t="s">
        <v>58</v>
      </c>
      <c r="G4211" s="7">
        <v>68315.07045437419</v>
      </c>
      <c r="H4211" s="6">
        <v>193325.9564633411</v>
      </c>
      <c r="I4211" s="6" t="s">
        <v>179</v>
      </c>
      <c r="J4211" s="15">
        <v>32.08333333333333</v>
      </c>
    </row>
    <row r="4212" spans="1:10">
      <c r="A4212" s="6" t="s">
        <v>144</v>
      </c>
      <c r="B4212" s="6" t="s">
        <v>44</v>
      </c>
      <c r="C4212" s="6" t="s">
        <v>329</v>
      </c>
      <c r="D4212" s="6">
        <v>1852.813416666667</v>
      </c>
      <c r="E4212" s="6" t="s">
        <v>44</v>
      </c>
      <c r="F4212" s="6" t="s">
        <v>58</v>
      </c>
      <c r="G4212" s="7">
        <v>61073.72389180421</v>
      </c>
      <c r="H4212" s="6">
        <v>113158215.0325304</v>
      </c>
      <c r="I4212" s="6" t="s">
        <v>179</v>
      </c>
      <c r="J4212" s="15">
        <v>26</v>
      </c>
    </row>
    <row r="4213" spans="1:10">
      <c r="A4213" s="6" t="s">
        <v>144</v>
      </c>
      <c r="B4213" s="6" t="s">
        <v>44</v>
      </c>
      <c r="C4213" s="6" t="s">
        <v>330</v>
      </c>
      <c r="D4213" s="6">
        <v>57.86175</v>
      </c>
      <c r="E4213" s="6" t="s">
        <v>44</v>
      </c>
      <c r="F4213" s="6" t="s">
        <v>52</v>
      </c>
      <c r="G4213" s="7">
        <v>78332.43723892634</v>
      </c>
      <c r="H4213" s="6">
        <v>4532451.900409446</v>
      </c>
      <c r="I4213" s="6" t="s">
        <v>179</v>
      </c>
      <c r="J4213" s="15">
        <v>90.33333333333333</v>
      </c>
    </row>
    <row r="4214" spans="1:10">
      <c r="A4214" s="6" t="s">
        <v>144</v>
      </c>
      <c r="B4214" s="6" t="s">
        <v>44</v>
      </c>
      <c r="C4214" s="6" t="s">
        <v>365</v>
      </c>
      <c r="D4214" s="6">
        <v>21.54125</v>
      </c>
      <c r="E4214" s="6" t="s">
        <v>44</v>
      </c>
      <c r="F4214" s="6" t="s">
        <v>53</v>
      </c>
      <c r="G4214" s="7">
        <v>47398.73115342639</v>
      </c>
      <c r="H4214" s="6">
        <v>1021027.917458746</v>
      </c>
      <c r="I4214" s="6" t="s">
        <v>180</v>
      </c>
      <c r="J4214" s="15">
        <v>10.79865493471494</v>
      </c>
    </row>
    <row r="4215" spans="1:10">
      <c r="A4215" s="6" t="s">
        <v>144</v>
      </c>
      <c r="B4215" s="6" t="s">
        <v>44</v>
      </c>
      <c r="C4215" s="6" t="s">
        <v>331</v>
      </c>
      <c r="D4215" s="6">
        <v>559.1797499999999</v>
      </c>
      <c r="E4215" s="6" t="s">
        <v>44</v>
      </c>
      <c r="F4215" s="6" t="s">
        <v>58</v>
      </c>
      <c r="G4215" s="7">
        <v>57688.3500255051</v>
      </c>
      <c r="H4215" s="6">
        <v>32258157.14517443</v>
      </c>
      <c r="I4215" s="6" t="s">
        <v>179</v>
      </c>
      <c r="J4215" s="15">
        <v>27.625</v>
      </c>
    </row>
    <row r="4216" spans="1:10">
      <c r="A4216" s="6" t="s">
        <v>144</v>
      </c>
      <c r="B4216" s="6" t="s">
        <v>44</v>
      </c>
      <c r="C4216" s="6" t="s">
        <v>332</v>
      </c>
      <c r="D4216" s="6">
        <v>1675.35475</v>
      </c>
      <c r="E4216" s="6" t="s">
        <v>44</v>
      </c>
      <c r="F4216" s="6" t="s">
        <v>55</v>
      </c>
      <c r="G4216" s="7">
        <v>45151.10383039913</v>
      </c>
      <c r="H4216" s="6">
        <v>75644116.27000238</v>
      </c>
      <c r="I4216" s="6" t="s">
        <v>179</v>
      </c>
      <c r="J4216" s="15">
        <v>40.03333333333333</v>
      </c>
    </row>
    <row r="4217" spans="1:10">
      <c r="A4217" s="6" t="s">
        <v>144</v>
      </c>
      <c r="B4217" s="6" t="s">
        <v>44</v>
      </c>
      <c r="C4217" s="6" t="s">
        <v>375</v>
      </c>
      <c r="D4217" s="6">
        <v>3.7705</v>
      </c>
      <c r="E4217" s="6" t="s">
        <v>44</v>
      </c>
      <c r="F4217" s="6" t="s">
        <v>55</v>
      </c>
      <c r="G4217" s="7">
        <v>44949.97309867274</v>
      </c>
      <c r="H4217" s="6">
        <v>169483.8735685456</v>
      </c>
      <c r="I4217" s="6" t="s">
        <v>180</v>
      </c>
      <c r="J4217" s="15">
        <v>9.891501731250248</v>
      </c>
    </row>
    <row r="4218" spans="1:10">
      <c r="A4218" s="6" t="s">
        <v>144</v>
      </c>
      <c r="B4218" s="6" t="s">
        <v>44</v>
      </c>
      <c r="C4218" s="6" t="s">
        <v>333</v>
      </c>
      <c r="D4218" s="6">
        <v>384.8710833333333</v>
      </c>
      <c r="E4218" s="6" t="s">
        <v>44</v>
      </c>
      <c r="F4218" s="6" t="s">
        <v>51</v>
      </c>
      <c r="G4218" s="7">
        <v>14927.02860564678</v>
      </c>
      <c r="H4218" s="6">
        <v>5744981.670402933</v>
      </c>
      <c r="I4218" s="6" t="s">
        <v>179</v>
      </c>
      <c r="J4218" s="15">
        <v>17</v>
      </c>
    </row>
    <row r="4219" spans="1:10">
      <c r="A4219" s="6" t="s">
        <v>144</v>
      </c>
      <c r="B4219" s="6" t="s">
        <v>101</v>
      </c>
      <c r="C4219" s="6" t="s">
        <v>194</v>
      </c>
      <c r="D4219" s="6">
        <v>0.3729166666666667</v>
      </c>
      <c r="E4219" s="6" t="s">
        <v>86</v>
      </c>
      <c r="F4219" s="6" t="s">
        <v>58</v>
      </c>
      <c r="G4219" s="7">
        <v>20829.42392802728</v>
      </c>
      <c r="H4219" s="6">
        <v>7767.63933982684</v>
      </c>
      <c r="I4219" s="6" t="s">
        <v>380</v>
      </c>
      <c r="J4219" s="15">
        <v>6.192434400933875</v>
      </c>
    </row>
    <row r="4220" spans="1:10">
      <c r="A4220" s="6" t="s">
        <v>144</v>
      </c>
      <c r="B4220" s="6" t="s">
        <v>90</v>
      </c>
      <c r="C4220" s="6" t="s">
        <v>195</v>
      </c>
      <c r="D4220" s="6">
        <v>39.4555</v>
      </c>
      <c r="E4220" s="6" t="s">
        <v>86</v>
      </c>
      <c r="F4220" s="6" t="s">
        <v>54</v>
      </c>
      <c r="G4220" s="7">
        <v>56976.27849226169</v>
      </c>
      <c r="H4220" s="6">
        <v>2248027.556051431</v>
      </c>
      <c r="I4220" s="6" t="s">
        <v>180</v>
      </c>
      <c r="J4220" s="15">
        <v>11.49610447263148</v>
      </c>
    </row>
    <row r="4221" spans="1:10">
      <c r="A4221" s="6" t="s">
        <v>144</v>
      </c>
      <c r="B4221" s="6" t="s">
        <v>86</v>
      </c>
      <c r="C4221" s="6" t="s">
        <v>334</v>
      </c>
      <c r="D4221" s="6">
        <v>0.0009166666666666666</v>
      </c>
      <c r="E4221" s="6" t="s">
        <v>86</v>
      </c>
      <c r="F4221" s="6" t="s">
        <v>54</v>
      </c>
      <c r="G4221" s="7">
        <v>79484.86508293969</v>
      </c>
      <c r="H4221" s="6">
        <v>72.86112632602806</v>
      </c>
      <c r="I4221" s="6" t="s">
        <v>180</v>
      </c>
      <c r="J4221" s="15">
        <v>72</v>
      </c>
    </row>
    <row r="4222" spans="1:10">
      <c r="A4222" s="6" t="s">
        <v>144</v>
      </c>
      <c r="B4222" s="6" t="s">
        <v>86</v>
      </c>
      <c r="C4222" s="6" t="s">
        <v>335</v>
      </c>
      <c r="D4222" s="6">
        <v>324.50875</v>
      </c>
      <c r="E4222" s="6" t="s">
        <v>86</v>
      </c>
      <c r="F4222" s="6" t="s">
        <v>52</v>
      </c>
      <c r="G4222" s="7">
        <v>101612.9380442109</v>
      </c>
      <c r="H4222" s="6">
        <v>32974287.50855432</v>
      </c>
      <c r="I4222" s="6" t="s">
        <v>179</v>
      </c>
      <c r="J4222" s="15">
        <v>76.41666666666666</v>
      </c>
    </row>
    <row r="4223" spans="1:10">
      <c r="A4223" s="6" t="s">
        <v>144</v>
      </c>
      <c r="B4223" s="6" t="s">
        <v>90</v>
      </c>
      <c r="C4223" s="6" t="s">
        <v>336</v>
      </c>
      <c r="D4223" s="6">
        <v>1595.194083333333</v>
      </c>
      <c r="E4223" s="6" t="s">
        <v>86</v>
      </c>
      <c r="F4223" s="6" t="s">
        <v>52</v>
      </c>
      <c r="G4223" s="7">
        <v>59918.03179942394</v>
      </c>
      <c r="H4223" s="6">
        <v>95580889.81141958</v>
      </c>
      <c r="I4223" s="6" t="s">
        <v>180</v>
      </c>
      <c r="J4223" s="15">
        <v>12.43871031134531</v>
      </c>
    </row>
    <row r="4224" spans="1:10">
      <c r="A4224" s="6" t="s">
        <v>144</v>
      </c>
      <c r="B4224" s="6" t="s">
        <v>90</v>
      </c>
      <c r="C4224" s="6" t="s">
        <v>197</v>
      </c>
      <c r="D4224" s="6">
        <v>73.41916666666667</v>
      </c>
      <c r="E4224" s="6" t="s">
        <v>86</v>
      </c>
      <c r="F4224" s="6" t="s">
        <v>53</v>
      </c>
      <c r="G4224" s="7">
        <v>24873.23941462196</v>
      </c>
      <c r="H4224" s="6">
        <v>1826172.510122032</v>
      </c>
      <c r="I4224" s="6" t="s">
        <v>179</v>
      </c>
      <c r="J4224" s="15">
        <v>27</v>
      </c>
    </row>
    <row r="4225" spans="1:10">
      <c r="A4225" s="6" t="s">
        <v>144</v>
      </c>
      <c r="B4225" s="6" t="s">
        <v>86</v>
      </c>
      <c r="C4225" s="6" t="s">
        <v>198</v>
      </c>
      <c r="D4225" s="6">
        <v>39.99608333333334</v>
      </c>
      <c r="E4225" s="6" t="s">
        <v>86</v>
      </c>
      <c r="F4225" s="6" t="s">
        <v>58</v>
      </c>
      <c r="G4225" s="7">
        <v>82331.46221962862</v>
      </c>
      <c r="H4225" s="6">
        <v>3292936.023891452</v>
      </c>
      <c r="I4225" s="6" t="s">
        <v>180</v>
      </c>
      <c r="J4225" s="15">
        <v>17.98136201752669</v>
      </c>
    </row>
    <row r="4226" spans="1:10">
      <c r="A4226" s="6" t="s">
        <v>144</v>
      </c>
      <c r="B4226" s="6" t="s">
        <v>86</v>
      </c>
      <c r="C4226" s="6" t="s">
        <v>199</v>
      </c>
      <c r="D4226" s="6">
        <v>72.34466666666667</v>
      </c>
      <c r="E4226" s="6" t="s">
        <v>86</v>
      </c>
      <c r="F4226" s="6" t="s">
        <v>57</v>
      </c>
      <c r="G4226" s="7">
        <v>52709.72675479725</v>
      </c>
      <c r="H4226" s="6">
        <v>3813267.612166889</v>
      </c>
      <c r="I4226" s="6" t="s">
        <v>179</v>
      </c>
      <c r="J4226" s="15">
        <v>49.53333333333333</v>
      </c>
    </row>
    <row r="4227" spans="1:10">
      <c r="A4227" s="6" t="s">
        <v>144</v>
      </c>
      <c r="B4227" s="6" t="s">
        <v>86</v>
      </c>
      <c r="C4227" s="6" t="s">
        <v>337</v>
      </c>
      <c r="D4227" s="6">
        <v>21.66883333333334</v>
      </c>
      <c r="E4227" s="6" t="s">
        <v>86</v>
      </c>
      <c r="F4227" s="6" t="s">
        <v>52</v>
      </c>
      <c r="G4227" s="7">
        <v>76118.45485007425</v>
      </c>
      <c r="H4227" s="6">
        <v>1649398.111737117</v>
      </c>
      <c r="I4227" s="6" t="s">
        <v>179</v>
      </c>
      <c r="J4227" s="15">
        <v>50.90833333333333</v>
      </c>
    </row>
    <row r="4228" spans="1:10">
      <c r="A4228" s="6" t="s">
        <v>144</v>
      </c>
      <c r="B4228" s="6" t="s">
        <v>86</v>
      </c>
      <c r="C4228" s="6" t="s">
        <v>200</v>
      </c>
      <c r="D4228" s="6">
        <v>72.92858333333334</v>
      </c>
      <c r="E4228" s="6" t="s">
        <v>86</v>
      </c>
      <c r="F4228" s="6" t="s">
        <v>52</v>
      </c>
      <c r="G4228" s="7">
        <v>74043.30178681524</v>
      </c>
      <c r="H4228" s="6">
        <v>5399873.104634904</v>
      </c>
      <c r="I4228" s="6" t="s">
        <v>179</v>
      </c>
      <c r="J4228" s="15">
        <v>64.11666666666666</v>
      </c>
    </row>
    <row r="4229" spans="1:10">
      <c r="A4229" s="6" t="s">
        <v>144</v>
      </c>
      <c r="B4229" s="6" t="s">
        <v>86</v>
      </c>
      <c r="C4229" s="6" t="s">
        <v>201</v>
      </c>
      <c r="D4229" s="6">
        <v>48.90725</v>
      </c>
      <c r="E4229" s="6" t="s">
        <v>86</v>
      </c>
      <c r="F4229" s="6" t="s">
        <v>56</v>
      </c>
      <c r="G4229" s="7">
        <v>57893.42884687793</v>
      </c>
      <c r="H4229" s="6">
        <v>2831408.39797147</v>
      </c>
      <c r="I4229" s="6" t="s">
        <v>179</v>
      </c>
      <c r="J4229" s="15">
        <v>34.10833333333333</v>
      </c>
    </row>
    <row r="4230" spans="1:10">
      <c r="A4230" s="6" t="s">
        <v>144</v>
      </c>
      <c r="B4230" s="6" t="s">
        <v>86</v>
      </c>
      <c r="C4230" s="6" t="s">
        <v>202</v>
      </c>
      <c r="D4230" s="6">
        <v>553.3016666666667</v>
      </c>
      <c r="E4230" s="6" t="s">
        <v>86</v>
      </c>
      <c r="F4230" s="6" t="s">
        <v>54</v>
      </c>
      <c r="G4230" s="7">
        <v>90789.34185131452</v>
      </c>
      <c r="H4230" s="6">
        <v>50233894.16190208</v>
      </c>
      <c r="I4230" s="6" t="s">
        <v>179</v>
      </c>
      <c r="J4230" s="15">
        <v>65.125</v>
      </c>
    </row>
    <row r="4231" spans="1:10">
      <c r="A4231" s="6" t="s">
        <v>144</v>
      </c>
      <c r="B4231" s="6" t="s">
        <v>86</v>
      </c>
      <c r="C4231" s="6" t="s">
        <v>203</v>
      </c>
      <c r="D4231" s="6">
        <v>679.0700000000001</v>
      </c>
      <c r="E4231" s="6" t="s">
        <v>86</v>
      </c>
      <c r="F4231" s="6" t="s">
        <v>53</v>
      </c>
      <c r="G4231" s="7">
        <v>22045.15542894867</v>
      </c>
      <c r="H4231" s="6">
        <v>14970203.69713617</v>
      </c>
      <c r="I4231" s="6" t="s">
        <v>179</v>
      </c>
      <c r="J4231" s="15">
        <v>8</v>
      </c>
    </row>
    <row r="4232" spans="1:10">
      <c r="A4232" s="6" t="s">
        <v>144</v>
      </c>
      <c r="B4232" s="6" t="s">
        <v>86</v>
      </c>
      <c r="C4232" s="6" t="s">
        <v>204</v>
      </c>
      <c r="D4232" s="6">
        <v>1597.83825</v>
      </c>
      <c r="E4232" s="6" t="s">
        <v>86</v>
      </c>
      <c r="F4232" s="6" t="s">
        <v>51</v>
      </c>
      <c r="G4232" s="7">
        <v>46344.34011305719</v>
      </c>
      <c r="H4232" s="6">
        <v>74050759.30365211</v>
      </c>
      <c r="I4232" s="6" t="s">
        <v>179</v>
      </c>
      <c r="J4232" s="15">
        <v>45</v>
      </c>
    </row>
    <row r="4233" spans="1:10">
      <c r="A4233" s="6" t="s">
        <v>144</v>
      </c>
      <c r="B4233" s="6" t="s">
        <v>86</v>
      </c>
      <c r="C4233" s="6" t="s">
        <v>338</v>
      </c>
      <c r="D4233" s="6">
        <v>6.001916666666666</v>
      </c>
      <c r="E4233" s="6" t="s">
        <v>86</v>
      </c>
      <c r="F4233" s="6" t="s">
        <v>52</v>
      </c>
      <c r="G4233" s="7">
        <v>71922.38560201312</v>
      </c>
      <c r="H4233" s="6">
        <v>431672.1648511493</v>
      </c>
      <c r="I4233" s="6" t="s">
        <v>179</v>
      </c>
      <c r="J4233" s="15">
        <v>54.91666666666667</v>
      </c>
    </row>
    <row r="4234" spans="1:10">
      <c r="A4234" s="6" t="s">
        <v>144</v>
      </c>
      <c r="B4234" s="6" t="s">
        <v>90</v>
      </c>
      <c r="C4234" s="6" t="s">
        <v>339</v>
      </c>
      <c r="D4234" s="6">
        <v>7.242249999999999</v>
      </c>
      <c r="E4234" s="6" t="s">
        <v>86</v>
      </c>
      <c r="F4234" s="6" t="s">
        <v>52</v>
      </c>
      <c r="G4234" s="7">
        <v>59918.03179942394</v>
      </c>
      <c r="H4234" s="6">
        <v>433941.365799378</v>
      </c>
      <c r="I4234" s="6" t="s">
        <v>180</v>
      </c>
      <c r="J4234" s="15">
        <v>12.43871031134531</v>
      </c>
    </row>
    <row r="4235" spans="1:10">
      <c r="A4235" s="6" t="s">
        <v>144</v>
      </c>
      <c r="B4235" s="6" t="s">
        <v>86</v>
      </c>
      <c r="C4235" s="6" t="s">
        <v>205</v>
      </c>
      <c r="D4235" s="6">
        <v>213.6885</v>
      </c>
      <c r="E4235" s="6" t="s">
        <v>86</v>
      </c>
      <c r="F4235" s="6" t="s">
        <v>56</v>
      </c>
      <c r="G4235" s="7">
        <v>60176.4051044983</v>
      </c>
      <c r="H4235" s="6">
        <v>12859005.74217258</v>
      </c>
      <c r="I4235" s="6" t="s">
        <v>179</v>
      </c>
      <c r="J4235" s="15">
        <v>41</v>
      </c>
    </row>
    <row r="4236" spans="1:10">
      <c r="A4236" s="6" t="s">
        <v>144</v>
      </c>
      <c r="B4236" s="6" t="s">
        <v>86</v>
      </c>
      <c r="C4236" s="6" t="s">
        <v>206</v>
      </c>
      <c r="D4236" s="6">
        <v>19.03216666666667</v>
      </c>
      <c r="E4236" s="6" t="s">
        <v>86</v>
      </c>
      <c r="F4236" s="6" t="s">
        <v>55</v>
      </c>
      <c r="G4236" s="7">
        <v>62775.43713070149</v>
      </c>
      <c r="H4236" s="6">
        <v>1194752.582044366</v>
      </c>
      <c r="I4236" s="6" t="s">
        <v>180</v>
      </c>
      <c r="J4236" s="15">
        <v>12.10449825179888</v>
      </c>
    </row>
    <row r="4237" spans="1:10">
      <c r="A4237" s="6" t="s">
        <v>144</v>
      </c>
      <c r="B4237" s="6" t="s">
        <v>86</v>
      </c>
      <c r="C4237" s="6" t="s">
        <v>340</v>
      </c>
      <c r="D4237" s="6">
        <v>467.6025833333333</v>
      </c>
      <c r="E4237" s="6" t="s">
        <v>86</v>
      </c>
      <c r="F4237" s="6" t="s">
        <v>52</v>
      </c>
      <c r="G4237" s="7">
        <v>76248.97905109002</v>
      </c>
      <c r="H4237" s="6">
        <v>35654219.58081891</v>
      </c>
      <c r="I4237" s="6" t="s">
        <v>179</v>
      </c>
      <c r="J4237" s="15">
        <v>53.35833333333333</v>
      </c>
    </row>
    <row r="4238" spans="1:10">
      <c r="A4238" s="6" t="s">
        <v>144</v>
      </c>
      <c r="B4238" s="6" t="s">
        <v>86</v>
      </c>
      <c r="C4238" s="6" t="s">
        <v>207</v>
      </c>
      <c r="D4238" s="6">
        <v>0.4505833333333333</v>
      </c>
      <c r="E4238" s="6" t="s">
        <v>86</v>
      </c>
      <c r="F4238" s="6" t="s">
        <v>55</v>
      </c>
      <c r="G4238" s="7">
        <v>52810.92507980197</v>
      </c>
      <c r="H4238" s="6">
        <v>23795.7226588741</v>
      </c>
      <c r="I4238" s="6" t="s">
        <v>180</v>
      </c>
      <c r="J4238" s="15">
        <v>9.110020613894488</v>
      </c>
    </row>
    <row r="4239" spans="1:10">
      <c r="A4239" s="6" t="s">
        <v>144</v>
      </c>
      <c r="B4239" s="6" t="s">
        <v>86</v>
      </c>
      <c r="C4239" s="6" t="s">
        <v>208</v>
      </c>
      <c r="D4239" s="6">
        <v>2.282583333333333</v>
      </c>
      <c r="E4239" s="6" t="s">
        <v>86</v>
      </c>
      <c r="F4239" s="6" t="s">
        <v>51</v>
      </c>
      <c r="G4239" s="7">
        <v>52043.19496136486</v>
      </c>
      <c r="H4239" s="6">
        <v>118792.9294322287</v>
      </c>
      <c r="I4239" s="6" t="s">
        <v>180</v>
      </c>
      <c r="J4239" s="15">
        <v>8.879306790692469</v>
      </c>
    </row>
    <row r="4240" spans="1:10">
      <c r="A4240" s="6" t="s">
        <v>144</v>
      </c>
      <c r="B4240" s="6" t="s">
        <v>86</v>
      </c>
      <c r="C4240" s="6" t="s">
        <v>209</v>
      </c>
      <c r="D4240" s="6">
        <v>0.4065833333333334</v>
      </c>
      <c r="E4240" s="6" t="s">
        <v>86</v>
      </c>
      <c r="F4240" s="6" t="s">
        <v>57</v>
      </c>
      <c r="G4240" s="7">
        <v>50343.81581786243</v>
      </c>
      <c r="H4240" s="6">
        <v>20468.9564479459</v>
      </c>
      <c r="I4240" s="6" t="s">
        <v>180</v>
      </c>
      <c r="J4240" s="15">
        <v>8.368619180747757</v>
      </c>
    </row>
    <row r="4241" spans="1:10">
      <c r="A4241" s="6" t="s">
        <v>144</v>
      </c>
      <c r="B4241" s="6" t="s">
        <v>90</v>
      </c>
      <c r="C4241" s="6" t="s">
        <v>210</v>
      </c>
      <c r="D4241" s="6">
        <v>0.5555</v>
      </c>
      <c r="E4241" s="6" t="s">
        <v>86</v>
      </c>
      <c r="F4241" s="6" t="s">
        <v>53</v>
      </c>
      <c r="G4241" s="7">
        <v>33962.09735450833</v>
      </c>
      <c r="H4241" s="6">
        <v>18865.94508042938</v>
      </c>
      <c r="I4241" s="6" t="s">
        <v>180</v>
      </c>
      <c r="J4241" s="15">
        <v>12</v>
      </c>
    </row>
    <row r="4242" spans="1:10">
      <c r="A4242" s="6" t="s">
        <v>144</v>
      </c>
      <c r="B4242" s="6" t="s">
        <v>86</v>
      </c>
      <c r="C4242" s="6" t="s">
        <v>211</v>
      </c>
      <c r="D4242" s="6">
        <v>307.1215833333333</v>
      </c>
      <c r="E4242" s="6" t="s">
        <v>86</v>
      </c>
      <c r="F4242" s="6" t="s">
        <v>55</v>
      </c>
      <c r="G4242" s="7">
        <v>53062.99242745514</v>
      </c>
      <c r="H4242" s="6">
        <v>16296790.2507247</v>
      </c>
      <c r="I4242" s="6" t="s">
        <v>179</v>
      </c>
      <c r="J4242" s="15">
        <v>38</v>
      </c>
    </row>
    <row r="4243" spans="1:10">
      <c r="A4243" s="6" t="s">
        <v>144</v>
      </c>
      <c r="B4243" s="6" t="s">
        <v>86</v>
      </c>
      <c r="C4243" s="6" t="s">
        <v>377</v>
      </c>
      <c r="D4243" s="6">
        <v>0.6653333333333333</v>
      </c>
      <c r="E4243" s="6" t="s">
        <v>86</v>
      </c>
      <c r="F4243" s="6" t="s">
        <v>51</v>
      </c>
      <c r="G4243" s="7">
        <v>69820.10309347716</v>
      </c>
      <c r="H4243" s="6">
        <v>46453.64192486013</v>
      </c>
      <c r="I4243" s="6" t="s">
        <v>180</v>
      </c>
      <c r="J4243" s="15">
        <v>14.22152059913335</v>
      </c>
    </row>
    <row r="4244" spans="1:10">
      <c r="A4244" s="6" t="s">
        <v>144</v>
      </c>
      <c r="B4244" s="6" t="s">
        <v>86</v>
      </c>
      <c r="C4244" s="6" t="s">
        <v>212</v>
      </c>
      <c r="D4244" s="6">
        <v>58.64225</v>
      </c>
      <c r="E4244" s="6" t="s">
        <v>86</v>
      </c>
      <c r="F4244" s="6" t="s">
        <v>55</v>
      </c>
      <c r="G4244" s="7">
        <v>52156.54206456027</v>
      </c>
      <c r="H4244" s="6">
        <v>3058576.978885459</v>
      </c>
      <c r="I4244" s="6" t="s">
        <v>179</v>
      </c>
      <c r="J4244" s="15">
        <v>36</v>
      </c>
    </row>
    <row r="4245" spans="1:10">
      <c r="A4245" s="6" t="s">
        <v>144</v>
      </c>
      <c r="B4245" s="6" t="s">
        <v>86</v>
      </c>
      <c r="C4245" s="6" t="s">
        <v>213</v>
      </c>
      <c r="D4245" s="6">
        <v>87.31183333333334</v>
      </c>
      <c r="E4245" s="6" t="s">
        <v>86</v>
      </c>
      <c r="F4245" s="6" t="s">
        <v>52</v>
      </c>
      <c r="G4245" s="7">
        <v>91659.65133947671</v>
      </c>
      <c r="H4245" s="6">
        <v>8002972.201143835</v>
      </c>
      <c r="I4245" s="6" t="s">
        <v>179</v>
      </c>
      <c r="J4245" s="15">
        <v>69</v>
      </c>
    </row>
    <row r="4246" spans="1:10">
      <c r="A4246" s="6" t="s">
        <v>144</v>
      </c>
      <c r="B4246" s="6" t="s">
        <v>90</v>
      </c>
      <c r="C4246" s="6" t="s">
        <v>214</v>
      </c>
      <c r="D4246" s="6">
        <v>0.728</v>
      </c>
      <c r="E4246" s="6" t="s">
        <v>86</v>
      </c>
      <c r="F4246" s="6" t="s">
        <v>53</v>
      </c>
      <c r="G4246" s="7">
        <v>29230.07315219457</v>
      </c>
      <c r="H4246" s="6">
        <v>21279.49325479765</v>
      </c>
      <c r="I4246" s="6" t="s">
        <v>179</v>
      </c>
      <c r="J4246" s="15">
        <v>27</v>
      </c>
    </row>
    <row r="4247" spans="1:10">
      <c r="A4247" s="6" t="s">
        <v>144</v>
      </c>
      <c r="B4247" s="6" t="s">
        <v>86</v>
      </c>
      <c r="C4247" s="6" t="s">
        <v>215</v>
      </c>
      <c r="D4247" s="6">
        <v>241.1501666666667</v>
      </c>
      <c r="E4247" s="6" t="s">
        <v>86</v>
      </c>
      <c r="F4247" s="6" t="s">
        <v>54</v>
      </c>
      <c r="G4247" s="7">
        <v>92290.56849765679</v>
      </c>
      <c r="H4247" s="6">
        <v>22255885.97497135</v>
      </c>
      <c r="I4247" s="6" t="s">
        <v>179</v>
      </c>
      <c r="J4247" s="15">
        <v>62</v>
      </c>
    </row>
    <row r="4248" spans="1:10">
      <c r="A4248" s="6" t="s">
        <v>144</v>
      </c>
      <c r="B4248" s="6" t="s">
        <v>86</v>
      </c>
      <c r="C4248" s="6" t="s">
        <v>216</v>
      </c>
      <c r="D4248" s="6">
        <v>3.15575</v>
      </c>
      <c r="E4248" s="6" t="s">
        <v>86</v>
      </c>
      <c r="F4248" s="6" t="s">
        <v>55</v>
      </c>
      <c r="G4248" s="7">
        <v>48830.3229287997</v>
      </c>
      <c r="H4248" s="6">
        <v>154096.2915825596</v>
      </c>
      <c r="I4248" s="6" t="s">
        <v>180</v>
      </c>
      <c r="J4248" s="15">
        <v>7.913793034893832</v>
      </c>
    </row>
    <row r="4249" spans="1:10">
      <c r="A4249" s="6" t="s">
        <v>144</v>
      </c>
      <c r="B4249" s="6" t="s">
        <v>86</v>
      </c>
      <c r="C4249" s="6" t="s">
        <v>341</v>
      </c>
      <c r="D4249" s="6">
        <v>3.429166666666667</v>
      </c>
      <c r="E4249" s="6" t="s">
        <v>86</v>
      </c>
      <c r="F4249" s="6" t="s">
        <v>52</v>
      </c>
      <c r="G4249" s="7">
        <v>67420.24760609666</v>
      </c>
      <c r="H4249" s="6">
        <v>231195.2657492398</v>
      </c>
      <c r="I4249" s="6" t="s">
        <v>179</v>
      </c>
      <c r="J4249" s="15">
        <v>49.875</v>
      </c>
    </row>
    <row r="4250" spans="1:10">
      <c r="A4250" s="6" t="s">
        <v>144</v>
      </c>
      <c r="B4250" s="6" t="s">
        <v>90</v>
      </c>
      <c r="C4250" s="6" t="s">
        <v>217</v>
      </c>
      <c r="D4250" s="6">
        <v>74.62083333333334</v>
      </c>
      <c r="E4250" s="6" t="s">
        <v>86</v>
      </c>
      <c r="F4250" s="6" t="s">
        <v>53</v>
      </c>
      <c r="G4250" s="7">
        <v>29595.99008532836</v>
      </c>
      <c r="H4250" s="6">
        <v>2208477.443492273</v>
      </c>
      <c r="I4250" s="6" t="s">
        <v>179</v>
      </c>
      <c r="J4250" s="15">
        <v>15</v>
      </c>
    </row>
    <row r="4251" spans="1:10">
      <c r="A4251" s="6" t="s">
        <v>144</v>
      </c>
      <c r="B4251" s="6" t="s">
        <v>90</v>
      </c>
      <c r="C4251" s="6" t="s">
        <v>218</v>
      </c>
      <c r="D4251" s="6">
        <v>10.15991666666667</v>
      </c>
      <c r="E4251" s="6" t="s">
        <v>86</v>
      </c>
      <c r="F4251" s="6" t="s">
        <v>54</v>
      </c>
      <c r="G4251" s="7">
        <v>55803.8509311504</v>
      </c>
      <c r="H4251" s="6">
        <v>566962.4751395772</v>
      </c>
      <c r="I4251" s="6" t="s">
        <v>180</v>
      </c>
      <c r="J4251" s="15">
        <v>11.12043154931672</v>
      </c>
    </row>
    <row r="4252" spans="1:10">
      <c r="A4252" s="6" t="s">
        <v>144</v>
      </c>
      <c r="B4252" s="6" t="s">
        <v>86</v>
      </c>
      <c r="C4252" s="6" t="s">
        <v>219</v>
      </c>
      <c r="D4252" s="6">
        <v>12.0475</v>
      </c>
      <c r="E4252" s="6" t="s">
        <v>86</v>
      </c>
      <c r="F4252" s="6" t="s">
        <v>51</v>
      </c>
      <c r="G4252" s="7">
        <v>52259.13647561446</v>
      </c>
      <c r="H4252" s="6">
        <v>629591.9466899652</v>
      </c>
      <c r="I4252" s="6" t="s">
        <v>180</v>
      </c>
      <c r="J4252" s="15">
        <v>8.944200287956821</v>
      </c>
    </row>
    <row r="4253" spans="1:10">
      <c r="A4253" s="6" t="s">
        <v>144</v>
      </c>
      <c r="B4253" s="6" t="s">
        <v>86</v>
      </c>
      <c r="C4253" s="6" t="s">
        <v>220</v>
      </c>
      <c r="D4253" s="6">
        <v>4.256416666666667</v>
      </c>
      <c r="E4253" s="6" t="s">
        <v>86</v>
      </c>
      <c r="F4253" s="6" t="s">
        <v>57</v>
      </c>
      <c r="G4253" s="7">
        <v>55010.17947726394</v>
      </c>
      <c r="H4253" s="6">
        <v>234146.2447633508</v>
      </c>
      <c r="I4253" s="6" t="s">
        <v>179</v>
      </c>
      <c r="J4253" s="15">
        <v>6.921154133661506</v>
      </c>
    </row>
    <row r="4254" spans="1:10">
      <c r="A4254" s="6" t="s">
        <v>144</v>
      </c>
      <c r="B4254" s="6" t="s">
        <v>86</v>
      </c>
      <c r="C4254" s="6" t="s">
        <v>221</v>
      </c>
      <c r="D4254" s="6">
        <v>43.83341666666666</v>
      </c>
      <c r="E4254" s="6" t="s">
        <v>86</v>
      </c>
      <c r="F4254" s="6" t="s">
        <v>51</v>
      </c>
      <c r="G4254" s="7">
        <v>49959.47837571311</v>
      </c>
      <c r="H4254" s="6">
        <v>2189894.632091956</v>
      </c>
      <c r="I4254" s="6" t="s">
        <v>180</v>
      </c>
      <c r="J4254" s="15">
        <v>8.25312031135539</v>
      </c>
    </row>
    <row r="4255" spans="1:10">
      <c r="A4255" s="6" t="s">
        <v>144</v>
      </c>
      <c r="B4255" s="6" t="s">
        <v>86</v>
      </c>
      <c r="C4255" s="6" t="s">
        <v>222</v>
      </c>
      <c r="D4255" s="6">
        <v>0.4970833333333333</v>
      </c>
      <c r="E4255" s="6" t="s">
        <v>86</v>
      </c>
      <c r="F4255" s="6" t="s">
        <v>57</v>
      </c>
      <c r="G4255" s="7">
        <v>49392.57285899352</v>
      </c>
      <c r="H4255" s="6">
        <v>24552.22475865803</v>
      </c>
      <c r="I4255" s="6" t="s">
        <v>180</v>
      </c>
      <c r="J4255" s="15">
        <v>8.082757138131251</v>
      </c>
    </row>
    <row r="4256" spans="1:10">
      <c r="A4256" s="6" t="s">
        <v>144</v>
      </c>
      <c r="B4256" s="6" t="s">
        <v>86</v>
      </c>
      <c r="C4256" s="6" t="s">
        <v>342</v>
      </c>
      <c r="D4256" s="6">
        <v>46.43408333333333</v>
      </c>
      <c r="E4256" s="6" t="s">
        <v>86</v>
      </c>
      <c r="F4256" s="6" t="s">
        <v>53</v>
      </c>
      <c r="G4256" s="7">
        <v>33275.25972937583</v>
      </c>
      <c r="H4256" s="6">
        <v>1545106.183212148</v>
      </c>
      <c r="I4256" s="6" t="s">
        <v>179</v>
      </c>
      <c r="J4256" s="15">
        <v>8</v>
      </c>
    </row>
    <row r="4257" spans="1:10">
      <c r="A4257" s="6" t="s">
        <v>144</v>
      </c>
      <c r="B4257" s="6" t="s">
        <v>86</v>
      </c>
      <c r="C4257" s="6" t="s">
        <v>343</v>
      </c>
      <c r="D4257" s="6">
        <v>11.10891666666667</v>
      </c>
      <c r="E4257" s="6" t="s">
        <v>86</v>
      </c>
      <c r="F4257" s="6" t="s">
        <v>52</v>
      </c>
      <c r="G4257" s="7">
        <v>69744.27374406446</v>
      </c>
      <c r="H4257" s="6">
        <v>774783.325</v>
      </c>
      <c r="I4257" s="6" t="s">
        <v>179</v>
      </c>
      <c r="J4257" s="15">
        <v>50.60833333333333</v>
      </c>
    </row>
    <row r="4258" spans="1:10">
      <c r="A4258" s="6" t="s">
        <v>144</v>
      </c>
      <c r="B4258" s="6" t="s">
        <v>86</v>
      </c>
      <c r="C4258" s="6" t="s">
        <v>223</v>
      </c>
      <c r="D4258" s="6">
        <v>44.2025</v>
      </c>
      <c r="E4258" s="6" t="s">
        <v>86</v>
      </c>
      <c r="F4258" s="6" t="s">
        <v>53</v>
      </c>
      <c r="G4258" s="7">
        <v>24418.66320757394</v>
      </c>
      <c r="H4258" s="6">
        <v>1079365.960432787</v>
      </c>
      <c r="I4258" s="6" t="s">
        <v>179</v>
      </c>
      <c r="J4258" s="15">
        <v>7.983333333333333</v>
      </c>
    </row>
    <row r="4259" spans="1:10">
      <c r="A4259" s="6" t="s">
        <v>144</v>
      </c>
      <c r="B4259" s="6" t="s">
        <v>86</v>
      </c>
      <c r="C4259" s="6" t="s">
        <v>224</v>
      </c>
      <c r="D4259" s="6">
        <v>629.2575000000001</v>
      </c>
      <c r="E4259" s="6" t="s">
        <v>86</v>
      </c>
      <c r="F4259" s="6" t="s">
        <v>51</v>
      </c>
      <c r="G4259" s="7">
        <v>44832.66432506633</v>
      </c>
      <c r="H4259" s="6">
        <v>28211290.27153043</v>
      </c>
      <c r="I4259" s="6" t="s">
        <v>179</v>
      </c>
      <c r="J4259" s="15">
        <v>47</v>
      </c>
    </row>
    <row r="4260" spans="1:10">
      <c r="A4260" s="6" t="s">
        <v>144</v>
      </c>
      <c r="B4260" s="6" t="s">
        <v>86</v>
      </c>
      <c r="C4260" s="6" t="s">
        <v>225</v>
      </c>
      <c r="D4260" s="6">
        <v>0.007666666666666667</v>
      </c>
      <c r="E4260" s="6" t="s">
        <v>86</v>
      </c>
      <c r="F4260" s="6" t="s">
        <v>54</v>
      </c>
      <c r="G4260" s="7">
        <v>67108.78662238816</v>
      </c>
      <c r="H4260" s="6">
        <v>514.5006974383092</v>
      </c>
      <c r="I4260" s="6" t="s">
        <v>180</v>
      </c>
      <c r="J4260" s="15">
        <v>13.40673142526458</v>
      </c>
    </row>
    <row r="4261" spans="1:10">
      <c r="A4261" s="6" t="s">
        <v>144</v>
      </c>
      <c r="B4261" s="6" t="s">
        <v>86</v>
      </c>
      <c r="C4261" s="6" t="s">
        <v>226</v>
      </c>
      <c r="D4261" s="6">
        <v>277.0481666666666</v>
      </c>
      <c r="E4261" s="6" t="s">
        <v>86</v>
      </c>
      <c r="F4261" s="6" t="s">
        <v>56</v>
      </c>
      <c r="G4261" s="7">
        <v>74819.13266235047</v>
      </c>
      <c r="H4261" s="6">
        <v>20728503.53569432</v>
      </c>
      <c r="I4261" s="6" t="s">
        <v>179</v>
      </c>
      <c r="J4261" s="15">
        <v>51.55</v>
      </c>
    </row>
    <row r="4262" spans="1:10">
      <c r="A4262" s="6" t="s">
        <v>144</v>
      </c>
      <c r="B4262" s="6" t="s">
        <v>90</v>
      </c>
      <c r="C4262" s="6" t="s">
        <v>344</v>
      </c>
      <c r="D4262" s="6">
        <v>45.14816666666667</v>
      </c>
      <c r="E4262" s="6" t="s">
        <v>86</v>
      </c>
      <c r="F4262" s="6" t="s">
        <v>52</v>
      </c>
      <c r="G4262" s="7">
        <v>59918.03179942394</v>
      </c>
      <c r="H4262" s="6">
        <v>2705189.286019025</v>
      </c>
      <c r="I4262" s="6" t="s">
        <v>180</v>
      </c>
      <c r="J4262" s="15">
        <v>12.43871031134531</v>
      </c>
    </row>
    <row r="4263" spans="1:10">
      <c r="A4263" s="6" t="s">
        <v>144</v>
      </c>
      <c r="B4263" s="6" t="s">
        <v>86</v>
      </c>
      <c r="C4263" s="6" t="s">
        <v>345</v>
      </c>
      <c r="D4263" s="6">
        <v>39.42883333333333</v>
      </c>
      <c r="E4263" s="6" t="s">
        <v>86</v>
      </c>
      <c r="F4263" s="6" t="s">
        <v>53</v>
      </c>
      <c r="G4263" s="7">
        <v>31603.56115403747</v>
      </c>
      <c r="H4263" s="6">
        <v>1246091.545482351</v>
      </c>
      <c r="I4263" s="6" t="s">
        <v>179</v>
      </c>
      <c r="J4263" s="15">
        <v>8</v>
      </c>
    </row>
    <row r="4264" spans="1:10">
      <c r="A4264" s="6" t="s">
        <v>144</v>
      </c>
      <c r="B4264" s="6" t="s">
        <v>86</v>
      </c>
      <c r="C4264" s="6" t="s">
        <v>227</v>
      </c>
      <c r="D4264" s="6">
        <v>54.21625</v>
      </c>
      <c r="E4264" s="6" t="s">
        <v>86</v>
      </c>
      <c r="F4264" s="6" t="s">
        <v>57</v>
      </c>
      <c r="G4264" s="7">
        <v>50057.03584104127</v>
      </c>
      <c r="H4264" s="6">
        <v>2713904.769416854</v>
      </c>
      <c r="I4264" s="6" t="s">
        <v>179</v>
      </c>
      <c r="J4264" s="15">
        <v>39</v>
      </c>
    </row>
    <row r="4265" spans="1:10">
      <c r="A4265" s="6" t="s">
        <v>144</v>
      </c>
      <c r="B4265" s="6" t="s">
        <v>90</v>
      </c>
      <c r="C4265" s="6" t="s">
        <v>228</v>
      </c>
      <c r="D4265" s="6">
        <v>84.26991666666666</v>
      </c>
      <c r="E4265" s="6" t="s">
        <v>86</v>
      </c>
      <c r="F4265" s="6" t="s">
        <v>51</v>
      </c>
      <c r="G4265" s="7">
        <v>55221.41986499156</v>
      </c>
      <c r="H4265" s="6">
        <v>4653504.45023785</v>
      </c>
      <c r="I4265" s="6" t="s">
        <v>180</v>
      </c>
      <c r="J4265" s="15">
        <v>10.933807156893</v>
      </c>
    </row>
    <row r="4266" spans="1:10">
      <c r="A4266" s="6" t="s">
        <v>144</v>
      </c>
      <c r="B4266" s="6" t="s">
        <v>86</v>
      </c>
      <c r="C4266" s="6" t="s">
        <v>229</v>
      </c>
      <c r="D4266" s="6">
        <v>44.88108333333333</v>
      </c>
      <c r="E4266" s="6" t="s">
        <v>86</v>
      </c>
      <c r="F4266" s="6" t="s">
        <v>53</v>
      </c>
      <c r="G4266" s="7">
        <v>21180.73880713652</v>
      </c>
      <c r="H4266" s="6">
        <v>950614.5034646612</v>
      </c>
      <c r="I4266" s="6" t="s">
        <v>179</v>
      </c>
      <c r="J4266" s="15">
        <v>5</v>
      </c>
    </row>
    <row r="4267" spans="1:10">
      <c r="A4267" s="6" t="s">
        <v>144</v>
      </c>
      <c r="B4267" s="6" t="s">
        <v>86</v>
      </c>
      <c r="C4267" s="6" t="s">
        <v>367</v>
      </c>
      <c r="D4267" s="6">
        <v>2.594833333333333</v>
      </c>
      <c r="E4267" s="6" t="s">
        <v>86</v>
      </c>
      <c r="F4267" s="6" t="s">
        <v>55</v>
      </c>
      <c r="G4267" s="7">
        <v>60915.58547543351</v>
      </c>
      <c r="H4267" s="6">
        <v>158065.7917111707</v>
      </c>
      <c r="I4267" s="6" t="s">
        <v>180</v>
      </c>
      <c r="J4267" s="15">
        <v>11.5455863690021</v>
      </c>
    </row>
    <row r="4268" spans="1:10">
      <c r="A4268" s="6" t="s">
        <v>144</v>
      </c>
      <c r="B4268" s="6" t="s">
        <v>86</v>
      </c>
      <c r="C4268" s="6" t="s">
        <v>230</v>
      </c>
      <c r="D4268" s="6">
        <v>63.41158333333333</v>
      </c>
      <c r="E4268" s="6" t="s">
        <v>86</v>
      </c>
      <c r="F4268" s="6" t="s">
        <v>53</v>
      </c>
      <c r="G4268" s="7">
        <v>31425.98001427314</v>
      </c>
      <c r="H4268" s="6">
        <v>1992771.150506749</v>
      </c>
      <c r="I4268" s="6" t="s">
        <v>179</v>
      </c>
      <c r="J4268" s="15">
        <v>8</v>
      </c>
    </row>
    <row r="4269" spans="1:10">
      <c r="A4269" s="6" t="s">
        <v>144</v>
      </c>
      <c r="B4269" s="6" t="s">
        <v>86</v>
      </c>
      <c r="C4269" s="6" t="s">
        <v>378</v>
      </c>
      <c r="D4269" s="6">
        <v>4.6905</v>
      </c>
      <c r="E4269" s="6" t="s">
        <v>86</v>
      </c>
      <c r="F4269" s="6" t="s">
        <v>51</v>
      </c>
      <c r="G4269" s="7">
        <v>54762.15567895858</v>
      </c>
      <c r="H4269" s="6">
        <v>256861.8912121552</v>
      </c>
      <c r="I4269" s="6" t="s">
        <v>180</v>
      </c>
      <c r="J4269" s="15">
        <v>9.696393169391754</v>
      </c>
    </row>
    <row r="4270" spans="1:10">
      <c r="A4270" s="6" t="s">
        <v>144</v>
      </c>
      <c r="B4270" s="6" t="s">
        <v>86</v>
      </c>
      <c r="C4270" s="6" t="s">
        <v>231</v>
      </c>
      <c r="D4270" s="6">
        <v>25.65958333333333</v>
      </c>
      <c r="E4270" s="6" t="s">
        <v>86</v>
      </c>
      <c r="F4270" s="6" t="s">
        <v>52</v>
      </c>
      <c r="G4270" s="7">
        <v>92791.93151714627</v>
      </c>
      <c r="H4270" s="6">
        <v>2381002.299425174</v>
      </c>
      <c r="I4270" s="6" t="s">
        <v>179</v>
      </c>
      <c r="J4270" s="15">
        <v>46</v>
      </c>
    </row>
    <row r="4271" spans="1:10">
      <c r="A4271" s="6" t="s">
        <v>144</v>
      </c>
      <c r="B4271" s="6" t="s">
        <v>86</v>
      </c>
      <c r="C4271" s="6" t="s">
        <v>346</v>
      </c>
      <c r="D4271" s="6">
        <v>15.90741666666667</v>
      </c>
      <c r="E4271" s="6" t="s">
        <v>86</v>
      </c>
      <c r="F4271" s="6" t="s">
        <v>52</v>
      </c>
      <c r="G4271" s="7">
        <v>91431.43065714603</v>
      </c>
      <c r="H4271" s="6">
        <v>1454437.863892662</v>
      </c>
      <c r="I4271" s="6" t="s">
        <v>179</v>
      </c>
      <c r="J4271" s="15">
        <v>46</v>
      </c>
    </row>
    <row r="4272" spans="1:10">
      <c r="A4272" s="6" t="s">
        <v>144</v>
      </c>
      <c r="B4272" s="6" t="s">
        <v>86</v>
      </c>
      <c r="C4272" s="6" t="s">
        <v>232</v>
      </c>
      <c r="D4272" s="6">
        <v>13.26591666666667</v>
      </c>
      <c r="E4272" s="6" t="s">
        <v>86</v>
      </c>
      <c r="F4272" s="6" t="s">
        <v>51</v>
      </c>
      <c r="G4272" s="7">
        <v>50639.92494996203</v>
      </c>
      <c r="H4272" s="6">
        <v>671785.0243924505</v>
      </c>
      <c r="I4272" s="6" t="s">
        <v>180</v>
      </c>
      <c r="J4272" s="15">
        <v>8.457604187732773</v>
      </c>
    </row>
    <row r="4273" spans="1:10">
      <c r="A4273" s="6" t="s">
        <v>144</v>
      </c>
      <c r="B4273" s="6" t="s">
        <v>86</v>
      </c>
      <c r="C4273" s="6" t="s">
        <v>233</v>
      </c>
      <c r="D4273" s="6">
        <v>102.8916666666667</v>
      </c>
      <c r="E4273" s="6" t="s">
        <v>86</v>
      </c>
      <c r="F4273" s="6" t="s">
        <v>59</v>
      </c>
      <c r="G4273" s="7">
        <v>42805.8355381377</v>
      </c>
      <c r="H4273" s="6">
        <v>4404363.761578218</v>
      </c>
      <c r="I4273" s="6" t="s">
        <v>179</v>
      </c>
      <c r="J4273" s="15">
        <v>27.26666666666667</v>
      </c>
    </row>
    <row r="4274" spans="1:10">
      <c r="A4274" s="6" t="s">
        <v>144</v>
      </c>
      <c r="B4274" s="6" t="s">
        <v>86</v>
      </c>
      <c r="C4274" s="6" t="s">
        <v>234</v>
      </c>
      <c r="D4274" s="6">
        <v>85.14341666666667</v>
      </c>
      <c r="E4274" s="6" t="s">
        <v>86</v>
      </c>
      <c r="F4274" s="6" t="s">
        <v>56</v>
      </c>
      <c r="G4274" s="7">
        <v>61798.18645536575</v>
      </c>
      <c r="H4274" s="6">
        <v>5261708.738613563</v>
      </c>
      <c r="I4274" s="6" t="s">
        <v>179</v>
      </c>
      <c r="J4274" s="15">
        <v>49</v>
      </c>
    </row>
    <row r="4275" spans="1:10">
      <c r="A4275" s="6" t="s">
        <v>144</v>
      </c>
      <c r="B4275" s="6" t="s">
        <v>86</v>
      </c>
      <c r="C4275" s="6" t="s">
        <v>235</v>
      </c>
      <c r="D4275" s="6">
        <v>0.11575</v>
      </c>
      <c r="E4275" s="6" t="s">
        <v>86</v>
      </c>
      <c r="F4275" s="6" t="s">
        <v>53</v>
      </c>
      <c r="G4275" s="7">
        <v>36703.49839619301</v>
      </c>
      <c r="H4275" s="6">
        <v>4248.429939359341</v>
      </c>
      <c r="I4275" s="6" t="s">
        <v>180</v>
      </c>
      <c r="J4275" s="15">
        <v>4.269509732692095</v>
      </c>
    </row>
    <row r="4276" spans="1:10">
      <c r="A4276" s="6" t="s">
        <v>144</v>
      </c>
      <c r="B4276" s="6" t="s">
        <v>86</v>
      </c>
      <c r="C4276" s="6" t="s">
        <v>236</v>
      </c>
      <c r="D4276" s="6">
        <v>696.9534166666667</v>
      </c>
      <c r="E4276" s="6" t="s">
        <v>86</v>
      </c>
      <c r="F4276" s="6" t="s">
        <v>51</v>
      </c>
      <c r="G4276" s="7">
        <v>45192.70977200848</v>
      </c>
      <c r="H4276" s="6">
        <v>31497213.48402636</v>
      </c>
      <c r="I4276" s="6" t="s">
        <v>179</v>
      </c>
      <c r="J4276" s="15">
        <v>44.98333333333333</v>
      </c>
    </row>
    <row r="4277" spans="1:10">
      <c r="A4277" s="6" t="s">
        <v>144</v>
      </c>
      <c r="B4277" s="6" t="s">
        <v>86</v>
      </c>
      <c r="C4277" s="6" t="s">
        <v>237</v>
      </c>
      <c r="D4277" s="6">
        <v>29.70883333333333</v>
      </c>
      <c r="E4277" s="6" t="s">
        <v>86</v>
      </c>
      <c r="F4277" s="6" t="s">
        <v>51</v>
      </c>
      <c r="G4277" s="7">
        <v>63094.71676521076</v>
      </c>
      <c r="H4277" s="6">
        <v>1874470.424591519</v>
      </c>
      <c r="I4277" s="6" t="s">
        <v>179</v>
      </c>
      <c r="J4277" s="15">
        <v>44</v>
      </c>
    </row>
    <row r="4278" spans="1:10">
      <c r="A4278" s="6" t="s">
        <v>144</v>
      </c>
      <c r="B4278" s="6" t="s">
        <v>86</v>
      </c>
      <c r="C4278" s="6" t="s">
        <v>238</v>
      </c>
      <c r="D4278" s="6">
        <v>120.2070833333333</v>
      </c>
      <c r="E4278" s="6" t="s">
        <v>86</v>
      </c>
      <c r="F4278" s="6" t="s">
        <v>51</v>
      </c>
      <c r="G4278" s="7">
        <v>52817.93378501572</v>
      </c>
      <c r="H4278" s="6">
        <v>6349089.767989867</v>
      </c>
      <c r="I4278" s="6" t="s">
        <v>180</v>
      </c>
      <c r="J4278" s="15">
        <v>9.112126829525121</v>
      </c>
    </row>
    <row r="4279" spans="1:10">
      <c r="A4279" s="6" t="s">
        <v>144</v>
      </c>
      <c r="B4279" s="6" t="s">
        <v>86</v>
      </c>
      <c r="C4279" s="6" t="s">
        <v>239</v>
      </c>
      <c r="D4279" s="6">
        <v>147.8734166666667</v>
      </c>
      <c r="E4279" s="6" t="s">
        <v>86</v>
      </c>
      <c r="F4279" s="6" t="s">
        <v>54</v>
      </c>
      <c r="G4279" s="7">
        <v>81786.38878957105</v>
      </c>
      <c r="H4279" s="6">
        <v>12094032.74714223</v>
      </c>
      <c r="I4279" s="6" t="s">
        <v>179</v>
      </c>
      <c r="J4279" s="15">
        <v>44.55</v>
      </c>
    </row>
    <row r="4280" spans="1:10">
      <c r="A4280" s="6" t="s">
        <v>144</v>
      </c>
      <c r="B4280" s="6" t="s">
        <v>86</v>
      </c>
      <c r="C4280" s="6" t="s">
        <v>379</v>
      </c>
      <c r="D4280" s="6">
        <v>2.812083333333333</v>
      </c>
      <c r="E4280" s="6" t="s">
        <v>86</v>
      </c>
      <c r="F4280" s="6" t="s">
        <v>51</v>
      </c>
      <c r="G4280" s="7">
        <v>75094.96404458805</v>
      </c>
      <c r="H4280" s="6">
        <v>211173.296807052</v>
      </c>
      <c r="I4280" s="6" t="s">
        <v>180</v>
      </c>
      <c r="J4280" s="15">
        <v>15.80669136118093</v>
      </c>
    </row>
    <row r="4281" spans="1:10">
      <c r="A4281" s="6" t="s">
        <v>144</v>
      </c>
      <c r="B4281" s="6" t="s">
        <v>90</v>
      </c>
      <c r="C4281" s="6" t="s">
        <v>347</v>
      </c>
      <c r="D4281" s="6">
        <v>1.9025</v>
      </c>
      <c r="E4281" s="6" t="s">
        <v>86</v>
      </c>
      <c r="F4281" s="6" t="s">
        <v>52</v>
      </c>
      <c r="G4281" s="7">
        <v>59918.03179942394</v>
      </c>
      <c r="H4281" s="6">
        <v>113994.0554984041</v>
      </c>
      <c r="I4281" s="6" t="s">
        <v>180</v>
      </c>
      <c r="J4281" s="15">
        <v>12.43871031134531</v>
      </c>
    </row>
    <row r="4282" spans="1:10">
      <c r="A4282" s="6" t="s">
        <v>144</v>
      </c>
      <c r="B4282" s="6" t="s">
        <v>86</v>
      </c>
      <c r="C4282" s="6" t="s">
        <v>368</v>
      </c>
      <c r="D4282" s="6">
        <v>0.6507500000000001</v>
      </c>
      <c r="E4282" s="6" t="s">
        <v>86</v>
      </c>
      <c r="F4282" s="6" t="s">
        <v>55</v>
      </c>
      <c r="G4282" s="7">
        <v>60407.98176689334</v>
      </c>
      <c r="H4282" s="6">
        <v>39310.49413480584</v>
      </c>
      <c r="I4282" s="6" t="s">
        <v>180</v>
      </c>
      <c r="J4282" s="15">
        <v>11.3930442328316</v>
      </c>
    </row>
    <row r="4283" spans="1:10">
      <c r="A4283" s="6" t="s">
        <v>144</v>
      </c>
      <c r="B4283" s="6" t="s">
        <v>86</v>
      </c>
      <c r="C4283" s="6" t="s">
        <v>240</v>
      </c>
      <c r="D4283" s="6">
        <v>4.693</v>
      </c>
      <c r="E4283" s="6" t="s">
        <v>86</v>
      </c>
      <c r="F4283" s="6" t="s">
        <v>51</v>
      </c>
      <c r="G4283" s="7">
        <v>53422.25984326284</v>
      </c>
      <c r="H4283" s="6">
        <v>250710.6654444325</v>
      </c>
      <c r="I4283" s="6" t="s">
        <v>180</v>
      </c>
      <c r="J4283" s="15">
        <v>9.293735407865949</v>
      </c>
    </row>
    <row r="4284" spans="1:10">
      <c r="A4284" s="6" t="s">
        <v>144</v>
      </c>
      <c r="B4284" s="6" t="s">
        <v>86</v>
      </c>
      <c r="C4284" s="6" t="s">
        <v>241</v>
      </c>
      <c r="D4284" s="6">
        <v>40.09008333333334</v>
      </c>
      <c r="E4284" s="6" t="s">
        <v>86</v>
      </c>
      <c r="F4284" s="6" t="s">
        <v>53</v>
      </c>
      <c r="G4284" s="7">
        <v>43071.21343853512</v>
      </c>
      <c r="H4284" s="6">
        <v>1726728.53601866</v>
      </c>
      <c r="I4284" s="6" t="s">
        <v>179</v>
      </c>
      <c r="J4284" s="15">
        <v>8.983333333333333</v>
      </c>
    </row>
    <row r="4285" spans="1:10">
      <c r="A4285" s="6" t="s">
        <v>144</v>
      </c>
      <c r="B4285" s="6" t="s">
        <v>86</v>
      </c>
      <c r="C4285" s="6" t="s">
        <v>242</v>
      </c>
      <c r="D4285" s="6">
        <v>206.3644166666667</v>
      </c>
      <c r="E4285" s="6" t="s">
        <v>86</v>
      </c>
      <c r="F4285" s="6" t="s">
        <v>56</v>
      </c>
      <c r="G4285" s="7">
        <v>57221.26624687723</v>
      </c>
      <c r="H4285" s="6">
        <v>11808433.22996484</v>
      </c>
      <c r="I4285" s="6" t="s">
        <v>179</v>
      </c>
      <c r="J4285" s="15">
        <v>35.83333333333333</v>
      </c>
    </row>
    <row r="4286" spans="1:10">
      <c r="A4286" s="6" t="s">
        <v>144</v>
      </c>
      <c r="B4286" s="6" t="s">
        <v>86</v>
      </c>
      <c r="C4286" s="6" t="s">
        <v>243</v>
      </c>
      <c r="D4286" s="6">
        <v>0.181</v>
      </c>
      <c r="E4286" s="6" t="s">
        <v>86</v>
      </c>
      <c r="F4286" s="6" t="s">
        <v>58</v>
      </c>
      <c r="G4286" s="7">
        <v>65690.85748623914</v>
      </c>
      <c r="H4286" s="6">
        <v>11890.04520500928</v>
      </c>
      <c r="I4286" s="6" t="s">
        <v>180</v>
      </c>
      <c r="J4286" s="15">
        <v>12.98062354676108</v>
      </c>
    </row>
    <row r="4287" spans="1:10">
      <c r="A4287" s="6" t="s">
        <v>144</v>
      </c>
      <c r="B4287" s="6" t="s">
        <v>86</v>
      </c>
      <c r="C4287" s="6" t="s">
        <v>369</v>
      </c>
      <c r="D4287" s="6">
        <v>1.146</v>
      </c>
      <c r="E4287" s="6" t="s">
        <v>86</v>
      </c>
      <c r="F4287" s="6" t="s">
        <v>55</v>
      </c>
      <c r="G4287" s="7">
        <v>60294.88113470585</v>
      </c>
      <c r="H4287" s="6">
        <v>69097.93378037291</v>
      </c>
      <c r="I4287" s="6" t="s">
        <v>180</v>
      </c>
      <c r="J4287" s="15">
        <v>11.35905588375959</v>
      </c>
    </row>
    <row r="4288" spans="1:10">
      <c r="A4288" s="6" t="s">
        <v>144</v>
      </c>
      <c r="B4288" s="6" t="s">
        <v>86</v>
      </c>
      <c r="C4288" s="6" t="s">
        <v>244</v>
      </c>
      <c r="D4288" s="6">
        <v>9.708083333333333</v>
      </c>
      <c r="E4288" s="6" t="s">
        <v>86</v>
      </c>
      <c r="F4288" s="6" t="s">
        <v>55</v>
      </c>
      <c r="G4288" s="7">
        <v>58783.58446736775</v>
      </c>
      <c r="H4288" s="6">
        <v>570675.936641245</v>
      </c>
      <c r="I4288" s="6" t="s">
        <v>180</v>
      </c>
      <c r="J4288" s="15">
        <v>10.90488973377989</v>
      </c>
    </row>
    <row r="4289" spans="1:10">
      <c r="A4289" s="6" t="s">
        <v>144</v>
      </c>
      <c r="B4289" s="6" t="s">
        <v>86</v>
      </c>
      <c r="C4289" s="6" t="s">
        <v>245</v>
      </c>
      <c r="D4289" s="6">
        <v>85.00916666666667</v>
      </c>
      <c r="E4289" s="6" t="s">
        <v>86</v>
      </c>
      <c r="F4289" s="6" t="s">
        <v>53</v>
      </c>
      <c r="G4289" s="7">
        <v>25664.32175307323</v>
      </c>
      <c r="H4289" s="6">
        <v>2181702.605293961</v>
      </c>
      <c r="I4289" s="6" t="s">
        <v>179</v>
      </c>
      <c r="J4289" s="15">
        <v>6.05</v>
      </c>
    </row>
    <row r="4290" spans="1:10">
      <c r="A4290" s="6" t="s">
        <v>144</v>
      </c>
      <c r="B4290" s="6" t="s">
        <v>86</v>
      </c>
      <c r="C4290" s="6" t="s">
        <v>246</v>
      </c>
      <c r="D4290" s="6">
        <v>0.05316666666666667</v>
      </c>
      <c r="E4290" s="6" t="s">
        <v>86</v>
      </c>
      <c r="F4290" s="6" t="s">
        <v>53</v>
      </c>
      <c r="G4290" s="7">
        <v>34748.35236673716</v>
      </c>
      <c r="H4290" s="6">
        <v>1847.454067498192</v>
      </c>
      <c r="I4290" s="6" t="s">
        <v>180</v>
      </c>
      <c r="J4290" s="15">
        <v>3.681960534684491</v>
      </c>
    </row>
    <row r="4291" spans="1:10">
      <c r="A4291" s="6" t="s">
        <v>144</v>
      </c>
      <c r="B4291" s="6" t="s">
        <v>86</v>
      </c>
      <c r="C4291" s="6" t="s">
        <v>348</v>
      </c>
      <c r="D4291" s="6">
        <v>149.8928333333333</v>
      </c>
      <c r="E4291" s="6" t="s">
        <v>86</v>
      </c>
      <c r="F4291" s="6" t="s">
        <v>52</v>
      </c>
      <c r="G4291" s="7">
        <v>86810.6381175656</v>
      </c>
      <c r="H4291" s="6">
        <v>13012292.51091657</v>
      </c>
      <c r="I4291" s="6" t="s">
        <v>179</v>
      </c>
      <c r="J4291" s="15">
        <v>67</v>
      </c>
    </row>
    <row r="4292" spans="1:10">
      <c r="A4292" s="6" t="s">
        <v>144</v>
      </c>
      <c r="B4292" s="6" t="s">
        <v>90</v>
      </c>
      <c r="C4292" s="6" t="s">
        <v>349</v>
      </c>
      <c r="D4292" s="6">
        <v>4.857916666666667</v>
      </c>
      <c r="E4292" s="6" t="s">
        <v>86</v>
      </c>
      <c r="F4292" s="6" t="s">
        <v>52</v>
      </c>
      <c r="G4292" s="7">
        <v>59918.03179942394</v>
      </c>
      <c r="H4292" s="6">
        <v>291076.8053122849</v>
      </c>
      <c r="I4292" s="6" t="s">
        <v>180</v>
      </c>
      <c r="J4292" s="15">
        <v>12.43871031134531</v>
      </c>
    </row>
    <row r="4293" spans="1:10">
      <c r="A4293" s="6" t="s">
        <v>144</v>
      </c>
      <c r="B4293" s="6" t="s">
        <v>90</v>
      </c>
      <c r="C4293" s="6" t="s">
        <v>350</v>
      </c>
      <c r="D4293" s="6">
        <v>34.47208333333333</v>
      </c>
      <c r="E4293" s="6" t="s">
        <v>86</v>
      </c>
      <c r="F4293" s="6" t="s">
        <v>52</v>
      </c>
      <c r="G4293" s="7">
        <v>59918.03179942394</v>
      </c>
      <c r="H4293" s="6">
        <v>2065499.385359058</v>
      </c>
      <c r="I4293" s="6" t="s">
        <v>180</v>
      </c>
      <c r="J4293" s="15">
        <v>12.43871031134531</v>
      </c>
    </row>
    <row r="4294" spans="1:10">
      <c r="A4294" s="6" t="s">
        <v>144</v>
      </c>
      <c r="B4294" s="6" t="s">
        <v>86</v>
      </c>
      <c r="C4294" s="6" t="s">
        <v>247</v>
      </c>
      <c r="D4294" s="6">
        <v>262.3814166666667</v>
      </c>
      <c r="E4294" s="6" t="s">
        <v>86</v>
      </c>
      <c r="F4294" s="6" t="s">
        <v>51</v>
      </c>
      <c r="G4294" s="7">
        <v>47796.79242260937</v>
      </c>
      <c r="H4294" s="6">
        <v>12540990.10796685</v>
      </c>
      <c r="I4294" s="6" t="s">
        <v>179</v>
      </c>
      <c r="J4294" s="15">
        <v>27.70833333333334</v>
      </c>
    </row>
    <row r="4295" spans="1:10">
      <c r="A4295" s="6" t="s">
        <v>144</v>
      </c>
      <c r="B4295" s="6" t="s">
        <v>86</v>
      </c>
      <c r="C4295" s="6" t="s">
        <v>248</v>
      </c>
      <c r="D4295" s="6">
        <v>22.72116666666667</v>
      </c>
      <c r="E4295" s="6" t="s">
        <v>86</v>
      </c>
      <c r="F4295" s="6" t="s">
        <v>55</v>
      </c>
      <c r="G4295" s="7">
        <v>106714.629788976</v>
      </c>
      <c r="H4295" s="6">
        <v>2424680.889206957</v>
      </c>
      <c r="I4295" s="6" t="s">
        <v>179</v>
      </c>
      <c r="J4295" s="15">
        <v>59</v>
      </c>
    </row>
    <row r="4296" spans="1:10">
      <c r="A4296" s="6" t="s">
        <v>144</v>
      </c>
      <c r="B4296" s="6" t="s">
        <v>86</v>
      </c>
      <c r="C4296" s="6" t="s">
        <v>249</v>
      </c>
      <c r="D4296" s="6">
        <v>244.6179166666666</v>
      </c>
      <c r="E4296" s="6" t="s">
        <v>86</v>
      </c>
      <c r="F4296" s="6" t="s">
        <v>53</v>
      </c>
      <c r="G4296" s="7">
        <v>26147.16905457934</v>
      </c>
      <c r="H4296" s="6">
        <v>6396066.020862333</v>
      </c>
      <c r="I4296" s="6" t="s">
        <v>179</v>
      </c>
      <c r="J4296" s="15">
        <v>8</v>
      </c>
    </row>
    <row r="4297" spans="1:10">
      <c r="A4297" s="6" t="s">
        <v>144</v>
      </c>
      <c r="B4297" s="6" t="s">
        <v>86</v>
      </c>
      <c r="C4297" s="6" t="s">
        <v>351</v>
      </c>
      <c r="D4297" s="6">
        <v>3.166666666666667</v>
      </c>
      <c r="E4297" s="6" t="s">
        <v>86</v>
      </c>
      <c r="F4297" s="6" t="s">
        <v>53</v>
      </c>
      <c r="G4297" s="7">
        <v>56922.31407124049</v>
      </c>
      <c r="H4297" s="6">
        <v>180253.9945589282</v>
      </c>
      <c r="I4297" s="6" t="s">
        <v>179</v>
      </c>
      <c r="J4297" s="15">
        <v>9</v>
      </c>
    </row>
    <row r="4298" spans="1:10">
      <c r="A4298" s="6" t="s">
        <v>144</v>
      </c>
      <c r="B4298" s="6" t="s">
        <v>90</v>
      </c>
      <c r="C4298" s="6" t="s">
        <v>352</v>
      </c>
      <c r="D4298" s="6">
        <v>45.72716666666666</v>
      </c>
      <c r="E4298" s="6" t="s">
        <v>86</v>
      </c>
      <c r="F4298" s="6" t="s">
        <v>52</v>
      </c>
      <c r="G4298" s="7">
        <v>59918.03179942394</v>
      </c>
      <c r="H4298" s="6">
        <v>2739881.826430891</v>
      </c>
      <c r="I4298" s="6" t="s">
        <v>180</v>
      </c>
      <c r="J4298" s="15">
        <v>12.43871031134531</v>
      </c>
    </row>
    <row r="4299" spans="1:10">
      <c r="A4299" s="6" t="s">
        <v>144</v>
      </c>
      <c r="B4299" s="6" t="s">
        <v>86</v>
      </c>
      <c r="C4299" s="6" t="s">
        <v>250</v>
      </c>
      <c r="D4299" s="6">
        <v>8.253916666666667</v>
      </c>
      <c r="E4299" s="6" t="s">
        <v>86</v>
      </c>
      <c r="F4299" s="6" t="s">
        <v>55</v>
      </c>
      <c r="G4299" s="7">
        <v>66086.58612630059</v>
      </c>
      <c r="H4299" s="6">
        <v>545473.1746709746</v>
      </c>
      <c r="I4299" s="6" t="s">
        <v>180</v>
      </c>
      <c r="J4299" s="15">
        <v>13.09954563319033</v>
      </c>
    </row>
    <row r="4300" spans="1:10">
      <c r="A4300" s="6" t="s">
        <v>144</v>
      </c>
      <c r="B4300" s="6" t="s">
        <v>86</v>
      </c>
      <c r="C4300" s="6" t="s">
        <v>251</v>
      </c>
      <c r="D4300" s="6">
        <v>1.854583333333333</v>
      </c>
      <c r="E4300" s="6" t="s">
        <v>86</v>
      </c>
      <c r="F4300" s="6" t="s">
        <v>53</v>
      </c>
      <c r="G4300" s="7">
        <v>37508.53710293493</v>
      </c>
      <c r="H4300" s="6">
        <v>69562.70776881807</v>
      </c>
      <c r="I4300" s="6" t="s">
        <v>179</v>
      </c>
      <c r="J4300" s="15">
        <v>5.316666666666666</v>
      </c>
    </row>
    <row r="4301" spans="1:10">
      <c r="A4301" s="6" t="s">
        <v>144</v>
      </c>
      <c r="B4301" s="6" t="s">
        <v>86</v>
      </c>
      <c r="C4301" s="6" t="s">
        <v>252</v>
      </c>
      <c r="D4301" s="6">
        <v>35.59050000000001</v>
      </c>
      <c r="E4301" s="6" t="s">
        <v>86</v>
      </c>
      <c r="F4301" s="6" t="s">
        <v>57</v>
      </c>
      <c r="G4301" s="7">
        <v>46102.94284291674</v>
      </c>
      <c r="H4301" s="6">
        <v>1640826.787250828</v>
      </c>
      <c r="I4301" s="6" t="s">
        <v>179</v>
      </c>
      <c r="J4301" s="15">
        <v>35.93333333333333</v>
      </c>
    </row>
    <row r="4302" spans="1:10">
      <c r="A4302" s="6" t="s">
        <v>144</v>
      </c>
      <c r="B4302" s="6" t="s">
        <v>86</v>
      </c>
      <c r="C4302" s="6" t="s">
        <v>253</v>
      </c>
      <c r="D4302" s="6">
        <v>35.02825</v>
      </c>
      <c r="E4302" s="6" t="s">
        <v>86</v>
      </c>
      <c r="F4302" s="6" t="s">
        <v>53</v>
      </c>
      <c r="G4302" s="7">
        <v>38500.53307646881</v>
      </c>
      <c r="H4302" s="6">
        <v>1348606.297735819</v>
      </c>
      <c r="I4302" s="6" t="s">
        <v>179</v>
      </c>
      <c r="J4302" s="15">
        <v>7.241666666666667</v>
      </c>
    </row>
    <row r="4303" spans="1:10">
      <c r="A4303" s="6" t="s">
        <v>144</v>
      </c>
      <c r="B4303" s="6" t="s">
        <v>86</v>
      </c>
      <c r="C4303" s="6" t="s">
        <v>353</v>
      </c>
      <c r="D4303" s="6">
        <v>2.026833333333333</v>
      </c>
      <c r="E4303" s="6" t="s">
        <v>86</v>
      </c>
      <c r="F4303" s="6" t="s">
        <v>62</v>
      </c>
      <c r="G4303" s="7">
        <v>81005.34654028571</v>
      </c>
      <c r="H4303" s="6">
        <v>164184.3365460691</v>
      </c>
      <c r="I4303" s="6" t="s">
        <v>179</v>
      </c>
      <c r="J4303" s="15">
        <v>102.3</v>
      </c>
    </row>
    <row r="4304" spans="1:10">
      <c r="A4304" s="6" t="s">
        <v>144</v>
      </c>
      <c r="B4304" s="6" t="s">
        <v>86</v>
      </c>
      <c r="C4304" s="6" t="s">
        <v>254</v>
      </c>
      <c r="D4304" s="6">
        <v>1.061833333333333</v>
      </c>
      <c r="E4304" s="6" t="s">
        <v>86</v>
      </c>
      <c r="F4304" s="6" t="s">
        <v>51</v>
      </c>
      <c r="G4304" s="7">
        <v>51614.23657191667</v>
      </c>
      <c r="H4304" s="6">
        <v>54805.71686661352</v>
      </c>
      <c r="I4304" s="6" t="s">
        <v>180</v>
      </c>
      <c r="J4304" s="15">
        <v>8.750398691807874</v>
      </c>
    </row>
    <row r="4305" spans="1:10">
      <c r="A4305" s="6" t="s">
        <v>144</v>
      </c>
      <c r="B4305" s="6" t="s">
        <v>101</v>
      </c>
      <c r="C4305" s="6" t="s">
        <v>255</v>
      </c>
      <c r="D4305" s="6">
        <v>8.641916666666667</v>
      </c>
      <c r="E4305" s="6" t="s">
        <v>86</v>
      </c>
      <c r="F4305" s="6" t="s">
        <v>51</v>
      </c>
      <c r="G4305" s="7">
        <v>32463.72189421727</v>
      </c>
      <c r="H4305" s="6">
        <v>280548.7792996677</v>
      </c>
      <c r="I4305" s="6" t="s">
        <v>380</v>
      </c>
      <c r="J4305" s="15">
        <v>13.43426719911246</v>
      </c>
    </row>
    <row r="4306" spans="1:10">
      <c r="A4306" s="6" t="s">
        <v>144</v>
      </c>
      <c r="B4306" s="6" t="s">
        <v>86</v>
      </c>
      <c r="C4306" s="6" t="s">
        <v>256</v>
      </c>
      <c r="D4306" s="6">
        <v>0.2656666666666666</v>
      </c>
      <c r="E4306" s="6" t="s">
        <v>86</v>
      </c>
      <c r="F4306" s="6" t="s">
        <v>57</v>
      </c>
      <c r="G4306" s="7">
        <v>51479.56712363959</v>
      </c>
      <c r="H4306" s="6">
        <v>13676.40499918025</v>
      </c>
      <c r="I4306" s="6" t="s">
        <v>180</v>
      </c>
      <c r="J4306" s="15">
        <v>8.709928606638151</v>
      </c>
    </row>
    <row r="4307" spans="1:10">
      <c r="A4307" s="6" t="s">
        <v>144</v>
      </c>
      <c r="B4307" s="6" t="s">
        <v>86</v>
      </c>
      <c r="C4307" s="6" t="s">
        <v>257</v>
      </c>
      <c r="D4307" s="6">
        <v>32.68791666666667</v>
      </c>
      <c r="E4307" s="6" t="s">
        <v>86</v>
      </c>
      <c r="F4307" s="6" t="s">
        <v>52</v>
      </c>
      <c r="G4307" s="7">
        <v>92031.68978853835</v>
      </c>
      <c r="H4307" s="6">
        <v>3008324.206500259</v>
      </c>
      <c r="I4307" s="6" t="s">
        <v>179</v>
      </c>
      <c r="J4307" s="15">
        <v>47</v>
      </c>
    </row>
    <row r="4308" spans="1:10">
      <c r="A4308" s="6" t="s">
        <v>144</v>
      </c>
      <c r="B4308" s="6" t="s">
        <v>86</v>
      </c>
      <c r="C4308" s="6" t="s">
        <v>258</v>
      </c>
      <c r="D4308" s="6">
        <v>14.84858333333333</v>
      </c>
      <c r="E4308" s="6" t="s">
        <v>86</v>
      </c>
      <c r="F4308" s="6" t="s">
        <v>52</v>
      </c>
      <c r="G4308" s="7">
        <v>85328.84139394178</v>
      </c>
      <c r="H4308" s="6">
        <v>1267012.412174727</v>
      </c>
      <c r="I4308" s="6" t="s">
        <v>179</v>
      </c>
      <c r="J4308" s="15">
        <v>40.5</v>
      </c>
    </row>
    <row r="4309" spans="1:10">
      <c r="A4309" s="6" t="s">
        <v>144</v>
      </c>
      <c r="B4309" s="6" t="s">
        <v>86</v>
      </c>
      <c r="C4309" s="6" t="s">
        <v>259</v>
      </c>
      <c r="D4309" s="6">
        <v>89.57241666666667</v>
      </c>
      <c r="E4309" s="6" t="s">
        <v>86</v>
      </c>
      <c r="F4309" s="6" t="s">
        <v>56</v>
      </c>
      <c r="G4309" s="7">
        <v>59850.06651982686</v>
      </c>
      <c r="H4309" s="6">
        <v>5360915.095841648</v>
      </c>
      <c r="I4309" s="6" t="s">
        <v>179</v>
      </c>
      <c r="J4309" s="15">
        <v>61.94166666666666</v>
      </c>
    </row>
    <row r="4310" spans="1:10">
      <c r="A4310" s="6" t="s">
        <v>144</v>
      </c>
      <c r="B4310" s="6" t="s">
        <v>86</v>
      </c>
      <c r="C4310" s="6" t="s">
        <v>260</v>
      </c>
      <c r="D4310" s="6">
        <v>4943.98825</v>
      </c>
      <c r="E4310" s="6" t="s">
        <v>86</v>
      </c>
      <c r="F4310" s="6" t="s">
        <v>52</v>
      </c>
      <c r="G4310" s="7">
        <v>56913.67510083943</v>
      </c>
      <c r="H4310" s="6">
        <v>281380540.9628677</v>
      </c>
      <c r="I4310" s="6" t="s">
        <v>179</v>
      </c>
      <c r="J4310" s="15">
        <v>53.18333333333334</v>
      </c>
    </row>
    <row r="4311" spans="1:10">
      <c r="A4311" s="6" t="s">
        <v>144</v>
      </c>
      <c r="B4311" s="6" t="s">
        <v>86</v>
      </c>
      <c r="C4311" s="6" t="s">
        <v>261</v>
      </c>
      <c r="D4311" s="6">
        <v>0.3904166666666666</v>
      </c>
      <c r="E4311" s="6" t="s">
        <v>86</v>
      </c>
      <c r="F4311" s="6" t="s">
        <v>54</v>
      </c>
      <c r="G4311" s="7">
        <v>65516.52158123471</v>
      </c>
      <c r="H4311" s="6">
        <v>25578.74196734038</v>
      </c>
      <c r="I4311" s="6" t="s">
        <v>180</v>
      </c>
      <c r="J4311" s="15">
        <v>12.92823312700416</v>
      </c>
    </row>
    <row r="4312" spans="1:10">
      <c r="A4312" s="6" t="s">
        <v>144</v>
      </c>
      <c r="B4312" s="6" t="s">
        <v>86</v>
      </c>
      <c r="C4312" s="6" t="s">
        <v>262</v>
      </c>
      <c r="D4312" s="6">
        <v>70.566</v>
      </c>
      <c r="E4312" s="6" t="s">
        <v>86</v>
      </c>
      <c r="F4312" s="6" t="s">
        <v>51</v>
      </c>
      <c r="G4312" s="7">
        <v>49180.16248136549</v>
      </c>
      <c r="H4312" s="6">
        <v>3470447.345660037</v>
      </c>
      <c r="I4312" s="6" t="s">
        <v>179</v>
      </c>
      <c r="J4312" s="15">
        <v>85</v>
      </c>
    </row>
    <row r="4313" spans="1:10">
      <c r="A4313" s="6" t="s">
        <v>144</v>
      </c>
      <c r="B4313" s="6" t="s">
        <v>90</v>
      </c>
      <c r="C4313" s="6" t="s">
        <v>263</v>
      </c>
      <c r="D4313" s="6">
        <v>62.574</v>
      </c>
      <c r="E4313" s="6" t="s">
        <v>86</v>
      </c>
      <c r="F4313" s="6" t="s">
        <v>54</v>
      </c>
      <c r="G4313" s="7">
        <v>65896.61824279206</v>
      </c>
      <c r="H4313" s="6">
        <v>4123414.98992447</v>
      </c>
      <c r="I4313" s="6" t="s">
        <v>179</v>
      </c>
      <c r="J4313" s="15">
        <v>46.91666666666666</v>
      </c>
    </row>
    <row r="4314" spans="1:10">
      <c r="A4314" s="6" t="s">
        <v>144</v>
      </c>
      <c r="B4314" s="6" t="s">
        <v>86</v>
      </c>
      <c r="C4314" s="6" t="s">
        <v>264</v>
      </c>
      <c r="D4314" s="6">
        <v>26.537</v>
      </c>
      <c r="E4314" s="6" t="s">
        <v>86</v>
      </c>
      <c r="F4314" s="6" t="s">
        <v>54</v>
      </c>
      <c r="G4314" s="7">
        <v>105927.7948608726</v>
      </c>
      <c r="H4314" s="6">
        <v>2811005.892222977</v>
      </c>
      <c r="I4314" s="6" t="s">
        <v>179</v>
      </c>
      <c r="J4314" s="15">
        <v>64.26666666666667</v>
      </c>
    </row>
    <row r="4315" spans="1:10">
      <c r="A4315" s="6" t="s">
        <v>144</v>
      </c>
      <c r="B4315" s="6" t="s">
        <v>86</v>
      </c>
      <c r="C4315" s="6" t="s">
        <v>265</v>
      </c>
      <c r="D4315" s="6">
        <v>98.98241666666667</v>
      </c>
      <c r="E4315" s="6" t="s">
        <v>86</v>
      </c>
      <c r="F4315" s="6" t="s">
        <v>54</v>
      </c>
      <c r="G4315" s="7">
        <v>88690.92662794892</v>
      </c>
      <c r="H4315" s="6">
        <v>8778842.254040401</v>
      </c>
      <c r="I4315" s="6" t="s">
        <v>179</v>
      </c>
      <c r="J4315" s="15">
        <v>70.31666666666666</v>
      </c>
    </row>
    <row r="4316" spans="1:10">
      <c r="A4316" s="6" t="s">
        <v>144</v>
      </c>
      <c r="B4316" s="6" t="s">
        <v>86</v>
      </c>
      <c r="C4316" s="6" t="s">
        <v>266</v>
      </c>
      <c r="D4316" s="6">
        <v>22.86258333333333</v>
      </c>
      <c r="E4316" s="6" t="s">
        <v>86</v>
      </c>
      <c r="F4316" s="6" t="s">
        <v>57</v>
      </c>
      <c r="G4316" s="7">
        <v>56598.40474601523</v>
      </c>
      <c r="H4316" s="6">
        <v>1293985.745039502</v>
      </c>
      <c r="I4316" s="6" t="s">
        <v>179</v>
      </c>
      <c r="J4316" s="15">
        <v>41.60833333333333</v>
      </c>
    </row>
    <row r="4317" spans="1:10">
      <c r="A4317" s="6" t="s">
        <v>144</v>
      </c>
      <c r="B4317" s="6" t="s">
        <v>86</v>
      </c>
      <c r="C4317" s="6" t="s">
        <v>354</v>
      </c>
      <c r="D4317" s="6">
        <v>0.07541666666666666</v>
      </c>
      <c r="E4317" s="6" t="s">
        <v>86</v>
      </c>
      <c r="F4317" s="6" t="s">
        <v>51</v>
      </c>
      <c r="G4317" s="7">
        <v>44088.02354954973</v>
      </c>
      <c r="H4317" s="6">
        <v>3324.971776028542</v>
      </c>
      <c r="I4317" s="6" t="s">
        <v>180</v>
      </c>
      <c r="J4317" s="15">
        <v>6.488664602023904</v>
      </c>
    </row>
    <row r="4318" spans="1:10">
      <c r="A4318" s="6" t="s">
        <v>144</v>
      </c>
      <c r="B4318" s="6" t="s">
        <v>90</v>
      </c>
      <c r="C4318" s="6" t="s">
        <v>355</v>
      </c>
      <c r="D4318" s="6">
        <v>36.95558333333333</v>
      </c>
      <c r="E4318" s="6" t="s">
        <v>86</v>
      </c>
      <c r="F4318" s="6" t="s">
        <v>52</v>
      </c>
      <c r="G4318" s="7">
        <v>59918.03179942394</v>
      </c>
      <c r="H4318" s="6">
        <v>2214305.817332928</v>
      </c>
      <c r="I4318" s="6" t="s">
        <v>180</v>
      </c>
      <c r="J4318" s="15">
        <v>12.43871031134531</v>
      </c>
    </row>
    <row r="4319" spans="1:10">
      <c r="A4319" s="6" t="s">
        <v>144</v>
      </c>
      <c r="B4319" s="6" t="s">
        <v>86</v>
      </c>
      <c r="C4319" s="6" t="s">
        <v>267</v>
      </c>
      <c r="D4319" s="6">
        <v>363.3276666666667</v>
      </c>
      <c r="E4319" s="6" t="s">
        <v>86</v>
      </c>
      <c r="F4319" s="6" t="s">
        <v>53</v>
      </c>
      <c r="G4319" s="7">
        <v>29372.68127915858</v>
      </c>
      <c r="H4319" s="6">
        <v>10671907.75290037</v>
      </c>
      <c r="I4319" s="6" t="s">
        <v>179</v>
      </c>
      <c r="J4319" s="15">
        <v>8</v>
      </c>
    </row>
    <row r="4320" spans="1:10">
      <c r="A4320" s="6" t="s">
        <v>144</v>
      </c>
      <c r="B4320" s="6" t="s">
        <v>86</v>
      </c>
      <c r="C4320" s="6" t="s">
        <v>268</v>
      </c>
      <c r="D4320" s="6">
        <v>0.7615833333333334</v>
      </c>
      <c r="E4320" s="6" t="s">
        <v>86</v>
      </c>
      <c r="F4320" s="6" t="s">
        <v>51</v>
      </c>
      <c r="G4320" s="7">
        <v>54934.22900617691</v>
      </c>
      <c r="H4320" s="6">
        <v>41836.9932406209</v>
      </c>
      <c r="I4320" s="6" t="s">
        <v>180</v>
      </c>
      <c r="J4320" s="15">
        <v>9.748103652333924</v>
      </c>
    </row>
    <row r="4321" spans="1:10">
      <c r="A4321" s="6" t="s">
        <v>144</v>
      </c>
      <c r="B4321" s="6" t="s">
        <v>86</v>
      </c>
      <c r="C4321" s="6" t="s">
        <v>269</v>
      </c>
      <c r="D4321" s="6">
        <v>27.47183333333333</v>
      </c>
      <c r="E4321" s="6" t="s">
        <v>86</v>
      </c>
      <c r="F4321" s="6" t="s">
        <v>52</v>
      </c>
      <c r="G4321" s="7">
        <v>83790.30016891156</v>
      </c>
      <c r="H4321" s="6">
        <v>2301873.16119031</v>
      </c>
      <c r="I4321" s="6" t="s">
        <v>179</v>
      </c>
      <c r="J4321" s="15">
        <v>44.5</v>
      </c>
    </row>
    <row r="4322" spans="1:10">
      <c r="A4322" s="6" t="s">
        <v>144</v>
      </c>
      <c r="B4322" s="6" t="s">
        <v>86</v>
      </c>
      <c r="C4322" s="6" t="s">
        <v>356</v>
      </c>
      <c r="D4322" s="6">
        <v>28.51858333333334</v>
      </c>
      <c r="E4322" s="6" t="s">
        <v>86</v>
      </c>
      <c r="F4322" s="6" t="s">
        <v>52</v>
      </c>
      <c r="G4322" s="7">
        <v>55062.04930703079</v>
      </c>
      <c r="H4322" s="6">
        <v>1570291.641666667</v>
      </c>
      <c r="I4322" s="6" t="s">
        <v>179</v>
      </c>
      <c r="J4322" s="15">
        <v>48.93333333333333</v>
      </c>
    </row>
    <row r="4323" spans="1:10">
      <c r="A4323" s="6" t="s">
        <v>144</v>
      </c>
      <c r="B4323" s="6" t="s">
        <v>86</v>
      </c>
      <c r="C4323" s="6" t="s">
        <v>270</v>
      </c>
      <c r="D4323" s="6">
        <v>32.78608333333333</v>
      </c>
      <c r="E4323" s="6" t="s">
        <v>86</v>
      </c>
      <c r="F4323" s="6" t="s">
        <v>59</v>
      </c>
      <c r="G4323" s="7">
        <v>48832.25327446419</v>
      </c>
      <c r="H4323" s="6">
        <v>1601018.325211022</v>
      </c>
      <c r="I4323" s="6" t="s">
        <v>179</v>
      </c>
      <c r="J4323" s="15">
        <v>27.28333333333333</v>
      </c>
    </row>
    <row r="4324" spans="1:10">
      <c r="A4324" s="6" t="s">
        <v>144</v>
      </c>
      <c r="B4324" s="6" t="s">
        <v>86</v>
      </c>
      <c r="C4324" s="6" t="s">
        <v>271</v>
      </c>
      <c r="D4324" s="6">
        <v>296.2521666666667</v>
      </c>
      <c r="E4324" s="6" t="s">
        <v>86</v>
      </c>
      <c r="F4324" s="6" t="s">
        <v>54</v>
      </c>
      <c r="G4324" s="7">
        <v>81091.15446449892</v>
      </c>
      <c r="H4324" s="6">
        <v>24023430.20760915</v>
      </c>
      <c r="I4324" s="6" t="s">
        <v>179</v>
      </c>
      <c r="J4324" s="15">
        <v>47.58333333333334</v>
      </c>
    </row>
    <row r="4325" spans="1:10">
      <c r="A4325" s="6" t="s">
        <v>144</v>
      </c>
      <c r="B4325" s="6" t="s">
        <v>86</v>
      </c>
      <c r="C4325" s="6" t="s">
        <v>272</v>
      </c>
      <c r="D4325" s="6">
        <v>8.215</v>
      </c>
      <c r="E4325" s="6" t="s">
        <v>86</v>
      </c>
      <c r="F4325" s="6" t="s">
        <v>51</v>
      </c>
      <c r="G4325" s="7">
        <v>35610.26336083005</v>
      </c>
      <c r="H4325" s="6">
        <v>292538.3135092188</v>
      </c>
      <c r="I4325" s="6" t="s">
        <v>179</v>
      </c>
      <c r="J4325" s="15">
        <v>8.94980137224452</v>
      </c>
    </row>
    <row r="4326" spans="1:10">
      <c r="A4326" s="6" t="s">
        <v>144</v>
      </c>
      <c r="B4326" s="6" t="s">
        <v>86</v>
      </c>
      <c r="C4326" s="6" t="s">
        <v>273</v>
      </c>
      <c r="D4326" s="6">
        <v>182.9085833333333</v>
      </c>
      <c r="E4326" s="6" t="s">
        <v>86</v>
      </c>
      <c r="F4326" s="6" t="s">
        <v>51</v>
      </c>
      <c r="G4326" s="7">
        <v>67973.7631418879</v>
      </c>
      <c r="H4326" s="6">
        <v>12432984.72011826</v>
      </c>
      <c r="I4326" s="6" t="s">
        <v>179</v>
      </c>
      <c r="J4326" s="15">
        <v>38.09999999999999</v>
      </c>
    </row>
    <row r="4327" spans="1:10">
      <c r="A4327" s="6" t="s">
        <v>144</v>
      </c>
      <c r="B4327" s="6" t="s">
        <v>90</v>
      </c>
      <c r="C4327" s="6" t="s">
        <v>274</v>
      </c>
      <c r="D4327" s="6">
        <v>19.52583333333333</v>
      </c>
      <c r="E4327" s="6" t="s">
        <v>86</v>
      </c>
      <c r="F4327" s="6" t="s">
        <v>56</v>
      </c>
      <c r="G4327" s="7">
        <v>58346.71964656267</v>
      </c>
      <c r="H4327" s="6">
        <v>1139268.323365508</v>
      </c>
      <c r="I4327" s="6" t="s">
        <v>180</v>
      </c>
      <c r="J4327" s="15">
        <v>11.93522553370507</v>
      </c>
    </row>
    <row r="4328" spans="1:10">
      <c r="A4328" s="6" t="s">
        <v>144</v>
      </c>
      <c r="B4328" s="6" t="s">
        <v>86</v>
      </c>
      <c r="C4328" s="6" t="s">
        <v>275</v>
      </c>
      <c r="D4328" s="6">
        <v>2.776833333333333</v>
      </c>
      <c r="E4328" s="6" t="s">
        <v>86</v>
      </c>
      <c r="F4328" s="6" t="s">
        <v>51</v>
      </c>
      <c r="G4328" s="7">
        <v>56718.02460313684</v>
      </c>
      <c r="H4328" s="6">
        <v>157496.5013188105</v>
      </c>
      <c r="I4328" s="6" t="s">
        <v>180</v>
      </c>
      <c r="J4328" s="15">
        <v>10.28415960754818</v>
      </c>
    </row>
    <row r="4329" spans="1:10">
      <c r="A4329" s="6" t="s">
        <v>144</v>
      </c>
      <c r="B4329" s="6" t="s">
        <v>86</v>
      </c>
      <c r="C4329" s="6" t="s">
        <v>276</v>
      </c>
      <c r="D4329" s="6">
        <v>42.49341666666668</v>
      </c>
      <c r="E4329" s="6" t="s">
        <v>86</v>
      </c>
      <c r="F4329" s="6" t="s">
        <v>51</v>
      </c>
      <c r="G4329" s="7">
        <v>60321.29966037828</v>
      </c>
      <c r="H4329" s="6">
        <v>2563258.120343314</v>
      </c>
      <c r="I4329" s="6" t="s">
        <v>179</v>
      </c>
      <c r="J4329" s="15">
        <v>37.45</v>
      </c>
    </row>
    <row r="4330" spans="1:10">
      <c r="A4330" s="6" t="s">
        <v>144</v>
      </c>
      <c r="B4330" s="6" t="s">
        <v>86</v>
      </c>
      <c r="C4330" s="6" t="s">
        <v>277</v>
      </c>
      <c r="D4330" s="6">
        <v>0.3585</v>
      </c>
      <c r="E4330" s="6" t="s">
        <v>86</v>
      </c>
      <c r="F4330" s="6" t="s">
        <v>57</v>
      </c>
      <c r="G4330" s="7">
        <v>45163.47927531065</v>
      </c>
      <c r="H4330" s="6">
        <v>16191.10732019887</v>
      </c>
      <c r="I4330" s="6" t="s">
        <v>180</v>
      </c>
      <c r="J4330" s="15">
        <v>6.811854348285148</v>
      </c>
    </row>
    <row r="4331" spans="1:10">
      <c r="A4331" s="6" t="s">
        <v>144</v>
      </c>
      <c r="B4331" s="6" t="s">
        <v>86</v>
      </c>
      <c r="C4331" s="6" t="s">
        <v>278</v>
      </c>
      <c r="D4331" s="6">
        <v>508.8545833333334</v>
      </c>
      <c r="E4331" s="6" t="s">
        <v>86</v>
      </c>
      <c r="F4331" s="6" t="s">
        <v>55</v>
      </c>
      <c r="G4331" s="7">
        <v>53128.99840502581</v>
      </c>
      <c r="H4331" s="6">
        <v>27034934.34630674</v>
      </c>
      <c r="I4331" s="6" t="s">
        <v>179</v>
      </c>
      <c r="J4331" s="15">
        <v>40.01666666666667</v>
      </c>
    </row>
    <row r="4332" spans="1:10">
      <c r="A4332" s="6" t="s">
        <v>144</v>
      </c>
      <c r="B4332" s="6" t="s">
        <v>86</v>
      </c>
      <c r="C4332" s="6" t="s">
        <v>280</v>
      </c>
      <c r="D4332" s="6">
        <v>214.8651666666667</v>
      </c>
      <c r="E4332" s="6" t="s">
        <v>86</v>
      </c>
      <c r="F4332" s="6" t="s">
        <v>55</v>
      </c>
      <c r="G4332" s="7">
        <v>96599.03834307451</v>
      </c>
      <c r="H4332" s="6">
        <v>20755768.47342443</v>
      </c>
      <c r="I4332" s="6" t="s">
        <v>179</v>
      </c>
      <c r="J4332" s="15">
        <v>52.99166666666667</v>
      </c>
    </row>
    <row r="4333" spans="1:10">
      <c r="A4333" s="6" t="s">
        <v>144</v>
      </c>
      <c r="B4333" s="6" t="s">
        <v>86</v>
      </c>
      <c r="C4333" s="6" t="s">
        <v>281</v>
      </c>
      <c r="D4333" s="6">
        <v>424.0286666666667</v>
      </c>
      <c r="E4333" s="6" t="s">
        <v>86</v>
      </c>
      <c r="F4333" s="6" t="s">
        <v>57</v>
      </c>
      <c r="G4333" s="7">
        <v>64904.72664042063</v>
      </c>
      <c r="H4333" s="6">
        <v>27521464.69770204</v>
      </c>
      <c r="I4333" s="6" t="s">
        <v>179</v>
      </c>
      <c r="J4333" s="15">
        <v>37.11666666666667</v>
      </c>
    </row>
    <row r="4334" spans="1:10">
      <c r="A4334" s="6" t="s">
        <v>144</v>
      </c>
      <c r="B4334" s="6" t="s">
        <v>86</v>
      </c>
      <c r="C4334" s="6" t="s">
        <v>282</v>
      </c>
      <c r="D4334" s="6">
        <v>0.4995833333333333</v>
      </c>
      <c r="E4334" s="6" t="s">
        <v>86</v>
      </c>
      <c r="F4334" s="6" t="s">
        <v>56</v>
      </c>
      <c r="G4334" s="7">
        <v>58542.49321323277</v>
      </c>
      <c r="H4334" s="6">
        <v>29246.85390111087</v>
      </c>
      <c r="I4334" s="6" t="s">
        <v>180</v>
      </c>
      <c r="J4334" s="15">
        <v>10.83243838187085</v>
      </c>
    </row>
    <row r="4335" spans="1:10">
      <c r="A4335" s="6" t="s">
        <v>144</v>
      </c>
      <c r="B4335" s="6" t="s">
        <v>86</v>
      </c>
      <c r="C4335" s="6" t="s">
        <v>283</v>
      </c>
      <c r="D4335" s="6">
        <v>137.28725</v>
      </c>
      <c r="E4335" s="6" t="s">
        <v>86</v>
      </c>
      <c r="F4335" s="6" t="s">
        <v>51</v>
      </c>
      <c r="G4335" s="7">
        <v>43749.65798536066</v>
      </c>
      <c r="H4335" s="6">
        <v>6006270.233250706</v>
      </c>
      <c r="I4335" s="6" t="s">
        <v>179</v>
      </c>
      <c r="J4335" s="15">
        <v>26.78333333333333</v>
      </c>
    </row>
    <row r="4336" spans="1:10">
      <c r="A4336" s="6" t="s">
        <v>144</v>
      </c>
      <c r="B4336" s="6" t="s">
        <v>86</v>
      </c>
      <c r="C4336" s="6" t="s">
        <v>284</v>
      </c>
      <c r="D4336" s="6">
        <v>73.95475</v>
      </c>
      <c r="E4336" s="6" t="s">
        <v>86</v>
      </c>
      <c r="F4336" s="6" t="s">
        <v>55</v>
      </c>
      <c r="G4336" s="7">
        <v>63545.27884100618</v>
      </c>
      <c r="H4336" s="6">
        <v>4699475.210366902</v>
      </c>
      <c r="I4336" s="6" t="s">
        <v>179</v>
      </c>
      <c r="J4336" s="15">
        <v>52.41666666666666</v>
      </c>
    </row>
    <row r="4337" spans="1:10">
      <c r="A4337" s="6" t="s">
        <v>144</v>
      </c>
      <c r="B4337" s="6" t="s">
        <v>86</v>
      </c>
      <c r="C4337" s="6" t="s">
        <v>285</v>
      </c>
      <c r="D4337" s="6">
        <v>4.70025</v>
      </c>
      <c r="E4337" s="6" t="s">
        <v>86</v>
      </c>
      <c r="F4337" s="6" t="s">
        <v>52</v>
      </c>
      <c r="G4337" s="7">
        <v>124592.4363366081</v>
      </c>
      <c r="H4337" s="6">
        <v>585615.5988911421</v>
      </c>
      <c r="I4337" s="6" t="s">
        <v>179</v>
      </c>
      <c r="J4337" s="15">
        <v>102.5583333333333</v>
      </c>
    </row>
    <row r="4338" spans="1:10">
      <c r="A4338" s="6" t="s">
        <v>144</v>
      </c>
      <c r="B4338" s="6" t="s">
        <v>86</v>
      </c>
      <c r="C4338" s="6" t="s">
        <v>286</v>
      </c>
      <c r="D4338" s="6">
        <v>17.29508333333333</v>
      </c>
      <c r="E4338" s="6" t="s">
        <v>86</v>
      </c>
      <c r="F4338" s="6" t="s">
        <v>59</v>
      </c>
      <c r="G4338" s="7">
        <v>94264.55631912273</v>
      </c>
      <c r="H4338" s="6">
        <v>1630313.356918921</v>
      </c>
      <c r="I4338" s="6" t="s">
        <v>180</v>
      </c>
      <c r="J4338" s="15">
        <v>21.56742656834614</v>
      </c>
    </row>
    <row r="4339" spans="1:10">
      <c r="A4339" s="6" t="s">
        <v>144</v>
      </c>
      <c r="B4339" s="6" t="s">
        <v>86</v>
      </c>
      <c r="C4339" s="6" t="s">
        <v>287</v>
      </c>
      <c r="D4339" s="6">
        <v>0.5435000000000001</v>
      </c>
      <c r="E4339" s="6" t="s">
        <v>86</v>
      </c>
      <c r="F4339" s="6" t="s">
        <v>53</v>
      </c>
      <c r="G4339" s="7">
        <v>43228.14111673474</v>
      </c>
      <c r="H4339" s="6">
        <v>23494.49469694533</v>
      </c>
      <c r="I4339" s="6" t="s">
        <v>180</v>
      </c>
      <c r="J4339" s="15">
        <v>6.230257697286521</v>
      </c>
    </row>
    <row r="4340" spans="1:10">
      <c r="A4340" s="6" t="s">
        <v>144</v>
      </c>
      <c r="B4340" s="6" t="s">
        <v>86</v>
      </c>
      <c r="C4340" s="6" t="s">
        <v>376</v>
      </c>
      <c r="D4340" s="6">
        <v>0.3065</v>
      </c>
      <c r="E4340" s="6" t="s">
        <v>86</v>
      </c>
      <c r="F4340" s="6" t="s">
        <v>54</v>
      </c>
      <c r="G4340" s="7">
        <v>84102.59287945434</v>
      </c>
      <c r="H4340" s="6">
        <v>25777.44471755276</v>
      </c>
      <c r="I4340" s="6" t="s">
        <v>180</v>
      </c>
      <c r="J4340" s="15">
        <v>18.51361197894614</v>
      </c>
    </row>
    <row r="4341" spans="1:10">
      <c r="A4341" s="6" t="s">
        <v>144</v>
      </c>
      <c r="B4341" s="6" t="s">
        <v>90</v>
      </c>
      <c r="C4341" s="6" t="s">
        <v>357</v>
      </c>
      <c r="D4341" s="6">
        <v>34.72191666666667</v>
      </c>
      <c r="E4341" s="6" t="s">
        <v>86</v>
      </c>
      <c r="F4341" s="6" t="s">
        <v>52</v>
      </c>
      <c r="G4341" s="7">
        <v>59918.03179942394</v>
      </c>
      <c r="H4341" s="6">
        <v>2080468.906970281</v>
      </c>
      <c r="I4341" s="6" t="s">
        <v>180</v>
      </c>
      <c r="J4341" s="15">
        <v>27</v>
      </c>
    </row>
    <row r="4342" spans="1:10">
      <c r="A4342" s="6" t="s">
        <v>144</v>
      </c>
      <c r="B4342" s="6" t="s">
        <v>86</v>
      </c>
      <c r="C4342" s="6" t="s">
        <v>288</v>
      </c>
      <c r="D4342" s="6">
        <v>0.303</v>
      </c>
      <c r="E4342" s="6" t="s">
        <v>86</v>
      </c>
      <c r="F4342" s="6" t="s">
        <v>58</v>
      </c>
      <c r="G4342" s="7">
        <v>72708.53956010977</v>
      </c>
      <c r="H4342" s="6">
        <v>22030.68748671326</v>
      </c>
      <c r="I4342" s="6" t="s">
        <v>180</v>
      </c>
      <c r="J4342" s="15">
        <v>15.08953685157575</v>
      </c>
    </row>
    <row r="4343" spans="1:10">
      <c r="A4343" s="6" t="s">
        <v>144</v>
      </c>
      <c r="B4343" s="6" t="s">
        <v>86</v>
      </c>
      <c r="C4343" s="6" t="s">
        <v>370</v>
      </c>
      <c r="D4343" s="6">
        <v>1.158916666666667</v>
      </c>
      <c r="E4343" s="6" t="s">
        <v>86</v>
      </c>
      <c r="F4343" s="6" t="s">
        <v>55</v>
      </c>
      <c r="G4343" s="7">
        <v>65936.30235774722</v>
      </c>
      <c r="H4343" s="6">
        <v>76414.67974076587</v>
      </c>
      <c r="I4343" s="6" t="s">
        <v>180</v>
      </c>
      <c r="J4343" s="15">
        <v>13.0543832226303</v>
      </c>
    </row>
    <row r="4344" spans="1:10">
      <c r="A4344" s="6" t="s">
        <v>144</v>
      </c>
      <c r="B4344" s="6" t="s">
        <v>86</v>
      </c>
      <c r="C4344" s="6" t="s">
        <v>358</v>
      </c>
      <c r="D4344" s="6">
        <v>17.17558333333333</v>
      </c>
      <c r="E4344" s="6" t="s">
        <v>86</v>
      </c>
      <c r="F4344" s="6" t="s">
        <v>52</v>
      </c>
      <c r="G4344" s="7">
        <v>54855.48768358183</v>
      </c>
      <c r="H4344" s="6">
        <v>942174.9999999999</v>
      </c>
      <c r="I4344" s="6" t="s">
        <v>179</v>
      </c>
      <c r="J4344" s="15">
        <v>46.81666666666667</v>
      </c>
    </row>
    <row r="4345" spans="1:10">
      <c r="A4345" s="6" t="s">
        <v>144</v>
      </c>
      <c r="B4345" s="6" t="s">
        <v>90</v>
      </c>
      <c r="C4345" s="6" t="s">
        <v>359</v>
      </c>
      <c r="D4345" s="6">
        <v>15.13183333333333</v>
      </c>
      <c r="E4345" s="6" t="s">
        <v>86</v>
      </c>
      <c r="F4345" s="6" t="s">
        <v>60</v>
      </c>
      <c r="G4345" s="7">
        <v>44402.32112778664</v>
      </c>
      <c r="H4345" s="6">
        <v>671888.5229188129</v>
      </c>
      <c r="I4345" s="6" t="s">
        <v>180</v>
      </c>
      <c r="J4345" s="15">
        <v>7.467117542069946</v>
      </c>
    </row>
    <row r="4346" spans="1:10">
      <c r="A4346" s="6" t="s">
        <v>144</v>
      </c>
      <c r="B4346" s="6" t="s">
        <v>86</v>
      </c>
      <c r="C4346" s="6" t="s">
        <v>289</v>
      </c>
      <c r="D4346" s="6">
        <v>2105.678666666667</v>
      </c>
      <c r="E4346" s="6" t="s">
        <v>86</v>
      </c>
      <c r="F4346" s="6" t="s">
        <v>52</v>
      </c>
      <c r="G4346" s="7">
        <v>59342.46197897197</v>
      </c>
      <c r="H4346" s="6">
        <v>124956156.216599</v>
      </c>
      <c r="I4346" s="6" t="s">
        <v>179</v>
      </c>
      <c r="J4346" s="15">
        <v>65</v>
      </c>
    </row>
    <row r="4347" spans="1:10">
      <c r="A4347" s="6" t="s">
        <v>144</v>
      </c>
      <c r="B4347" s="6" t="s">
        <v>86</v>
      </c>
      <c r="C4347" s="6" t="s">
        <v>290</v>
      </c>
      <c r="D4347" s="6">
        <v>0.04175</v>
      </c>
      <c r="E4347" s="6" t="s">
        <v>86</v>
      </c>
      <c r="F4347" s="6" t="s">
        <v>53</v>
      </c>
      <c r="G4347" s="7">
        <v>34427.13805641644</v>
      </c>
      <c r="H4347" s="6">
        <v>1437.333013855386</v>
      </c>
      <c r="I4347" s="6" t="s">
        <v>180</v>
      </c>
      <c r="J4347" s="15">
        <v>3.585431064468892</v>
      </c>
    </row>
    <row r="4348" spans="1:10">
      <c r="A4348" s="6" t="s">
        <v>144</v>
      </c>
      <c r="B4348" s="6" t="s">
        <v>90</v>
      </c>
      <c r="C4348" s="6" t="s">
        <v>360</v>
      </c>
      <c r="D4348" s="6">
        <v>90.59691666666667</v>
      </c>
      <c r="E4348" s="6" t="s">
        <v>86</v>
      </c>
      <c r="F4348" s="6" t="s">
        <v>52</v>
      </c>
      <c r="G4348" s="7">
        <v>59918.03179942394</v>
      </c>
      <c r="H4348" s="6">
        <v>5428388.933763094</v>
      </c>
      <c r="I4348" s="6" t="s">
        <v>180</v>
      </c>
      <c r="J4348" s="15">
        <v>12.43871031134531</v>
      </c>
    </row>
    <row r="4349" spans="1:10">
      <c r="A4349" s="6" t="s">
        <v>144</v>
      </c>
      <c r="B4349" s="6" t="s">
        <v>86</v>
      </c>
      <c r="C4349" s="6" t="s">
        <v>291</v>
      </c>
      <c r="D4349" s="6">
        <v>0.01175</v>
      </c>
      <c r="E4349" s="6" t="s">
        <v>86</v>
      </c>
      <c r="F4349" s="6" t="s">
        <v>51</v>
      </c>
      <c r="G4349" s="7">
        <v>53740.19196942599</v>
      </c>
      <c r="H4349" s="6">
        <v>631.4472556407554</v>
      </c>
      <c r="I4349" s="6" t="s">
        <v>180</v>
      </c>
      <c r="J4349" s="15">
        <v>9.389278535046072</v>
      </c>
    </row>
    <row r="4350" spans="1:10">
      <c r="A4350" s="6" t="s">
        <v>144</v>
      </c>
      <c r="B4350" s="6" t="s">
        <v>86</v>
      </c>
      <c r="C4350" s="6" t="s">
        <v>292</v>
      </c>
      <c r="D4350" s="6">
        <v>35.8505</v>
      </c>
      <c r="E4350" s="6" t="s">
        <v>86</v>
      </c>
      <c r="F4350" s="6" t="s">
        <v>54</v>
      </c>
      <c r="G4350" s="7">
        <v>107403.6498671448</v>
      </c>
      <c r="H4350" s="6">
        <v>3850474.549562074</v>
      </c>
      <c r="I4350" s="6" t="s">
        <v>179</v>
      </c>
      <c r="J4350" s="15">
        <v>64.08333333333333</v>
      </c>
    </row>
    <row r="4351" spans="1:10">
      <c r="A4351" s="6" t="s">
        <v>144</v>
      </c>
      <c r="B4351" s="6" t="s">
        <v>86</v>
      </c>
      <c r="C4351" s="6" t="s">
        <v>293</v>
      </c>
      <c r="D4351" s="6">
        <v>257.194</v>
      </c>
      <c r="E4351" s="6" t="s">
        <v>86</v>
      </c>
      <c r="F4351" s="6" t="s">
        <v>53</v>
      </c>
      <c r="G4351" s="7">
        <v>41597.32934492987</v>
      </c>
      <c r="H4351" s="6">
        <v>10698583.52353989</v>
      </c>
      <c r="I4351" s="6" t="s">
        <v>179</v>
      </c>
      <c r="J4351" s="15">
        <v>8</v>
      </c>
    </row>
    <row r="4352" spans="1:10">
      <c r="A4352" s="6" t="s">
        <v>144</v>
      </c>
      <c r="B4352" s="6" t="s">
        <v>86</v>
      </c>
      <c r="C4352" s="6" t="s">
        <v>371</v>
      </c>
      <c r="D4352" s="6">
        <v>1.415166666666666</v>
      </c>
      <c r="E4352" s="6" t="s">
        <v>86</v>
      </c>
      <c r="F4352" s="6" t="s">
        <v>55</v>
      </c>
      <c r="G4352" s="7">
        <v>53143.73619775795</v>
      </c>
      <c r="H4352" s="6">
        <v>75207.24400919378</v>
      </c>
      <c r="I4352" s="6" t="s">
        <v>180</v>
      </c>
      <c r="J4352" s="15">
        <v>9.210035089794005</v>
      </c>
    </row>
    <row r="4353" spans="1:10">
      <c r="A4353" s="6" t="s">
        <v>144</v>
      </c>
      <c r="B4353" s="6" t="s">
        <v>86</v>
      </c>
      <c r="C4353" s="6" t="s">
        <v>294</v>
      </c>
      <c r="D4353" s="6">
        <v>0.2745</v>
      </c>
      <c r="E4353" s="6" t="s">
        <v>86</v>
      </c>
      <c r="F4353" s="6" t="s">
        <v>54</v>
      </c>
      <c r="G4353" s="7">
        <v>80294.88770816996</v>
      </c>
      <c r="H4353" s="6">
        <v>22040.94667589266</v>
      </c>
      <c r="I4353" s="6" t="s">
        <v>180</v>
      </c>
      <c r="J4353" s="15">
        <v>17.36934240218201</v>
      </c>
    </row>
    <row r="4354" spans="1:10">
      <c r="A4354" s="6" t="s">
        <v>144</v>
      </c>
      <c r="B4354" s="6" t="s">
        <v>86</v>
      </c>
      <c r="C4354" s="6" t="s">
        <v>295</v>
      </c>
      <c r="D4354" s="6">
        <v>21.91508333333333</v>
      </c>
      <c r="E4354" s="6" t="s">
        <v>86</v>
      </c>
      <c r="F4354" s="6" t="s">
        <v>53</v>
      </c>
      <c r="G4354" s="7">
        <v>42004.62287217464</v>
      </c>
      <c r="H4354" s="6">
        <v>920534.8106289466</v>
      </c>
      <c r="I4354" s="6" t="s">
        <v>179</v>
      </c>
      <c r="J4354" s="15">
        <v>8</v>
      </c>
    </row>
    <row r="4355" spans="1:10">
      <c r="A4355" s="6" t="s">
        <v>144</v>
      </c>
      <c r="B4355" s="6" t="s">
        <v>90</v>
      </c>
      <c r="C4355" s="6" t="s">
        <v>296</v>
      </c>
      <c r="D4355" s="6">
        <v>47.02116666666667</v>
      </c>
      <c r="E4355" s="6" t="s">
        <v>86</v>
      </c>
      <c r="F4355" s="6" t="s">
        <v>61</v>
      </c>
      <c r="G4355" s="7">
        <v>58003.92647416519</v>
      </c>
      <c r="H4355" s="6">
        <v>2727412.294062801</v>
      </c>
      <c r="I4355" s="6" t="s">
        <v>179</v>
      </c>
      <c r="J4355" s="15">
        <v>13</v>
      </c>
    </row>
    <row r="4356" spans="1:10">
      <c r="A4356" s="6" t="s">
        <v>144</v>
      </c>
      <c r="B4356" s="6" t="s">
        <v>86</v>
      </c>
      <c r="C4356" s="6" t="s">
        <v>297</v>
      </c>
      <c r="D4356" s="6">
        <v>13.852</v>
      </c>
      <c r="E4356" s="6" t="s">
        <v>86</v>
      </c>
      <c r="F4356" s="6" t="s">
        <v>52</v>
      </c>
      <c r="G4356" s="7">
        <v>101698.6474446838</v>
      </c>
      <c r="H4356" s="6">
        <v>1408729.66440376</v>
      </c>
      <c r="I4356" s="6" t="s">
        <v>179</v>
      </c>
      <c r="J4356" s="15">
        <v>48</v>
      </c>
    </row>
    <row r="4357" spans="1:10">
      <c r="A4357" s="6" t="s">
        <v>144</v>
      </c>
      <c r="B4357" s="6" t="s">
        <v>86</v>
      </c>
      <c r="C4357" s="6" t="s">
        <v>298</v>
      </c>
      <c r="D4357" s="6">
        <v>41.02191666666666</v>
      </c>
      <c r="E4357" s="6" t="s">
        <v>86</v>
      </c>
      <c r="F4357" s="6" t="s">
        <v>56</v>
      </c>
      <c r="G4357" s="7">
        <v>56461.9741659997</v>
      </c>
      <c r="H4357" s="6">
        <v>2316178.399073126</v>
      </c>
      <c r="I4357" s="6" t="s">
        <v>180</v>
      </c>
      <c r="J4357" s="15">
        <v>10.20721280832045</v>
      </c>
    </row>
    <row r="4358" spans="1:10">
      <c r="A4358" s="6" t="s">
        <v>144</v>
      </c>
      <c r="B4358" s="6" t="s">
        <v>86</v>
      </c>
      <c r="C4358" s="6" t="s">
        <v>299</v>
      </c>
      <c r="D4358" s="6">
        <v>0.4360833333333333</v>
      </c>
      <c r="E4358" s="6" t="s">
        <v>86</v>
      </c>
      <c r="F4358" s="6" t="s">
        <v>53</v>
      </c>
      <c r="G4358" s="7">
        <v>37262.91410991319</v>
      </c>
      <c r="H4358" s="6">
        <v>16249.73579476464</v>
      </c>
      <c r="I4358" s="6" t="s">
        <v>180</v>
      </c>
      <c r="J4358" s="15">
        <v>4.437622113556362</v>
      </c>
    </row>
    <row r="4359" spans="1:10">
      <c r="A4359" s="6" t="s">
        <v>144</v>
      </c>
      <c r="B4359" s="6" t="s">
        <v>86</v>
      </c>
      <c r="C4359" s="6" t="s">
        <v>300</v>
      </c>
      <c r="D4359" s="6">
        <v>56.0885</v>
      </c>
      <c r="E4359" s="6" t="s">
        <v>86</v>
      </c>
      <c r="F4359" s="6" t="s">
        <v>52</v>
      </c>
      <c r="G4359" s="7">
        <v>60613.11558221976</v>
      </c>
      <c r="H4359" s="6">
        <v>3399698.733333333</v>
      </c>
      <c r="I4359" s="6" t="s">
        <v>179</v>
      </c>
      <c r="J4359" s="15">
        <v>39.13333333333333</v>
      </c>
    </row>
    <row r="4360" spans="1:10">
      <c r="A4360" s="6" t="s">
        <v>144</v>
      </c>
      <c r="B4360" s="6" t="s">
        <v>86</v>
      </c>
      <c r="C4360" s="6" t="s">
        <v>301</v>
      </c>
      <c r="D4360" s="6">
        <v>6.935</v>
      </c>
      <c r="E4360" s="6" t="s">
        <v>86</v>
      </c>
      <c r="F4360" s="6" t="s">
        <v>59</v>
      </c>
      <c r="G4360" s="7">
        <v>80753.32287666532</v>
      </c>
      <c r="H4360" s="6">
        <v>560024.294149674</v>
      </c>
      <c r="I4360" s="6" t="s">
        <v>180</v>
      </c>
      <c r="J4360" s="15">
        <v>17.50710869254084</v>
      </c>
    </row>
    <row r="4361" spans="1:10">
      <c r="A4361" s="6" t="s">
        <v>144</v>
      </c>
      <c r="B4361" s="6" t="s">
        <v>86</v>
      </c>
      <c r="C4361" s="6" t="s">
        <v>302</v>
      </c>
      <c r="D4361" s="6">
        <v>684.3172499999999</v>
      </c>
      <c r="E4361" s="6" t="s">
        <v>86</v>
      </c>
      <c r="F4361" s="6" t="s">
        <v>52</v>
      </c>
      <c r="G4361" s="7">
        <v>80746.62125224819</v>
      </c>
      <c r="H4361" s="6">
        <v>55256305.80213004</v>
      </c>
      <c r="I4361" s="6" t="s">
        <v>179</v>
      </c>
      <c r="J4361" s="15">
        <v>74.09166666666667</v>
      </c>
    </row>
    <row r="4362" spans="1:10">
      <c r="A4362" s="6" t="s">
        <v>144</v>
      </c>
      <c r="B4362" s="6" t="s">
        <v>86</v>
      </c>
      <c r="C4362" s="6" t="s">
        <v>303</v>
      </c>
      <c r="D4362" s="6">
        <v>0.26525</v>
      </c>
      <c r="E4362" s="6" t="s">
        <v>86</v>
      </c>
      <c r="F4362" s="6" t="s">
        <v>53</v>
      </c>
      <c r="G4362" s="7">
        <v>36138.49003274566</v>
      </c>
      <c r="H4362" s="6">
        <v>9585.734481185786</v>
      </c>
      <c r="I4362" s="6" t="s">
        <v>180</v>
      </c>
      <c r="J4362" s="15">
        <v>4.099716681017344</v>
      </c>
    </row>
    <row r="4363" spans="1:10">
      <c r="A4363" s="6" t="s">
        <v>144</v>
      </c>
      <c r="B4363" s="6" t="s">
        <v>86</v>
      </c>
      <c r="C4363" s="6" t="s">
        <v>304</v>
      </c>
      <c r="D4363" s="6">
        <v>149.4990833333333</v>
      </c>
      <c r="E4363" s="6" t="s">
        <v>86</v>
      </c>
      <c r="F4363" s="6" t="s">
        <v>52</v>
      </c>
      <c r="G4363" s="7">
        <v>61933.94976223377</v>
      </c>
      <c r="H4363" s="6">
        <v>9259068.716666665</v>
      </c>
      <c r="I4363" s="6" t="s">
        <v>179</v>
      </c>
      <c r="J4363" s="15">
        <v>61.50833333333333</v>
      </c>
    </row>
    <row r="4364" spans="1:10">
      <c r="A4364" s="6" t="s">
        <v>144</v>
      </c>
      <c r="B4364" s="6" t="s">
        <v>86</v>
      </c>
      <c r="C4364" s="6" t="s">
        <v>361</v>
      </c>
      <c r="D4364" s="6">
        <v>629.591</v>
      </c>
      <c r="E4364" s="6" t="s">
        <v>86</v>
      </c>
      <c r="F4364" s="6" t="s">
        <v>52</v>
      </c>
      <c r="G4364" s="7">
        <v>58941.63635603187</v>
      </c>
      <c r="H4364" s="6">
        <v>37109123.77503046</v>
      </c>
      <c r="I4364" s="6" t="s">
        <v>179</v>
      </c>
      <c r="J4364" s="15">
        <v>64.18333333333334</v>
      </c>
    </row>
    <row r="4365" spans="1:10">
      <c r="A4365" s="6" t="s">
        <v>144</v>
      </c>
      <c r="B4365" s="6" t="s">
        <v>86</v>
      </c>
      <c r="C4365" s="6" t="s">
        <v>305</v>
      </c>
      <c r="D4365" s="6">
        <v>102.3990833333333</v>
      </c>
      <c r="E4365" s="6" t="s">
        <v>86</v>
      </c>
      <c r="F4365" s="6" t="s">
        <v>54</v>
      </c>
      <c r="G4365" s="7">
        <v>98575.27110239657</v>
      </c>
      <c r="H4365" s="6">
        <v>10094017.40022023</v>
      </c>
      <c r="I4365" s="6" t="s">
        <v>179</v>
      </c>
      <c r="J4365" s="15">
        <v>67.27500000000001</v>
      </c>
    </row>
    <row r="4366" spans="1:10">
      <c r="A4366" s="6" t="s">
        <v>144</v>
      </c>
      <c r="B4366" s="6" t="s">
        <v>86</v>
      </c>
      <c r="C4366" s="6" t="s">
        <v>306</v>
      </c>
      <c r="D4366" s="6">
        <v>6.672916666666667</v>
      </c>
      <c r="E4366" s="6" t="s">
        <v>86</v>
      </c>
      <c r="F4366" s="6" t="s">
        <v>57</v>
      </c>
      <c r="G4366" s="7">
        <v>54237.63482677883</v>
      </c>
      <c r="H4366" s="6">
        <v>361923.217396193</v>
      </c>
      <c r="I4366" s="6" t="s">
        <v>179</v>
      </c>
      <c r="J4366" s="15">
        <v>7.283649717513925</v>
      </c>
    </row>
    <row r="4367" spans="1:10">
      <c r="A4367" s="6" t="s">
        <v>144</v>
      </c>
      <c r="B4367" s="6" t="s">
        <v>86</v>
      </c>
      <c r="C4367" s="6" t="s">
        <v>307</v>
      </c>
      <c r="D4367" s="6">
        <v>0.1625</v>
      </c>
      <c r="E4367" s="6" t="s">
        <v>86</v>
      </c>
      <c r="F4367" s="6" t="s">
        <v>53</v>
      </c>
      <c r="G4367" s="7">
        <v>38849.90588497226</v>
      </c>
      <c r="H4367" s="6">
        <v>6313.109706307993</v>
      </c>
      <c r="I4367" s="6" t="s">
        <v>180</v>
      </c>
      <c r="J4367" s="15">
        <v>4.914535720331878</v>
      </c>
    </row>
    <row r="4368" spans="1:10">
      <c r="A4368" s="6" t="s">
        <v>144</v>
      </c>
      <c r="B4368" s="6" t="s">
        <v>86</v>
      </c>
      <c r="C4368" s="6" t="s">
        <v>362</v>
      </c>
      <c r="D4368" s="6">
        <v>2892.255833333334</v>
      </c>
      <c r="E4368" s="6" t="s">
        <v>86</v>
      </c>
      <c r="F4368" s="6" t="s">
        <v>52</v>
      </c>
      <c r="G4368" s="7">
        <v>57401.5078649952</v>
      </c>
      <c r="H4368" s="6">
        <v>166019845.9646616</v>
      </c>
      <c r="I4368" s="6" t="s">
        <v>179</v>
      </c>
      <c r="J4368" s="15">
        <v>50.76666666666667</v>
      </c>
    </row>
    <row r="4369" spans="1:10">
      <c r="A4369" s="6" t="s">
        <v>144</v>
      </c>
      <c r="B4369" s="6" t="s">
        <v>86</v>
      </c>
      <c r="C4369" s="6" t="s">
        <v>308</v>
      </c>
      <c r="D4369" s="6">
        <v>0.27075</v>
      </c>
      <c r="E4369" s="6" t="s">
        <v>86</v>
      </c>
      <c r="F4369" s="6" t="s">
        <v>54</v>
      </c>
      <c r="G4369" s="7">
        <v>68318.31691385624</v>
      </c>
      <c r="H4369" s="6">
        <v>18497.18430442658</v>
      </c>
      <c r="I4369" s="6" t="s">
        <v>180</v>
      </c>
      <c r="J4369" s="15">
        <v>13.7702124860198</v>
      </c>
    </row>
    <row r="4370" spans="1:10">
      <c r="A4370" s="6" t="s">
        <v>144</v>
      </c>
      <c r="B4370" s="6" t="s">
        <v>86</v>
      </c>
      <c r="C4370" s="6" t="s">
        <v>309</v>
      </c>
      <c r="D4370" s="6">
        <v>883.4463333333333</v>
      </c>
      <c r="E4370" s="6" t="s">
        <v>86</v>
      </c>
      <c r="F4370" s="6" t="s">
        <v>52</v>
      </c>
      <c r="G4370" s="7">
        <v>76640.37565605484</v>
      </c>
      <c r="H4370" s="6">
        <v>67707658.85863091</v>
      </c>
      <c r="I4370" s="6" t="s">
        <v>179</v>
      </c>
      <c r="J4370" s="15">
        <v>56.75</v>
      </c>
    </row>
    <row r="4371" spans="1:10">
      <c r="A4371" s="6" t="s">
        <v>144</v>
      </c>
      <c r="B4371" s="6" t="s">
        <v>86</v>
      </c>
      <c r="C4371" s="6" t="s">
        <v>310</v>
      </c>
      <c r="D4371" s="6">
        <v>72.44666666666667</v>
      </c>
      <c r="E4371" s="6" t="s">
        <v>86</v>
      </c>
      <c r="F4371" s="6" t="s">
        <v>52</v>
      </c>
      <c r="G4371" s="7">
        <v>90408.28872156367</v>
      </c>
      <c r="H4371" s="6">
        <v>6549779.156914883</v>
      </c>
      <c r="I4371" s="6" t="s">
        <v>179</v>
      </c>
      <c r="J4371" s="15">
        <v>71.22499999999999</v>
      </c>
    </row>
    <row r="4372" spans="1:10">
      <c r="A4372" s="6" t="s">
        <v>144</v>
      </c>
      <c r="B4372" s="6" t="s">
        <v>86</v>
      </c>
      <c r="C4372" s="6" t="s">
        <v>311</v>
      </c>
      <c r="D4372" s="6">
        <v>157.792</v>
      </c>
      <c r="E4372" s="6" t="s">
        <v>86</v>
      </c>
      <c r="F4372" s="6" t="s">
        <v>51</v>
      </c>
      <c r="G4372" s="7">
        <v>45054.61286131107</v>
      </c>
      <c r="H4372" s="6">
        <v>7109257.472611996</v>
      </c>
      <c r="I4372" s="6" t="s">
        <v>179</v>
      </c>
      <c r="J4372" s="15">
        <v>50.35</v>
      </c>
    </row>
    <row r="4373" spans="1:10">
      <c r="A4373" s="6" t="s">
        <v>144</v>
      </c>
      <c r="B4373" s="6" t="s">
        <v>86</v>
      </c>
      <c r="C4373" s="6" t="s">
        <v>312</v>
      </c>
      <c r="D4373" s="6">
        <v>98.48341666666668</v>
      </c>
      <c r="E4373" s="6" t="s">
        <v>86</v>
      </c>
      <c r="F4373" s="6" t="s">
        <v>54</v>
      </c>
      <c r="G4373" s="7">
        <v>81169.23103268788</v>
      </c>
      <c r="H4373" s="6">
        <v>7993823.200305132</v>
      </c>
      <c r="I4373" s="6" t="s">
        <v>179</v>
      </c>
      <c r="J4373" s="15">
        <v>47.825</v>
      </c>
    </row>
    <row r="4374" spans="1:10">
      <c r="A4374" s="6" t="s">
        <v>144</v>
      </c>
      <c r="B4374" s="6" t="s">
        <v>86</v>
      </c>
      <c r="C4374" s="6" t="s">
        <v>313</v>
      </c>
      <c r="D4374" s="6">
        <v>8.80475</v>
      </c>
      <c r="E4374" s="6" t="s">
        <v>86</v>
      </c>
      <c r="F4374" s="6" t="s">
        <v>51</v>
      </c>
      <c r="G4374" s="7">
        <v>53462.78643120329</v>
      </c>
      <c r="H4374" s="6">
        <v>470726.4688301372</v>
      </c>
      <c r="I4374" s="6" t="s">
        <v>180</v>
      </c>
      <c r="J4374" s="15">
        <v>9.305914224119906</v>
      </c>
    </row>
    <row r="4375" spans="1:10">
      <c r="A4375" s="6" t="s">
        <v>144</v>
      </c>
      <c r="B4375" s="6" t="s">
        <v>86</v>
      </c>
      <c r="C4375" s="6" t="s">
        <v>314</v>
      </c>
      <c r="D4375" s="6">
        <v>5.494</v>
      </c>
      <c r="E4375" s="6" t="s">
        <v>86</v>
      </c>
      <c r="F4375" s="6" t="s">
        <v>51</v>
      </c>
      <c r="G4375" s="7">
        <v>61051.11439376624</v>
      </c>
      <c r="H4375" s="6">
        <v>335414.8224793517</v>
      </c>
      <c r="I4375" s="6" t="s">
        <v>180</v>
      </c>
      <c r="J4375" s="15">
        <v>11.58631473715136</v>
      </c>
    </row>
    <row r="4376" spans="1:10">
      <c r="A4376" s="6" t="s">
        <v>144</v>
      </c>
      <c r="B4376" s="6" t="s">
        <v>86</v>
      </c>
      <c r="C4376" s="6" t="s">
        <v>315</v>
      </c>
      <c r="D4376" s="6">
        <v>17.163</v>
      </c>
      <c r="E4376" s="6" t="s">
        <v>86</v>
      </c>
      <c r="F4376" s="6" t="s">
        <v>51</v>
      </c>
      <c r="G4376" s="7">
        <v>37464.72792440534</v>
      </c>
      <c r="H4376" s="6">
        <v>643007.1253665689</v>
      </c>
      <c r="I4376" s="6" t="s">
        <v>179</v>
      </c>
      <c r="J4376" s="15">
        <v>14</v>
      </c>
    </row>
    <row r="4377" spans="1:10">
      <c r="A4377" s="6" t="s">
        <v>144</v>
      </c>
      <c r="B4377" s="6" t="s">
        <v>86</v>
      </c>
      <c r="C4377" s="6" t="s">
        <v>316</v>
      </c>
      <c r="D4377" s="6">
        <v>2.130333333333334</v>
      </c>
      <c r="E4377" s="6" t="s">
        <v>86</v>
      </c>
      <c r="F4377" s="6" t="s">
        <v>54</v>
      </c>
      <c r="G4377" s="7">
        <v>83552.76780903985</v>
      </c>
      <c r="H4377" s="6">
        <v>177995.2463558579</v>
      </c>
      <c r="I4377" s="6" t="s">
        <v>180</v>
      </c>
      <c r="J4377" s="15">
        <v>18.34838172284276</v>
      </c>
    </row>
    <row r="4378" spans="1:10">
      <c r="A4378" s="6" t="s">
        <v>144</v>
      </c>
      <c r="B4378" s="6" t="s">
        <v>86</v>
      </c>
      <c r="C4378" s="6" t="s">
        <v>317</v>
      </c>
      <c r="D4378" s="6">
        <v>0.4615833333333333</v>
      </c>
      <c r="E4378" s="6" t="s">
        <v>86</v>
      </c>
      <c r="F4378" s="6" t="s">
        <v>51</v>
      </c>
      <c r="G4378" s="7">
        <v>52842.46544157674</v>
      </c>
      <c r="H4378" s="6">
        <v>24391.20134007446</v>
      </c>
      <c r="I4378" s="6" t="s">
        <v>180</v>
      </c>
      <c r="J4378" s="15">
        <v>9.119498941337266</v>
      </c>
    </row>
    <row r="4379" spans="1:10">
      <c r="A4379" s="6" t="s">
        <v>144</v>
      </c>
      <c r="B4379" s="6" t="s">
        <v>86</v>
      </c>
      <c r="C4379" s="6" t="s">
        <v>319</v>
      </c>
      <c r="D4379" s="6">
        <v>88.81616666666667</v>
      </c>
      <c r="E4379" s="6" t="s">
        <v>86</v>
      </c>
      <c r="F4379" s="6" t="s">
        <v>52</v>
      </c>
      <c r="G4379" s="7">
        <v>75015.8326520299</v>
      </c>
      <c r="H4379" s="6">
        <v>6662618.695461464</v>
      </c>
      <c r="I4379" s="6" t="s">
        <v>179</v>
      </c>
      <c r="J4379" s="15">
        <v>68.13333333333333</v>
      </c>
    </row>
    <row r="4380" spans="1:10">
      <c r="A4380" s="6" t="s">
        <v>144</v>
      </c>
      <c r="B4380" s="6" t="s">
        <v>90</v>
      </c>
      <c r="C4380" s="6" t="s">
        <v>363</v>
      </c>
      <c r="D4380" s="6">
        <v>28.19275</v>
      </c>
      <c r="E4380" s="6" t="s">
        <v>86</v>
      </c>
      <c r="F4380" s="6" t="s">
        <v>52</v>
      </c>
      <c r="G4380" s="7">
        <v>59918.03179942394</v>
      </c>
      <c r="H4380" s="6">
        <v>1689254.091013209</v>
      </c>
      <c r="I4380" s="6" t="s">
        <v>180</v>
      </c>
      <c r="J4380" s="15">
        <v>12.43871031134531</v>
      </c>
    </row>
    <row r="4381" spans="1:10">
      <c r="A4381" s="6" t="s">
        <v>144</v>
      </c>
      <c r="B4381" s="6" t="s">
        <v>86</v>
      </c>
      <c r="C4381" s="6" t="s">
        <v>320</v>
      </c>
      <c r="D4381" s="6">
        <v>66.28825000000001</v>
      </c>
      <c r="E4381" s="6" t="s">
        <v>86</v>
      </c>
      <c r="F4381" s="6" t="s">
        <v>51</v>
      </c>
      <c r="G4381" s="7">
        <v>52021.16753243782</v>
      </c>
      <c r="H4381" s="6">
        <v>3448392.158682121</v>
      </c>
      <c r="I4381" s="6" t="s">
        <v>179</v>
      </c>
      <c r="J4381" s="15">
        <v>101.05</v>
      </c>
    </row>
    <row r="4382" spans="1:10">
      <c r="A4382" s="6" t="s">
        <v>144</v>
      </c>
      <c r="B4382" s="6" t="s">
        <v>90</v>
      </c>
      <c r="C4382" s="6" t="s">
        <v>321</v>
      </c>
      <c r="D4382" s="6">
        <v>6.273416666666667</v>
      </c>
      <c r="E4382" s="6" t="s">
        <v>86</v>
      </c>
      <c r="F4382" s="6" t="s">
        <v>54</v>
      </c>
      <c r="G4382" s="7">
        <v>49362.0809529337</v>
      </c>
      <c r="H4382" s="6">
        <v>309668.9013514835</v>
      </c>
      <c r="I4382" s="6" t="s">
        <v>180</v>
      </c>
      <c r="J4382" s="15">
        <v>9.05633937056912</v>
      </c>
    </row>
    <row r="4383" spans="1:10">
      <c r="A4383" s="6" t="s">
        <v>144</v>
      </c>
      <c r="B4383" s="6" t="s">
        <v>86</v>
      </c>
      <c r="C4383" s="6" t="s">
        <v>322</v>
      </c>
      <c r="D4383" s="6">
        <v>68.41391666666667</v>
      </c>
      <c r="E4383" s="6" t="s">
        <v>86</v>
      </c>
      <c r="F4383" s="6" t="s">
        <v>51</v>
      </c>
      <c r="G4383" s="7">
        <v>45195.78581875691</v>
      </c>
      <c r="H4383" s="6">
        <v>3092020.72468895</v>
      </c>
      <c r="I4383" s="6" t="s">
        <v>179</v>
      </c>
      <c r="J4383" s="15">
        <v>55</v>
      </c>
    </row>
    <row r="4384" spans="1:10">
      <c r="A4384" s="6" t="s">
        <v>144</v>
      </c>
      <c r="B4384" s="6" t="s">
        <v>86</v>
      </c>
      <c r="C4384" s="6" t="s">
        <v>323</v>
      </c>
      <c r="D4384" s="6">
        <v>50.30525</v>
      </c>
      <c r="E4384" s="6" t="s">
        <v>86</v>
      </c>
      <c r="F4384" s="6" t="s">
        <v>55</v>
      </c>
      <c r="G4384" s="7">
        <v>51933.23768987774</v>
      </c>
      <c r="H4384" s="6">
        <v>2612514.505298723</v>
      </c>
      <c r="I4384" s="6" t="s">
        <v>179</v>
      </c>
      <c r="J4384" s="15">
        <v>44.21666666666667</v>
      </c>
    </row>
    <row r="4385" spans="1:10">
      <c r="A4385" s="6" t="s">
        <v>144</v>
      </c>
      <c r="B4385" s="6" t="s">
        <v>101</v>
      </c>
      <c r="C4385" s="6" t="s">
        <v>324</v>
      </c>
      <c r="D4385" s="6">
        <v>134.8023333333333</v>
      </c>
      <c r="E4385" s="6" t="s">
        <v>86</v>
      </c>
      <c r="F4385" s="6" t="s">
        <v>51</v>
      </c>
      <c r="G4385" s="7">
        <v>24363.28610429227</v>
      </c>
      <c r="H4385" s="6">
        <v>3284227.814526175</v>
      </c>
      <c r="I4385" s="6" t="s">
        <v>380</v>
      </c>
      <c r="J4385" s="15">
        <v>5.541767344151172</v>
      </c>
    </row>
    <row r="4386" spans="1:10">
      <c r="A4386" s="6" t="s">
        <v>144</v>
      </c>
      <c r="B4386" s="6" t="s">
        <v>86</v>
      </c>
      <c r="C4386" s="6" t="s">
        <v>372</v>
      </c>
      <c r="D4386" s="6">
        <v>0.702</v>
      </c>
      <c r="E4386" s="6" t="s">
        <v>86</v>
      </c>
      <c r="F4386" s="6" t="s">
        <v>55</v>
      </c>
      <c r="G4386" s="7">
        <v>91947.22414896538</v>
      </c>
      <c r="H4386" s="6">
        <v>64546.95135257369</v>
      </c>
      <c r="I4386" s="6" t="s">
        <v>180</v>
      </c>
      <c r="J4386" s="15">
        <v>20.87103528218113</v>
      </c>
    </row>
    <row r="4387" spans="1:10">
      <c r="A4387" s="6" t="s">
        <v>144</v>
      </c>
      <c r="B4387" s="6" t="s">
        <v>90</v>
      </c>
      <c r="C4387" s="6" t="s">
        <v>325</v>
      </c>
      <c r="D4387" s="6">
        <v>0.496</v>
      </c>
      <c r="E4387" s="6" t="s">
        <v>86</v>
      </c>
      <c r="F4387" s="6" t="s">
        <v>53</v>
      </c>
      <c r="G4387" s="7">
        <v>27183.84720656899</v>
      </c>
      <c r="H4387" s="6">
        <v>13483.18821445822</v>
      </c>
      <c r="I4387" s="6" t="s">
        <v>179</v>
      </c>
      <c r="J4387" s="15">
        <v>16</v>
      </c>
    </row>
    <row r="4388" spans="1:10">
      <c r="A4388" s="6" t="s">
        <v>144</v>
      </c>
      <c r="B4388" s="6" t="s">
        <v>86</v>
      </c>
      <c r="C4388" s="6" t="s">
        <v>364</v>
      </c>
      <c r="D4388" s="6">
        <v>15.26966666666667</v>
      </c>
      <c r="E4388" s="6" t="s">
        <v>86</v>
      </c>
      <c r="F4388" s="6" t="s">
        <v>52</v>
      </c>
      <c r="G4388" s="7">
        <v>56618.13707440715</v>
      </c>
      <c r="H4388" s="6">
        <v>864540.080413839</v>
      </c>
      <c r="I4388" s="6" t="s">
        <v>179</v>
      </c>
      <c r="J4388" s="15">
        <v>40.41666666666667</v>
      </c>
    </row>
    <row r="4389" spans="1:10">
      <c r="A4389" s="6" t="s">
        <v>144</v>
      </c>
      <c r="B4389" s="6" t="s">
        <v>90</v>
      </c>
      <c r="C4389" s="6" t="s">
        <v>326</v>
      </c>
      <c r="D4389" s="6">
        <v>245.5696666666667</v>
      </c>
      <c r="E4389" s="6" t="s">
        <v>86</v>
      </c>
      <c r="F4389" s="6" t="s">
        <v>54</v>
      </c>
      <c r="G4389" s="7">
        <v>73204.69251441542</v>
      </c>
      <c r="H4389" s="6">
        <v>17976851.93920083</v>
      </c>
      <c r="I4389" s="6" t="s">
        <v>179</v>
      </c>
      <c r="J4389" s="15">
        <v>50.55</v>
      </c>
    </row>
    <row r="4390" spans="1:10">
      <c r="A4390" s="6" t="s">
        <v>144</v>
      </c>
      <c r="B4390" s="6" t="s">
        <v>86</v>
      </c>
      <c r="C4390" s="6" t="s">
        <v>373</v>
      </c>
      <c r="D4390" s="6">
        <v>0.3811666666666667</v>
      </c>
      <c r="E4390" s="6" t="s">
        <v>86</v>
      </c>
      <c r="F4390" s="6" t="s">
        <v>55</v>
      </c>
      <c r="G4390" s="7">
        <v>61336.46875046419</v>
      </c>
      <c r="H4390" s="6">
        <v>23379.4173387186</v>
      </c>
      <c r="I4390" s="6" t="s">
        <v>180</v>
      </c>
      <c r="J4390" s="15">
        <v>11.67206778111837</v>
      </c>
    </row>
    <row r="4391" spans="1:10">
      <c r="A4391" s="6" t="s">
        <v>144</v>
      </c>
      <c r="B4391" s="6" t="s">
        <v>86</v>
      </c>
      <c r="C4391" s="6" t="s">
        <v>374</v>
      </c>
      <c r="D4391" s="6">
        <v>0.17275</v>
      </c>
      <c r="E4391" s="6" t="s">
        <v>86</v>
      </c>
      <c r="F4391" s="6" t="s">
        <v>55</v>
      </c>
      <c r="G4391" s="7">
        <v>66583.71341381679</v>
      </c>
      <c r="H4391" s="6">
        <v>11502.33649223685</v>
      </c>
      <c r="I4391" s="6" t="s">
        <v>180</v>
      </c>
      <c r="J4391" s="15">
        <v>13.24893945579351</v>
      </c>
    </row>
    <row r="4392" spans="1:10">
      <c r="A4392" s="6" t="s">
        <v>144</v>
      </c>
      <c r="B4392" s="6" t="s">
        <v>86</v>
      </c>
      <c r="C4392" s="6" t="s">
        <v>327</v>
      </c>
      <c r="D4392" s="6">
        <v>81.568</v>
      </c>
      <c r="E4392" s="6" t="s">
        <v>86</v>
      </c>
      <c r="F4392" s="6" t="s">
        <v>57</v>
      </c>
      <c r="G4392" s="7">
        <v>42782.89879327323</v>
      </c>
      <c r="H4392" s="6">
        <v>3489715.488769711</v>
      </c>
      <c r="I4392" s="6" t="s">
        <v>179</v>
      </c>
      <c r="J4392" s="15">
        <v>30.675</v>
      </c>
    </row>
    <row r="4393" spans="1:10">
      <c r="A4393" s="6" t="s">
        <v>144</v>
      </c>
      <c r="B4393" s="6" t="s">
        <v>86</v>
      </c>
      <c r="C4393" s="6" t="s">
        <v>328</v>
      </c>
      <c r="D4393" s="6">
        <v>0.435</v>
      </c>
      <c r="E4393" s="6" t="s">
        <v>86</v>
      </c>
      <c r="F4393" s="6" t="s">
        <v>58</v>
      </c>
      <c r="G4393" s="7">
        <v>63344.38696068728</v>
      </c>
      <c r="H4393" s="6">
        <v>27554.80832789897</v>
      </c>
      <c r="I4393" s="6" t="s">
        <v>180</v>
      </c>
      <c r="J4393" s="15">
        <v>12.27547577024427</v>
      </c>
    </row>
    <row r="4394" spans="1:10">
      <c r="A4394" s="6" t="s">
        <v>144</v>
      </c>
      <c r="B4394" s="6" t="s">
        <v>90</v>
      </c>
      <c r="C4394" s="6" t="s">
        <v>329</v>
      </c>
      <c r="D4394" s="6">
        <v>226.82475</v>
      </c>
      <c r="E4394" s="6" t="s">
        <v>86</v>
      </c>
      <c r="F4394" s="6" t="s">
        <v>58</v>
      </c>
      <c r="G4394" s="7">
        <v>59375.40509749136</v>
      </c>
      <c r="H4394" s="6">
        <v>13467811.4173872</v>
      </c>
      <c r="I4394" s="6" t="s">
        <v>180</v>
      </c>
      <c r="J4394" s="15">
        <v>12.2648401583864</v>
      </c>
    </row>
    <row r="4395" spans="1:10">
      <c r="A4395" s="6" t="s">
        <v>144</v>
      </c>
      <c r="B4395" s="6" t="s">
        <v>86</v>
      </c>
      <c r="C4395" s="6" t="s">
        <v>330</v>
      </c>
      <c r="D4395" s="6">
        <v>20.93616666666667</v>
      </c>
      <c r="E4395" s="6" t="s">
        <v>86</v>
      </c>
      <c r="F4395" s="6" t="s">
        <v>52</v>
      </c>
      <c r="G4395" s="7">
        <v>68396.7450959322</v>
      </c>
      <c r="H4395" s="6">
        <v>1431965.654785953</v>
      </c>
      <c r="I4395" s="6" t="s">
        <v>179</v>
      </c>
      <c r="J4395" s="15">
        <v>71.97499999999999</v>
      </c>
    </row>
    <row r="4396" spans="1:10">
      <c r="A4396" s="6" t="s">
        <v>144</v>
      </c>
      <c r="B4396" s="6" t="s">
        <v>86</v>
      </c>
      <c r="C4396" s="6" t="s">
        <v>365</v>
      </c>
      <c r="D4396" s="6">
        <v>0.024</v>
      </c>
      <c r="E4396" s="6" t="s">
        <v>86</v>
      </c>
      <c r="F4396" s="6" t="s">
        <v>53</v>
      </c>
      <c r="G4396" s="7">
        <v>49907.27415437595</v>
      </c>
      <c r="H4396" s="6">
        <v>1197.774579705023</v>
      </c>
      <c r="I4396" s="6" t="s">
        <v>179</v>
      </c>
      <c r="J4396" s="15">
        <v>8</v>
      </c>
    </row>
    <row r="4397" spans="1:10">
      <c r="A4397" s="6" t="s">
        <v>144</v>
      </c>
      <c r="B4397" s="6" t="s">
        <v>90</v>
      </c>
      <c r="C4397" s="6" t="s">
        <v>331</v>
      </c>
      <c r="D4397" s="6">
        <v>68.20083333333334</v>
      </c>
      <c r="E4397" s="6" t="s">
        <v>86</v>
      </c>
      <c r="F4397" s="6" t="s">
        <v>58</v>
      </c>
      <c r="G4397" s="7">
        <v>62490.71047845359</v>
      </c>
      <c r="H4397" s="6">
        <v>4261918.5302226</v>
      </c>
      <c r="I4397" s="6" t="s">
        <v>180</v>
      </c>
      <c r="J4397" s="15">
        <v>13.26305609794943</v>
      </c>
    </row>
    <row r="4398" spans="1:10">
      <c r="A4398" s="6" t="s">
        <v>144</v>
      </c>
      <c r="B4398" s="6" t="s">
        <v>86</v>
      </c>
      <c r="C4398" s="6" t="s">
        <v>332</v>
      </c>
      <c r="D4398" s="6">
        <v>467.4395</v>
      </c>
      <c r="E4398" s="6" t="s">
        <v>86</v>
      </c>
      <c r="F4398" s="6" t="s">
        <v>55</v>
      </c>
      <c r="G4398" s="7">
        <v>52935.75827117996</v>
      </c>
      <c r="H4398" s="6">
        <v>24744264.37840122</v>
      </c>
      <c r="I4398" s="6" t="s">
        <v>179</v>
      </c>
      <c r="J4398" s="15">
        <v>39.75833333333333</v>
      </c>
    </row>
    <row r="4399" spans="1:10">
      <c r="A4399" s="6" t="s">
        <v>144</v>
      </c>
      <c r="B4399" s="6" t="s">
        <v>86</v>
      </c>
      <c r="C4399" s="6" t="s">
        <v>375</v>
      </c>
      <c r="D4399" s="6">
        <v>1.429</v>
      </c>
      <c r="E4399" s="6" t="s">
        <v>86</v>
      </c>
      <c r="F4399" s="6" t="s">
        <v>55</v>
      </c>
      <c r="G4399" s="7">
        <v>53013.0959774591</v>
      </c>
      <c r="H4399" s="6">
        <v>75755.71415178906</v>
      </c>
      <c r="I4399" s="6" t="s">
        <v>180</v>
      </c>
      <c r="J4399" s="15">
        <v>9.170775844956172</v>
      </c>
    </row>
    <row r="4400" spans="1:10">
      <c r="A4400" s="6" t="s">
        <v>144</v>
      </c>
      <c r="B4400" s="6" t="s">
        <v>86</v>
      </c>
      <c r="C4400" s="6" t="s">
        <v>333</v>
      </c>
      <c r="D4400" s="6">
        <v>53.00475000000001</v>
      </c>
      <c r="E4400" s="6" t="s">
        <v>86</v>
      </c>
      <c r="F4400" s="6" t="s">
        <v>51</v>
      </c>
      <c r="G4400" s="7">
        <v>51556.63499677741</v>
      </c>
      <c r="H4400" s="6">
        <v>2732746.548845438</v>
      </c>
      <c r="I4400" s="6" t="s">
        <v>180</v>
      </c>
      <c r="J4400" s="15">
        <v>8.73308859897227</v>
      </c>
    </row>
    <row r="4401" spans="1:10">
      <c r="A4401" s="6" t="s">
        <v>144</v>
      </c>
      <c r="B4401" s="6" t="s">
        <v>92</v>
      </c>
      <c r="C4401" s="6" t="s">
        <v>194</v>
      </c>
      <c r="D4401" s="6">
        <v>0.2043333333333333</v>
      </c>
      <c r="E4401" s="6" t="s">
        <v>88</v>
      </c>
      <c r="F4401" s="6" t="s">
        <v>58</v>
      </c>
      <c r="G4401" s="7">
        <v>50041.91995236529</v>
      </c>
      <c r="H4401" s="6">
        <v>10225.23231026664</v>
      </c>
      <c r="I4401" s="6" t="s">
        <v>180</v>
      </c>
      <c r="J4401" s="15">
        <v>11.97643504980967</v>
      </c>
    </row>
    <row r="4402" spans="1:10">
      <c r="A4402" s="6" t="s">
        <v>144</v>
      </c>
      <c r="B4402" s="6" t="s">
        <v>88</v>
      </c>
      <c r="C4402" s="6" t="s">
        <v>195</v>
      </c>
      <c r="D4402" s="6">
        <v>4.178569341485313</v>
      </c>
      <c r="E4402" s="6" t="s">
        <v>88</v>
      </c>
      <c r="F4402" s="6" t="s">
        <v>54</v>
      </c>
      <c r="G4402" s="7">
        <v>42234.92390540216</v>
      </c>
      <c r="H4402" s="6">
        <v>176481.5581710786</v>
      </c>
      <c r="I4402" s="6" t="s">
        <v>180</v>
      </c>
      <c r="J4402" s="15">
        <v>21.67396938950999</v>
      </c>
    </row>
    <row r="4403" spans="1:10">
      <c r="A4403" s="6" t="s">
        <v>144</v>
      </c>
      <c r="B4403" s="6" t="s">
        <v>92</v>
      </c>
      <c r="C4403" s="6" t="s">
        <v>195</v>
      </c>
      <c r="D4403" s="6">
        <v>8.926180658514685</v>
      </c>
      <c r="E4403" s="6" t="s">
        <v>88</v>
      </c>
      <c r="F4403" s="6" t="s">
        <v>54</v>
      </c>
      <c r="G4403" s="7">
        <v>74005.80825338791</v>
      </c>
      <c r="H4403" s="6">
        <v>660589.2142491376</v>
      </c>
      <c r="I4403" s="6" t="s">
        <v>180</v>
      </c>
      <c r="J4403" s="15">
        <v>20.94906742477332</v>
      </c>
    </row>
    <row r="4404" spans="1:10">
      <c r="A4404" s="6" t="s">
        <v>144</v>
      </c>
      <c r="B4404" s="6" t="s">
        <v>88</v>
      </c>
      <c r="C4404" s="6" t="s">
        <v>335</v>
      </c>
      <c r="D4404" s="6">
        <v>802.7560833333334</v>
      </c>
      <c r="E4404" s="6" t="s">
        <v>88</v>
      </c>
      <c r="F4404" s="6" t="s">
        <v>52</v>
      </c>
      <c r="G4404" s="7">
        <v>44280.88015614714</v>
      </c>
      <c r="H4404" s="6">
        <v>35546745.92070141</v>
      </c>
      <c r="I4404" s="6" t="s">
        <v>179</v>
      </c>
      <c r="J4404" s="15">
        <v>39</v>
      </c>
    </row>
    <row r="4405" spans="1:10">
      <c r="A4405" s="6" t="s">
        <v>144</v>
      </c>
      <c r="B4405" s="6" t="s">
        <v>92</v>
      </c>
      <c r="C4405" s="6" t="s">
        <v>197</v>
      </c>
      <c r="D4405" s="6">
        <v>53.09375</v>
      </c>
      <c r="E4405" s="6" t="s">
        <v>88</v>
      </c>
      <c r="F4405" s="6" t="s">
        <v>53</v>
      </c>
      <c r="G4405" s="7">
        <v>63461.32463788219</v>
      </c>
      <c r="H4405" s="6">
        <v>3369399.704992557</v>
      </c>
      <c r="I4405" s="6" t="s">
        <v>180</v>
      </c>
      <c r="J4405" s="15">
        <v>17.00096960870551</v>
      </c>
    </row>
    <row r="4406" spans="1:10">
      <c r="A4406" s="6" t="s">
        <v>144</v>
      </c>
      <c r="B4406" s="6" t="s">
        <v>88</v>
      </c>
      <c r="C4406" s="6" t="s">
        <v>198</v>
      </c>
      <c r="D4406" s="6">
        <v>15.88875</v>
      </c>
      <c r="E4406" s="6" t="s">
        <v>88</v>
      </c>
      <c r="F4406" s="6" t="s">
        <v>58</v>
      </c>
      <c r="G4406" s="7">
        <v>47148.15846411035</v>
      </c>
      <c r="H4406" s="6">
        <v>749125.3027966333</v>
      </c>
      <c r="I4406" s="6" t="s">
        <v>180</v>
      </c>
      <c r="J4406" s="15">
        <v>24.98177205229451</v>
      </c>
    </row>
    <row r="4407" spans="1:10">
      <c r="A4407" s="6" t="s">
        <v>144</v>
      </c>
      <c r="B4407" s="6" t="s">
        <v>92</v>
      </c>
      <c r="C4407" s="6" t="s">
        <v>199</v>
      </c>
      <c r="D4407" s="6">
        <v>47.27558333333333</v>
      </c>
      <c r="E4407" s="6" t="s">
        <v>88</v>
      </c>
      <c r="F4407" s="6" t="s">
        <v>57</v>
      </c>
      <c r="G4407" s="7">
        <v>45943.9020712533</v>
      </c>
      <c r="H4407" s="6">
        <v>2172024.771028041</v>
      </c>
      <c r="I4407" s="6" t="s">
        <v>179</v>
      </c>
      <c r="J4407" s="15">
        <v>30.95</v>
      </c>
    </row>
    <row r="4408" spans="1:10">
      <c r="A4408" s="6" t="s">
        <v>144</v>
      </c>
      <c r="B4408" s="6" t="s">
        <v>88</v>
      </c>
      <c r="C4408" s="6" t="s">
        <v>337</v>
      </c>
      <c r="D4408" s="6">
        <v>8.164250000000001</v>
      </c>
      <c r="E4408" s="6" t="s">
        <v>88</v>
      </c>
      <c r="F4408" s="6" t="s">
        <v>52</v>
      </c>
      <c r="G4408" s="7">
        <v>44335.59781697809</v>
      </c>
      <c r="H4408" s="6">
        <v>361966.9044772634</v>
      </c>
      <c r="I4408" s="6" t="s">
        <v>180</v>
      </c>
      <c r="J4408" s="15">
        <v>23.08823420331521</v>
      </c>
    </row>
    <row r="4409" spans="1:10">
      <c r="A4409" s="6" t="s">
        <v>144</v>
      </c>
      <c r="B4409" s="6" t="s">
        <v>88</v>
      </c>
      <c r="C4409" s="6" t="s">
        <v>200</v>
      </c>
      <c r="D4409" s="6">
        <v>140.3050833333333</v>
      </c>
      <c r="E4409" s="6" t="s">
        <v>88</v>
      </c>
      <c r="F4409" s="6" t="s">
        <v>52</v>
      </c>
      <c r="G4409" s="7">
        <v>32832.77265499769</v>
      </c>
      <c r="H4409" s="6">
        <v>4606604.903423839</v>
      </c>
      <c r="I4409" s="6" t="s">
        <v>179</v>
      </c>
      <c r="J4409" s="15">
        <v>28.025</v>
      </c>
    </row>
    <row r="4410" spans="1:10">
      <c r="A4410" s="6" t="s">
        <v>144</v>
      </c>
      <c r="B4410" s="6" t="s">
        <v>92</v>
      </c>
      <c r="C4410" s="6" t="s">
        <v>201</v>
      </c>
      <c r="D4410" s="6">
        <v>16.70283333333333</v>
      </c>
      <c r="E4410" s="6" t="s">
        <v>88</v>
      </c>
      <c r="F4410" s="6" t="s">
        <v>56</v>
      </c>
      <c r="G4410" s="7">
        <v>64076.14664886126</v>
      </c>
      <c r="H4410" s="6">
        <v>1070253.198118155</v>
      </c>
      <c r="I4410" s="6" t="s">
        <v>180</v>
      </c>
      <c r="J4410" s="15">
        <v>17.23117314709855</v>
      </c>
    </row>
    <row r="4411" spans="1:10">
      <c r="A4411" s="6" t="s">
        <v>144</v>
      </c>
      <c r="B4411" s="6" t="s">
        <v>88</v>
      </c>
      <c r="C4411" s="6" t="s">
        <v>202</v>
      </c>
      <c r="D4411" s="6">
        <v>1271.925166666667</v>
      </c>
      <c r="E4411" s="6" t="s">
        <v>88</v>
      </c>
      <c r="F4411" s="6" t="s">
        <v>54</v>
      </c>
      <c r="G4411" s="7">
        <v>52343.66061009689</v>
      </c>
      <c r="H4411" s="6">
        <v>66577219.24544092</v>
      </c>
      <c r="I4411" s="6" t="s">
        <v>180</v>
      </c>
      <c r="J4411" s="15">
        <v>28.47960950085214</v>
      </c>
    </row>
    <row r="4412" spans="1:10">
      <c r="A4412" s="6" t="s">
        <v>144</v>
      </c>
      <c r="B4412" s="6" t="s">
        <v>86</v>
      </c>
      <c r="C4412" s="6" t="s">
        <v>203</v>
      </c>
      <c r="D4412" s="6">
        <v>499.0579166666666</v>
      </c>
      <c r="E4412" s="6" t="s">
        <v>88</v>
      </c>
      <c r="F4412" s="6" t="s">
        <v>53</v>
      </c>
      <c r="G4412" s="7">
        <v>22045.15542894867</v>
      </c>
      <c r="H4412" s="6">
        <v>11001809.34096398</v>
      </c>
      <c r="I4412" s="6" t="s">
        <v>179</v>
      </c>
      <c r="J4412" s="15">
        <v>8</v>
      </c>
    </row>
    <row r="4413" spans="1:10">
      <c r="A4413" s="6" t="s">
        <v>144</v>
      </c>
      <c r="B4413" s="6" t="s">
        <v>92</v>
      </c>
      <c r="C4413" s="6" t="s">
        <v>204</v>
      </c>
      <c r="D4413" s="6">
        <v>2500.7715</v>
      </c>
      <c r="E4413" s="6" t="s">
        <v>88</v>
      </c>
      <c r="F4413" s="6" t="s">
        <v>51</v>
      </c>
      <c r="G4413" s="7">
        <v>45931.03732154475</v>
      </c>
      <c r="H4413" s="6">
        <v>114863029.0991555</v>
      </c>
      <c r="I4413" s="6" t="s">
        <v>179</v>
      </c>
      <c r="J4413" s="15">
        <v>41.54166666666667</v>
      </c>
    </row>
    <row r="4414" spans="1:10">
      <c r="A4414" s="6" t="s">
        <v>144</v>
      </c>
      <c r="B4414" s="6" t="s">
        <v>88</v>
      </c>
      <c r="C4414" s="6" t="s">
        <v>338</v>
      </c>
      <c r="D4414" s="6">
        <v>2.61025</v>
      </c>
      <c r="E4414" s="6" t="s">
        <v>88</v>
      </c>
      <c r="F4414" s="6" t="s">
        <v>52</v>
      </c>
      <c r="G4414" s="7">
        <v>44335.59781697809</v>
      </c>
      <c r="H4414" s="6">
        <v>115726.9942017671</v>
      </c>
      <c r="I4414" s="6" t="s">
        <v>180</v>
      </c>
      <c r="J4414" s="15">
        <v>23.08823420331521</v>
      </c>
    </row>
    <row r="4415" spans="1:10">
      <c r="A4415" s="6" t="s">
        <v>144</v>
      </c>
      <c r="B4415" s="6" t="s">
        <v>88</v>
      </c>
      <c r="C4415" s="6" t="s">
        <v>205</v>
      </c>
      <c r="D4415" s="6">
        <v>637.0635000000001</v>
      </c>
      <c r="E4415" s="6" t="s">
        <v>88</v>
      </c>
      <c r="F4415" s="6" t="s">
        <v>56</v>
      </c>
      <c r="G4415" s="7">
        <v>38874.1891890203</v>
      </c>
      <c r="H4415" s="6">
        <v>24765327.02441944</v>
      </c>
      <c r="I4415" s="6" t="s">
        <v>180</v>
      </c>
      <c r="J4415" s="15">
        <v>19.4113769748944</v>
      </c>
    </row>
    <row r="4416" spans="1:10">
      <c r="A4416" s="6" t="s">
        <v>144</v>
      </c>
      <c r="B4416" s="6" t="s">
        <v>92</v>
      </c>
      <c r="C4416" s="6" t="s">
        <v>206</v>
      </c>
      <c r="D4416" s="6">
        <v>6.860416666666667</v>
      </c>
      <c r="E4416" s="6" t="s">
        <v>88</v>
      </c>
      <c r="F4416" s="6" t="s">
        <v>55</v>
      </c>
      <c r="G4416" s="7">
        <v>31981.7567354776</v>
      </c>
      <c r="H4416" s="6">
        <v>219408.1769373495</v>
      </c>
      <c r="I4416" s="6" t="s">
        <v>179</v>
      </c>
      <c r="J4416" s="15">
        <v>16</v>
      </c>
    </row>
    <row r="4417" spans="1:10">
      <c r="A4417" s="6" t="s">
        <v>144</v>
      </c>
      <c r="B4417" s="6" t="s">
        <v>92</v>
      </c>
      <c r="C4417" s="6" t="s">
        <v>340</v>
      </c>
      <c r="D4417" s="6">
        <v>118.7876666666667</v>
      </c>
      <c r="E4417" s="6" t="s">
        <v>88</v>
      </c>
      <c r="F4417" s="6" t="s">
        <v>52</v>
      </c>
      <c r="G4417" s="7">
        <v>30591.57365130842</v>
      </c>
      <c r="H4417" s="6">
        <v>3633901.653700407</v>
      </c>
      <c r="I4417" s="6" t="s">
        <v>180</v>
      </c>
      <c r="J4417" s="15">
        <v>4.69377687961323</v>
      </c>
    </row>
    <row r="4418" spans="1:10">
      <c r="A4418" s="6" t="s">
        <v>144</v>
      </c>
      <c r="B4418" s="6" t="s">
        <v>92</v>
      </c>
      <c r="C4418" s="6" t="s">
        <v>207</v>
      </c>
      <c r="D4418" s="6">
        <v>0.2558333333333334</v>
      </c>
      <c r="E4418" s="6" t="s">
        <v>88</v>
      </c>
      <c r="F4418" s="6" t="s">
        <v>55</v>
      </c>
      <c r="G4418" s="7">
        <v>35193.17601920018</v>
      </c>
      <c r="H4418" s="6">
        <v>9003.587531578714</v>
      </c>
      <c r="I4418" s="6" t="s">
        <v>180</v>
      </c>
      <c r="J4418" s="15">
        <v>6.416722916759179</v>
      </c>
    </row>
    <row r="4419" spans="1:10">
      <c r="A4419" s="6" t="s">
        <v>144</v>
      </c>
      <c r="B4419" s="6" t="s">
        <v>92</v>
      </c>
      <c r="C4419" s="6" t="s">
        <v>208</v>
      </c>
      <c r="D4419" s="6">
        <v>2.200666666666667</v>
      </c>
      <c r="E4419" s="6" t="s">
        <v>88</v>
      </c>
      <c r="F4419" s="6" t="s">
        <v>51</v>
      </c>
      <c r="G4419" s="7">
        <v>50504.79293432883</v>
      </c>
      <c r="H4419" s="6">
        <v>111144.2143174797</v>
      </c>
      <c r="I4419" s="6" t="s">
        <v>180</v>
      </c>
      <c r="J4419" s="15">
        <v>12.14974536787207</v>
      </c>
    </row>
    <row r="4420" spans="1:10">
      <c r="A4420" s="6" t="s">
        <v>144</v>
      </c>
      <c r="B4420" s="6" t="s">
        <v>92</v>
      </c>
      <c r="C4420" s="6" t="s">
        <v>209</v>
      </c>
      <c r="D4420" s="6">
        <v>0.2256666666666667</v>
      </c>
      <c r="E4420" s="6" t="s">
        <v>88</v>
      </c>
      <c r="F4420" s="6" t="s">
        <v>57</v>
      </c>
      <c r="G4420" s="7">
        <v>37511.68520504731</v>
      </c>
      <c r="H4420" s="6">
        <v>8465.136961272343</v>
      </c>
      <c r="I4420" s="6" t="s">
        <v>180</v>
      </c>
      <c r="J4420" s="15">
        <v>7.284826219581484</v>
      </c>
    </row>
    <row r="4421" spans="1:10">
      <c r="A4421" s="6" t="s">
        <v>144</v>
      </c>
      <c r="B4421" s="6" t="s">
        <v>92</v>
      </c>
      <c r="C4421" s="6" t="s">
        <v>210</v>
      </c>
      <c r="D4421" s="6">
        <v>0.4045833333333334</v>
      </c>
      <c r="E4421" s="6" t="s">
        <v>88</v>
      </c>
      <c r="F4421" s="6" t="s">
        <v>53</v>
      </c>
      <c r="G4421" s="7">
        <v>49345.5773914262</v>
      </c>
      <c r="H4421" s="6">
        <v>19964.39818628119</v>
      </c>
      <c r="I4421" s="6" t="s">
        <v>180</v>
      </c>
      <c r="J4421" s="15">
        <v>11.71570833768923</v>
      </c>
    </row>
    <row r="4422" spans="1:10">
      <c r="A4422" s="6" t="s">
        <v>144</v>
      </c>
      <c r="B4422" s="6" t="s">
        <v>92</v>
      </c>
      <c r="C4422" s="6" t="s">
        <v>211</v>
      </c>
      <c r="D4422" s="6">
        <v>404.5624166666666</v>
      </c>
      <c r="E4422" s="6" t="s">
        <v>88</v>
      </c>
      <c r="F4422" s="6" t="s">
        <v>55</v>
      </c>
      <c r="G4422" s="7">
        <v>25336.04217074411</v>
      </c>
      <c r="H4422" s="6">
        <v>10250010.44936481</v>
      </c>
      <c r="I4422" s="6" t="s">
        <v>179</v>
      </c>
      <c r="J4422" s="15">
        <v>16</v>
      </c>
    </row>
    <row r="4423" spans="1:10">
      <c r="A4423" s="6" t="s">
        <v>144</v>
      </c>
      <c r="B4423" s="6" t="s">
        <v>92</v>
      </c>
      <c r="C4423" s="6" t="s">
        <v>377</v>
      </c>
      <c r="D4423" s="6">
        <v>4.25175</v>
      </c>
      <c r="E4423" s="6" t="s">
        <v>88</v>
      </c>
      <c r="F4423" s="6" t="s">
        <v>51</v>
      </c>
      <c r="G4423" s="7">
        <v>38568.74339775931</v>
      </c>
      <c r="H4423" s="6">
        <v>163984.6547414231</v>
      </c>
      <c r="I4423" s="6" t="s">
        <v>180</v>
      </c>
      <c r="J4423" s="15">
        <v>7.680613182156479</v>
      </c>
    </row>
    <row r="4424" spans="1:10">
      <c r="A4424" s="6" t="s">
        <v>144</v>
      </c>
      <c r="B4424" s="6" t="s">
        <v>92</v>
      </c>
      <c r="C4424" s="6" t="s">
        <v>212</v>
      </c>
      <c r="D4424" s="6">
        <v>25.90866666666667</v>
      </c>
      <c r="E4424" s="6" t="s">
        <v>88</v>
      </c>
      <c r="F4424" s="6" t="s">
        <v>55</v>
      </c>
      <c r="G4424" s="7">
        <v>23468.05749758728</v>
      </c>
      <c r="H4424" s="6">
        <v>608026.0790191562</v>
      </c>
      <c r="I4424" s="6" t="s">
        <v>179</v>
      </c>
      <c r="J4424" s="15">
        <v>15</v>
      </c>
    </row>
    <row r="4425" spans="1:10">
      <c r="A4425" s="6" t="s">
        <v>144</v>
      </c>
      <c r="B4425" s="6" t="s">
        <v>88</v>
      </c>
      <c r="C4425" s="6" t="s">
        <v>213</v>
      </c>
      <c r="D4425" s="6">
        <v>16.92391666666666</v>
      </c>
      <c r="E4425" s="6" t="s">
        <v>88</v>
      </c>
      <c r="F4425" s="6" t="s">
        <v>52</v>
      </c>
      <c r="G4425" s="7">
        <v>44335.59781697809</v>
      </c>
      <c r="H4425" s="6">
        <v>750331.9628213856</v>
      </c>
      <c r="I4425" s="6" t="s">
        <v>180</v>
      </c>
      <c r="J4425" s="15">
        <v>23.08823420331521</v>
      </c>
    </row>
    <row r="4426" spans="1:10">
      <c r="A4426" s="6" t="s">
        <v>144</v>
      </c>
      <c r="B4426" s="6" t="s">
        <v>92</v>
      </c>
      <c r="C4426" s="6" t="s">
        <v>214</v>
      </c>
      <c r="D4426" s="6">
        <v>0.3579166666666667</v>
      </c>
      <c r="E4426" s="6" t="s">
        <v>88</v>
      </c>
      <c r="F4426" s="6" t="s">
        <v>53</v>
      </c>
      <c r="G4426" s="7">
        <v>62422.24836497094</v>
      </c>
      <c r="H4426" s="6">
        <v>22341.96306062918</v>
      </c>
      <c r="I4426" s="6" t="s">
        <v>180</v>
      </c>
      <c r="J4426" s="15">
        <v>16.61191549155782</v>
      </c>
    </row>
    <row r="4427" spans="1:10">
      <c r="A4427" s="6" t="s">
        <v>144</v>
      </c>
      <c r="B4427" s="6" t="s">
        <v>88</v>
      </c>
      <c r="C4427" s="6" t="s">
        <v>215</v>
      </c>
      <c r="D4427" s="6">
        <v>199.4104166666667</v>
      </c>
      <c r="E4427" s="6" t="s">
        <v>88</v>
      </c>
      <c r="F4427" s="6" t="s">
        <v>54</v>
      </c>
      <c r="G4427" s="7">
        <v>49061.49876660256</v>
      </c>
      <c r="H4427" s="6">
        <v>9783373.911339369</v>
      </c>
      <c r="I4427" s="6" t="s">
        <v>180</v>
      </c>
      <c r="J4427" s="15">
        <v>26.26991575310344</v>
      </c>
    </row>
    <row r="4428" spans="1:10">
      <c r="A4428" s="6" t="s">
        <v>144</v>
      </c>
      <c r="B4428" s="6" t="s">
        <v>92</v>
      </c>
      <c r="C4428" s="6" t="s">
        <v>216</v>
      </c>
      <c r="D4428" s="6">
        <v>1.496333333333333</v>
      </c>
      <c r="E4428" s="6" t="s">
        <v>88</v>
      </c>
      <c r="F4428" s="6" t="s">
        <v>55</v>
      </c>
      <c r="G4428" s="7">
        <v>37794.08920614998</v>
      </c>
      <c r="H4428" s="6">
        <v>56552.55548213574</v>
      </c>
      <c r="I4428" s="6" t="s">
        <v>180</v>
      </c>
      <c r="J4428" s="15">
        <v>22.25</v>
      </c>
    </row>
    <row r="4429" spans="1:10">
      <c r="A4429" s="6" t="s">
        <v>144</v>
      </c>
      <c r="B4429" s="6" t="s">
        <v>88</v>
      </c>
      <c r="C4429" s="6" t="s">
        <v>341</v>
      </c>
      <c r="D4429" s="6">
        <v>11.00733333333333</v>
      </c>
      <c r="E4429" s="6" t="s">
        <v>88</v>
      </c>
      <c r="F4429" s="6" t="s">
        <v>52</v>
      </c>
      <c r="G4429" s="7">
        <v>44335.59781697809</v>
      </c>
      <c r="H4429" s="6">
        <v>488016.7037040835</v>
      </c>
      <c r="I4429" s="6" t="s">
        <v>180</v>
      </c>
      <c r="J4429" s="15">
        <v>23.08823420331521</v>
      </c>
    </row>
    <row r="4430" spans="1:10">
      <c r="A4430" s="6" t="s">
        <v>144</v>
      </c>
      <c r="B4430" s="6" t="s">
        <v>92</v>
      </c>
      <c r="C4430" s="6" t="s">
        <v>217</v>
      </c>
      <c r="D4430" s="6">
        <v>14.37508333333333</v>
      </c>
      <c r="E4430" s="6" t="s">
        <v>88</v>
      </c>
      <c r="F4430" s="6" t="s">
        <v>53</v>
      </c>
      <c r="G4430" s="7">
        <v>65939.82541874713</v>
      </c>
      <c r="H4430" s="6">
        <v>947890.4853799415</v>
      </c>
      <c r="I4430" s="6" t="s">
        <v>180</v>
      </c>
      <c r="J4430" s="15">
        <v>17.92897745402719</v>
      </c>
    </row>
    <row r="4431" spans="1:10">
      <c r="A4431" s="6" t="s">
        <v>144</v>
      </c>
      <c r="B4431" s="6" t="s">
        <v>92</v>
      </c>
      <c r="C4431" s="6" t="s">
        <v>218</v>
      </c>
      <c r="D4431" s="6">
        <v>0.2668333333333334</v>
      </c>
      <c r="E4431" s="6" t="s">
        <v>88</v>
      </c>
      <c r="F4431" s="6" t="s">
        <v>54</v>
      </c>
      <c r="G4431" s="7">
        <v>72528.9080341926</v>
      </c>
      <c r="H4431" s="6">
        <v>19353.1302937904</v>
      </c>
      <c r="I4431" s="6" t="s">
        <v>180</v>
      </c>
      <c r="J4431" s="15">
        <v>20.39608192613964</v>
      </c>
    </row>
    <row r="4432" spans="1:10">
      <c r="A4432" s="6" t="s">
        <v>144</v>
      </c>
      <c r="B4432" s="6" t="s">
        <v>92</v>
      </c>
      <c r="C4432" s="6" t="s">
        <v>219</v>
      </c>
      <c r="D4432" s="6">
        <v>7.749583333333334</v>
      </c>
      <c r="E4432" s="6" t="s">
        <v>88</v>
      </c>
      <c r="F4432" s="6" t="s">
        <v>51</v>
      </c>
      <c r="G4432" s="7">
        <v>50028.12386913064</v>
      </c>
      <c r="H4432" s="6">
        <v>387697.1149341503</v>
      </c>
      <c r="I4432" s="6" t="s">
        <v>180</v>
      </c>
      <c r="J4432" s="15">
        <v>11.97126947811596</v>
      </c>
    </row>
    <row r="4433" spans="1:10">
      <c r="A4433" s="6" t="s">
        <v>144</v>
      </c>
      <c r="B4433" s="6" t="s">
        <v>92</v>
      </c>
      <c r="C4433" s="6" t="s">
        <v>220</v>
      </c>
      <c r="D4433" s="6">
        <v>1.558333333333333</v>
      </c>
      <c r="E4433" s="6" t="s">
        <v>88</v>
      </c>
      <c r="F4433" s="6" t="s">
        <v>57</v>
      </c>
      <c r="G4433" s="7">
        <v>40832.06893400874</v>
      </c>
      <c r="H4433" s="6">
        <v>63629.97408883029</v>
      </c>
      <c r="I4433" s="6" t="s">
        <v>180</v>
      </c>
      <c r="J4433" s="15">
        <v>8.528054454062554</v>
      </c>
    </row>
    <row r="4434" spans="1:10">
      <c r="A4434" s="6" t="s">
        <v>144</v>
      </c>
      <c r="B4434" s="6" t="s">
        <v>92</v>
      </c>
      <c r="C4434" s="6" t="s">
        <v>221</v>
      </c>
      <c r="D4434" s="6">
        <v>38.65241666666667</v>
      </c>
      <c r="E4434" s="6" t="s">
        <v>88</v>
      </c>
      <c r="F4434" s="6" t="s">
        <v>51</v>
      </c>
      <c r="G4434" s="7">
        <v>44450.04061738423</v>
      </c>
      <c r="H4434" s="6">
        <v>1718101.490793393</v>
      </c>
      <c r="I4434" s="6" t="s">
        <v>179</v>
      </c>
      <c r="J4434" s="15">
        <v>39.525</v>
      </c>
    </row>
    <row r="4435" spans="1:10">
      <c r="A4435" s="6" t="s">
        <v>144</v>
      </c>
      <c r="B4435" s="6" t="s">
        <v>92</v>
      </c>
      <c r="C4435" s="6" t="s">
        <v>222</v>
      </c>
      <c r="D4435" s="6">
        <v>0.31175</v>
      </c>
      <c r="E4435" s="6" t="s">
        <v>88</v>
      </c>
      <c r="F4435" s="6" t="s">
        <v>57</v>
      </c>
      <c r="G4435" s="7">
        <v>38127.89574884072</v>
      </c>
      <c r="H4435" s="6">
        <v>11886.37149970109</v>
      </c>
      <c r="I4435" s="6" t="s">
        <v>180</v>
      </c>
      <c r="J4435" s="15">
        <v>7.515549656679076</v>
      </c>
    </row>
    <row r="4436" spans="1:10">
      <c r="A4436" s="6" t="s">
        <v>144</v>
      </c>
      <c r="B4436" s="6" t="s">
        <v>92</v>
      </c>
      <c r="C4436" s="6" t="s">
        <v>342</v>
      </c>
      <c r="D4436" s="6">
        <v>19.24808333333333</v>
      </c>
      <c r="E4436" s="6" t="s">
        <v>88</v>
      </c>
      <c r="F4436" s="6" t="s">
        <v>53</v>
      </c>
      <c r="G4436" s="7">
        <v>46480.71512957623</v>
      </c>
      <c r="H4436" s="6">
        <v>894664.6782070107</v>
      </c>
      <c r="I4436" s="6" t="s">
        <v>180</v>
      </c>
      <c r="J4436" s="15">
        <v>10.64303784458775</v>
      </c>
    </row>
    <row r="4437" spans="1:10">
      <c r="A4437" s="6" t="s">
        <v>144</v>
      </c>
      <c r="B4437" s="6" t="s">
        <v>92</v>
      </c>
      <c r="C4437" s="6" t="s">
        <v>223</v>
      </c>
      <c r="D4437" s="6">
        <v>49.886</v>
      </c>
      <c r="E4437" s="6" t="s">
        <v>88</v>
      </c>
      <c r="F4437" s="6" t="s">
        <v>53</v>
      </c>
      <c r="G4437" s="7">
        <v>48232.87547336299</v>
      </c>
      <c r="H4437" s="6">
        <v>2406145.225864186</v>
      </c>
      <c r="I4437" s="6" t="s">
        <v>179</v>
      </c>
      <c r="J4437" s="15">
        <v>53.5</v>
      </c>
    </row>
    <row r="4438" spans="1:10">
      <c r="A4438" s="6" t="s">
        <v>144</v>
      </c>
      <c r="B4438" s="6" t="s">
        <v>92</v>
      </c>
      <c r="C4438" s="6" t="s">
        <v>224</v>
      </c>
      <c r="D4438" s="6">
        <v>621.3332499999999</v>
      </c>
      <c r="E4438" s="6" t="s">
        <v>88</v>
      </c>
      <c r="F4438" s="6" t="s">
        <v>51</v>
      </c>
      <c r="G4438" s="7">
        <v>46793.10139429578</v>
      </c>
      <c r="H4438" s="6">
        <v>29074109.76689732</v>
      </c>
      <c r="I4438" s="6" t="s">
        <v>179</v>
      </c>
      <c r="J4438" s="15">
        <v>41.85</v>
      </c>
    </row>
    <row r="4439" spans="1:10">
      <c r="A4439" s="6" t="s">
        <v>144</v>
      </c>
      <c r="B4439" s="6" t="s">
        <v>88</v>
      </c>
      <c r="C4439" s="6" t="s">
        <v>225</v>
      </c>
      <c r="D4439" s="6">
        <v>0.004666666666666667</v>
      </c>
      <c r="E4439" s="6" t="s">
        <v>88</v>
      </c>
      <c r="F4439" s="6" t="s">
        <v>54</v>
      </c>
      <c r="G4439" s="7">
        <v>44268.94328669953</v>
      </c>
      <c r="H4439" s="6">
        <v>206.5884020045978</v>
      </c>
      <c r="I4439" s="6" t="s">
        <v>180</v>
      </c>
      <c r="J4439" s="15">
        <v>23.04335948176314</v>
      </c>
    </row>
    <row r="4440" spans="1:10">
      <c r="A4440" s="6" t="s">
        <v>144</v>
      </c>
      <c r="B4440" s="6" t="s">
        <v>88</v>
      </c>
      <c r="C4440" s="6" t="s">
        <v>226</v>
      </c>
      <c r="D4440" s="6">
        <v>230.1254166666667</v>
      </c>
      <c r="E4440" s="6" t="s">
        <v>88</v>
      </c>
      <c r="F4440" s="6" t="s">
        <v>56</v>
      </c>
      <c r="G4440" s="7">
        <v>43574.43033788576</v>
      </c>
      <c r="H4440" s="6">
        <v>10027583.9375186</v>
      </c>
      <c r="I4440" s="6" t="s">
        <v>180</v>
      </c>
      <c r="J4440" s="15">
        <v>22.57578323357593</v>
      </c>
    </row>
    <row r="4441" spans="1:10">
      <c r="A4441" s="6" t="s">
        <v>144</v>
      </c>
      <c r="B4441" s="6" t="s">
        <v>88</v>
      </c>
      <c r="C4441" s="6" t="s">
        <v>344</v>
      </c>
      <c r="D4441" s="6">
        <v>22.83183333333334</v>
      </c>
      <c r="E4441" s="6" t="s">
        <v>88</v>
      </c>
      <c r="F4441" s="6" t="s">
        <v>52</v>
      </c>
      <c r="G4441" s="7">
        <v>44335.59781697809</v>
      </c>
      <c r="H4441" s="6">
        <v>1012262.980090941</v>
      </c>
      <c r="I4441" s="6" t="s">
        <v>180</v>
      </c>
      <c r="J4441" s="15">
        <v>23.08823420331521</v>
      </c>
    </row>
    <row r="4442" spans="1:10">
      <c r="A4442" s="6" t="s">
        <v>144</v>
      </c>
      <c r="B4442" s="6" t="s">
        <v>92</v>
      </c>
      <c r="C4442" s="6" t="s">
        <v>345</v>
      </c>
      <c r="D4442" s="6">
        <v>16.05825</v>
      </c>
      <c r="E4442" s="6" t="s">
        <v>88</v>
      </c>
      <c r="F4442" s="6" t="s">
        <v>53</v>
      </c>
      <c r="G4442" s="7">
        <v>53287.30462003995</v>
      </c>
      <c r="H4442" s="6">
        <v>855700.8594147565</v>
      </c>
      <c r="I4442" s="6" t="s">
        <v>180</v>
      </c>
      <c r="J4442" s="15">
        <v>13.19158190630481</v>
      </c>
    </row>
    <row r="4443" spans="1:10">
      <c r="A4443" s="6" t="s">
        <v>144</v>
      </c>
      <c r="B4443" s="6" t="s">
        <v>92</v>
      </c>
      <c r="C4443" s="6" t="s">
        <v>227</v>
      </c>
      <c r="D4443" s="6">
        <v>28.6565</v>
      </c>
      <c r="E4443" s="6" t="s">
        <v>88</v>
      </c>
      <c r="F4443" s="6" t="s">
        <v>57</v>
      </c>
      <c r="G4443" s="7">
        <v>53193.31448576911</v>
      </c>
      <c r="H4443" s="6">
        <v>1524334.216561442</v>
      </c>
      <c r="I4443" s="6" t="s">
        <v>179</v>
      </c>
      <c r="J4443" s="15">
        <v>43</v>
      </c>
    </row>
    <row r="4444" spans="1:10">
      <c r="A4444" s="6" t="s">
        <v>144</v>
      </c>
      <c r="B4444" s="6" t="s">
        <v>92</v>
      </c>
      <c r="C4444" s="6" t="s">
        <v>228</v>
      </c>
      <c r="D4444" s="6">
        <v>45.89083333333333</v>
      </c>
      <c r="E4444" s="6" t="s">
        <v>88</v>
      </c>
      <c r="F4444" s="6" t="s">
        <v>51</v>
      </c>
      <c r="G4444" s="7">
        <v>40082.62252520998</v>
      </c>
      <c r="H4444" s="6">
        <v>1839424.949867324</v>
      </c>
      <c r="I4444" s="6" t="s">
        <v>179</v>
      </c>
      <c r="J4444" s="15">
        <v>26.025</v>
      </c>
    </row>
    <row r="4445" spans="1:10">
      <c r="A4445" s="6" t="s">
        <v>144</v>
      </c>
      <c r="B4445" s="6" t="s">
        <v>92</v>
      </c>
      <c r="C4445" s="6" t="s">
        <v>229</v>
      </c>
      <c r="D4445" s="6">
        <v>25.42741666666667</v>
      </c>
      <c r="E4445" s="6" t="s">
        <v>88</v>
      </c>
      <c r="F4445" s="6" t="s">
        <v>53</v>
      </c>
      <c r="G4445" s="7">
        <v>50225.07411158284</v>
      </c>
      <c r="H4445" s="6">
        <v>1277093.88654943</v>
      </c>
      <c r="I4445" s="6" t="s">
        <v>180</v>
      </c>
      <c r="J4445" s="15">
        <v>12.04501219046236</v>
      </c>
    </row>
    <row r="4446" spans="1:10">
      <c r="A4446" s="6" t="s">
        <v>144</v>
      </c>
      <c r="B4446" s="6" t="s">
        <v>92</v>
      </c>
      <c r="C4446" s="6" t="s">
        <v>367</v>
      </c>
      <c r="D4446" s="6">
        <v>0.9388333333333334</v>
      </c>
      <c r="E4446" s="6" t="s">
        <v>88</v>
      </c>
      <c r="F4446" s="6" t="s">
        <v>55</v>
      </c>
      <c r="G4446" s="7">
        <v>42283.6525693799</v>
      </c>
      <c r="H4446" s="6">
        <v>39697.30248721949</v>
      </c>
      <c r="I4446" s="6" t="s">
        <v>179</v>
      </c>
      <c r="J4446" s="15">
        <v>15</v>
      </c>
    </row>
    <row r="4447" spans="1:10">
      <c r="A4447" s="6" t="s">
        <v>144</v>
      </c>
      <c r="B4447" s="6" t="s">
        <v>92</v>
      </c>
      <c r="C4447" s="6" t="s">
        <v>230</v>
      </c>
      <c r="D4447" s="6">
        <v>90.47050000000002</v>
      </c>
      <c r="E4447" s="6" t="s">
        <v>88</v>
      </c>
      <c r="F4447" s="6" t="s">
        <v>53</v>
      </c>
      <c r="G4447" s="7">
        <v>50127.30283720783</v>
      </c>
      <c r="H4447" s="6">
        <v>4535042.151333611</v>
      </c>
      <c r="I4447" s="6" t="s">
        <v>180</v>
      </c>
      <c r="J4447" s="15">
        <v>42.83333333333334</v>
      </c>
    </row>
    <row r="4448" spans="1:10">
      <c r="A4448" s="6" t="s">
        <v>144</v>
      </c>
      <c r="B4448" s="6" t="s">
        <v>92</v>
      </c>
      <c r="C4448" s="6" t="s">
        <v>378</v>
      </c>
      <c r="D4448" s="6">
        <v>2.897416666666667</v>
      </c>
      <c r="E4448" s="6" t="s">
        <v>88</v>
      </c>
      <c r="F4448" s="6" t="s">
        <v>51</v>
      </c>
      <c r="G4448" s="7">
        <v>41089.89799783281</v>
      </c>
      <c r="H4448" s="6">
        <v>119054.5552905541</v>
      </c>
      <c r="I4448" s="6" t="s">
        <v>180</v>
      </c>
      <c r="J4448" s="15">
        <v>8.624591600965196</v>
      </c>
    </row>
    <row r="4449" spans="1:10">
      <c r="A4449" s="6" t="s">
        <v>144</v>
      </c>
      <c r="B4449" s="6" t="s">
        <v>88</v>
      </c>
      <c r="C4449" s="6" t="s">
        <v>231</v>
      </c>
      <c r="D4449" s="6">
        <v>1.936916666666667</v>
      </c>
      <c r="E4449" s="6" t="s">
        <v>88</v>
      </c>
      <c r="F4449" s="6" t="s">
        <v>52</v>
      </c>
      <c r="G4449" s="7">
        <v>44335.59781697809</v>
      </c>
      <c r="H4449" s="6">
        <v>85874.35833833515</v>
      </c>
      <c r="I4449" s="6" t="s">
        <v>180</v>
      </c>
      <c r="J4449" s="15">
        <v>23.08823420331521</v>
      </c>
    </row>
    <row r="4450" spans="1:10">
      <c r="A4450" s="6" t="s">
        <v>144</v>
      </c>
      <c r="B4450" s="6" t="s">
        <v>88</v>
      </c>
      <c r="C4450" s="6" t="s">
        <v>346</v>
      </c>
      <c r="D4450" s="6">
        <v>1.322916666666667</v>
      </c>
      <c r="E4450" s="6" t="s">
        <v>88</v>
      </c>
      <c r="F4450" s="6" t="s">
        <v>52</v>
      </c>
      <c r="G4450" s="7">
        <v>44335.59781697809</v>
      </c>
      <c r="H4450" s="6">
        <v>58652.3012787106</v>
      </c>
      <c r="I4450" s="6" t="s">
        <v>180</v>
      </c>
      <c r="J4450" s="15">
        <v>23.08823420331521</v>
      </c>
    </row>
    <row r="4451" spans="1:10">
      <c r="A4451" s="6" t="s">
        <v>144</v>
      </c>
      <c r="B4451" s="6" t="s">
        <v>92</v>
      </c>
      <c r="C4451" s="6" t="s">
        <v>232</v>
      </c>
      <c r="D4451" s="6">
        <v>12.86858333333333</v>
      </c>
      <c r="E4451" s="6" t="s">
        <v>88</v>
      </c>
      <c r="F4451" s="6" t="s">
        <v>51</v>
      </c>
      <c r="G4451" s="7">
        <v>47655.11283939263</v>
      </c>
      <c r="H4451" s="6">
        <v>613253.7908331273</v>
      </c>
      <c r="I4451" s="6" t="s">
        <v>180</v>
      </c>
      <c r="J4451" s="15">
        <v>11.08275942815615</v>
      </c>
    </row>
    <row r="4452" spans="1:10">
      <c r="A4452" s="6" t="s">
        <v>144</v>
      </c>
      <c r="B4452" s="6" t="s">
        <v>92</v>
      </c>
      <c r="C4452" s="6" t="s">
        <v>233</v>
      </c>
      <c r="D4452" s="6">
        <v>46.15808333333333</v>
      </c>
      <c r="E4452" s="6" t="s">
        <v>88</v>
      </c>
      <c r="F4452" s="6" t="s">
        <v>59</v>
      </c>
      <c r="G4452" s="7">
        <v>44232.39847084988</v>
      </c>
      <c r="H4452" s="6">
        <v>2041682.734650695</v>
      </c>
      <c r="I4452" s="6" t="s">
        <v>180</v>
      </c>
      <c r="J4452" s="15">
        <v>9.801216242523401</v>
      </c>
    </row>
    <row r="4453" spans="1:10">
      <c r="A4453" s="6" t="s">
        <v>144</v>
      </c>
      <c r="B4453" s="6" t="s">
        <v>88</v>
      </c>
      <c r="C4453" s="6" t="s">
        <v>234</v>
      </c>
      <c r="D4453" s="6">
        <v>142.3055833333333</v>
      </c>
      <c r="E4453" s="6" t="s">
        <v>88</v>
      </c>
      <c r="F4453" s="6" t="s">
        <v>56</v>
      </c>
      <c r="G4453" s="7">
        <v>38754.40855139481</v>
      </c>
      <c r="H4453" s="6">
        <v>5514968.715644559</v>
      </c>
      <c r="I4453" s="6" t="s">
        <v>180</v>
      </c>
      <c r="J4453" s="15">
        <v>19.33073545303068</v>
      </c>
    </row>
    <row r="4454" spans="1:10">
      <c r="A4454" s="6" t="s">
        <v>144</v>
      </c>
      <c r="B4454" s="6" t="s">
        <v>92</v>
      </c>
      <c r="C4454" s="6" t="s">
        <v>235</v>
      </c>
      <c r="D4454" s="6">
        <v>0.07575</v>
      </c>
      <c r="E4454" s="6" t="s">
        <v>88</v>
      </c>
      <c r="F4454" s="6" t="s">
        <v>53</v>
      </c>
      <c r="G4454" s="7">
        <v>47918.71656407737</v>
      </c>
      <c r="H4454" s="6">
        <v>3629.84277972886</v>
      </c>
      <c r="I4454" s="6" t="s">
        <v>180</v>
      </c>
      <c r="J4454" s="15">
        <v>11.18145874124577</v>
      </c>
    </row>
    <row r="4455" spans="1:10">
      <c r="A4455" s="6" t="s">
        <v>144</v>
      </c>
      <c r="B4455" s="6" t="s">
        <v>92</v>
      </c>
      <c r="C4455" s="6" t="s">
        <v>236</v>
      </c>
      <c r="D4455" s="6">
        <v>1182.403333333333</v>
      </c>
      <c r="E4455" s="6" t="s">
        <v>88</v>
      </c>
      <c r="F4455" s="6" t="s">
        <v>51</v>
      </c>
      <c r="G4455" s="7">
        <v>44660.20742498994</v>
      </c>
      <c r="H4455" s="6">
        <v>52806378.12666618</v>
      </c>
      <c r="I4455" s="6" t="s">
        <v>179</v>
      </c>
      <c r="J4455" s="15">
        <v>46.28333333333333</v>
      </c>
    </row>
    <row r="4456" spans="1:10">
      <c r="A4456" s="6" t="s">
        <v>144</v>
      </c>
      <c r="B4456" s="6" t="s">
        <v>92</v>
      </c>
      <c r="C4456" s="6" t="s">
        <v>237</v>
      </c>
      <c r="D4456" s="6">
        <v>19.15158333333333</v>
      </c>
      <c r="E4456" s="6" t="s">
        <v>88</v>
      </c>
      <c r="F4456" s="6" t="s">
        <v>51</v>
      </c>
      <c r="G4456" s="7">
        <v>45814.12048649801</v>
      </c>
      <c r="H4456" s="6">
        <v>877412.9463405405</v>
      </c>
      <c r="I4456" s="6" t="s">
        <v>180</v>
      </c>
      <c r="J4456" s="15">
        <v>10.39344943888626</v>
      </c>
    </row>
    <row r="4457" spans="1:10">
      <c r="A4457" s="6" t="s">
        <v>144</v>
      </c>
      <c r="B4457" s="6" t="s">
        <v>92</v>
      </c>
      <c r="C4457" s="6" t="s">
        <v>238</v>
      </c>
      <c r="D4457" s="6">
        <v>73.16891666666666</v>
      </c>
      <c r="E4457" s="6" t="s">
        <v>88</v>
      </c>
      <c r="F4457" s="6" t="s">
        <v>51</v>
      </c>
      <c r="G4457" s="7">
        <v>51984.33495522587</v>
      </c>
      <c r="H4457" s="6">
        <v>3803637.472311008</v>
      </c>
      <c r="I4457" s="6" t="s">
        <v>180</v>
      </c>
      <c r="J4457" s="15">
        <v>12.70372001798148</v>
      </c>
    </row>
    <row r="4458" spans="1:10">
      <c r="A4458" s="6" t="s">
        <v>144</v>
      </c>
      <c r="B4458" s="6" t="s">
        <v>88</v>
      </c>
      <c r="C4458" s="6" t="s">
        <v>239</v>
      </c>
      <c r="D4458" s="6">
        <v>117.7128333333333</v>
      </c>
      <c r="E4458" s="6" t="s">
        <v>88</v>
      </c>
      <c r="F4458" s="6" t="s">
        <v>54</v>
      </c>
      <c r="G4458" s="7">
        <v>51922.31915235746</v>
      </c>
      <c r="H4458" s="6">
        <v>6111923.300661595</v>
      </c>
      <c r="I4458" s="6" t="s">
        <v>180</v>
      </c>
      <c r="J4458" s="15">
        <v>28.19594415184457</v>
      </c>
    </row>
    <row r="4459" spans="1:10">
      <c r="A4459" s="6" t="s">
        <v>144</v>
      </c>
      <c r="B4459" s="6" t="s">
        <v>92</v>
      </c>
      <c r="C4459" s="6" t="s">
        <v>379</v>
      </c>
      <c r="D4459" s="6">
        <v>9.439</v>
      </c>
      <c r="E4459" s="6" t="s">
        <v>88</v>
      </c>
      <c r="F4459" s="6" t="s">
        <v>51</v>
      </c>
      <c r="G4459" s="7">
        <v>39736.55973566615</v>
      </c>
      <c r="H4459" s="6">
        <v>375073.3873449527</v>
      </c>
      <c r="I4459" s="6" t="s">
        <v>180</v>
      </c>
      <c r="J4459" s="15">
        <v>8.117870548318852</v>
      </c>
    </row>
    <row r="4460" spans="1:10">
      <c r="A4460" s="6" t="s">
        <v>144</v>
      </c>
      <c r="B4460" s="6" t="s">
        <v>92</v>
      </c>
      <c r="C4460" s="6" t="s">
        <v>368</v>
      </c>
      <c r="D4460" s="6">
        <v>0.3261666666666667</v>
      </c>
      <c r="E4460" s="6" t="s">
        <v>88</v>
      </c>
      <c r="F4460" s="6" t="s">
        <v>55</v>
      </c>
      <c r="G4460" s="7">
        <v>43717.6088593299</v>
      </c>
      <c r="H4460" s="6">
        <v>14259.22675628477</v>
      </c>
      <c r="I4460" s="6" t="s">
        <v>179</v>
      </c>
      <c r="J4460" s="15">
        <v>15</v>
      </c>
    </row>
    <row r="4461" spans="1:10">
      <c r="A4461" s="6" t="s">
        <v>144</v>
      </c>
      <c r="B4461" s="6" t="s">
        <v>92</v>
      </c>
      <c r="C4461" s="6" t="s">
        <v>240</v>
      </c>
      <c r="D4461" s="6">
        <v>2.63225</v>
      </c>
      <c r="E4461" s="6" t="s">
        <v>88</v>
      </c>
      <c r="F4461" s="6" t="s">
        <v>51</v>
      </c>
      <c r="G4461" s="7">
        <v>42218.72021108094</v>
      </c>
      <c r="H4461" s="6">
        <v>111130.2262756178</v>
      </c>
      <c r="I4461" s="6" t="s">
        <v>180</v>
      </c>
      <c r="J4461" s="15">
        <v>9.04724866767069</v>
      </c>
    </row>
    <row r="4462" spans="1:10">
      <c r="A4462" s="6" t="s">
        <v>144</v>
      </c>
      <c r="B4462" s="6" t="s">
        <v>92</v>
      </c>
      <c r="C4462" s="6" t="s">
        <v>241</v>
      </c>
      <c r="D4462" s="6">
        <v>31.65108333333334</v>
      </c>
      <c r="E4462" s="6" t="s">
        <v>88</v>
      </c>
      <c r="F4462" s="6" t="s">
        <v>53</v>
      </c>
      <c r="G4462" s="7">
        <v>52223.82604068523</v>
      </c>
      <c r="H4462" s="6">
        <v>1652940.669999232</v>
      </c>
      <c r="I4462" s="6" t="s">
        <v>180</v>
      </c>
      <c r="J4462" s="15">
        <v>12.79339100291993</v>
      </c>
    </row>
    <row r="4463" spans="1:10">
      <c r="A4463" s="6" t="s">
        <v>144</v>
      </c>
      <c r="B4463" s="6" t="s">
        <v>92</v>
      </c>
      <c r="C4463" s="6" t="s">
        <v>242</v>
      </c>
      <c r="D4463" s="6">
        <v>102.34575</v>
      </c>
      <c r="E4463" s="6" t="s">
        <v>88</v>
      </c>
      <c r="F4463" s="6" t="s">
        <v>56</v>
      </c>
      <c r="G4463" s="7">
        <v>67827.26265290676</v>
      </c>
      <c r="H4463" s="6">
        <v>6941832.066658732</v>
      </c>
      <c r="I4463" s="6" t="s">
        <v>180</v>
      </c>
      <c r="J4463" s="15">
        <v>18.63567747783801</v>
      </c>
    </row>
    <row r="4464" spans="1:10">
      <c r="A4464" s="6" t="s">
        <v>144</v>
      </c>
      <c r="B4464" s="6" t="s">
        <v>92</v>
      </c>
      <c r="C4464" s="6" t="s">
        <v>243</v>
      </c>
      <c r="D4464" s="6">
        <v>0.1345</v>
      </c>
      <c r="E4464" s="6" t="s">
        <v>88</v>
      </c>
      <c r="F4464" s="6" t="s">
        <v>58</v>
      </c>
      <c r="G4464" s="7">
        <v>50145.16283380362</v>
      </c>
      <c r="H4464" s="6">
        <v>6744.524401146587</v>
      </c>
      <c r="I4464" s="6" t="s">
        <v>180</v>
      </c>
      <c r="J4464" s="15">
        <v>12.01509156534846</v>
      </c>
    </row>
    <row r="4465" spans="1:10">
      <c r="A4465" s="6" t="s">
        <v>144</v>
      </c>
      <c r="B4465" s="6" t="s">
        <v>92</v>
      </c>
      <c r="C4465" s="6" t="s">
        <v>369</v>
      </c>
      <c r="D4465" s="6">
        <v>0.7195</v>
      </c>
      <c r="E4465" s="6" t="s">
        <v>88</v>
      </c>
      <c r="F4465" s="6" t="s">
        <v>55</v>
      </c>
      <c r="G4465" s="7">
        <v>40825.70263339478</v>
      </c>
      <c r="H4465" s="6">
        <v>29374.09304472755</v>
      </c>
      <c r="I4465" s="6" t="s">
        <v>179</v>
      </c>
      <c r="J4465" s="15">
        <v>15.5</v>
      </c>
    </row>
    <row r="4466" spans="1:10">
      <c r="A4466" s="6" t="s">
        <v>144</v>
      </c>
      <c r="B4466" s="6" t="s">
        <v>92</v>
      </c>
      <c r="C4466" s="6" t="s">
        <v>244</v>
      </c>
      <c r="D4466" s="6">
        <v>4.119083333333333</v>
      </c>
      <c r="E4466" s="6" t="s">
        <v>88</v>
      </c>
      <c r="F4466" s="6" t="s">
        <v>55</v>
      </c>
      <c r="G4466" s="7">
        <v>48892.00333862133</v>
      </c>
      <c r="H4466" s="6">
        <v>201390.2360853928</v>
      </c>
      <c r="I4466" s="6" t="s">
        <v>179</v>
      </c>
      <c r="J4466" s="15">
        <v>17</v>
      </c>
    </row>
    <row r="4467" spans="1:10">
      <c r="A4467" s="6" t="s">
        <v>144</v>
      </c>
      <c r="B4467" s="6" t="s">
        <v>90</v>
      </c>
      <c r="C4467" s="6" t="s">
        <v>245</v>
      </c>
      <c r="D4467" s="6">
        <v>109.08575</v>
      </c>
      <c r="E4467" s="6" t="s">
        <v>88</v>
      </c>
      <c r="F4467" s="6" t="s">
        <v>53</v>
      </c>
      <c r="G4467" s="7">
        <v>15981.96816829709</v>
      </c>
      <c r="H4467" s="6">
        <v>1743404.984114815</v>
      </c>
      <c r="I4467" s="6" t="s">
        <v>179</v>
      </c>
      <c r="J4467" s="15">
        <v>38</v>
      </c>
    </row>
    <row r="4468" spans="1:10">
      <c r="A4468" s="6" t="s">
        <v>144</v>
      </c>
      <c r="B4468" s="6" t="s">
        <v>92</v>
      </c>
      <c r="C4468" s="6" t="s">
        <v>246</v>
      </c>
      <c r="D4468" s="6">
        <v>0.06491666666666668</v>
      </c>
      <c r="E4468" s="6" t="s">
        <v>88</v>
      </c>
      <c r="F4468" s="6" t="s">
        <v>53</v>
      </c>
      <c r="G4468" s="7">
        <v>52060.28389589844</v>
      </c>
      <c r="H4468" s="6">
        <v>3379.580096242074</v>
      </c>
      <c r="I4468" s="6" t="s">
        <v>180</v>
      </c>
      <c r="J4468" s="15">
        <v>12.73215705271319</v>
      </c>
    </row>
    <row r="4469" spans="1:10">
      <c r="A4469" s="6" t="s">
        <v>144</v>
      </c>
      <c r="B4469" s="6" t="s">
        <v>88</v>
      </c>
      <c r="C4469" s="6" t="s">
        <v>348</v>
      </c>
      <c r="D4469" s="6">
        <v>46.96041666666667</v>
      </c>
      <c r="E4469" s="6" t="s">
        <v>88</v>
      </c>
      <c r="F4469" s="6" t="s">
        <v>52</v>
      </c>
      <c r="G4469" s="7">
        <v>44335.59781697809</v>
      </c>
      <c r="H4469" s="6">
        <v>2082018.146651048</v>
      </c>
      <c r="I4469" s="6" t="s">
        <v>180</v>
      </c>
      <c r="J4469" s="15">
        <v>23.08823420331521</v>
      </c>
    </row>
    <row r="4470" spans="1:10">
      <c r="A4470" s="6" t="s">
        <v>144</v>
      </c>
      <c r="B4470" s="6" t="s">
        <v>88</v>
      </c>
      <c r="C4470" s="6" t="s">
        <v>349</v>
      </c>
      <c r="D4470" s="6">
        <v>1.246333333333333</v>
      </c>
      <c r="E4470" s="6" t="s">
        <v>88</v>
      </c>
      <c r="F4470" s="6" t="s">
        <v>52</v>
      </c>
      <c r="G4470" s="7">
        <v>44335.59781697809</v>
      </c>
      <c r="H4470" s="6">
        <v>55256.93341256036</v>
      </c>
      <c r="I4470" s="6" t="s">
        <v>180</v>
      </c>
      <c r="J4470" s="15">
        <v>23.08823420331521</v>
      </c>
    </row>
    <row r="4471" spans="1:10">
      <c r="A4471" s="6" t="s">
        <v>144</v>
      </c>
      <c r="B4471" s="6" t="s">
        <v>92</v>
      </c>
      <c r="C4471" s="6" t="s">
        <v>247</v>
      </c>
      <c r="D4471" s="6">
        <v>234.6568333333333</v>
      </c>
      <c r="E4471" s="6" t="s">
        <v>88</v>
      </c>
      <c r="F4471" s="6" t="s">
        <v>51</v>
      </c>
      <c r="G4471" s="7">
        <v>46237.23227272295</v>
      </c>
      <c r="H4471" s="6">
        <v>10849882.50721497</v>
      </c>
      <c r="I4471" s="6" t="s">
        <v>179</v>
      </c>
      <c r="J4471" s="15">
        <v>29.3</v>
      </c>
    </row>
    <row r="4472" spans="1:10">
      <c r="A4472" s="6" t="s">
        <v>144</v>
      </c>
      <c r="B4472" s="6" t="s">
        <v>92</v>
      </c>
      <c r="C4472" s="6" t="s">
        <v>248</v>
      </c>
      <c r="D4472" s="6">
        <v>19.2925</v>
      </c>
      <c r="E4472" s="6" t="s">
        <v>88</v>
      </c>
      <c r="F4472" s="6" t="s">
        <v>55</v>
      </c>
      <c r="G4472" s="7">
        <v>58404.33083392808</v>
      </c>
      <c r="H4472" s="6">
        <v>1126765.552613558</v>
      </c>
      <c r="I4472" s="6" t="s">
        <v>179</v>
      </c>
      <c r="J4472" s="15">
        <v>49.38333333333333</v>
      </c>
    </row>
    <row r="4473" spans="1:10">
      <c r="A4473" s="6" t="s">
        <v>144</v>
      </c>
      <c r="B4473" s="6" t="s">
        <v>92</v>
      </c>
      <c r="C4473" s="6" t="s">
        <v>249</v>
      </c>
      <c r="D4473" s="6">
        <v>237.52175</v>
      </c>
      <c r="E4473" s="6" t="s">
        <v>88</v>
      </c>
      <c r="F4473" s="6" t="s">
        <v>53</v>
      </c>
      <c r="G4473" s="7">
        <v>38542.7817237839</v>
      </c>
      <c r="H4473" s="6">
        <v>9154748.964901168</v>
      </c>
      <c r="I4473" s="6" t="s">
        <v>179</v>
      </c>
      <c r="J4473" s="15">
        <v>47.575</v>
      </c>
    </row>
    <row r="4474" spans="1:10">
      <c r="A4474" s="6" t="s">
        <v>144</v>
      </c>
      <c r="B4474" s="6" t="s">
        <v>88</v>
      </c>
      <c r="C4474" s="6" t="s">
        <v>352</v>
      </c>
      <c r="D4474" s="6">
        <v>5.249666666666667</v>
      </c>
      <c r="E4474" s="6" t="s">
        <v>88</v>
      </c>
      <c r="F4474" s="6" t="s">
        <v>52</v>
      </c>
      <c r="G4474" s="7">
        <v>44335.59781697809</v>
      </c>
      <c r="H4474" s="6">
        <v>232747.1100065293</v>
      </c>
      <c r="I4474" s="6" t="s">
        <v>180</v>
      </c>
      <c r="J4474" s="15">
        <v>23.08823420331521</v>
      </c>
    </row>
    <row r="4475" spans="1:10">
      <c r="A4475" s="6" t="s">
        <v>144</v>
      </c>
      <c r="B4475" s="6" t="s">
        <v>92</v>
      </c>
      <c r="C4475" s="6" t="s">
        <v>250</v>
      </c>
      <c r="D4475" s="6">
        <v>2.650333333333333</v>
      </c>
      <c r="E4475" s="6" t="s">
        <v>88</v>
      </c>
      <c r="F4475" s="6" t="s">
        <v>55</v>
      </c>
      <c r="G4475" s="7">
        <v>37321.61329653078</v>
      </c>
      <c r="H4475" s="6">
        <v>98914.71577357207</v>
      </c>
      <c r="I4475" s="6" t="s">
        <v>179</v>
      </c>
      <c r="J4475" s="15">
        <v>15</v>
      </c>
    </row>
    <row r="4476" spans="1:10">
      <c r="A4476" s="6" t="s">
        <v>144</v>
      </c>
      <c r="B4476" s="6" t="s">
        <v>92</v>
      </c>
      <c r="C4476" s="6" t="s">
        <v>251</v>
      </c>
      <c r="D4476" s="6">
        <v>3.149583333333333</v>
      </c>
      <c r="E4476" s="6" t="s">
        <v>88</v>
      </c>
      <c r="F4476" s="6" t="s">
        <v>53</v>
      </c>
      <c r="G4476" s="7">
        <v>49502.3667901282</v>
      </c>
      <c r="H4476" s="6">
        <v>155911.8294027413</v>
      </c>
      <c r="I4476" s="6" t="s">
        <v>180</v>
      </c>
      <c r="J4476" s="15">
        <v>11.77441390404695</v>
      </c>
    </row>
    <row r="4477" spans="1:10">
      <c r="A4477" s="6" t="s">
        <v>144</v>
      </c>
      <c r="B4477" s="6" t="s">
        <v>92</v>
      </c>
      <c r="C4477" s="6" t="s">
        <v>252</v>
      </c>
      <c r="D4477" s="6">
        <v>20.45391666666667</v>
      </c>
      <c r="E4477" s="6" t="s">
        <v>88</v>
      </c>
      <c r="F4477" s="6" t="s">
        <v>57</v>
      </c>
      <c r="G4477" s="7">
        <v>48993.49682082658</v>
      </c>
      <c r="H4477" s="6">
        <v>1002108.901181785</v>
      </c>
      <c r="I4477" s="6" t="s">
        <v>180</v>
      </c>
      <c r="J4477" s="15">
        <v>11.58388125325807</v>
      </c>
    </row>
    <row r="4478" spans="1:10">
      <c r="A4478" s="6" t="s">
        <v>144</v>
      </c>
      <c r="B4478" s="6" t="s">
        <v>92</v>
      </c>
      <c r="C4478" s="6" t="s">
        <v>253</v>
      </c>
      <c r="D4478" s="6">
        <v>18.01516666666667</v>
      </c>
      <c r="E4478" s="6" t="s">
        <v>88</v>
      </c>
      <c r="F4478" s="6" t="s">
        <v>53</v>
      </c>
      <c r="G4478" s="7">
        <v>49900.32874056988</v>
      </c>
      <c r="H4478" s="6">
        <v>898962.7389828231</v>
      </c>
      <c r="I4478" s="6" t="s">
        <v>180</v>
      </c>
      <c r="J4478" s="15">
        <v>11.92342003509223</v>
      </c>
    </row>
    <row r="4479" spans="1:10">
      <c r="A4479" s="6" t="s">
        <v>144</v>
      </c>
      <c r="B4479" s="6" t="s">
        <v>86</v>
      </c>
      <c r="C4479" s="6" t="s">
        <v>353</v>
      </c>
      <c r="D4479" s="6">
        <v>1.652916666666667</v>
      </c>
      <c r="E4479" s="6" t="s">
        <v>88</v>
      </c>
      <c r="F4479" s="6" t="s">
        <v>62</v>
      </c>
      <c r="G4479" s="7">
        <v>81005.34654028571</v>
      </c>
      <c r="H4479" s="6">
        <v>133895.0873855473</v>
      </c>
      <c r="I4479" s="6" t="s">
        <v>179</v>
      </c>
      <c r="J4479" s="15">
        <v>102.3</v>
      </c>
    </row>
    <row r="4480" spans="1:10">
      <c r="A4480" s="6" t="s">
        <v>144</v>
      </c>
      <c r="B4480" s="6" t="s">
        <v>92</v>
      </c>
      <c r="C4480" s="6" t="s">
        <v>254</v>
      </c>
      <c r="D4480" s="6">
        <v>0.4851666666666667</v>
      </c>
      <c r="E4480" s="6" t="s">
        <v>88</v>
      </c>
      <c r="F4480" s="6" t="s">
        <v>51</v>
      </c>
      <c r="G4480" s="7">
        <v>46071.76246643075</v>
      </c>
      <c r="H4480" s="6">
        <v>22352.48342329665</v>
      </c>
      <c r="I4480" s="6" t="s">
        <v>180</v>
      </c>
      <c r="J4480" s="15">
        <v>10.48991653726593</v>
      </c>
    </row>
    <row r="4481" spans="1:10">
      <c r="A4481" s="6" t="s">
        <v>144</v>
      </c>
      <c r="B4481" s="6" t="s">
        <v>92</v>
      </c>
      <c r="C4481" s="6" t="s">
        <v>255</v>
      </c>
      <c r="D4481" s="6">
        <v>9.908416666666666</v>
      </c>
      <c r="E4481" s="6" t="s">
        <v>88</v>
      </c>
      <c r="F4481" s="6" t="s">
        <v>51</v>
      </c>
      <c r="G4481" s="7">
        <v>37181.66036935381</v>
      </c>
      <c r="H4481" s="6">
        <v>368411.3832980447</v>
      </c>
      <c r="I4481" s="6" t="s">
        <v>180</v>
      </c>
      <c r="J4481" s="15">
        <v>7.161257310893189</v>
      </c>
    </row>
    <row r="4482" spans="1:10">
      <c r="A4482" s="6" t="s">
        <v>144</v>
      </c>
      <c r="B4482" s="6" t="s">
        <v>92</v>
      </c>
      <c r="C4482" s="6" t="s">
        <v>256</v>
      </c>
      <c r="D4482" s="6">
        <v>0.1535</v>
      </c>
      <c r="E4482" s="6" t="s">
        <v>88</v>
      </c>
      <c r="F4482" s="6" t="s">
        <v>57</v>
      </c>
      <c r="G4482" s="7">
        <v>36188.63012585403</v>
      </c>
      <c r="H4482" s="6">
        <v>5554.954724318593</v>
      </c>
      <c r="I4482" s="6" t="s">
        <v>180</v>
      </c>
      <c r="J4482" s="15">
        <v>6.789443888955148</v>
      </c>
    </row>
    <row r="4483" spans="1:10">
      <c r="A4483" s="6" t="s">
        <v>144</v>
      </c>
      <c r="B4483" s="6" t="s">
        <v>88</v>
      </c>
      <c r="C4483" s="6" t="s">
        <v>257</v>
      </c>
      <c r="D4483" s="6">
        <v>3.505916666666667</v>
      </c>
      <c r="E4483" s="6" t="s">
        <v>88</v>
      </c>
      <c r="F4483" s="6" t="s">
        <v>52</v>
      </c>
      <c r="G4483" s="7">
        <v>44335.59781697809</v>
      </c>
      <c r="H4483" s="6">
        <v>155436.9113131738</v>
      </c>
      <c r="I4483" s="6" t="s">
        <v>180</v>
      </c>
      <c r="J4483" s="15">
        <v>23.08823420331521</v>
      </c>
    </row>
    <row r="4484" spans="1:10">
      <c r="A4484" s="6" t="s">
        <v>144</v>
      </c>
      <c r="B4484" s="6" t="s">
        <v>88</v>
      </c>
      <c r="C4484" s="6" t="s">
        <v>258</v>
      </c>
      <c r="D4484" s="6">
        <v>1.08975</v>
      </c>
      <c r="E4484" s="6" t="s">
        <v>88</v>
      </c>
      <c r="F4484" s="6" t="s">
        <v>52</v>
      </c>
      <c r="G4484" s="7">
        <v>44335.59781697809</v>
      </c>
      <c r="H4484" s="6">
        <v>48314.71772105187</v>
      </c>
      <c r="I4484" s="6" t="s">
        <v>180</v>
      </c>
      <c r="J4484" s="15">
        <v>23.08823420331521</v>
      </c>
    </row>
    <row r="4485" spans="1:10">
      <c r="A4485" s="6" t="s">
        <v>144</v>
      </c>
      <c r="B4485" s="6" t="s">
        <v>88</v>
      </c>
      <c r="C4485" s="6" t="s">
        <v>259</v>
      </c>
      <c r="D4485" s="6">
        <v>112.1245</v>
      </c>
      <c r="E4485" s="6" t="s">
        <v>88</v>
      </c>
      <c r="F4485" s="6" t="s">
        <v>56</v>
      </c>
      <c r="G4485" s="7">
        <v>38535.39804217755</v>
      </c>
      <c r="H4485" s="6">
        <v>4320762.237780136</v>
      </c>
      <c r="I4485" s="6" t="s">
        <v>180</v>
      </c>
      <c r="J4485" s="15">
        <v>19.18328807658034</v>
      </c>
    </row>
    <row r="4486" spans="1:10">
      <c r="A4486" s="6" t="s">
        <v>144</v>
      </c>
      <c r="B4486" s="6" t="s">
        <v>88</v>
      </c>
      <c r="C4486" s="6" t="s">
        <v>260</v>
      </c>
      <c r="D4486" s="6">
        <v>2059.23925</v>
      </c>
      <c r="E4486" s="6" t="s">
        <v>88</v>
      </c>
      <c r="F4486" s="6" t="s">
        <v>52</v>
      </c>
      <c r="G4486" s="7">
        <v>32200.609517864</v>
      </c>
      <c r="H4486" s="6">
        <v>66308758.99310911</v>
      </c>
      <c r="I4486" s="6" t="s">
        <v>179</v>
      </c>
      <c r="J4486" s="15">
        <v>31.95</v>
      </c>
    </row>
    <row r="4487" spans="1:10">
      <c r="A4487" s="6" t="s">
        <v>144</v>
      </c>
      <c r="B4487" s="6" t="s">
        <v>88</v>
      </c>
      <c r="C4487" s="6" t="s">
        <v>261</v>
      </c>
      <c r="D4487" s="6">
        <v>0.3685833333333334</v>
      </c>
      <c r="E4487" s="6" t="s">
        <v>88</v>
      </c>
      <c r="F4487" s="6" t="s">
        <v>54</v>
      </c>
      <c r="G4487" s="7">
        <v>43413.20480753685</v>
      </c>
      <c r="H4487" s="6">
        <v>16001.38373864463</v>
      </c>
      <c r="I4487" s="6" t="s">
        <v>180</v>
      </c>
      <c r="J4487" s="15">
        <v>22.46723921186792</v>
      </c>
    </row>
    <row r="4488" spans="1:10">
      <c r="A4488" s="6" t="s">
        <v>144</v>
      </c>
      <c r="B4488" s="6" t="s">
        <v>92</v>
      </c>
      <c r="C4488" s="6" t="s">
        <v>262</v>
      </c>
      <c r="D4488" s="6">
        <v>42.91933333333333</v>
      </c>
      <c r="E4488" s="6" t="s">
        <v>88</v>
      </c>
      <c r="F4488" s="6" t="s">
        <v>51</v>
      </c>
      <c r="G4488" s="7">
        <v>47917.77818891367</v>
      </c>
      <c r="H4488" s="6">
        <v>2056599.094682715</v>
      </c>
      <c r="I4488" s="6" t="s">
        <v>180</v>
      </c>
      <c r="J4488" s="15">
        <v>11.18110739194603</v>
      </c>
    </row>
    <row r="4489" spans="1:10">
      <c r="A4489" s="6" t="s">
        <v>144</v>
      </c>
      <c r="B4489" s="6" t="s">
        <v>88</v>
      </c>
      <c r="C4489" s="6" t="s">
        <v>263</v>
      </c>
      <c r="D4489" s="6">
        <v>6.920583333333333</v>
      </c>
      <c r="E4489" s="6" t="s">
        <v>88</v>
      </c>
      <c r="F4489" s="6" t="s">
        <v>54</v>
      </c>
      <c r="G4489" s="7">
        <v>44354.09550833685</v>
      </c>
      <c r="H4489" s="6">
        <v>306956.2141400708</v>
      </c>
      <c r="I4489" s="6" t="s">
        <v>180</v>
      </c>
      <c r="J4489" s="15">
        <v>23.10068765164966</v>
      </c>
    </row>
    <row r="4490" spans="1:10">
      <c r="A4490" s="6" t="s">
        <v>144</v>
      </c>
      <c r="B4490" s="6" t="s">
        <v>88</v>
      </c>
      <c r="C4490" s="6" t="s">
        <v>264</v>
      </c>
      <c r="D4490" s="6">
        <v>12.32333333333333</v>
      </c>
      <c r="E4490" s="6" t="s">
        <v>88</v>
      </c>
      <c r="F4490" s="6" t="s">
        <v>54</v>
      </c>
      <c r="G4490" s="7">
        <v>58216.48799252068</v>
      </c>
      <c r="H4490" s="6">
        <v>717421.1870278299</v>
      </c>
      <c r="I4490" s="6" t="s">
        <v>180</v>
      </c>
      <c r="J4490" s="15">
        <v>32.43345168394607</v>
      </c>
    </row>
    <row r="4491" spans="1:10">
      <c r="A4491" s="6" t="s">
        <v>144</v>
      </c>
      <c r="B4491" s="6" t="s">
        <v>88</v>
      </c>
      <c r="C4491" s="6" t="s">
        <v>265</v>
      </c>
      <c r="D4491" s="6">
        <v>107.28575</v>
      </c>
      <c r="E4491" s="6" t="s">
        <v>88</v>
      </c>
      <c r="F4491" s="6" t="s">
        <v>54</v>
      </c>
      <c r="G4491" s="7">
        <v>51838.86171354609</v>
      </c>
      <c r="H4491" s="6">
        <v>5561571.158084078</v>
      </c>
      <c r="I4491" s="6" t="s">
        <v>180</v>
      </c>
      <c r="J4491" s="15">
        <v>28.13975698328366</v>
      </c>
    </row>
    <row r="4492" spans="1:10">
      <c r="A4492" s="6" t="s">
        <v>144</v>
      </c>
      <c r="B4492" s="6" t="s">
        <v>88</v>
      </c>
      <c r="C4492" s="6" t="s">
        <v>266</v>
      </c>
      <c r="D4492" s="6">
        <v>9.835666666666667</v>
      </c>
      <c r="E4492" s="6" t="s">
        <v>88</v>
      </c>
      <c r="F4492" s="6" t="s">
        <v>57</v>
      </c>
      <c r="G4492" s="7">
        <v>24366.26087614369</v>
      </c>
      <c r="H4492" s="6">
        <v>239658.4198907907</v>
      </c>
      <c r="I4492" s="6" t="s">
        <v>180</v>
      </c>
      <c r="J4492" s="15">
        <v>9.644010216520485</v>
      </c>
    </row>
    <row r="4493" spans="1:10">
      <c r="A4493" s="6" t="s">
        <v>144</v>
      </c>
      <c r="B4493" s="6" t="s">
        <v>92</v>
      </c>
      <c r="C4493" s="6" t="s">
        <v>354</v>
      </c>
      <c r="D4493" s="6">
        <v>0.05883333333333333</v>
      </c>
      <c r="E4493" s="6" t="s">
        <v>88</v>
      </c>
      <c r="F4493" s="6" t="s">
        <v>51</v>
      </c>
      <c r="G4493" s="7">
        <v>46093.87409211043</v>
      </c>
      <c r="H4493" s="6">
        <v>2711.85625908583</v>
      </c>
      <c r="I4493" s="6" t="s">
        <v>180</v>
      </c>
      <c r="J4493" s="15">
        <v>10.49819563980323</v>
      </c>
    </row>
    <row r="4494" spans="1:10">
      <c r="A4494" s="6" t="s">
        <v>144</v>
      </c>
      <c r="B4494" s="6" t="s">
        <v>88</v>
      </c>
      <c r="C4494" s="6" t="s">
        <v>355</v>
      </c>
      <c r="D4494" s="6">
        <v>1.147333333333333</v>
      </c>
      <c r="E4494" s="6" t="s">
        <v>88</v>
      </c>
      <c r="F4494" s="6" t="s">
        <v>52</v>
      </c>
      <c r="G4494" s="7">
        <v>44335.59781697809</v>
      </c>
      <c r="H4494" s="6">
        <v>50867.70922867952</v>
      </c>
      <c r="I4494" s="6" t="s">
        <v>180</v>
      </c>
      <c r="J4494" s="15">
        <v>23.08823420331521</v>
      </c>
    </row>
    <row r="4495" spans="1:10">
      <c r="A4495" s="6" t="s">
        <v>144</v>
      </c>
      <c r="B4495" s="6" t="s">
        <v>92</v>
      </c>
      <c r="C4495" s="6" t="s">
        <v>267</v>
      </c>
      <c r="D4495" s="6">
        <v>396.14725</v>
      </c>
      <c r="E4495" s="6" t="s">
        <v>88</v>
      </c>
      <c r="F4495" s="6" t="s">
        <v>53</v>
      </c>
      <c r="G4495" s="7">
        <v>48956.37381074637</v>
      </c>
      <c r="H4495" s="6">
        <v>19393932.85509919</v>
      </c>
      <c r="I4495" s="6" t="s">
        <v>179</v>
      </c>
      <c r="J4495" s="15">
        <v>31.05</v>
      </c>
    </row>
    <row r="4496" spans="1:10">
      <c r="A4496" s="6" t="s">
        <v>144</v>
      </c>
      <c r="B4496" s="6" t="s">
        <v>92</v>
      </c>
      <c r="C4496" s="6" t="s">
        <v>268</v>
      </c>
      <c r="D4496" s="6">
        <v>0.4505</v>
      </c>
      <c r="E4496" s="6" t="s">
        <v>88</v>
      </c>
      <c r="F4496" s="6" t="s">
        <v>51</v>
      </c>
      <c r="G4496" s="7">
        <v>43172.09311535833</v>
      </c>
      <c r="H4496" s="6">
        <v>19449.02794846893</v>
      </c>
      <c r="I4496" s="6" t="s">
        <v>180</v>
      </c>
      <c r="J4496" s="15">
        <v>9.404213467325818</v>
      </c>
    </row>
    <row r="4497" spans="1:10">
      <c r="A4497" s="6" t="s">
        <v>144</v>
      </c>
      <c r="B4497" s="6" t="s">
        <v>88</v>
      </c>
      <c r="C4497" s="6" t="s">
        <v>269</v>
      </c>
      <c r="D4497" s="6">
        <v>4.08025</v>
      </c>
      <c r="E4497" s="6" t="s">
        <v>88</v>
      </c>
      <c r="F4497" s="6" t="s">
        <v>52</v>
      </c>
      <c r="G4497" s="7">
        <v>44335.59781697809</v>
      </c>
      <c r="H4497" s="6">
        <v>180900.3229927249</v>
      </c>
      <c r="I4497" s="6" t="s">
        <v>180</v>
      </c>
      <c r="J4497" s="15">
        <v>23.08823420331521</v>
      </c>
    </row>
    <row r="4498" spans="1:10">
      <c r="A4498" s="6" t="s">
        <v>144</v>
      </c>
      <c r="B4498" s="6" t="s">
        <v>92</v>
      </c>
      <c r="C4498" s="6" t="s">
        <v>270</v>
      </c>
      <c r="D4498" s="6">
        <v>18.5845</v>
      </c>
      <c r="E4498" s="6" t="s">
        <v>88</v>
      </c>
      <c r="F4498" s="6" t="s">
        <v>59</v>
      </c>
      <c r="G4498" s="7">
        <v>46459.09667024752</v>
      </c>
      <c r="H4498" s="6">
        <v>863419.082068215</v>
      </c>
      <c r="I4498" s="6" t="s">
        <v>180</v>
      </c>
      <c r="J4498" s="15">
        <v>10.63494339490442</v>
      </c>
    </row>
    <row r="4499" spans="1:10">
      <c r="A4499" s="6" t="s">
        <v>144</v>
      </c>
      <c r="B4499" s="6" t="s">
        <v>88</v>
      </c>
      <c r="C4499" s="6" t="s">
        <v>271</v>
      </c>
      <c r="D4499" s="6">
        <v>249.9280833333333</v>
      </c>
      <c r="E4499" s="6" t="s">
        <v>88</v>
      </c>
      <c r="F4499" s="6" t="s">
        <v>54</v>
      </c>
      <c r="G4499" s="7">
        <v>41071.74894263604</v>
      </c>
      <c r="H4499" s="6">
        <v>10264983.49238089</v>
      </c>
      <c r="I4499" s="6" t="s">
        <v>180</v>
      </c>
      <c r="J4499" s="15">
        <v>20.89086954089749</v>
      </c>
    </row>
    <row r="4500" spans="1:10">
      <c r="A4500" s="6" t="s">
        <v>144</v>
      </c>
      <c r="B4500" s="6" t="s">
        <v>92</v>
      </c>
      <c r="C4500" s="6" t="s">
        <v>272</v>
      </c>
      <c r="D4500" s="6">
        <v>10.09383333333333</v>
      </c>
      <c r="E4500" s="6" t="s">
        <v>88</v>
      </c>
      <c r="F4500" s="6" t="s">
        <v>51</v>
      </c>
      <c r="G4500" s="7">
        <v>48140.33007987355</v>
      </c>
      <c r="H4500" s="6">
        <v>485920.468437897</v>
      </c>
      <c r="I4500" s="6" t="s">
        <v>180</v>
      </c>
      <c r="J4500" s="15">
        <v>11.26443595185468</v>
      </c>
    </row>
    <row r="4501" spans="1:10">
      <c r="A4501" s="6" t="s">
        <v>144</v>
      </c>
      <c r="B4501" s="6" t="s">
        <v>92</v>
      </c>
      <c r="C4501" s="6" t="s">
        <v>273</v>
      </c>
      <c r="D4501" s="6">
        <v>465.2955000000001</v>
      </c>
      <c r="E4501" s="6" t="s">
        <v>88</v>
      </c>
      <c r="F4501" s="6" t="s">
        <v>51</v>
      </c>
      <c r="G4501" s="7">
        <v>39415.32644745876</v>
      </c>
      <c r="H4501" s="6">
        <v>18339774.02703355</v>
      </c>
      <c r="I4501" s="6" t="s">
        <v>179</v>
      </c>
      <c r="J4501" s="15">
        <v>27</v>
      </c>
    </row>
    <row r="4502" spans="1:10">
      <c r="A4502" s="6" t="s">
        <v>144</v>
      </c>
      <c r="B4502" s="6" t="s">
        <v>88</v>
      </c>
      <c r="C4502" s="6" t="s">
        <v>274</v>
      </c>
      <c r="D4502" s="6">
        <v>9.778666666666666</v>
      </c>
      <c r="E4502" s="6" t="s">
        <v>88</v>
      </c>
      <c r="F4502" s="6" t="s">
        <v>56</v>
      </c>
      <c r="G4502" s="7">
        <v>42560.66367428353</v>
      </c>
      <c r="H4502" s="6">
        <v>416186.5431829271</v>
      </c>
      <c r="I4502" s="6" t="s">
        <v>180</v>
      </c>
      <c r="J4502" s="15">
        <v>21.89327153395389</v>
      </c>
    </row>
    <row r="4503" spans="1:10">
      <c r="A4503" s="6" t="s">
        <v>144</v>
      </c>
      <c r="B4503" s="6" t="s">
        <v>92</v>
      </c>
      <c r="C4503" s="6" t="s">
        <v>275</v>
      </c>
      <c r="D4503" s="6">
        <v>0.6556666666666666</v>
      </c>
      <c r="E4503" s="6" t="s">
        <v>88</v>
      </c>
      <c r="F4503" s="6" t="s">
        <v>51</v>
      </c>
      <c r="G4503" s="7">
        <v>60987.13615097924</v>
      </c>
      <c r="H4503" s="6">
        <v>39987.23226965872</v>
      </c>
      <c r="I4503" s="6" t="s">
        <v>180</v>
      </c>
      <c r="J4503" s="15">
        <v>16.0745763856825</v>
      </c>
    </row>
    <row r="4504" spans="1:10">
      <c r="A4504" s="6" t="s">
        <v>144</v>
      </c>
      <c r="B4504" s="6" t="s">
        <v>92</v>
      </c>
      <c r="C4504" s="6" t="s">
        <v>276</v>
      </c>
      <c r="D4504" s="6">
        <v>14.35008333333333</v>
      </c>
      <c r="E4504" s="6" t="s">
        <v>88</v>
      </c>
      <c r="F4504" s="6" t="s">
        <v>51</v>
      </c>
      <c r="G4504" s="7">
        <v>36785.44810286325</v>
      </c>
      <c r="H4504" s="6">
        <v>527874.2457300962</v>
      </c>
      <c r="I4504" s="6" t="s">
        <v>180</v>
      </c>
      <c r="J4504" s="15">
        <v>7.012906301866028</v>
      </c>
    </row>
    <row r="4505" spans="1:10">
      <c r="A4505" s="6" t="s">
        <v>144</v>
      </c>
      <c r="B4505" s="6" t="s">
        <v>92</v>
      </c>
      <c r="C4505" s="6" t="s">
        <v>277</v>
      </c>
      <c r="D4505" s="6">
        <v>0.12675</v>
      </c>
      <c r="E4505" s="6" t="s">
        <v>88</v>
      </c>
      <c r="F4505" s="6" t="s">
        <v>57</v>
      </c>
      <c r="G4505" s="7">
        <v>41020.02489344452</v>
      </c>
      <c r="H4505" s="6">
        <v>5199.288155244091</v>
      </c>
      <c r="I4505" s="6" t="s">
        <v>180</v>
      </c>
      <c r="J4505" s="15">
        <v>8.598429499444013</v>
      </c>
    </row>
    <row r="4506" spans="1:10">
      <c r="A4506" s="6" t="s">
        <v>144</v>
      </c>
      <c r="B4506" s="6" t="s">
        <v>92</v>
      </c>
      <c r="C4506" s="6" t="s">
        <v>278</v>
      </c>
      <c r="D4506" s="6">
        <v>394.68225</v>
      </c>
      <c r="E4506" s="6" t="s">
        <v>88</v>
      </c>
      <c r="F4506" s="6" t="s">
        <v>55</v>
      </c>
      <c r="G4506" s="7">
        <v>30336.77880022909</v>
      </c>
      <c r="H4506" s="6">
        <v>11973388.11462672</v>
      </c>
      <c r="I4506" s="6" t="s">
        <v>179</v>
      </c>
      <c r="J4506" s="15">
        <v>14</v>
      </c>
    </row>
    <row r="4507" spans="1:10">
      <c r="A4507" s="6" t="s">
        <v>144</v>
      </c>
      <c r="B4507" s="6" t="s">
        <v>88</v>
      </c>
      <c r="C4507" s="6" t="s">
        <v>280</v>
      </c>
      <c r="D4507" s="6">
        <v>105.9163333333333</v>
      </c>
      <c r="E4507" s="6" t="s">
        <v>88</v>
      </c>
      <c r="F4507" s="6" t="s">
        <v>55</v>
      </c>
      <c r="G4507" s="7">
        <v>24869.46250635056</v>
      </c>
      <c r="H4507" s="6">
        <v>2634082.280643461</v>
      </c>
      <c r="I4507" s="6" t="s">
        <v>180</v>
      </c>
      <c r="J4507" s="15">
        <v>9.982787385089743</v>
      </c>
    </row>
    <row r="4508" spans="1:10">
      <c r="A4508" s="6" t="s">
        <v>144</v>
      </c>
      <c r="B4508" s="6" t="s">
        <v>92</v>
      </c>
      <c r="C4508" s="6" t="s">
        <v>281</v>
      </c>
      <c r="D4508" s="6">
        <v>717.1550833333333</v>
      </c>
      <c r="E4508" s="6" t="s">
        <v>88</v>
      </c>
      <c r="F4508" s="6" t="s">
        <v>57</v>
      </c>
      <c r="G4508" s="7">
        <v>47725.16793448776</v>
      </c>
      <c r="H4508" s="6">
        <v>34226346.7871549</v>
      </c>
      <c r="I4508" s="6" t="s">
        <v>179</v>
      </c>
      <c r="J4508" s="15">
        <v>36</v>
      </c>
    </row>
    <row r="4509" spans="1:10">
      <c r="A4509" s="6" t="s">
        <v>144</v>
      </c>
      <c r="B4509" s="6" t="s">
        <v>92</v>
      </c>
      <c r="C4509" s="6" t="s">
        <v>282</v>
      </c>
      <c r="D4509" s="6">
        <v>0.2808333333333333</v>
      </c>
      <c r="E4509" s="6" t="s">
        <v>88</v>
      </c>
      <c r="F4509" s="6" t="s">
        <v>56</v>
      </c>
      <c r="G4509" s="7">
        <v>68040.22841453915</v>
      </c>
      <c r="H4509" s="6">
        <v>19107.96414641641</v>
      </c>
      <c r="I4509" s="6" t="s">
        <v>180</v>
      </c>
      <c r="J4509" s="15">
        <v>18.71541676987519</v>
      </c>
    </row>
    <row r="4510" spans="1:10">
      <c r="A4510" s="6" t="s">
        <v>144</v>
      </c>
      <c r="B4510" s="6" t="s">
        <v>92</v>
      </c>
      <c r="C4510" s="6" t="s">
        <v>283</v>
      </c>
      <c r="D4510" s="6">
        <v>137.3395</v>
      </c>
      <c r="E4510" s="6" t="s">
        <v>88</v>
      </c>
      <c r="F4510" s="6" t="s">
        <v>51</v>
      </c>
      <c r="G4510" s="7">
        <v>40169.43882543561</v>
      </c>
      <c r="H4510" s="6">
        <v>5516850.643565914</v>
      </c>
      <c r="I4510" s="6" t="s">
        <v>179</v>
      </c>
      <c r="J4510" s="15">
        <v>27.40833333333333</v>
      </c>
    </row>
    <row r="4511" spans="1:10">
      <c r="A4511" s="6" t="s">
        <v>144</v>
      </c>
      <c r="B4511" s="6" t="s">
        <v>92</v>
      </c>
      <c r="C4511" s="6" t="s">
        <v>284</v>
      </c>
      <c r="D4511" s="6">
        <v>46.54083333333333</v>
      </c>
      <c r="E4511" s="6" t="s">
        <v>88</v>
      </c>
      <c r="F4511" s="6" t="s">
        <v>55</v>
      </c>
      <c r="G4511" s="7">
        <v>36138.38846146646</v>
      </c>
      <c r="H4511" s="6">
        <v>1681910.714320367</v>
      </c>
      <c r="I4511" s="6" t="s">
        <v>179</v>
      </c>
      <c r="J4511" s="15">
        <v>40.2</v>
      </c>
    </row>
    <row r="4512" spans="1:10">
      <c r="A4512" s="6" t="s">
        <v>144</v>
      </c>
      <c r="B4512" s="6" t="s">
        <v>92</v>
      </c>
      <c r="C4512" s="6" t="s">
        <v>286</v>
      </c>
      <c r="D4512" s="6">
        <v>8.121666666666666</v>
      </c>
      <c r="E4512" s="6" t="s">
        <v>88</v>
      </c>
      <c r="F4512" s="6" t="s">
        <v>59</v>
      </c>
      <c r="G4512" s="7">
        <v>51919.2206470298</v>
      </c>
      <c r="H4512" s="6">
        <v>421670.6036882937</v>
      </c>
      <c r="I4512" s="6" t="s">
        <v>180</v>
      </c>
      <c r="J4512" s="15">
        <v>12.67933971949008</v>
      </c>
    </row>
    <row r="4513" spans="1:10">
      <c r="A4513" s="6" t="s">
        <v>144</v>
      </c>
      <c r="B4513" s="6" t="s">
        <v>92</v>
      </c>
      <c r="C4513" s="6" t="s">
        <v>287</v>
      </c>
      <c r="D4513" s="6">
        <v>0.3740000000000001</v>
      </c>
      <c r="E4513" s="6" t="s">
        <v>88</v>
      </c>
      <c r="F4513" s="6" t="s">
        <v>53</v>
      </c>
      <c r="G4513" s="7">
        <v>57298.25349141887</v>
      </c>
      <c r="H4513" s="6">
        <v>21429.54680579066</v>
      </c>
      <c r="I4513" s="6" t="s">
        <v>180</v>
      </c>
      <c r="J4513" s="15">
        <v>14.69337365418751</v>
      </c>
    </row>
    <row r="4514" spans="1:10">
      <c r="A4514" s="6" t="s">
        <v>144</v>
      </c>
      <c r="B4514" s="6" t="s">
        <v>88</v>
      </c>
      <c r="C4514" s="6" t="s">
        <v>376</v>
      </c>
      <c r="D4514" s="6">
        <v>0.2081666666666667</v>
      </c>
      <c r="E4514" s="6" t="s">
        <v>88</v>
      </c>
      <c r="F4514" s="6" t="s">
        <v>54</v>
      </c>
      <c r="G4514" s="7">
        <v>52281.20456964882</v>
      </c>
      <c r="H4514" s="6">
        <v>10883.2040845819</v>
      </c>
      <c r="I4514" s="6" t="s">
        <v>180</v>
      </c>
      <c r="J4514" s="15">
        <v>28.43756138480302</v>
      </c>
    </row>
    <row r="4515" spans="1:10">
      <c r="A4515" s="6" t="s">
        <v>144</v>
      </c>
      <c r="B4515" s="6" t="s">
        <v>92</v>
      </c>
      <c r="C4515" s="6" t="s">
        <v>288</v>
      </c>
      <c r="D4515" s="6">
        <v>0.197</v>
      </c>
      <c r="E4515" s="6" t="s">
        <v>88</v>
      </c>
      <c r="F4515" s="6" t="s">
        <v>58</v>
      </c>
      <c r="G4515" s="7">
        <v>64645.17061643103</v>
      </c>
      <c r="H4515" s="6">
        <v>12735.09861143691</v>
      </c>
      <c r="I4515" s="6" t="s">
        <v>180</v>
      </c>
      <c r="J4515" s="15">
        <v>17.44422884195959</v>
      </c>
    </row>
    <row r="4516" spans="1:10">
      <c r="A4516" s="6" t="s">
        <v>144</v>
      </c>
      <c r="B4516" s="6" t="s">
        <v>88</v>
      </c>
      <c r="C4516" s="6" t="s">
        <v>370</v>
      </c>
      <c r="D4516" s="6">
        <v>0.2088333333333333</v>
      </c>
      <c r="E4516" s="6" t="s">
        <v>88</v>
      </c>
      <c r="F4516" s="6" t="s">
        <v>55</v>
      </c>
      <c r="G4516" s="7">
        <v>14611.98013674237</v>
      </c>
      <c r="H4516" s="6">
        <v>3051.468518556365</v>
      </c>
      <c r="I4516" s="6" t="s">
        <v>180</v>
      </c>
      <c r="J4516" s="15">
        <v>3.077005238882525</v>
      </c>
    </row>
    <row r="4517" spans="1:10">
      <c r="A4517" s="6" t="s">
        <v>144</v>
      </c>
      <c r="B4517" s="6" t="s">
        <v>92</v>
      </c>
      <c r="C4517" s="6" t="s">
        <v>359</v>
      </c>
      <c r="D4517" s="6">
        <v>4.2075</v>
      </c>
      <c r="E4517" s="6" t="s">
        <v>88</v>
      </c>
      <c r="F4517" s="6" t="s">
        <v>60</v>
      </c>
      <c r="G4517" s="7">
        <v>44697.22384667303</v>
      </c>
      <c r="H4517" s="6">
        <v>188063.5693348768</v>
      </c>
      <c r="I4517" s="6" t="s">
        <v>180</v>
      </c>
      <c r="J4517" s="15">
        <v>9.975257581868043</v>
      </c>
    </row>
    <row r="4518" spans="1:10">
      <c r="A4518" s="6" t="s">
        <v>144</v>
      </c>
      <c r="B4518" s="6" t="s">
        <v>88</v>
      </c>
      <c r="C4518" s="6" t="s">
        <v>289</v>
      </c>
      <c r="D4518" s="6">
        <v>1584.21425</v>
      </c>
      <c r="E4518" s="6" t="s">
        <v>88</v>
      </c>
      <c r="F4518" s="6" t="s">
        <v>52</v>
      </c>
      <c r="G4518" s="7">
        <v>34757.37314593359</v>
      </c>
      <c r="H4518" s="6">
        <v>55063125.83035532</v>
      </c>
      <c r="I4518" s="6" t="s">
        <v>179</v>
      </c>
      <c r="J4518" s="15">
        <v>49</v>
      </c>
    </row>
    <row r="4519" spans="1:10">
      <c r="A4519" s="6" t="s">
        <v>144</v>
      </c>
      <c r="B4519" s="6" t="s">
        <v>92</v>
      </c>
      <c r="C4519" s="6" t="s">
        <v>290</v>
      </c>
      <c r="D4519" s="6">
        <v>0.01525</v>
      </c>
      <c r="E4519" s="6" t="s">
        <v>88</v>
      </c>
      <c r="F4519" s="6" t="s">
        <v>53</v>
      </c>
      <c r="G4519" s="7">
        <v>49488.52827244454</v>
      </c>
      <c r="H4519" s="6">
        <v>754.7000561547792</v>
      </c>
      <c r="I4519" s="6" t="s">
        <v>180</v>
      </c>
      <c r="J4519" s="15">
        <v>11.76923244391702</v>
      </c>
    </row>
    <row r="4520" spans="1:10">
      <c r="A4520" s="6" t="s">
        <v>144</v>
      </c>
      <c r="B4520" s="6" t="s">
        <v>92</v>
      </c>
      <c r="C4520" s="6" t="s">
        <v>291</v>
      </c>
      <c r="D4520" s="6">
        <v>0.003416666666666667</v>
      </c>
      <c r="E4520" s="6" t="s">
        <v>88</v>
      </c>
      <c r="F4520" s="6" t="s">
        <v>51</v>
      </c>
      <c r="G4520" s="7">
        <v>42426.84693805363</v>
      </c>
      <c r="H4520" s="6">
        <v>144.9583937050166</v>
      </c>
      <c r="I4520" s="6" t="s">
        <v>180</v>
      </c>
      <c r="J4520" s="15">
        <v>9.125176113545601</v>
      </c>
    </row>
    <row r="4521" spans="1:10">
      <c r="A4521" s="6" t="s">
        <v>144</v>
      </c>
      <c r="B4521" s="6" t="s">
        <v>88</v>
      </c>
      <c r="C4521" s="6" t="s">
        <v>292</v>
      </c>
      <c r="D4521" s="6">
        <v>13.08775</v>
      </c>
      <c r="E4521" s="6" t="s">
        <v>88</v>
      </c>
      <c r="F4521" s="6" t="s">
        <v>54</v>
      </c>
      <c r="G4521" s="7">
        <v>57587.50593880366</v>
      </c>
      <c r="H4521" s="6">
        <v>753690.8808505776</v>
      </c>
      <c r="I4521" s="6" t="s">
        <v>180</v>
      </c>
      <c r="J4521" s="15">
        <v>32.00999367735827</v>
      </c>
    </row>
    <row r="4522" spans="1:10">
      <c r="A4522" s="6" t="s">
        <v>144</v>
      </c>
      <c r="B4522" s="6" t="s">
        <v>88</v>
      </c>
      <c r="C4522" s="6" t="s">
        <v>293</v>
      </c>
      <c r="D4522" s="6">
        <v>174.7410833333333</v>
      </c>
      <c r="E4522" s="6" t="s">
        <v>88</v>
      </c>
      <c r="F4522" s="6" t="s">
        <v>53</v>
      </c>
      <c r="G4522" s="7">
        <v>29405.08722093612</v>
      </c>
      <c r="H4522" s="6">
        <v>5138276.796497533</v>
      </c>
      <c r="I4522" s="6" t="s">
        <v>180</v>
      </c>
      <c r="J4522" s="15">
        <v>13.0363667184245</v>
      </c>
    </row>
    <row r="4523" spans="1:10">
      <c r="A4523" s="6" t="s">
        <v>144</v>
      </c>
      <c r="B4523" s="6" t="s">
        <v>88</v>
      </c>
      <c r="C4523" s="6" t="s">
        <v>371</v>
      </c>
      <c r="D4523" s="6">
        <v>0.41775</v>
      </c>
      <c r="E4523" s="6" t="s">
        <v>88</v>
      </c>
      <c r="F4523" s="6" t="s">
        <v>55</v>
      </c>
      <c r="G4523" s="7">
        <v>20381.74878536983</v>
      </c>
      <c r="H4523" s="6">
        <v>8514.475555088247</v>
      </c>
      <c r="I4523" s="6" t="s">
        <v>180</v>
      </c>
      <c r="J4523" s="15">
        <v>6.961463811240732</v>
      </c>
    </row>
    <row r="4524" spans="1:10">
      <c r="A4524" s="6" t="s">
        <v>144</v>
      </c>
      <c r="B4524" s="6" t="s">
        <v>88</v>
      </c>
      <c r="C4524" s="6" t="s">
        <v>294</v>
      </c>
      <c r="D4524" s="6">
        <v>0.2556666666666667</v>
      </c>
      <c r="E4524" s="6" t="s">
        <v>88</v>
      </c>
      <c r="F4524" s="6" t="s">
        <v>54</v>
      </c>
      <c r="G4524" s="7">
        <v>50619.94402359961</v>
      </c>
      <c r="H4524" s="6">
        <v>12941.83235536697</v>
      </c>
      <c r="I4524" s="6" t="s">
        <v>180</v>
      </c>
      <c r="J4524" s="15">
        <v>27.31912871236711</v>
      </c>
    </row>
    <row r="4525" spans="1:10">
      <c r="A4525" s="6" t="s">
        <v>144</v>
      </c>
      <c r="B4525" s="6" t="s">
        <v>92</v>
      </c>
      <c r="C4525" s="6" t="s">
        <v>295</v>
      </c>
      <c r="D4525" s="6">
        <v>44.90033333333334</v>
      </c>
      <c r="E4525" s="6" t="s">
        <v>88</v>
      </c>
      <c r="F4525" s="6" t="s">
        <v>53</v>
      </c>
      <c r="G4525" s="7">
        <v>43665.47276142767</v>
      </c>
      <c r="H4525" s="6">
        <v>1960594.28214569</v>
      </c>
      <c r="I4525" s="6" t="s">
        <v>179</v>
      </c>
      <c r="J4525" s="15">
        <v>37</v>
      </c>
    </row>
    <row r="4526" spans="1:10">
      <c r="A4526" s="6" t="s">
        <v>144</v>
      </c>
      <c r="B4526" s="6" t="s">
        <v>92</v>
      </c>
      <c r="C4526" s="6" t="s">
        <v>296</v>
      </c>
      <c r="D4526" s="6">
        <v>37.49591666666667</v>
      </c>
      <c r="E4526" s="6" t="s">
        <v>88</v>
      </c>
      <c r="F4526" s="6" t="s">
        <v>61</v>
      </c>
      <c r="G4526" s="7">
        <v>53088.58925206317</v>
      </c>
      <c r="H4526" s="6">
        <v>1990605.318546256</v>
      </c>
      <c r="I4526" s="6" t="s">
        <v>179</v>
      </c>
      <c r="J4526" s="15">
        <v>21</v>
      </c>
    </row>
    <row r="4527" spans="1:10">
      <c r="A4527" s="6" t="s">
        <v>144</v>
      </c>
      <c r="B4527" s="6" t="s">
        <v>88</v>
      </c>
      <c r="C4527" s="6" t="s">
        <v>297</v>
      </c>
      <c r="D4527" s="6">
        <v>0.9535</v>
      </c>
      <c r="E4527" s="6" t="s">
        <v>88</v>
      </c>
      <c r="F4527" s="6" t="s">
        <v>52</v>
      </c>
      <c r="G4527" s="7">
        <v>44335.59781697809</v>
      </c>
      <c r="H4527" s="6">
        <v>42273.99251848861</v>
      </c>
      <c r="I4527" s="6" t="s">
        <v>180</v>
      </c>
      <c r="J4527" s="15">
        <v>23.08823420331521</v>
      </c>
    </row>
    <row r="4528" spans="1:10">
      <c r="A4528" s="6" t="s">
        <v>144</v>
      </c>
      <c r="B4528" s="6" t="s">
        <v>92</v>
      </c>
      <c r="C4528" s="6" t="s">
        <v>298</v>
      </c>
      <c r="D4528" s="6">
        <v>24.49525</v>
      </c>
      <c r="E4528" s="6" t="s">
        <v>88</v>
      </c>
      <c r="F4528" s="6" t="s">
        <v>56</v>
      </c>
      <c r="G4528" s="7">
        <v>64956.33439155623</v>
      </c>
      <c r="H4528" s="6">
        <v>1591121.650004768</v>
      </c>
      <c r="I4528" s="6" t="s">
        <v>180</v>
      </c>
      <c r="J4528" s="15">
        <v>17.56073573464467</v>
      </c>
    </row>
    <row r="4529" spans="1:10">
      <c r="A4529" s="6" t="s">
        <v>144</v>
      </c>
      <c r="B4529" s="6" t="s">
        <v>92</v>
      </c>
      <c r="C4529" s="6" t="s">
        <v>299</v>
      </c>
      <c r="D4529" s="6">
        <v>0.486</v>
      </c>
      <c r="E4529" s="6" t="s">
        <v>88</v>
      </c>
      <c r="F4529" s="6" t="s">
        <v>53</v>
      </c>
      <c r="G4529" s="7">
        <v>52009.60071301651</v>
      </c>
      <c r="H4529" s="6">
        <v>25276.66594652602</v>
      </c>
      <c r="I4529" s="6" t="s">
        <v>180</v>
      </c>
      <c r="J4529" s="15">
        <v>12.7131801003138</v>
      </c>
    </row>
    <row r="4530" spans="1:10">
      <c r="A4530" s="6" t="s">
        <v>144</v>
      </c>
      <c r="B4530" s="6" t="s">
        <v>92</v>
      </c>
      <c r="C4530" s="6" t="s">
        <v>301</v>
      </c>
      <c r="D4530" s="6">
        <v>5.4905</v>
      </c>
      <c r="E4530" s="6" t="s">
        <v>88</v>
      </c>
      <c r="F4530" s="6" t="s">
        <v>59</v>
      </c>
      <c r="G4530" s="7">
        <v>60287.5334728343</v>
      </c>
      <c r="H4530" s="6">
        <v>331008.7025325967</v>
      </c>
      <c r="I4530" s="6" t="s">
        <v>180</v>
      </c>
      <c r="J4530" s="15">
        <v>15.81262901050354</v>
      </c>
    </row>
    <row r="4531" spans="1:10">
      <c r="A4531" s="6" t="s">
        <v>144</v>
      </c>
      <c r="B4531" s="6" t="s">
        <v>88</v>
      </c>
      <c r="C4531" s="6" t="s">
        <v>302</v>
      </c>
      <c r="D4531" s="6">
        <v>1068.670833333333</v>
      </c>
      <c r="E4531" s="6" t="s">
        <v>88</v>
      </c>
      <c r="F4531" s="6" t="s">
        <v>52</v>
      </c>
      <c r="G4531" s="7">
        <v>33240.74338740388</v>
      </c>
      <c r="H4531" s="6">
        <v>35523412.93643639</v>
      </c>
      <c r="I4531" s="6" t="s">
        <v>179</v>
      </c>
      <c r="J4531" s="15">
        <v>34</v>
      </c>
    </row>
    <row r="4532" spans="1:10">
      <c r="A4532" s="6" t="s">
        <v>144</v>
      </c>
      <c r="B4532" s="6" t="s">
        <v>92</v>
      </c>
      <c r="C4532" s="6" t="s">
        <v>303</v>
      </c>
      <c r="D4532" s="6">
        <v>0.18575</v>
      </c>
      <c r="E4532" s="6" t="s">
        <v>88</v>
      </c>
      <c r="F4532" s="6" t="s">
        <v>53</v>
      </c>
      <c r="G4532" s="7">
        <v>52579.50648328198</v>
      </c>
      <c r="H4532" s="6">
        <v>9766.643329269627</v>
      </c>
      <c r="I4532" s="6" t="s">
        <v>180</v>
      </c>
      <c r="J4532" s="15">
        <v>12.92656596243804</v>
      </c>
    </row>
    <row r="4533" spans="1:10">
      <c r="A4533" s="6" t="s">
        <v>144</v>
      </c>
      <c r="B4533" s="6" t="s">
        <v>88</v>
      </c>
      <c r="C4533" s="6" t="s">
        <v>361</v>
      </c>
      <c r="D4533" s="6">
        <v>59.64275</v>
      </c>
      <c r="E4533" s="6" t="s">
        <v>88</v>
      </c>
      <c r="F4533" s="6" t="s">
        <v>52</v>
      </c>
      <c r="G4533" s="7">
        <v>41929.97821752574</v>
      </c>
      <c r="H4533" s="6">
        <v>2500819.208333333</v>
      </c>
      <c r="I4533" s="6" t="s">
        <v>179</v>
      </c>
      <c r="J4533" s="15">
        <v>39.98333333333333</v>
      </c>
    </row>
    <row r="4534" spans="1:10">
      <c r="A4534" s="6" t="s">
        <v>144</v>
      </c>
      <c r="B4534" s="6" t="s">
        <v>88</v>
      </c>
      <c r="C4534" s="6" t="s">
        <v>305</v>
      </c>
      <c r="D4534" s="6">
        <v>35.40958333333334</v>
      </c>
      <c r="E4534" s="6" t="s">
        <v>88</v>
      </c>
      <c r="F4534" s="6" t="s">
        <v>54</v>
      </c>
      <c r="G4534" s="7">
        <v>54240.54060127008</v>
      </c>
      <c r="H4534" s="6">
        <v>1920634.942465723</v>
      </c>
      <c r="I4534" s="6" t="s">
        <v>180</v>
      </c>
      <c r="J4534" s="15">
        <v>29.75667140595994</v>
      </c>
    </row>
    <row r="4535" spans="1:10">
      <c r="A4535" s="6" t="s">
        <v>144</v>
      </c>
      <c r="B4535" s="6" t="s">
        <v>92</v>
      </c>
      <c r="C4535" s="6" t="s">
        <v>306</v>
      </c>
      <c r="D4535" s="6">
        <v>5.902083333333334</v>
      </c>
      <c r="E4535" s="6" t="s">
        <v>88</v>
      </c>
      <c r="F4535" s="6" t="s">
        <v>57</v>
      </c>
      <c r="G4535" s="7">
        <v>39936.89263645957</v>
      </c>
      <c r="H4535" s="6">
        <v>235710.8684147708</v>
      </c>
      <c r="I4535" s="6" t="s">
        <v>180</v>
      </c>
      <c r="J4535" s="15">
        <v>8.192879805950582</v>
      </c>
    </row>
    <row r="4536" spans="1:10">
      <c r="A4536" s="6" t="s">
        <v>144</v>
      </c>
      <c r="B4536" s="6" t="s">
        <v>92</v>
      </c>
      <c r="C4536" s="6" t="s">
        <v>307</v>
      </c>
      <c r="D4536" s="6">
        <v>0.09766666666666667</v>
      </c>
      <c r="E4536" s="6" t="s">
        <v>88</v>
      </c>
      <c r="F4536" s="6" t="s">
        <v>53</v>
      </c>
      <c r="G4536" s="7">
        <v>52756.89179587198</v>
      </c>
      <c r="H4536" s="6">
        <v>5152.58976539683</v>
      </c>
      <c r="I4536" s="6" t="s">
        <v>180</v>
      </c>
      <c r="J4536" s="15">
        <v>12.99298311388671</v>
      </c>
    </row>
    <row r="4537" spans="1:10">
      <c r="A4537" s="6" t="s">
        <v>144</v>
      </c>
      <c r="B4537" s="6" t="s">
        <v>88</v>
      </c>
      <c r="C4537" s="6" t="s">
        <v>362</v>
      </c>
      <c r="D4537" s="6">
        <v>181.7543333333333</v>
      </c>
      <c r="E4537" s="6" t="s">
        <v>88</v>
      </c>
      <c r="F4537" s="6" t="s">
        <v>52</v>
      </c>
      <c r="G4537" s="7">
        <v>36106.29405129155</v>
      </c>
      <c r="H4537" s="6">
        <v>6562475.404429795</v>
      </c>
      <c r="I4537" s="6" t="s">
        <v>179</v>
      </c>
      <c r="J4537" s="15">
        <v>34.25</v>
      </c>
    </row>
    <row r="4538" spans="1:10">
      <c r="A4538" s="6" t="s">
        <v>144</v>
      </c>
      <c r="B4538" s="6" t="s">
        <v>88</v>
      </c>
      <c r="C4538" s="6" t="s">
        <v>308</v>
      </c>
      <c r="D4538" s="6">
        <v>0.2456666666666667</v>
      </c>
      <c r="E4538" s="6" t="s">
        <v>88</v>
      </c>
      <c r="F4538" s="6" t="s">
        <v>54</v>
      </c>
      <c r="G4538" s="7">
        <v>44901.76692934829</v>
      </c>
      <c r="H4538" s="6">
        <v>11030.86740897656</v>
      </c>
      <c r="I4538" s="6" t="s">
        <v>180</v>
      </c>
      <c r="J4538" s="15">
        <v>23.46940381268491</v>
      </c>
    </row>
    <row r="4539" spans="1:10">
      <c r="A4539" s="6" t="s">
        <v>144</v>
      </c>
      <c r="B4539" s="6" t="s">
        <v>88</v>
      </c>
      <c r="C4539" s="6" t="s">
        <v>309</v>
      </c>
      <c r="D4539" s="6">
        <v>360.7226666666667</v>
      </c>
      <c r="E4539" s="6" t="s">
        <v>88</v>
      </c>
      <c r="F4539" s="6" t="s">
        <v>52</v>
      </c>
      <c r="G4539" s="7">
        <v>43401.39202919273</v>
      </c>
      <c r="H4539" s="6">
        <v>15655865.86981581</v>
      </c>
      <c r="I4539" s="6" t="s">
        <v>179</v>
      </c>
      <c r="J4539" s="15">
        <v>37.5</v>
      </c>
    </row>
    <row r="4540" spans="1:10">
      <c r="A4540" s="6" t="s">
        <v>144</v>
      </c>
      <c r="B4540" s="6" t="s">
        <v>92</v>
      </c>
      <c r="C4540" s="6" t="s">
        <v>310</v>
      </c>
      <c r="D4540" s="6">
        <v>35.30658333333333</v>
      </c>
      <c r="E4540" s="6" t="s">
        <v>88</v>
      </c>
      <c r="F4540" s="6" t="s">
        <v>52</v>
      </c>
      <c r="G4540" s="7">
        <v>77318.80490856594</v>
      </c>
      <c r="H4540" s="6">
        <v>2729862.828738025</v>
      </c>
      <c r="I4540" s="6" t="s">
        <v>180</v>
      </c>
      <c r="J4540" s="15">
        <v>22.18952976848772</v>
      </c>
    </row>
    <row r="4541" spans="1:10">
      <c r="A4541" s="6" t="s">
        <v>144</v>
      </c>
      <c r="B4541" s="6" t="s">
        <v>92</v>
      </c>
      <c r="C4541" s="6" t="s">
        <v>311</v>
      </c>
      <c r="D4541" s="6">
        <v>222.953</v>
      </c>
      <c r="E4541" s="6" t="s">
        <v>88</v>
      </c>
      <c r="F4541" s="6" t="s">
        <v>51</v>
      </c>
      <c r="G4541" s="7">
        <v>47093.06261970591</v>
      </c>
      <c r="H4541" s="6">
        <v>10499539.59025129</v>
      </c>
      <c r="I4541" s="6" t="s">
        <v>179</v>
      </c>
      <c r="J4541" s="15">
        <v>49.65833333333333</v>
      </c>
    </row>
    <row r="4542" spans="1:10">
      <c r="A4542" s="6" t="s">
        <v>144</v>
      </c>
      <c r="B4542" s="6" t="s">
        <v>88</v>
      </c>
      <c r="C4542" s="6" t="s">
        <v>312</v>
      </c>
      <c r="D4542" s="6">
        <v>54.05091666666667</v>
      </c>
      <c r="E4542" s="6" t="s">
        <v>88</v>
      </c>
      <c r="F4542" s="6" t="s">
        <v>54</v>
      </c>
      <c r="G4542" s="7">
        <v>43974.2296302894</v>
      </c>
      <c r="H4542" s="6">
        <v>2376847.421227636</v>
      </c>
      <c r="I4542" s="6" t="s">
        <v>180</v>
      </c>
      <c r="J4542" s="15">
        <v>22.84494546228496</v>
      </c>
    </row>
    <row r="4543" spans="1:10">
      <c r="A4543" s="6" t="s">
        <v>144</v>
      </c>
      <c r="B4543" s="6" t="s">
        <v>92</v>
      </c>
      <c r="C4543" s="6" t="s">
        <v>313</v>
      </c>
      <c r="D4543" s="6">
        <v>7.997000000000001</v>
      </c>
      <c r="E4543" s="6" t="s">
        <v>88</v>
      </c>
      <c r="F4543" s="6" t="s">
        <v>51</v>
      </c>
      <c r="G4543" s="7">
        <v>47731.50326829251</v>
      </c>
      <c r="H4543" s="6">
        <v>381708.8316365352</v>
      </c>
      <c r="I4543" s="6" t="s">
        <v>180</v>
      </c>
      <c r="J4543" s="15">
        <v>11.11136176626066</v>
      </c>
    </row>
    <row r="4544" spans="1:10">
      <c r="A4544" s="6" t="s">
        <v>144</v>
      </c>
      <c r="B4544" s="6" t="s">
        <v>92</v>
      </c>
      <c r="C4544" s="6" t="s">
        <v>314</v>
      </c>
      <c r="D4544" s="6">
        <v>2.293416666666666</v>
      </c>
      <c r="E4544" s="6" t="s">
        <v>88</v>
      </c>
      <c r="F4544" s="6" t="s">
        <v>51</v>
      </c>
      <c r="G4544" s="7">
        <v>66764.46796773297</v>
      </c>
      <c r="H4544" s="6">
        <v>153118.7435783316</v>
      </c>
      <c r="I4544" s="6" t="s">
        <v>180</v>
      </c>
      <c r="J4544" s="15">
        <v>18.23774264020472</v>
      </c>
    </row>
    <row r="4545" spans="1:10">
      <c r="A4545" s="6" t="s">
        <v>144</v>
      </c>
      <c r="B4545" s="6" t="s">
        <v>92</v>
      </c>
      <c r="C4545" s="6" t="s">
        <v>315</v>
      </c>
      <c r="D4545" s="6">
        <v>37.0025</v>
      </c>
      <c r="E4545" s="6" t="s">
        <v>88</v>
      </c>
      <c r="F4545" s="6" t="s">
        <v>51</v>
      </c>
      <c r="G4545" s="7">
        <v>36977.7141649833</v>
      </c>
      <c r="H4545" s="6">
        <v>1368267.868389794</v>
      </c>
      <c r="I4545" s="6" t="s">
        <v>179</v>
      </c>
      <c r="J4545" s="15">
        <v>20.63333333333333</v>
      </c>
    </row>
    <row r="4546" spans="1:10">
      <c r="A4546" s="6" t="s">
        <v>144</v>
      </c>
      <c r="B4546" s="6" t="s">
        <v>88</v>
      </c>
      <c r="C4546" s="6" t="s">
        <v>316</v>
      </c>
      <c r="D4546" s="6">
        <v>2.109166666666667</v>
      </c>
      <c r="E4546" s="6" t="s">
        <v>88</v>
      </c>
      <c r="F4546" s="6" t="s">
        <v>54</v>
      </c>
      <c r="G4546" s="7">
        <v>52119.57953683602</v>
      </c>
      <c r="H4546" s="6">
        <v>109928.8798397767</v>
      </c>
      <c r="I4546" s="6" t="s">
        <v>180</v>
      </c>
      <c r="J4546" s="15">
        <v>28.32874840070413</v>
      </c>
    </row>
    <row r="4547" spans="1:10">
      <c r="A4547" s="6" t="s">
        <v>144</v>
      </c>
      <c r="B4547" s="6" t="s">
        <v>92</v>
      </c>
      <c r="C4547" s="6" t="s">
        <v>317</v>
      </c>
      <c r="D4547" s="6">
        <v>0.3051666666666667</v>
      </c>
      <c r="E4547" s="6" t="s">
        <v>88</v>
      </c>
      <c r="F4547" s="6" t="s">
        <v>51</v>
      </c>
      <c r="G4547" s="7">
        <v>51135.75391883078</v>
      </c>
      <c r="H4547" s="6">
        <v>15604.92757089653</v>
      </c>
      <c r="I4547" s="6" t="s">
        <v>180</v>
      </c>
      <c r="J4547" s="15">
        <v>12.38599171010859</v>
      </c>
    </row>
    <row r="4548" spans="1:10">
      <c r="A4548" s="6" t="s">
        <v>144</v>
      </c>
      <c r="B4548" s="6" t="s">
        <v>88</v>
      </c>
      <c r="C4548" s="6" t="s">
        <v>319</v>
      </c>
      <c r="D4548" s="6">
        <v>4.120083333333334</v>
      </c>
      <c r="E4548" s="6" t="s">
        <v>88</v>
      </c>
      <c r="F4548" s="6" t="s">
        <v>52</v>
      </c>
      <c r="G4548" s="7">
        <v>44335.59781697809</v>
      </c>
      <c r="H4548" s="6">
        <v>182666.3576391011</v>
      </c>
      <c r="I4548" s="6" t="s">
        <v>180</v>
      </c>
      <c r="J4548" s="15">
        <v>23.08823420331521</v>
      </c>
    </row>
    <row r="4549" spans="1:10">
      <c r="A4549" s="6" t="s">
        <v>144</v>
      </c>
      <c r="B4549" s="6" t="s">
        <v>92</v>
      </c>
      <c r="C4549" s="6" t="s">
        <v>320</v>
      </c>
      <c r="D4549" s="6">
        <v>413.5562499999999</v>
      </c>
      <c r="E4549" s="6" t="s">
        <v>88</v>
      </c>
      <c r="F4549" s="6" t="s">
        <v>51</v>
      </c>
      <c r="G4549" s="7">
        <v>42399.1324717879</v>
      </c>
      <c r="H4549" s="6">
        <v>17534426.22828583</v>
      </c>
      <c r="I4549" s="6" t="s">
        <v>179</v>
      </c>
      <c r="J4549" s="15">
        <v>45</v>
      </c>
    </row>
    <row r="4550" spans="1:10">
      <c r="A4550" s="6" t="s">
        <v>144</v>
      </c>
      <c r="B4550" s="6" t="s">
        <v>92</v>
      </c>
      <c r="C4550" s="6" t="s">
        <v>321</v>
      </c>
      <c r="D4550" s="6">
        <v>0.1015833333333333</v>
      </c>
      <c r="E4550" s="6" t="s">
        <v>88</v>
      </c>
      <c r="F4550" s="6" t="s">
        <v>54</v>
      </c>
      <c r="G4550" s="7">
        <v>66126.21911984179</v>
      </c>
      <c r="H4550" s="6">
        <v>6717.321758923928</v>
      </c>
      <c r="I4550" s="6" t="s">
        <v>180</v>
      </c>
      <c r="J4550" s="15">
        <v>17.99876755386086</v>
      </c>
    </row>
    <row r="4551" spans="1:10">
      <c r="A4551" s="6" t="s">
        <v>144</v>
      </c>
      <c r="B4551" s="6" t="s">
        <v>92</v>
      </c>
      <c r="C4551" s="6" t="s">
        <v>322</v>
      </c>
      <c r="D4551" s="6">
        <v>85.50508333333333</v>
      </c>
      <c r="E4551" s="6" t="s">
        <v>88</v>
      </c>
      <c r="F4551" s="6" t="s">
        <v>51</v>
      </c>
      <c r="G4551" s="7">
        <v>51594.95855690809</v>
      </c>
      <c r="H4551" s="6">
        <v>4411631.230988306</v>
      </c>
      <c r="I4551" s="6" t="s">
        <v>180</v>
      </c>
      <c r="J4551" s="15">
        <v>12.55792851562985</v>
      </c>
    </row>
    <row r="4552" spans="1:10">
      <c r="A4552" s="6" t="s">
        <v>144</v>
      </c>
      <c r="B4552" s="6" t="s">
        <v>92</v>
      </c>
      <c r="C4552" s="6" t="s">
        <v>323</v>
      </c>
      <c r="D4552" s="6">
        <v>23.45583333333333</v>
      </c>
      <c r="E4552" s="6" t="s">
        <v>88</v>
      </c>
      <c r="F4552" s="6" t="s">
        <v>55</v>
      </c>
      <c r="G4552" s="7">
        <v>37901.84707720344</v>
      </c>
      <c r="H4552" s="6">
        <v>889019.4080683711</v>
      </c>
      <c r="I4552" s="6" t="s">
        <v>179</v>
      </c>
      <c r="J4552" s="15">
        <v>17</v>
      </c>
    </row>
    <row r="4553" spans="1:10">
      <c r="A4553" s="6" t="s">
        <v>144</v>
      </c>
      <c r="B4553" s="6" t="s">
        <v>92</v>
      </c>
      <c r="C4553" s="6" t="s">
        <v>324</v>
      </c>
      <c r="D4553" s="6">
        <v>237.2449166666667</v>
      </c>
      <c r="E4553" s="6" t="s">
        <v>88</v>
      </c>
      <c r="F4553" s="6" t="s">
        <v>51</v>
      </c>
      <c r="G4553" s="7">
        <v>59286.87997138536</v>
      </c>
      <c r="H4553" s="6">
        <v>14065510.89823799</v>
      </c>
      <c r="I4553" s="6" t="s">
        <v>179</v>
      </c>
      <c r="J4553" s="15">
        <v>44</v>
      </c>
    </row>
    <row r="4554" spans="1:10">
      <c r="A4554" s="6" t="s">
        <v>144</v>
      </c>
      <c r="B4554" s="6" t="s">
        <v>88</v>
      </c>
      <c r="C4554" s="6" t="s">
        <v>372</v>
      </c>
      <c r="D4554" s="6">
        <v>1.7615</v>
      </c>
      <c r="E4554" s="6" t="s">
        <v>88</v>
      </c>
      <c r="F4554" s="6" t="s">
        <v>55</v>
      </c>
      <c r="G4554" s="7">
        <v>26107.48186832325</v>
      </c>
      <c r="H4554" s="6">
        <v>45988.32931105141</v>
      </c>
      <c r="I4554" s="6" t="s">
        <v>180</v>
      </c>
      <c r="J4554" s="15">
        <v>10.81627573032942</v>
      </c>
    </row>
    <row r="4555" spans="1:10">
      <c r="A4555" s="6" t="s">
        <v>144</v>
      </c>
      <c r="B4555" s="6" t="s">
        <v>92</v>
      </c>
      <c r="C4555" s="6" t="s">
        <v>325</v>
      </c>
      <c r="D4555" s="6">
        <v>0.5835833333333333</v>
      </c>
      <c r="E4555" s="6" t="s">
        <v>88</v>
      </c>
      <c r="F4555" s="6" t="s">
        <v>53</v>
      </c>
      <c r="G4555" s="7">
        <v>65311.40887625943</v>
      </c>
      <c r="H4555" s="6">
        <v>38114.64969670373</v>
      </c>
      <c r="I4555" s="6" t="s">
        <v>180</v>
      </c>
      <c r="J4555" s="15">
        <v>17.69368380955434</v>
      </c>
    </row>
    <row r="4556" spans="1:10">
      <c r="A4556" s="6" t="s">
        <v>144</v>
      </c>
      <c r="B4556" s="6" t="s">
        <v>88</v>
      </c>
      <c r="C4556" s="6" t="s">
        <v>364</v>
      </c>
      <c r="D4556" s="6">
        <v>4.807583333333334</v>
      </c>
      <c r="E4556" s="6" t="s">
        <v>88</v>
      </c>
      <c r="F4556" s="6" t="s">
        <v>52</v>
      </c>
      <c r="G4556" s="7">
        <v>44335.59781697809</v>
      </c>
      <c r="H4556" s="6">
        <v>213147.0811382736</v>
      </c>
      <c r="I4556" s="6" t="s">
        <v>180</v>
      </c>
      <c r="J4556" s="15">
        <v>23.08823420331521</v>
      </c>
    </row>
    <row r="4557" spans="1:10">
      <c r="A4557" s="6" t="s">
        <v>144</v>
      </c>
      <c r="B4557" s="6" t="s">
        <v>88</v>
      </c>
      <c r="C4557" s="6" t="s">
        <v>326</v>
      </c>
      <c r="D4557" s="6">
        <v>288.858</v>
      </c>
      <c r="E4557" s="6" t="s">
        <v>88</v>
      </c>
      <c r="F4557" s="6" t="s">
        <v>54</v>
      </c>
      <c r="G4557" s="7">
        <v>52218.3360663061</v>
      </c>
      <c r="H4557" s="6">
        <v>15083684.11944105</v>
      </c>
      <c r="I4557" s="6" t="s">
        <v>180</v>
      </c>
      <c r="J4557" s="15">
        <v>28.39523558083876</v>
      </c>
    </row>
    <row r="4558" spans="1:10">
      <c r="A4558" s="6" t="s">
        <v>144</v>
      </c>
      <c r="B4558" s="6" t="s">
        <v>88</v>
      </c>
      <c r="C4558" s="6" t="s">
        <v>373</v>
      </c>
      <c r="D4558" s="6">
        <v>0.2316666666666667</v>
      </c>
      <c r="E4558" s="6" t="s">
        <v>88</v>
      </c>
      <c r="F4558" s="6" t="s">
        <v>55</v>
      </c>
      <c r="G4558" s="7">
        <v>16856.45138564954</v>
      </c>
      <c r="H4558" s="6">
        <v>3905.077904342143</v>
      </c>
      <c r="I4558" s="6" t="s">
        <v>180</v>
      </c>
      <c r="J4558" s="15">
        <v>4.588080658744115</v>
      </c>
    </row>
    <row r="4559" spans="1:10">
      <c r="A4559" s="6" t="s">
        <v>144</v>
      </c>
      <c r="B4559" s="6" t="s">
        <v>92</v>
      </c>
      <c r="C4559" s="6" t="s">
        <v>374</v>
      </c>
      <c r="D4559" s="6">
        <v>0.05691666666666666</v>
      </c>
      <c r="E4559" s="6" t="s">
        <v>88</v>
      </c>
      <c r="F4559" s="6" t="s">
        <v>55</v>
      </c>
      <c r="G4559" s="7">
        <v>29054.37866544401</v>
      </c>
      <c r="H4559" s="6">
        <v>1653.678385708188</v>
      </c>
      <c r="I4559" s="6" t="s">
        <v>180</v>
      </c>
      <c r="J4559" s="15">
        <v>15.81666666666667</v>
      </c>
    </row>
    <row r="4560" spans="1:10">
      <c r="A4560" s="6" t="s">
        <v>144</v>
      </c>
      <c r="B4560" s="6" t="s">
        <v>88</v>
      </c>
      <c r="C4560" s="6" t="s">
        <v>327</v>
      </c>
      <c r="D4560" s="6">
        <v>49.30216666666666</v>
      </c>
      <c r="E4560" s="6" t="s">
        <v>88</v>
      </c>
      <c r="F4560" s="6" t="s">
        <v>57</v>
      </c>
      <c r="G4560" s="7">
        <v>24260.20233969063</v>
      </c>
      <c r="H4560" s="6">
        <v>1196080.539118484</v>
      </c>
      <c r="I4560" s="6" t="s">
        <v>180</v>
      </c>
      <c r="J4560" s="15">
        <v>9.572607008491534</v>
      </c>
    </row>
    <row r="4561" spans="1:10">
      <c r="A4561" s="6" t="s">
        <v>144</v>
      </c>
      <c r="B4561" s="6" t="s">
        <v>92</v>
      </c>
      <c r="C4561" s="6" t="s">
        <v>328</v>
      </c>
      <c r="D4561" s="6">
        <v>0.1481666666666667</v>
      </c>
      <c r="E4561" s="6" t="s">
        <v>88</v>
      </c>
      <c r="F4561" s="6" t="s">
        <v>58</v>
      </c>
      <c r="G4561" s="7">
        <v>58185.92729035135</v>
      </c>
      <c r="H4561" s="6">
        <v>8621.214893520391</v>
      </c>
      <c r="I4561" s="6" t="s">
        <v>180</v>
      </c>
      <c r="J4561" s="15">
        <v>15.02573919381359</v>
      </c>
    </row>
    <row r="4562" spans="1:10">
      <c r="A4562" s="6" t="s">
        <v>144</v>
      </c>
      <c r="B4562" s="6" t="s">
        <v>88</v>
      </c>
      <c r="C4562" s="6" t="s">
        <v>329</v>
      </c>
      <c r="D4562" s="6">
        <v>192.4203333333333</v>
      </c>
      <c r="E4562" s="6" t="s">
        <v>88</v>
      </c>
      <c r="F4562" s="6" t="s">
        <v>58</v>
      </c>
      <c r="G4562" s="7">
        <v>28500.44322961068</v>
      </c>
      <c r="H4562" s="6">
        <v>5484064.786389429</v>
      </c>
      <c r="I4562" s="6" t="s">
        <v>180</v>
      </c>
      <c r="J4562" s="15">
        <v>12.42732113600372</v>
      </c>
    </row>
    <row r="4563" spans="1:10">
      <c r="A4563" s="6" t="s">
        <v>144</v>
      </c>
      <c r="B4563" s="6" t="s">
        <v>88</v>
      </c>
      <c r="C4563" s="6" t="s">
        <v>330</v>
      </c>
      <c r="D4563" s="6">
        <v>5.259333333333333</v>
      </c>
      <c r="E4563" s="6" t="s">
        <v>88</v>
      </c>
      <c r="F4563" s="6" t="s">
        <v>52</v>
      </c>
      <c r="G4563" s="7">
        <v>44335.59781697809</v>
      </c>
      <c r="H4563" s="6">
        <v>233175.6874520934</v>
      </c>
      <c r="I4563" s="6" t="s">
        <v>180</v>
      </c>
      <c r="J4563" s="15">
        <v>23.08823420331521</v>
      </c>
    </row>
    <row r="4564" spans="1:10">
      <c r="A4564" s="6" t="s">
        <v>144</v>
      </c>
      <c r="B4564" s="6" t="s">
        <v>92</v>
      </c>
      <c r="C4564" s="6" t="s">
        <v>331</v>
      </c>
      <c r="D4564" s="6">
        <v>52.29525</v>
      </c>
      <c r="E4564" s="6" t="s">
        <v>88</v>
      </c>
      <c r="F4564" s="6" t="s">
        <v>58</v>
      </c>
      <c r="G4564" s="7">
        <v>52490.82308035896</v>
      </c>
      <c r="H4564" s="6">
        <v>2745020.715693142</v>
      </c>
      <c r="I4564" s="6" t="s">
        <v>179</v>
      </c>
      <c r="J4564" s="15">
        <v>17.40719355741339</v>
      </c>
    </row>
    <row r="4565" spans="1:10">
      <c r="A4565" s="6" t="s">
        <v>144</v>
      </c>
      <c r="B4565" s="6" t="s">
        <v>92</v>
      </c>
      <c r="C4565" s="6" t="s">
        <v>332</v>
      </c>
      <c r="D4565" s="6">
        <v>807.2191666666666</v>
      </c>
      <c r="E4565" s="6" t="s">
        <v>88</v>
      </c>
      <c r="F4565" s="6" t="s">
        <v>55</v>
      </c>
      <c r="G4565" s="7">
        <v>18935.91078298569</v>
      </c>
      <c r="H4565" s="6">
        <v>15285430.12231605</v>
      </c>
      <c r="I4565" s="6" t="s">
        <v>179</v>
      </c>
      <c r="J4565" s="15">
        <v>13</v>
      </c>
    </row>
    <row r="4566" spans="1:10">
      <c r="A4566" s="6" t="s">
        <v>144</v>
      </c>
      <c r="B4566" s="6" t="s">
        <v>88</v>
      </c>
      <c r="C4566" s="6" t="s">
        <v>375</v>
      </c>
      <c r="D4566" s="6">
        <v>0.4240833333333333</v>
      </c>
      <c r="E4566" s="6" t="s">
        <v>88</v>
      </c>
      <c r="F4566" s="6" t="s">
        <v>55</v>
      </c>
      <c r="G4566" s="7">
        <v>20384.26846005159</v>
      </c>
      <c r="H4566" s="6">
        <v>8644.628516100212</v>
      </c>
      <c r="I4566" s="6" t="s">
        <v>180</v>
      </c>
      <c r="J4566" s="15">
        <v>6.963160165551133</v>
      </c>
    </row>
    <row r="4567" spans="1:10">
      <c r="A4567" s="6" t="s">
        <v>144</v>
      </c>
      <c r="B4567" s="6" t="s">
        <v>92</v>
      </c>
      <c r="C4567" s="6" t="s">
        <v>333</v>
      </c>
      <c r="D4567" s="6">
        <v>27.81408333333333</v>
      </c>
      <c r="E4567" s="6" t="s">
        <v>88</v>
      </c>
      <c r="F4567" s="6" t="s">
        <v>51</v>
      </c>
      <c r="G4567" s="7">
        <v>51151.59012928524</v>
      </c>
      <c r="H4567" s="6">
        <v>1422734.59048845</v>
      </c>
      <c r="I4567" s="6" t="s">
        <v>180</v>
      </c>
      <c r="J4567" s="15">
        <v>12.39192115247769</v>
      </c>
    </row>
    <row r="4568" spans="1:10">
      <c r="A4568" s="6" t="s">
        <v>144</v>
      </c>
      <c r="B4568" s="6" t="s">
        <v>90</v>
      </c>
      <c r="C4568" s="6" t="s">
        <v>194</v>
      </c>
      <c r="D4568" s="6">
        <v>0.2404166666666667</v>
      </c>
      <c r="E4568" s="6" t="s">
        <v>90</v>
      </c>
      <c r="F4568" s="6" t="s">
        <v>58</v>
      </c>
      <c r="G4568" s="7">
        <v>59839.94997846646</v>
      </c>
      <c r="H4568" s="6">
        <v>14386.52130732298</v>
      </c>
      <c r="I4568" s="6" t="s">
        <v>180</v>
      </c>
      <c r="J4568" s="15">
        <v>69.98333333333333</v>
      </c>
    </row>
    <row r="4569" spans="1:10">
      <c r="A4569" s="6" t="s">
        <v>144</v>
      </c>
      <c r="B4569" s="6" t="s">
        <v>90</v>
      </c>
      <c r="C4569" s="6" t="s">
        <v>195</v>
      </c>
      <c r="D4569" s="6">
        <v>20.51325</v>
      </c>
      <c r="E4569" s="6" t="s">
        <v>90</v>
      </c>
      <c r="F4569" s="6" t="s">
        <v>54</v>
      </c>
      <c r="G4569" s="7">
        <v>56976.27849226169</v>
      </c>
      <c r="H4569" s="6">
        <v>1168768.644781387</v>
      </c>
      <c r="I4569" s="6" t="s">
        <v>180</v>
      </c>
      <c r="J4569" s="15">
        <v>11.49610447263148</v>
      </c>
    </row>
    <row r="4570" spans="1:10">
      <c r="A4570" s="6" t="s">
        <v>144</v>
      </c>
      <c r="B4570" s="6" t="s">
        <v>90</v>
      </c>
      <c r="C4570" s="6" t="s">
        <v>334</v>
      </c>
      <c r="D4570" s="6">
        <v>0.003333333333333334</v>
      </c>
      <c r="E4570" s="6" t="s">
        <v>90</v>
      </c>
      <c r="F4570" s="6" t="s">
        <v>54</v>
      </c>
      <c r="G4570" s="7">
        <v>73156.13365961002</v>
      </c>
      <c r="H4570" s="6">
        <v>243.8537788653667</v>
      </c>
      <c r="I4570" s="6" t="s">
        <v>180</v>
      </c>
      <c r="J4570" s="15">
        <v>16.68050450820028</v>
      </c>
    </row>
    <row r="4571" spans="1:10">
      <c r="A4571" s="6" t="s">
        <v>144</v>
      </c>
      <c r="B4571" s="6" t="s">
        <v>90</v>
      </c>
      <c r="C4571" s="6" t="s">
        <v>335</v>
      </c>
      <c r="D4571" s="6">
        <v>295.1966666666667</v>
      </c>
      <c r="E4571" s="6" t="s">
        <v>90</v>
      </c>
      <c r="F4571" s="6" t="s">
        <v>52</v>
      </c>
      <c r="G4571" s="7">
        <v>95698.07693963528</v>
      </c>
      <c r="H4571" s="6">
        <v>28249753.31899054</v>
      </c>
      <c r="I4571" s="6" t="s">
        <v>179</v>
      </c>
      <c r="J4571" s="15">
        <v>62.25</v>
      </c>
    </row>
    <row r="4572" spans="1:10">
      <c r="A4572" s="6" t="s">
        <v>144</v>
      </c>
      <c r="B4572" s="6" t="s">
        <v>90</v>
      </c>
      <c r="C4572" s="6" t="s">
        <v>197</v>
      </c>
      <c r="D4572" s="6">
        <v>12.18166666666667</v>
      </c>
      <c r="E4572" s="6" t="s">
        <v>90</v>
      </c>
      <c r="F4572" s="6" t="s">
        <v>53</v>
      </c>
      <c r="G4572" s="7">
        <v>24873.23941462196</v>
      </c>
      <c r="H4572" s="6">
        <v>302997.5114691198</v>
      </c>
      <c r="I4572" s="6" t="s">
        <v>179</v>
      </c>
      <c r="J4572" s="15">
        <v>27</v>
      </c>
    </row>
    <row r="4573" spans="1:10">
      <c r="A4573" s="6" t="s">
        <v>144</v>
      </c>
      <c r="B4573" s="6" t="s">
        <v>90</v>
      </c>
      <c r="C4573" s="6" t="s">
        <v>198</v>
      </c>
      <c r="D4573" s="6">
        <v>9.533250000000001</v>
      </c>
      <c r="E4573" s="6" t="s">
        <v>90</v>
      </c>
      <c r="F4573" s="6" t="s">
        <v>58</v>
      </c>
      <c r="G4573" s="7">
        <v>77672.91374469569</v>
      </c>
      <c r="H4573" s="6">
        <v>740475.3049566202</v>
      </c>
      <c r="I4573" s="6" t="s">
        <v>180</v>
      </c>
      <c r="J4573" s="15">
        <v>18.12778537638943</v>
      </c>
    </row>
    <row r="4574" spans="1:10">
      <c r="A4574" s="6" t="s">
        <v>144</v>
      </c>
      <c r="B4574" s="6" t="s">
        <v>90</v>
      </c>
      <c r="C4574" s="6" t="s">
        <v>199</v>
      </c>
      <c r="D4574" s="6">
        <v>29.24225</v>
      </c>
      <c r="E4574" s="6" t="s">
        <v>90</v>
      </c>
      <c r="F4574" s="6" t="s">
        <v>57</v>
      </c>
      <c r="G4574" s="7">
        <v>56186.72410453543</v>
      </c>
      <c r="H4574" s="6">
        <v>1643026.232945851</v>
      </c>
      <c r="I4574" s="6" t="s">
        <v>179</v>
      </c>
      <c r="J4574" s="15">
        <v>8.999964910367698</v>
      </c>
    </row>
    <row r="4575" spans="1:10">
      <c r="A4575" s="6" t="s">
        <v>144</v>
      </c>
      <c r="B4575" s="6" t="s">
        <v>90</v>
      </c>
      <c r="C4575" s="6" t="s">
        <v>337</v>
      </c>
      <c r="D4575" s="6">
        <v>7.947416666666666</v>
      </c>
      <c r="E4575" s="6" t="s">
        <v>90</v>
      </c>
      <c r="F4575" s="6" t="s">
        <v>52</v>
      </c>
      <c r="G4575" s="7">
        <v>59918.03179942394</v>
      </c>
      <c r="H4575" s="6">
        <v>476193.5645566051</v>
      </c>
      <c r="I4575" s="6" t="s">
        <v>180</v>
      </c>
      <c r="J4575" s="15">
        <v>12.43871031134531</v>
      </c>
    </row>
    <row r="4576" spans="1:10">
      <c r="A4576" s="6" t="s">
        <v>144</v>
      </c>
      <c r="B4576" s="6" t="s">
        <v>90</v>
      </c>
      <c r="C4576" s="6" t="s">
        <v>200</v>
      </c>
      <c r="D4576" s="6">
        <v>4.313666666666667</v>
      </c>
      <c r="E4576" s="6" t="s">
        <v>90</v>
      </c>
      <c r="F4576" s="6" t="s">
        <v>52</v>
      </c>
      <c r="G4576" s="7">
        <v>59918.03179942394</v>
      </c>
      <c r="H4576" s="6">
        <v>258466.4165054484</v>
      </c>
      <c r="I4576" s="6" t="s">
        <v>180</v>
      </c>
      <c r="J4576" s="15">
        <v>12.43871031134531</v>
      </c>
    </row>
    <row r="4577" spans="1:10">
      <c r="A4577" s="6" t="s">
        <v>144</v>
      </c>
      <c r="B4577" s="6" t="s">
        <v>90</v>
      </c>
      <c r="C4577" s="6" t="s">
        <v>201</v>
      </c>
      <c r="D4577" s="6">
        <v>22.69891666666667</v>
      </c>
      <c r="E4577" s="6" t="s">
        <v>90</v>
      </c>
      <c r="F4577" s="6" t="s">
        <v>56</v>
      </c>
      <c r="G4577" s="7">
        <v>47784.13759688608</v>
      </c>
      <c r="H4577" s="6">
        <v>1084648.157300251</v>
      </c>
      <c r="I4577" s="6" t="s">
        <v>180</v>
      </c>
      <c r="J4577" s="15">
        <v>8.550729801966316</v>
      </c>
    </row>
    <row r="4578" spans="1:10">
      <c r="A4578" s="6" t="s">
        <v>144</v>
      </c>
      <c r="B4578" s="6" t="s">
        <v>90</v>
      </c>
      <c r="C4578" s="6" t="s">
        <v>202</v>
      </c>
      <c r="D4578" s="6">
        <v>247.3185833333333</v>
      </c>
      <c r="E4578" s="6" t="s">
        <v>90</v>
      </c>
      <c r="F4578" s="6" t="s">
        <v>54</v>
      </c>
      <c r="G4578" s="7">
        <v>97561.06954083586</v>
      </c>
      <c r="H4578" s="6">
        <v>24128665.50732434</v>
      </c>
      <c r="I4578" s="6" t="s">
        <v>179</v>
      </c>
      <c r="J4578" s="15">
        <v>17.88099969416268</v>
      </c>
    </row>
    <row r="4579" spans="1:10">
      <c r="A4579" s="6" t="s">
        <v>144</v>
      </c>
      <c r="B4579" s="6" t="s">
        <v>90</v>
      </c>
      <c r="C4579" s="6" t="s">
        <v>203</v>
      </c>
      <c r="D4579" s="6">
        <v>164.3901666666667</v>
      </c>
      <c r="E4579" s="6" t="s">
        <v>90</v>
      </c>
      <c r="F4579" s="6" t="s">
        <v>53</v>
      </c>
      <c r="G4579" s="7">
        <v>17844.00974373058</v>
      </c>
      <c r="H4579" s="6">
        <v>2933379.735773494</v>
      </c>
      <c r="I4579" s="6" t="s">
        <v>179</v>
      </c>
      <c r="J4579" s="15">
        <v>12</v>
      </c>
    </row>
    <row r="4580" spans="1:10">
      <c r="A4580" s="6" t="s">
        <v>144</v>
      </c>
      <c r="B4580" s="6" t="s">
        <v>90</v>
      </c>
      <c r="C4580" s="6" t="s">
        <v>204</v>
      </c>
      <c r="D4580" s="6">
        <v>807.5968333333334</v>
      </c>
      <c r="E4580" s="6" t="s">
        <v>90</v>
      </c>
      <c r="F4580" s="6" t="s">
        <v>51</v>
      </c>
      <c r="G4580" s="7">
        <v>48521.48309148364</v>
      </c>
      <c r="H4580" s="6">
        <v>39185796.09331907</v>
      </c>
      <c r="I4580" s="6" t="s">
        <v>179</v>
      </c>
      <c r="J4580" s="15">
        <v>44.48333333333333</v>
      </c>
    </row>
    <row r="4581" spans="1:10">
      <c r="A4581" s="6" t="s">
        <v>144</v>
      </c>
      <c r="B4581" s="6" t="s">
        <v>90</v>
      </c>
      <c r="C4581" s="6" t="s">
        <v>338</v>
      </c>
      <c r="D4581" s="6">
        <v>0.0795</v>
      </c>
      <c r="E4581" s="6" t="s">
        <v>90</v>
      </c>
      <c r="F4581" s="6" t="s">
        <v>52</v>
      </c>
      <c r="G4581" s="7">
        <v>59918.03179942394</v>
      </c>
      <c r="H4581" s="6">
        <v>4763.483528054203</v>
      </c>
      <c r="I4581" s="6" t="s">
        <v>180</v>
      </c>
      <c r="J4581" s="15">
        <v>12.43871031134531</v>
      </c>
    </row>
    <row r="4582" spans="1:10">
      <c r="A4582" s="6" t="s">
        <v>144</v>
      </c>
      <c r="B4582" s="6" t="s">
        <v>90</v>
      </c>
      <c r="C4582" s="6" t="s">
        <v>339</v>
      </c>
      <c r="D4582" s="6">
        <v>0.057</v>
      </c>
      <c r="E4582" s="6" t="s">
        <v>90</v>
      </c>
      <c r="F4582" s="6" t="s">
        <v>52</v>
      </c>
      <c r="G4582" s="7">
        <v>59918.03179942394</v>
      </c>
      <c r="H4582" s="6">
        <v>3415.327812567164</v>
      </c>
      <c r="I4582" s="6" t="s">
        <v>180</v>
      </c>
      <c r="J4582" s="15">
        <v>12.43871031134531</v>
      </c>
    </row>
    <row r="4583" spans="1:10">
      <c r="A4583" s="6" t="s">
        <v>144</v>
      </c>
      <c r="B4583" s="6" t="s">
        <v>90</v>
      </c>
      <c r="C4583" s="6" t="s">
        <v>205</v>
      </c>
      <c r="D4583" s="6">
        <v>56.71291666666667</v>
      </c>
      <c r="E4583" s="6" t="s">
        <v>90</v>
      </c>
      <c r="F4583" s="6" t="s">
        <v>56</v>
      </c>
      <c r="G4583" s="7">
        <v>54785.63728382858</v>
      </c>
      <c r="H4583" s="6">
        <v>3107053.281807997</v>
      </c>
      <c r="I4583" s="6" t="s">
        <v>180</v>
      </c>
      <c r="J4583" s="15">
        <v>10.79417233285323</v>
      </c>
    </row>
    <row r="4584" spans="1:10">
      <c r="A4584" s="6" t="s">
        <v>144</v>
      </c>
      <c r="B4584" s="6" t="s">
        <v>90</v>
      </c>
      <c r="C4584" s="6" t="s">
        <v>206</v>
      </c>
      <c r="D4584" s="6">
        <v>6.849416666666666</v>
      </c>
      <c r="E4584" s="6" t="s">
        <v>90</v>
      </c>
      <c r="F4584" s="6" t="s">
        <v>55</v>
      </c>
      <c r="G4584" s="7">
        <v>60123.96801866899</v>
      </c>
      <c r="H4584" s="6">
        <v>411814.108613205</v>
      </c>
      <c r="I4584" s="6" t="s">
        <v>180</v>
      </c>
      <c r="J4584" s="15">
        <v>12.5046970418405</v>
      </c>
    </row>
    <row r="4585" spans="1:10">
      <c r="A4585" s="6" t="s">
        <v>144</v>
      </c>
      <c r="B4585" s="6" t="s">
        <v>92</v>
      </c>
      <c r="C4585" s="6" t="s">
        <v>340</v>
      </c>
      <c r="D4585" s="6">
        <v>24.34158333333333</v>
      </c>
      <c r="E4585" s="6" t="s">
        <v>90</v>
      </c>
      <c r="F4585" s="6" t="s">
        <v>52</v>
      </c>
      <c r="G4585" s="7">
        <v>30591.57365130842</v>
      </c>
      <c r="H4585" s="6">
        <v>744647.3393311281</v>
      </c>
      <c r="I4585" s="6" t="s">
        <v>180</v>
      </c>
      <c r="J4585" s="15">
        <v>4.69377687961323</v>
      </c>
    </row>
    <row r="4586" spans="1:10">
      <c r="A4586" s="6" t="s">
        <v>144</v>
      </c>
      <c r="B4586" s="6" t="s">
        <v>90</v>
      </c>
      <c r="C4586" s="6" t="s">
        <v>207</v>
      </c>
      <c r="D4586" s="6">
        <v>0.2111666666666667</v>
      </c>
      <c r="E4586" s="6" t="s">
        <v>90</v>
      </c>
      <c r="F4586" s="6" t="s">
        <v>55</v>
      </c>
      <c r="G4586" s="7">
        <v>51379.92992151718</v>
      </c>
      <c r="H4586" s="6">
        <v>10849.72853509371</v>
      </c>
      <c r="I4586" s="6" t="s">
        <v>180</v>
      </c>
      <c r="J4586" s="15">
        <v>46</v>
      </c>
    </row>
    <row r="4587" spans="1:10">
      <c r="A4587" s="6" t="s">
        <v>144</v>
      </c>
      <c r="B4587" s="6" t="s">
        <v>90</v>
      </c>
      <c r="C4587" s="6" t="s">
        <v>208</v>
      </c>
      <c r="D4587" s="6">
        <v>3.447083333333333</v>
      </c>
      <c r="E4587" s="6" t="s">
        <v>90</v>
      </c>
      <c r="F4587" s="6" t="s">
        <v>51</v>
      </c>
      <c r="G4587" s="7">
        <v>50863.64364522683</v>
      </c>
      <c r="H4587" s="6">
        <v>175331.2182820673</v>
      </c>
      <c r="I4587" s="6" t="s">
        <v>180</v>
      </c>
      <c r="J4587" s="15">
        <v>49.81666666666667</v>
      </c>
    </row>
    <row r="4588" spans="1:10">
      <c r="A4588" s="6" t="s">
        <v>144</v>
      </c>
      <c r="B4588" s="6" t="s">
        <v>90</v>
      </c>
      <c r="C4588" s="6" t="s">
        <v>209</v>
      </c>
      <c r="D4588" s="6">
        <v>0.2245833333333333</v>
      </c>
      <c r="E4588" s="6" t="s">
        <v>90</v>
      </c>
      <c r="F4588" s="6" t="s">
        <v>57</v>
      </c>
      <c r="G4588" s="7">
        <v>49159.54940532756</v>
      </c>
      <c r="H4588" s="6">
        <v>11040.41547061315</v>
      </c>
      <c r="I4588" s="6" t="s">
        <v>180</v>
      </c>
      <c r="J4588" s="15">
        <v>8.991443575659162</v>
      </c>
    </row>
    <row r="4589" spans="1:10">
      <c r="A4589" s="6" t="s">
        <v>144</v>
      </c>
      <c r="B4589" s="6" t="s">
        <v>90</v>
      </c>
      <c r="C4589" s="6" t="s">
        <v>210</v>
      </c>
      <c r="D4589" s="6">
        <v>0.1821666666666667</v>
      </c>
      <c r="E4589" s="6" t="s">
        <v>90</v>
      </c>
      <c r="F4589" s="6" t="s">
        <v>53</v>
      </c>
      <c r="G4589" s="7">
        <v>33962.09735450833</v>
      </c>
      <c r="H4589" s="6">
        <v>6186.762068079602</v>
      </c>
      <c r="I4589" s="6" t="s">
        <v>180</v>
      </c>
      <c r="J4589" s="15">
        <v>12</v>
      </c>
    </row>
    <row r="4590" spans="1:10">
      <c r="A4590" s="6" t="s">
        <v>144</v>
      </c>
      <c r="B4590" s="6" t="s">
        <v>90</v>
      </c>
      <c r="C4590" s="6" t="s">
        <v>211</v>
      </c>
      <c r="D4590" s="6">
        <v>216.113</v>
      </c>
      <c r="E4590" s="6" t="s">
        <v>90</v>
      </c>
      <c r="F4590" s="6" t="s">
        <v>55</v>
      </c>
      <c r="G4590" s="7">
        <v>46692.76242695332</v>
      </c>
      <c r="H4590" s="6">
        <v>10090912.96637616</v>
      </c>
      <c r="I4590" s="6" t="s">
        <v>179</v>
      </c>
      <c r="J4590" s="15">
        <v>27.95</v>
      </c>
    </row>
    <row r="4591" spans="1:10">
      <c r="A4591" s="6" t="s">
        <v>144</v>
      </c>
      <c r="B4591" s="6" t="s">
        <v>90</v>
      </c>
      <c r="C4591" s="6" t="s">
        <v>212</v>
      </c>
      <c r="D4591" s="6">
        <v>28.14533333333333</v>
      </c>
      <c r="E4591" s="6" t="s">
        <v>90</v>
      </c>
      <c r="F4591" s="6" t="s">
        <v>55</v>
      </c>
      <c r="G4591" s="7">
        <v>50564.67204652241</v>
      </c>
      <c r="H4591" s="6">
        <v>1423159.549640055</v>
      </c>
      <c r="I4591" s="6" t="s">
        <v>179</v>
      </c>
      <c r="J4591" s="15">
        <v>30.11666666666667</v>
      </c>
    </row>
    <row r="4592" spans="1:10">
      <c r="A4592" s="6" t="s">
        <v>144</v>
      </c>
      <c r="B4592" s="6" t="s">
        <v>90</v>
      </c>
      <c r="C4592" s="6" t="s">
        <v>213</v>
      </c>
      <c r="D4592" s="6">
        <v>1.30775</v>
      </c>
      <c r="E4592" s="6" t="s">
        <v>90</v>
      </c>
      <c r="F4592" s="6" t="s">
        <v>52</v>
      </c>
      <c r="G4592" s="7">
        <v>87922.06742521108</v>
      </c>
      <c r="H4592" s="6">
        <v>114980.0836753198</v>
      </c>
      <c r="I4592" s="6" t="s">
        <v>179</v>
      </c>
      <c r="J4592" s="15">
        <v>49.5</v>
      </c>
    </row>
    <row r="4593" spans="1:10">
      <c r="A4593" s="6" t="s">
        <v>144</v>
      </c>
      <c r="B4593" s="6" t="s">
        <v>90</v>
      </c>
      <c r="C4593" s="6" t="s">
        <v>214</v>
      </c>
      <c r="D4593" s="6">
        <v>0.4549166666666666</v>
      </c>
      <c r="E4593" s="6" t="s">
        <v>90</v>
      </c>
      <c r="F4593" s="6" t="s">
        <v>53</v>
      </c>
      <c r="G4593" s="7">
        <v>29230.07315219457</v>
      </c>
      <c r="H4593" s="6">
        <v>13297.24744481918</v>
      </c>
      <c r="I4593" s="6" t="s">
        <v>179</v>
      </c>
      <c r="J4593" s="15">
        <v>27</v>
      </c>
    </row>
    <row r="4594" spans="1:10">
      <c r="A4594" s="6" t="s">
        <v>144</v>
      </c>
      <c r="B4594" s="6" t="s">
        <v>90</v>
      </c>
      <c r="C4594" s="6" t="s">
        <v>215</v>
      </c>
      <c r="D4594" s="6">
        <v>91.66666666666666</v>
      </c>
      <c r="E4594" s="6" t="s">
        <v>90</v>
      </c>
      <c r="F4594" s="6" t="s">
        <v>54</v>
      </c>
      <c r="G4594" s="7">
        <v>98451.26614065717</v>
      </c>
      <c r="H4594" s="6">
        <v>9024699.396226907</v>
      </c>
      <c r="I4594" s="6" t="s">
        <v>179</v>
      </c>
      <c r="J4594" s="15">
        <v>57.11666666666667</v>
      </c>
    </row>
    <row r="4595" spans="1:10">
      <c r="A4595" s="6" t="s">
        <v>144</v>
      </c>
      <c r="B4595" s="6" t="s">
        <v>90</v>
      </c>
      <c r="C4595" s="6" t="s">
        <v>216</v>
      </c>
      <c r="D4595" s="6">
        <v>1.65375</v>
      </c>
      <c r="E4595" s="6" t="s">
        <v>90</v>
      </c>
      <c r="F4595" s="6" t="s">
        <v>55</v>
      </c>
      <c r="G4595" s="7">
        <v>59347.09149684771</v>
      </c>
      <c r="H4595" s="6">
        <v>98145.2525629119</v>
      </c>
      <c r="I4595" s="6" t="s">
        <v>179</v>
      </c>
      <c r="J4595" s="15">
        <v>8.461003645555749</v>
      </c>
    </row>
    <row r="4596" spans="1:10">
      <c r="A4596" s="6" t="s">
        <v>144</v>
      </c>
      <c r="B4596" s="6" t="s">
        <v>90</v>
      </c>
      <c r="C4596" s="6" t="s">
        <v>341</v>
      </c>
      <c r="D4596" s="6">
        <v>0.271</v>
      </c>
      <c r="E4596" s="6" t="s">
        <v>90</v>
      </c>
      <c r="F4596" s="6" t="s">
        <v>52</v>
      </c>
      <c r="G4596" s="7">
        <v>59918.03179942394</v>
      </c>
      <c r="H4596" s="6">
        <v>16237.78661764389</v>
      </c>
      <c r="I4596" s="6" t="s">
        <v>180</v>
      </c>
      <c r="J4596" s="15">
        <v>12.43871031134531</v>
      </c>
    </row>
    <row r="4597" spans="1:10">
      <c r="A4597" s="6" t="s">
        <v>144</v>
      </c>
      <c r="B4597" s="6" t="s">
        <v>90</v>
      </c>
      <c r="C4597" s="6" t="s">
        <v>217</v>
      </c>
      <c r="D4597" s="6">
        <v>16.21591666666667</v>
      </c>
      <c r="E4597" s="6" t="s">
        <v>90</v>
      </c>
      <c r="F4597" s="6" t="s">
        <v>53</v>
      </c>
      <c r="G4597" s="7">
        <v>29595.99008532836</v>
      </c>
      <c r="H4597" s="6">
        <v>479926.1088911776</v>
      </c>
      <c r="I4597" s="6" t="s">
        <v>179</v>
      </c>
      <c r="J4597" s="15">
        <v>15</v>
      </c>
    </row>
    <row r="4598" spans="1:10">
      <c r="A4598" s="6" t="s">
        <v>144</v>
      </c>
      <c r="B4598" s="6" t="s">
        <v>90</v>
      </c>
      <c r="C4598" s="6" t="s">
        <v>218</v>
      </c>
      <c r="D4598" s="6">
        <v>0.4558333333333334</v>
      </c>
      <c r="E4598" s="6" t="s">
        <v>90</v>
      </c>
      <c r="F4598" s="6" t="s">
        <v>54</v>
      </c>
      <c r="G4598" s="7">
        <v>55803.8509311504</v>
      </c>
      <c r="H4598" s="6">
        <v>25437.25538278273</v>
      </c>
      <c r="I4598" s="6" t="s">
        <v>180</v>
      </c>
      <c r="J4598" s="15">
        <v>11.12043154931672</v>
      </c>
    </row>
    <row r="4599" spans="1:10">
      <c r="A4599" s="6" t="s">
        <v>144</v>
      </c>
      <c r="B4599" s="6" t="s">
        <v>90</v>
      </c>
      <c r="C4599" s="6" t="s">
        <v>219</v>
      </c>
      <c r="D4599" s="6">
        <v>43.862</v>
      </c>
      <c r="E4599" s="6" t="s">
        <v>90</v>
      </c>
      <c r="F4599" s="6" t="s">
        <v>51</v>
      </c>
      <c r="G4599" s="7">
        <v>51094.03428788485</v>
      </c>
      <c r="H4599" s="6">
        <v>2241086.531935205</v>
      </c>
      <c r="I4599" s="6" t="s">
        <v>180</v>
      </c>
      <c r="J4599" s="15">
        <v>34</v>
      </c>
    </row>
    <row r="4600" spans="1:10">
      <c r="A4600" s="6" t="s">
        <v>144</v>
      </c>
      <c r="B4600" s="6" t="s">
        <v>90</v>
      </c>
      <c r="C4600" s="6" t="s">
        <v>220</v>
      </c>
      <c r="D4600" s="6">
        <v>1.19925</v>
      </c>
      <c r="E4600" s="6" t="s">
        <v>90</v>
      </c>
      <c r="F4600" s="6" t="s">
        <v>57</v>
      </c>
      <c r="G4600" s="7">
        <v>53924.04503825644</v>
      </c>
      <c r="H4600" s="6">
        <v>64668.41101212903</v>
      </c>
      <c r="I4600" s="6" t="s">
        <v>179</v>
      </c>
      <c r="J4600" s="15">
        <v>7.538540506713255</v>
      </c>
    </row>
    <row r="4601" spans="1:10">
      <c r="A4601" s="6" t="s">
        <v>144</v>
      </c>
      <c r="B4601" s="6" t="s">
        <v>90</v>
      </c>
      <c r="C4601" s="6" t="s">
        <v>221</v>
      </c>
      <c r="D4601" s="6">
        <v>13.44641666666667</v>
      </c>
      <c r="E4601" s="6" t="s">
        <v>90</v>
      </c>
      <c r="F4601" s="6" t="s">
        <v>51</v>
      </c>
      <c r="G4601" s="7">
        <v>48425.8383555996</v>
      </c>
      <c r="H4601" s="6">
        <v>651153.9999620403</v>
      </c>
      <c r="I4601" s="6" t="s">
        <v>180</v>
      </c>
      <c r="J4601" s="15">
        <v>8.756345575524822</v>
      </c>
    </row>
    <row r="4602" spans="1:10">
      <c r="A4602" s="6" t="s">
        <v>144</v>
      </c>
      <c r="B4602" s="6" t="s">
        <v>90</v>
      </c>
      <c r="C4602" s="6" t="s">
        <v>222</v>
      </c>
      <c r="D4602" s="6">
        <v>0.1701666666666667</v>
      </c>
      <c r="E4602" s="6" t="s">
        <v>90</v>
      </c>
      <c r="F4602" s="6" t="s">
        <v>57</v>
      </c>
      <c r="G4602" s="7">
        <v>48262.84075043558</v>
      </c>
      <c r="H4602" s="6">
        <v>8212.726734365788</v>
      </c>
      <c r="I4602" s="6" t="s">
        <v>180</v>
      </c>
      <c r="J4602" s="15">
        <v>8.704117370681843</v>
      </c>
    </row>
    <row r="4603" spans="1:10">
      <c r="A4603" s="6" t="s">
        <v>144</v>
      </c>
      <c r="B4603" s="6" t="s">
        <v>90</v>
      </c>
      <c r="C4603" s="6" t="s">
        <v>342</v>
      </c>
      <c r="D4603" s="6">
        <v>9.646749999999999</v>
      </c>
      <c r="E4603" s="6" t="s">
        <v>90</v>
      </c>
      <c r="F4603" s="6" t="s">
        <v>53</v>
      </c>
      <c r="G4603" s="7">
        <v>31674.534542392</v>
      </c>
      <c r="H4603" s="6">
        <v>305556.3160968201</v>
      </c>
      <c r="I4603" s="6" t="s">
        <v>179</v>
      </c>
      <c r="J4603" s="15">
        <v>16</v>
      </c>
    </row>
    <row r="4604" spans="1:10">
      <c r="A4604" s="6" t="s">
        <v>144</v>
      </c>
      <c r="B4604" s="6" t="s">
        <v>90</v>
      </c>
      <c r="C4604" s="6" t="s">
        <v>223</v>
      </c>
      <c r="D4604" s="6">
        <v>35.832</v>
      </c>
      <c r="E4604" s="6" t="s">
        <v>90</v>
      </c>
      <c r="F4604" s="6" t="s">
        <v>53</v>
      </c>
      <c r="G4604" s="7">
        <v>25083.95562381905</v>
      </c>
      <c r="H4604" s="6">
        <v>898808.2979126842</v>
      </c>
      <c r="I4604" s="6" t="s">
        <v>179</v>
      </c>
      <c r="J4604" s="15">
        <v>13.5</v>
      </c>
    </row>
    <row r="4605" spans="1:10">
      <c r="A4605" s="6" t="s">
        <v>144</v>
      </c>
      <c r="B4605" s="6" t="s">
        <v>90</v>
      </c>
      <c r="C4605" s="6" t="s">
        <v>224</v>
      </c>
      <c r="D4605" s="6">
        <v>214.5294166666667</v>
      </c>
      <c r="E4605" s="6" t="s">
        <v>90</v>
      </c>
      <c r="F4605" s="6" t="s">
        <v>51</v>
      </c>
      <c r="G4605" s="7">
        <v>42799.40931898241</v>
      </c>
      <c r="H4605" s="6">
        <v>9181732.314879194</v>
      </c>
      <c r="I4605" s="6" t="s">
        <v>179</v>
      </c>
      <c r="J4605" s="15">
        <v>35.01666666666667</v>
      </c>
    </row>
    <row r="4606" spans="1:10">
      <c r="A4606" s="6" t="s">
        <v>144</v>
      </c>
      <c r="B4606" s="6" t="s">
        <v>90</v>
      </c>
      <c r="C4606" s="6" t="s">
        <v>225</v>
      </c>
      <c r="D4606" s="6">
        <v>0.0025</v>
      </c>
      <c r="E4606" s="6" t="s">
        <v>90</v>
      </c>
      <c r="F4606" s="6" t="s">
        <v>54</v>
      </c>
      <c r="G4606" s="7">
        <v>60801.11682439398</v>
      </c>
      <c r="H4606" s="6">
        <v>152.002792060985</v>
      </c>
      <c r="I4606" s="6" t="s">
        <v>180</v>
      </c>
      <c r="J4606" s="15">
        <v>12.72167119001276</v>
      </c>
    </row>
    <row r="4607" spans="1:10">
      <c r="A4607" s="6" t="s">
        <v>144</v>
      </c>
      <c r="B4607" s="6" t="s">
        <v>90</v>
      </c>
      <c r="C4607" s="6" t="s">
        <v>226</v>
      </c>
      <c r="D4607" s="6">
        <v>77.57266666666666</v>
      </c>
      <c r="E4607" s="6" t="s">
        <v>90</v>
      </c>
      <c r="F4607" s="6" t="s">
        <v>56</v>
      </c>
      <c r="G4607" s="7">
        <v>63445.86444387945</v>
      </c>
      <c r="H4607" s="6">
        <v>4921664.893883579</v>
      </c>
      <c r="I4607" s="6" t="s">
        <v>180</v>
      </c>
      <c r="J4607" s="15">
        <v>13.56910953298392</v>
      </c>
    </row>
    <row r="4608" spans="1:10">
      <c r="A4608" s="6" t="s">
        <v>144</v>
      </c>
      <c r="B4608" s="6" t="s">
        <v>90</v>
      </c>
      <c r="C4608" s="6" t="s">
        <v>344</v>
      </c>
      <c r="D4608" s="6">
        <v>2.162166666666667</v>
      </c>
      <c r="E4608" s="6" t="s">
        <v>90</v>
      </c>
      <c r="F4608" s="6" t="s">
        <v>52</v>
      </c>
      <c r="G4608" s="7">
        <v>59918.03179942394</v>
      </c>
      <c r="H4608" s="6">
        <v>129552.7710889878</v>
      </c>
      <c r="I4608" s="6" t="s">
        <v>180</v>
      </c>
      <c r="J4608" s="15">
        <v>12.43871031134531</v>
      </c>
    </row>
    <row r="4609" spans="1:10">
      <c r="A4609" s="6" t="s">
        <v>144</v>
      </c>
      <c r="B4609" s="6" t="s">
        <v>90</v>
      </c>
      <c r="C4609" s="6" t="s">
        <v>345</v>
      </c>
      <c r="D4609" s="6">
        <v>8.835416666666665</v>
      </c>
      <c r="E4609" s="6" t="s">
        <v>90</v>
      </c>
      <c r="F4609" s="6" t="s">
        <v>53</v>
      </c>
      <c r="G4609" s="7">
        <v>31666.61853090228</v>
      </c>
      <c r="H4609" s="6">
        <v>279787.7691449095</v>
      </c>
      <c r="I4609" s="6" t="s">
        <v>180</v>
      </c>
      <c r="J4609" s="15">
        <v>3.386303695878892</v>
      </c>
    </row>
    <row r="4610" spans="1:10">
      <c r="A4610" s="6" t="s">
        <v>144</v>
      </c>
      <c r="B4610" s="6" t="s">
        <v>90</v>
      </c>
      <c r="C4610" s="6" t="s">
        <v>227</v>
      </c>
      <c r="D4610" s="6">
        <v>19.96566666666666</v>
      </c>
      <c r="E4610" s="6" t="s">
        <v>90</v>
      </c>
      <c r="F4610" s="6" t="s">
        <v>57</v>
      </c>
      <c r="G4610" s="7">
        <v>55105.68966338142</v>
      </c>
      <c r="H4610" s="6">
        <v>1100221.831255852</v>
      </c>
      <c r="I4610" s="6" t="s">
        <v>179</v>
      </c>
      <c r="J4610" s="15">
        <v>105.6833333333333</v>
      </c>
    </row>
    <row r="4611" spans="1:10">
      <c r="A4611" s="6" t="s">
        <v>144</v>
      </c>
      <c r="B4611" s="6" t="s">
        <v>90</v>
      </c>
      <c r="C4611" s="6" t="s">
        <v>228</v>
      </c>
      <c r="D4611" s="6">
        <v>25.45341666666667</v>
      </c>
      <c r="E4611" s="6" t="s">
        <v>90</v>
      </c>
      <c r="F4611" s="6" t="s">
        <v>51</v>
      </c>
      <c r="G4611" s="7">
        <v>55221.41986499156</v>
      </c>
      <c r="H4611" s="6">
        <v>1405573.808748574</v>
      </c>
      <c r="I4611" s="6" t="s">
        <v>180</v>
      </c>
      <c r="J4611" s="15">
        <v>10.933807156893</v>
      </c>
    </row>
    <row r="4612" spans="1:10">
      <c r="A4612" s="6" t="s">
        <v>144</v>
      </c>
      <c r="B4612" s="6" t="s">
        <v>90</v>
      </c>
      <c r="C4612" s="6" t="s">
        <v>229</v>
      </c>
      <c r="D4612" s="6">
        <v>11.99041666666667</v>
      </c>
      <c r="E4612" s="6" t="s">
        <v>90</v>
      </c>
      <c r="F4612" s="6" t="s">
        <v>53</v>
      </c>
      <c r="G4612" s="7">
        <v>33699.99337319762</v>
      </c>
      <c r="H4612" s="6">
        <v>404076.962208545</v>
      </c>
      <c r="I4612" s="6" t="s">
        <v>180</v>
      </c>
      <c r="J4612" s="15">
        <v>4.037844052432551</v>
      </c>
    </row>
    <row r="4613" spans="1:10">
      <c r="A4613" s="6" t="s">
        <v>144</v>
      </c>
      <c r="B4613" s="6" t="s">
        <v>90</v>
      </c>
      <c r="C4613" s="6" t="s">
        <v>367</v>
      </c>
      <c r="D4613" s="6">
        <v>1.402083333333333</v>
      </c>
      <c r="E4613" s="6" t="s">
        <v>90</v>
      </c>
      <c r="F4613" s="6" t="s">
        <v>55</v>
      </c>
      <c r="G4613" s="7">
        <v>58813.07473894906</v>
      </c>
      <c r="H4613" s="6">
        <v>82460.83187356817</v>
      </c>
      <c r="I4613" s="6" t="s">
        <v>180</v>
      </c>
      <c r="J4613" s="15">
        <v>12.08465649786073</v>
      </c>
    </row>
    <row r="4614" spans="1:10">
      <c r="A4614" s="6" t="s">
        <v>144</v>
      </c>
      <c r="B4614" s="6" t="s">
        <v>90</v>
      </c>
      <c r="C4614" s="6" t="s">
        <v>230</v>
      </c>
      <c r="D4614" s="6">
        <v>27.72475</v>
      </c>
      <c r="E4614" s="6" t="s">
        <v>90</v>
      </c>
      <c r="F4614" s="6" t="s">
        <v>53</v>
      </c>
      <c r="G4614" s="7">
        <v>26357.64880300622</v>
      </c>
      <c r="H4614" s="6">
        <v>730759.2236511466</v>
      </c>
      <c r="I4614" s="6" t="s">
        <v>179</v>
      </c>
      <c r="J4614" s="15">
        <v>20</v>
      </c>
    </row>
    <row r="4615" spans="1:10">
      <c r="A4615" s="6" t="s">
        <v>144</v>
      </c>
      <c r="B4615" s="6" t="s">
        <v>90</v>
      </c>
      <c r="C4615" s="6" t="s">
        <v>378</v>
      </c>
      <c r="D4615" s="6">
        <v>2.450333333333333</v>
      </c>
      <c r="E4615" s="6" t="s">
        <v>90</v>
      </c>
      <c r="F4615" s="6" t="s">
        <v>51</v>
      </c>
      <c r="G4615" s="7">
        <v>53573.36913713455</v>
      </c>
      <c r="H4615" s="6">
        <v>131272.612175692</v>
      </c>
      <c r="I4615" s="6" t="s">
        <v>180</v>
      </c>
      <c r="J4615" s="15">
        <v>10.40573356391279</v>
      </c>
    </row>
    <row r="4616" spans="1:10">
      <c r="A4616" s="6" t="s">
        <v>144</v>
      </c>
      <c r="B4616" s="6" t="s">
        <v>90</v>
      </c>
      <c r="C4616" s="6" t="s">
        <v>231</v>
      </c>
      <c r="D4616" s="6">
        <v>0.07516666666666667</v>
      </c>
      <c r="E4616" s="6" t="s">
        <v>90</v>
      </c>
      <c r="F4616" s="6" t="s">
        <v>52</v>
      </c>
      <c r="G4616" s="7">
        <v>82232.89172108902</v>
      </c>
      <c r="H4616" s="6">
        <v>6181.172361035192</v>
      </c>
      <c r="I4616" s="6" t="s">
        <v>179</v>
      </c>
      <c r="J4616" s="15">
        <v>52</v>
      </c>
    </row>
    <row r="4617" spans="1:10">
      <c r="A4617" s="6" t="s">
        <v>144</v>
      </c>
      <c r="B4617" s="6" t="s">
        <v>90</v>
      </c>
      <c r="C4617" s="6" t="s">
        <v>346</v>
      </c>
      <c r="D4617" s="6">
        <v>0.08033333333333333</v>
      </c>
      <c r="E4617" s="6" t="s">
        <v>90</v>
      </c>
      <c r="F4617" s="6" t="s">
        <v>52</v>
      </c>
      <c r="G4617" s="7">
        <v>91163.5527628312</v>
      </c>
      <c r="H4617" s="6">
        <v>7323.472071947439</v>
      </c>
      <c r="I4617" s="6" t="s">
        <v>179</v>
      </c>
      <c r="J4617" s="15">
        <v>48.5</v>
      </c>
    </row>
    <row r="4618" spans="1:10">
      <c r="A4618" s="6" t="s">
        <v>144</v>
      </c>
      <c r="B4618" s="6" t="s">
        <v>90</v>
      </c>
      <c r="C4618" s="6" t="s">
        <v>232</v>
      </c>
      <c r="D4618" s="6">
        <v>5.913</v>
      </c>
      <c r="E4618" s="6" t="s">
        <v>90</v>
      </c>
      <c r="F4618" s="6" t="s">
        <v>51</v>
      </c>
      <c r="G4618" s="7">
        <v>49666.97485574454</v>
      </c>
      <c r="H4618" s="6">
        <v>293680.8223220175</v>
      </c>
      <c r="I4618" s="6" t="s">
        <v>180</v>
      </c>
      <c r="J4618" s="15">
        <v>9.154034432992617</v>
      </c>
    </row>
    <row r="4619" spans="1:10">
      <c r="A4619" s="6" t="s">
        <v>144</v>
      </c>
      <c r="B4619" s="6" t="s">
        <v>90</v>
      </c>
      <c r="C4619" s="6" t="s">
        <v>233</v>
      </c>
      <c r="D4619" s="6">
        <v>15.01383333333333</v>
      </c>
      <c r="E4619" s="6" t="s">
        <v>90</v>
      </c>
      <c r="F4619" s="6" t="s">
        <v>59</v>
      </c>
      <c r="G4619" s="7">
        <v>45010.3800065543</v>
      </c>
      <c r="H4619" s="6">
        <v>675778.3436884051</v>
      </c>
      <c r="I4619" s="6" t="s">
        <v>179</v>
      </c>
      <c r="J4619" s="15">
        <v>30.75</v>
      </c>
    </row>
    <row r="4620" spans="1:10">
      <c r="A4620" s="6" t="s">
        <v>144</v>
      </c>
      <c r="B4620" s="6" t="s">
        <v>86</v>
      </c>
      <c r="C4620" s="6" t="s">
        <v>234</v>
      </c>
      <c r="D4620" s="6">
        <v>64.4825</v>
      </c>
      <c r="E4620" s="6" t="s">
        <v>90</v>
      </c>
      <c r="F4620" s="6" t="s">
        <v>56</v>
      </c>
      <c r="G4620" s="7">
        <v>61798.18645536575</v>
      </c>
      <c r="H4620" s="6">
        <v>3984901.558108122</v>
      </c>
      <c r="I4620" s="6" t="s">
        <v>179</v>
      </c>
      <c r="J4620" s="15">
        <v>49</v>
      </c>
    </row>
    <row r="4621" spans="1:10">
      <c r="A4621" s="6" t="s">
        <v>144</v>
      </c>
      <c r="B4621" s="6" t="s">
        <v>90</v>
      </c>
      <c r="C4621" s="6" t="s">
        <v>235</v>
      </c>
      <c r="D4621" s="6">
        <v>0.08866666666666669</v>
      </c>
      <c r="E4621" s="6" t="s">
        <v>90</v>
      </c>
      <c r="F4621" s="6" t="s">
        <v>53</v>
      </c>
      <c r="G4621" s="7">
        <v>35566.8159439669</v>
      </c>
      <c r="H4621" s="6">
        <v>3153.591013698399</v>
      </c>
      <c r="I4621" s="6" t="s">
        <v>180</v>
      </c>
      <c r="J4621" s="15">
        <v>38</v>
      </c>
    </row>
    <row r="4622" spans="1:10">
      <c r="A4622" s="6" t="s">
        <v>144</v>
      </c>
      <c r="B4622" s="6" t="s">
        <v>90</v>
      </c>
      <c r="C4622" s="6" t="s">
        <v>236</v>
      </c>
      <c r="D4622" s="6">
        <v>187.33075</v>
      </c>
      <c r="E4622" s="6" t="s">
        <v>90</v>
      </c>
      <c r="F4622" s="6" t="s">
        <v>51</v>
      </c>
      <c r="G4622" s="7">
        <v>47804.16828302459</v>
      </c>
      <c r="H4622" s="6">
        <v>8955190.69758521</v>
      </c>
      <c r="I4622" s="6" t="s">
        <v>179</v>
      </c>
      <c r="J4622" s="15">
        <v>46.93333333333333</v>
      </c>
    </row>
    <row r="4623" spans="1:10">
      <c r="A4623" s="6" t="s">
        <v>144</v>
      </c>
      <c r="B4623" s="6" t="s">
        <v>90</v>
      </c>
      <c r="C4623" s="6" t="s">
        <v>237</v>
      </c>
      <c r="D4623" s="6">
        <v>10.8365</v>
      </c>
      <c r="E4623" s="6" t="s">
        <v>90</v>
      </c>
      <c r="F4623" s="6" t="s">
        <v>51</v>
      </c>
      <c r="G4623" s="7">
        <v>53666.69833269802</v>
      </c>
      <c r="H4623" s="6">
        <v>581559.176482282</v>
      </c>
      <c r="I4623" s="6" t="s">
        <v>180</v>
      </c>
      <c r="J4623" s="15">
        <v>10.43563839802869</v>
      </c>
    </row>
    <row r="4624" spans="1:10">
      <c r="A4624" s="6" t="s">
        <v>144</v>
      </c>
      <c r="B4624" s="6" t="s">
        <v>90</v>
      </c>
      <c r="C4624" s="6" t="s">
        <v>238</v>
      </c>
      <c r="D4624" s="6">
        <v>10.2735</v>
      </c>
      <c r="E4624" s="6" t="s">
        <v>90</v>
      </c>
      <c r="F4624" s="6" t="s">
        <v>51</v>
      </c>
      <c r="G4624" s="7">
        <v>51511.99694495334</v>
      </c>
      <c r="H4624" s="6">
        <v>529208.500613978</v>
      </c>
      <c r="I4624" s="6" t="s">
        <v>180</v>
      </c>
      <c r="J4624" s="15">
        <v>9.745222208531091</v>
      </c>
    </row>
    <row r="4625" spans="1:10">
      <c r="A4625" s="6" t="s">
        <v>144</v>
      </c>
      <c r="B4625" s="6" t="s">
        <v>90</v>
      </c>
      <c r="C4625" s="6" t="s">
        <v>239</v>
      </c>
      <c r="D4625" s="6">
        <v>31.68366666666666</v>
      </c>
      <c r="E4625" s="6" t="s">
        <v>90</v>
      </c>
      <c r="F4625" s="6" t="s">
        <v>54</v>
      </c>
      <c r="G4625" s="7">
        <v>77876.19751626256</v>
      </c>
      <c r="H4625" s="6">
        <v>2467403.483372757</v>
      </c>
      <c r="I4625" s="6" t="s">
        <v>179</v>
      </c>
      <c r="J4625" s="15">
        <v>17.61605692581799</v>
      </c>
    </row>
    <row r="4626" spans="1:10">
      <c r="A4626" s="6" t="s">
        <v>144</v>
      </c>
      <c r="B4626" s="6" t="s">
        <v>90</v>
      </c>
      <c r="C4626" s="6" t="s">
        <v>379</v>
      </c>
      <c r="D4626" s="6">
        <v>0.5156666666666667</v>
      </c>
      <c r="E4626" s="6" t="s">
        <v>90</v>
      </c>
      <c r="F4626" s="6" t="s">
        <v>51</v>
      </c>
      <c r="G4626" s="7">
        <v>72453.65556637621</v>
      </c>
      <c r="H4626" s="6">
        <v>37361.935053728</v>
      </c>
      <c r="I4626" s="6" t="s">
        <v>180</v>
      </c>
      <c r="J4626" s="15">
        <v>16.45541427013083</v>
      </c>
    </row>
    <row r="4627" spans="1:10">
      <c r="A4627" s="6" t="s">
        <v>144</v>
      </c>
      <c r="B4627" s="6" t="s">
        <v>90</v>
      </c>
      <c r="C4627" s="6" t="s">
        <v>368</v>
      </c>
      <c r="D4627" s="6">
        <v>0.39225</v>
      </c>
      <c r="E4627" s="6" t="s">
        <v>90</v>
      </c>
      <c r="F4627" s="6" t="s">
        <v>55</v>
      </c>
      <c r="G4627" s="7">
        <v>58353.01421955921</v>
      </c>
      <c r="H4627" s="6">
        <v>22888.9698276221</v>
      </c>
      <c r="I4627" s="6" t="s">
        <v>180</v>
      </c>
      <c r="J4627" s="15">
        <v>11.93724246056441</v>
      </c>
    </row>
    <row r="4628" spans="1:10">
      <c r="A4628" s="6" t="s">
        <v>144</v>
      </c>
      <c r="B4628" s="6" t="s">
        <v>90</v>
      </c>
      <c r="C4628" s="6" t="s">
        <v>240</v>
      </c>
      <c r="D4628" s="6">
        <v>2.793166666666667</v>
      </c>
      <c r="E4628" s="6" t="s">
        <v>90</v>
      </c>
      <c r="F4628" s="6" t="s">
        <v>51</v>
      </c>
      <c r="G4628" s="7">
        <v>52330.78471449605</v>
      </c>
      <c r="H4628" s="6">
        <v>146168.6035050399</v>
      </c>
      <c r="I4628" s="6" t="s">
        <v>180</v>
      </c>
      <c r="J4628" s="15">
        <v>42</v>
      </c>
    </row>
    <row r="4629" spans="1:10">
      <c r="A4629" s="6" t="s">
        <v>144</v>
      </c>
      <c r="B4629" s="6" t="s">
        <v>90</v>
      </c>
      <c r="C4629" s="6" t="s">
        <v>241</v>
      </c>
      <c r="D4629" s="6">
        <v>8.33075</v>
      </c>
      <c r="E4629" s="6" t="s">
        <v>90</v>
      </c>
      <c r="F4629" s="6" t="s">
        <v>53</v>
      </c>
      <c r="G4629" s="7">
        <v>26388.49277067184</v>
      </c>
      <c r="H4629" s="6">
        <v>219835.9361492744</v>
      </c>
      <c r="I4629" s="6" t="s">
        <v>179</v>
      </c>
      <c r="J4629" s="15">
        <v>14.36666666666667</v>
      </c>
    </row>
    <row r="4630" spans="1:10">
      <c r="A4630" s="6" t="s">
        <v>144</v>
      </c>
      <c r="B4630" s="6" t="s">
        <v>90</v>
      </c>
      <c r="C4630" s="6" t="s">
        <v>242</v>
      </c>
      <c r="D4630" s="6">
        <v>89.46600000000001</v>
      </c>
      <c r="E4630" s="6" t="s">
        <v>90</v>
      </c>
      <c r="F4630" s="6" t="s">
        <v>56</v>
      </c>
      <c r="G4630" s="7">
        <v>48613.69532428356</v>
      </c>
      <c r="H4630" s="6">
        <v>4349272.865882353</v>
      </c>
      <c r="I4630" s="6" t="s">
        <v>179</v>
      </c>
      <c r="J4630" s="15">
        <v>6.75</v>
      </c>
    </row>
    <row r="4631" spans="1:10">
      <c r="A4631" s="6" t="s">
        <v>144</v>
      </c>
      <c r="B4631" s="6" t="s">
        <v>90</v>
      </c>
      <c r="C4631" s="6" t="s">
        <v>243</v>
      </c>
      <c r="D4631" s="6">
        <v>0.12825</v>
      </c>
      <c r="E4631" s="6" t="s">
        <v>90</v>
      </c>
      <c r="F4631" s="6" t="s">
        <v>58</v>
      </c>
      <c r="G4631" s="7">
        <v>63812.70248767162</v>
      </c>
      <c r="H4631" s="6">
        <v>8183.979094043886</v>
      </c>
      <c r="I4631" s="6" t="s">
        <v>180</v>
      </c>
      <c r="J4631" s="15">
        <v>13.68665293171113</v>
      </c>
    </row>
    <row r="4632" spans="1:10">
      <c r="A4632" s="6" t="s">
        <v>144</v>
      </c>
      <c r="B4632" s="6" t="s">
        <v>90</v>
      </c>
      <c r="C4632" s="6" t="s">
        <v>369</v>
      </c>
      <c r="D4632" s="6">
        <v>0.8271666666666667</v>
      </c>
      <c r="E4632" s="6" t="s">
        <v>90</v>
      </c>
      <c r="F4632" s="6" t="s">
        <v>55</v>
      </c>
      <c r="G4632" s="7">
        <v>58207.75837622919</v>
      </c>
      <c r="H4632" s="6">
        <v>48147.51747020425</v>
      </c>
      <c r="I4632" s="6" t="s">
        <v>180</v>
      </c>
      <c r="J4632" s="15">
        <v>11.89069912679919</v>
      </c>
    </row>
    <row r="4633" spans="1:10">
      <c r="A4633" s="6" t="s">
        <v>144</v>
      </c>
      <c r="B4633" s="6" t="s">
        <v>90</v>
      </c>
      <c r="C4633" s="6" t="s">
        <v>244</v>
      </c>
      <c r="D4633" s="6">
        <v>4.35575</v>
      </c>
      <c r="E4633" s="6" t="s">
        <v>90</v>
      </c>
      <c r="F4633" s="6" t="s">
        <v>55</v>
      </c>
      <c r="G4633" s="7">
        <v>56778.78135882129</v>
      </c>
      <c r="H4633" s="6">
        <v>247314.1769036858</v>
      </c>
      <c r="I4633" s="6" t="s">
        <v>180</v>
      </c>
      <c r="J4633" s="15">
        <v>11.43282182052843</v>
      </c>
    </row>
    <row r="4634" spans="1:10">
      <c r="A4634" s="6" t="s">
        <v>144</v>
      </c>
      <c r="B4634" s="6" t="s">
        <v>90</v>
      </c>
      <c r="C4634" s="6" t="s">
        <v>245</v>
      </c>
      <c r="D4634" s="6">
        <v>3.313</v>
      </c>
      <c r="E4634" s="6" t="s">
        <v>90</v>
      </c>
      <c r="F4634" s="6" t="s">
        <v>53</v>
      </c>
      <c r="G4634" s="7">
        <v>15981.96816829709</v>
      </c>
      <c r="H4634" s="6">
        <v>52948.26054156827</v>
      </c>
      <c r="I4634" s="6" t="s">
        <v>179</v>
      </c>
      <c r="J4634" s="15">
        <v>38</v>
      </c>
    </row>
    <row r="4635" spans="1:10">
      <c r="A4635" s="6" t="s">
        <v>144</v>
      </c>
      <c r="B4635" s="6" t="s">
        <v>90</v>
      </c>
      <c r="C4635" s="6" t="s">
        <v>246</v>
      </c>
      <c r="D4635" s="6">
        <v>0.05258333333333334</v>
      </c>
      <c r="E4635" s="6" t="s">
        <v>90</v>
      </c>
      <c r="F4635" s="6" t="s">
        <v>53</v>
      </c>
      <c r="G4635" s="7">
        <v>33731.16398827116</v>
      </c>
      <c r="H4635" s="6">
        <v>1773.697039716592</v>
      </c>
      <c r="I4635" s="6" t="s">
        <v>180</v>
      </c>
      <c r="J4635" s="15">
        <v>34.44166666666666</v>
      </c>
    </row>
    <row r="4636" spans="1:10">
      <c r="A4636" s="6" t="s">
        <v>144</v>
      </c>
      <c r="B4636" s="6" t="s">
        <v>90</v>
      </c>
      <c r="C4636" s="6" t="s">
        <v>348</v>
      </c>
      <c r="D4636" s="6">
        <v>11.79933333333333</v>
      </c>
      <c r="E4636" s="6" t="s">
        <v>90</v>
      </c>
      <c r="F4636" s="6" t="s">
        <v>52</v>
      </c>
      <c r="G4636" s="7">
        <v>84173.86100654831</v>
      </c>
      <c r="H4636" s="6">
        <v>993195.4439699324</v>
      </c>
      <c r="I4636" s="6" t="s">
        <v>179</v>
      </c>
      <c r="J4636" s="15">
        <v>51</v>
      </c>
    </row>
    <row r="4637" spans="1:10">
      <c r="A4637" s="6" t="s">
        <v>144</v>
      </c>
      <c r="B4637" s="6" t="s">
        <v>90</v>
      </c>
      <c r="C4637" s="6" t="s">
        <v>247</v>
      </c>
      <c r="D4637" s="6">
        <v>66.07166666666666</v>
      </c>
      <c r="E4637" s="6" t="s">
        <v>90</v>
      </c>
      <c r="F4637" s="6" t="s">
        <v>51</v>
      </c>
      <c r="G4637" s="7">
        <v>47607.91710069619</v>
      </c>
      <c r="H4637" s="6">
        <v>3145534.429371498</v>
      </c>
      <c r="I4637" s="6" t="s">
        <v>179</v>
      </c>
      <c r="J4637" s="15">
        <v>22.81666666666667</v>
      </c>
    </row>
    <row r="4638" spans="1:10">
      <c r="A4638" s="6" t="s">
        <v>144</v>
      </c>
      <c r="B4638" s="6" t="s">
        <v>90</v>
      </c>
      <c r="C4638" s="6" t="s">
        <v>248</v>
      </c>
      <c r="D4638" s="6">
        <v>15.5335</v>
      </c>
      <c r="E4638" s="6" t="s">
        <v>90</v>
      </c>
      <c r="F4638" s="6" t="s">
        <v>55</v>
      </c>
      <c r="G4638" s="7">
        <v>105730.4534899073</v>
      </c>
      <c r="H4638" s="6">
        <v>1642363.999285476</v>
      </c>
      <c r="I4638" s="6" t="s">
        <v>179</v>
      </c>
      <c r="J4638" s="15">
        <v>62</v>
      </c>
    </row>
    <row r="4639" spans="1:10">
      <c r="A4639" s="6" t="s">
        <v>144</v>
      </c>
      <c r="B4639" s="6" t="s">
        <v>90</v>
      </c>
      <c r="C4639" s="6" t="s">
        <v>249</v>
      </c>
      <c r="D4639" s="6">
        <v>42.2025</v>
      </c>
      <c r="E4639" s="6" t="s">
        <v>90</v>
      </c>
      <c r="F4639" s="6" t="s">
        <v>53</v>
      </c>
      <c r="G4639" s="7">
        <v>24606.21147932586</v>
      </c>
      <c r="H4639" s="6">
        <v>1038443.63995625</v>
      </c>
      <c r="I4639" s="6" t="s">
        <v>179</v>
      </c>
      <c r="J4639" s="15">
        <v>18</v>
      </c>
    </row>
    <row r="4640" spans="1:10">
      <c r="A4640" s="6" t="s">
        <v>144</v>
      </c>
      <c r="B4640" s="6" t="s">
        <v>90</v>
      </c>
      <c r="C4640" s="6" t="s">
        <v>351</v>
      </c>
      <c r="D4640" s="6">
        <v>1.561166666666667</v>
      </c>
      <c r="E4640" s="6" t="s">
        <v>90</v>
      </c>
      <c r="F4640" s="6" t="s">
        <v>53</v>
      </c>
      <c r="G4640" s="7">
        <v>38920.81072942021</v>
      </c>
      <c r="H4640" s="6">
        <v>60761.87235041318</v>
      </c>
      <c r="I4640" s="6" t="s">
        <v>180</v>
      </c>
      <c r="J4640" s="15">
        <v>57</v>
      </c>
    </row>
    <row r="4641" spans="1:10">
      <c r="A4641" s="6" t="s">
        <v>144</v>
      </c>
      <c r="B4641" s="6" t="s">
        <v>90</v>
      </c>
      <c r="C4641" s="6" t="s">
        <v>352</v>
      </c>
      <c r="D4641" s="6">
        <v>6.905833333333334</v>
      </c>
      <c r="E4641" s="6" t="s">
        <v>90</v>
      </c>
      <c r="F4641" s="6" t="s">
        <v>52</v>
      </c>
      <c r="G4641" s="7">
        <v>59918.03179942394</v>
      </c>
      <c r="H4641" s="6">
        <v>413783.9412681885</v>
      </c>
      <c r="I4641" s="6" t="s">
        <v>180</v>
      </c>
      <c r="J4641" s="15">
        <v>12.43871031134531</v>
      </c>
    </row>
    <row r="4642" spans="1:10">
      <c r="A4642" s="6" t="s">
        <v>144</v>
      </c>
      <c r="B4642" s="6" t="s">
        <v>90</v>
      </c>
      <c r="C4642" s="6" t="s">
        <v>250</v>
      </c>
      <c r="D4642" s="6">
        <v>3.101333333333333</v>
      </c>
      <c r="E4642" s="6" t="s">
        <v>90</v>
      </c>
      <c r="F4642" s="6" t="s">
        <v>55</v>
      </c>
      <c r="G4642" s="7">
        <v>63627.67337809179</v>
      </c>
      <c r="H4642" s="6">
        <v>197330.624369922</v>
      </c>
      <c r="I4642" s="6" t="s">
        <v>180</v>
      </c>
      <c r="J4642" s="15">
        <v>13.62736532299243</v>
      </c>
    </row>
    <row r="4643" spans="1:10">
      <c r="A4643" s="6" t="s">
        <v>144</v>
      </c>
      <c r="B4643" s="6" t="s">
        <v>90</v>
      </c>
      <c r="C4643" s="6" t="s">
        <v>251</v>
      </c>
      <c r="D4643" s="6">
        <v>1.002666666666667</v>
      </c>
      <c r="E4643" s="6" t="s">
        <v>90</v>
      </c>
      <c r="F4643" s="6" t="s">
        <v>53</v>
      </c>
      <c r="G4643" s="7">
        <v>23642.19568206914</v>
      </c>
      <c r="H4643" s="6">
        <v>23705.24153722133</v>
      </c>
      <c r="I4643" s="6" t="s">
        <v>179</v>
      </c>
      <c r="J4643" s="15">
        <v>18.675</v>
      </c>
    </row>
    <row r="4644" spans="1:10">
      <c r="A4644" s="6" t="s">
        <v>144</v>
      </c>
      <c r="B4644" s="6" t="s">
        <v>90</v>
      </c>
      <c r="C4644" s="6" t="s">
        <v>252</v>
      </c>
      <c r="D4644" s="6">
        <v>8.4575</v>
      </c>
      <c r="E4644" s="6" t="s">
        <v>90</v>
      </c>
      <c r="F4644" s="6" t="s">
        <v>57</v>
      </c>
      <c r="G4644" s="7">
        <v>42694.47301830137</v>
      </c>
      <c r="H4644" s="6">
        <v>361088.5055522838</v>
      </c>
      <c r="I4644" s="6" t="s">
        <v>180</v>
      </c>
      <c r="J4644" s="15">
        <v>6.919883484163813</v>
      </c>
    </row>
    <row r="4645" spans="1:10">
      <c r="A4645" s="6" t="s">
        <v>144</v>
      </c>
      <c r="B4645" s="6" t="s">
        <v>90</v>
      </c>
      <c r="C4645" s="6" t="s">
        <v>253</v>
      </c>
      <c r="D4645" s="6">
        <v>16.84533333333333</v>
      </c>
      <c r="E4645" s="6" t="s">
        <v>90</v>
      </c>
      <c r="F4645" s="6" t="s">
        <v>53</v>
      </c>
      <c r="G4645" s="7">
        <v>32446.79249986879</v>
      </c>
      <c r="H4645" s="6">
        <v>546577.0352577897</v>
      </c>
      <c r="I4645" s="6" t="s">
        <v>179</v>
      </c>
      <c r="J4645" s="15">
        <v>16</v>
      </c>
    </row>
    <row r="4646" spans="1:10">
      <c r="A4646" s="6" t="s">
        <v>144</v>
      </c>
      <c r="B4646" s="6" t="s">
        <v>86</v>
      </c>
      <c r="C4646" s="6" t="s">
        <v>353</v>
      </c>
      <c r="D4646" s="6">
        <v>0.0495</v>
      </c>
      <c r="E4646" s="6" t="s">
        <v>90</v>
      </c>
      <c r="F4646" s="6" t="s">
        <v>62</v>
      </c>
      <c r="G4646" s="7">
        <v>81005.34654028571</v>
      </c>
      <c r="H4646" s="6">
        <v>4009.764653744142</v>
      </c>
      <c r="I4646" s="6" t="s">
        <v>179</v>
      </c>
      <c r="J4646" s="15">
        <v>102.3</v>
      </c>
    </row>
    <row r="4647" spans="1:10">
      <c r="A4647" s="6" t="s">
        <v>144</v>
      </c>
      <c r="B4647" s="6" t="s">
        <v>90</v>
      </c>
      <c r="C4647" s="6" t="s">
        <v>254</v>
      </c>
      <c r="D4647" s="6">
        <v>0.4480833333333334</v>
      </c>
      <c r="E4647" s="6" t="s">
        <v>90</v>
      </c>
      <c r="F4647" s="6" t="s">
        <v>51</v>
      </c>
      <c r="G4647" s="7">
        <v>50623.2876601551</v>
      </c>
      <c r="H4647" s="6">
        <v>22683.4514790545</v>
      </c>
      <c r="I4647" s="6" t="s">
        <v>180</v>
      </c>
      <c r="J4647" s="15">
        <v>9.460459186856067</v>
      </c>
    </row>
    <row r="4648" spans="1:10">
      <c r="A4648" s="6" t="s">
        <v>144</v>
      </c>
      <c r="B4648" s="6" t="s">
        <v>90</v>
      </c>
      <c r="C4648" s="6" t="s">
        <v>255</v>
      </c>
      <c r="D4648" s="6">
        <v>1.785916666666667</v>
      </c>
      <c r="E4648" s="6" t="s">
        <v>90</v>
      </c>
      <c r="F4648" s="6" t="s">
        <v>51</v>
      </c>
      <c r="G4648" s="7">
        <v>70751.8805274951</v>
      </c>
      <c r="H4648" s="6">
        <v>126356.9626320623</v>
      </c>
      <c r="I4648" s="6" t="s">
        <v>180</v>
      </c>
      <c r="J4648" s="15">
        <v>15.91012616459143</v>
      </c>
    </row>
    <row r="4649" spans="1:10">
      <c r="A4649" s="6" t="s">
        <v>144</v>
      </c>
      <c r="B4649" s="6" t="s">
        <v>90</v>
      </c>
      <c r="C4649" s="6" t="s">
        <v>256</v>
      </c>
      <c r="D4649" s="6">
        <v>0.1334166666666667</v>
      </c>
      <c r="E4649" s="6" t="s">
        <v>90</v>
      </c>
      <c r="F4649" s="6" t="s">
        <v>57</v>
      </c>
      <c r="G4649" s="7">
        <v>50139.25135563286</v>
      </c>
      <c r="H4649" s="6">
        <v>6689.411785030686</v>
      </c>
      <c r="I4649" s="6" t="s">
        <v>180</v>
      </c>
      <c r="J4649" s="15">
        <v>64</v>
      </c>
    </row>
    <row r="4650" spans="1:10">
      <c r="A4650" s="6" t="s">
        <v>144</v>
      </c>
      <c r="B4650" s="6" t="s">
        <v>90</v>
      </c>
      <c r="C4650" s="6" t="s">
        <v>257</v>
      </c>
      <c r="D4650" s="6">
        <v>0.1805833333333333</v>
      </c>
      <c r="E4650" s="6" t="s">
        <v>90</v>
      </c>
      <c r="F4650" s="6" t="s">
        <v>52</v>
      </c>
      <c r="G4650" s="7">
        <v>85265.7273803006</v>
      </c>
      <c r="H4650" s="6">
        <v>15397.56926942595</v>
      </c>
      <c r="I4650" s="6" t="s">
        <v>179</v>
      </c>
      <c r="J4650" s="15">
        <v>44</v>
      </c>
    </row>
    <row r="4651" spans="1:10">
      <c r="A4651" s="6" t="s">
        <v>144</v>
      </c>
      <c r="B4651" s="6" t="s">
        <v>90</v>
      </c>
      <c r="C4651" s="6" t="s">
        <v>258</v>
      </c>
      <c r="D4651" s="6">
        <v>0.08266666666666667</v>
      </c>
      <c r="E4651" s="6" t="s">
        <v>90</v>
      </c>
      <c r="F4651" s="6" t="s">
        <v>52</v>
      </c>
      <c r="G4651" s="7">
        <v>82626.29734022004</v>
      </c>
      <c r="H4651" s="6">
        <v>6830.440580124857</v>
      </c>
      <c r="I4651" s="6" t="s">
        <v>179</v>
      </c>
      <c r="J4651" s="15">
        <v>47</v>
      </c>
    </row>
    <row r="4652" spans="1:10">
      <c r="A4652" s="6" t="s">
        <v>144</v>
      </c>
      <c r="B4652" s="6" t="s">
        <v>90</v>
      </c>
      <c r="C4652" s="6" t="s">
        <v>259</v>
      </c>
      <c r="D4652" s="6">
        <v>0.8616666666666667</v>
      </c>
      <c r="E4652" s="6" t="s">
        <v>90</v>
      </c>
      <c r="F4652" s="6" t="s">
        <v>56</v>
      </c>
      <c r="G4652" s="7">
        <v>53809.54610454979</v>
      </c>
      <c r="H4652" s="6">
        <v>46365.89222675374</v>
      </c>
      <c r="I4652" s="6" t="s">
        <v>180</v>
      </c>
      <c r="J4652" s="15">
        <v>10.48141012996383</v>
      </c>
    </row>
    <row r="4653" spans="1:10">
      <c r="A4653" s="6" t="s">
        <v>144</v>
      </c>
      <c r="B4653" s="6" t="s">
        <v>90</v>
      </c>
      <c r="C4653" s="6" t="s">
        <v>260</v>
      </c>
      <c r="D4653" s="6">
        <v>344.8609166666667</v>
      </c>
      <c r="E4653" s="6" t="s">
        <v>90</v>
      </c>
      <c r="F4653" s="6" t="s">
        <v>52</v>
      </c>
      <c r="G4653" s="7">
        <v>55804.87767627013</v>
      </c>
      <c r="H4653" s="6">
        <v>19244921.26990972</v>
      </c>
      <c r="I4653" s="6" t="s">
        <v>179</v>
      </c>
      <c r="J4653" s="15">
        <v>64.03333333333333</v>
      </c>
    </row>
    <row r="4654" spans="1:10">
      <c r="A4654" s="6" t="s">
        <v>144</v>
      </c>
      <c r="B4654" s="6" t="s">
        <v>90</v>
      </c>
      <c r="C4654" s="6" t="s">
        <v>261</v>
      </c>
      <c r="D4654" s="6">
        <v>0.3043333333333333</v>
      </c>
      <c r="E4654" s="6" t="s">
        <v>90</v>
      </c>
      <c r="F4654" s="6" t="s">
        <v>54</v>
      </c>
      <c r="G4654" s="7">
        <v>59278.32258850268</v>
      </c>
      <c r="H4654" s="6">
        <v>18040.36950776765</v>
      </c>
      <c r="I4654" s="6" t="s">
        <v>180</v>
      </c>
      <c r="J4654" s="15">
        <v>12.23373267578856</v>
      </c>
    </row>
    <row r="4655" spans="1:10">
      <c r="A4655" s="6" t="s">
        <v>144</v>
      </c>
      <c r="B4655" s="6" t="s">
        <v>90</v>
      </c>
      <c r="C4655" s="6" t="s">
        <v>262</v>
      </c>
      <c r="D4655" s="6">
        <v>23.44041666666667</v>
      </c>
      <c r="E4655" s="6" t="s">
        <v>90</v>
      </c>
      <c r="F4655" s="6" t="s">
        <v>51</v>
      </c>
      <c r="G4655" s="7">
        <v>50796.40449219351</v>
      </c>
      <c r="H4655" s="6">
        <v>1190688.886465554</v>
      </c>
      <c r="I4655" s="6" t="s">
        <v>180</v>
      </c>
      <c r="J4655" s="15">
        <v>9.515929826172339</v>
      </c>
    </row>
    <row r="4656" spans="1:10">
      <c r="A4656" s="6" t="s">
        <v>144</v>
      </c>
      <c r="B4656" s="6" t="s">
        <v>90</v>
      </c>
      <c r="C4656" s="6" t="s">
        <v>263</v>
      </c>
      <c r="D4656" s="6">
        <v>15.20475</v>
      </c>
      <c r="E4656" s="6" t="s">
        <v>90</v>
      </c>
      <c r="F4656" s="6" t="s">
        <v>54</v>
      </c>
      <c r="G4656" s="7">
        <v>65896.61824279206</v>
      </c>
      <c r="H4656" s="6">
        <v>1001941.606227092</v>
      </c>
      <c r="I4656" s="6" t="s">
        <v>179</v>
      </c>
      <c r="J4656" s="15">
        <v>46.91666666666666</v>
      </c>
    </row>
    <row r="4657" spans="1:10">
      <c r="A4657" s="6" t="s">
        <v>144</v>
      </c>
      <c r="B4657" s="6" t="s">
        <v>90</v>
      </c>
      <c r="C4657" s="6" t="s">
        <v>264</v>
      </c>
      <c r="D4657" s="6">
        <v>5.5245</v>
      </c>
      <c r="E4657" s="6" t="s">
        <v>90</v>
      </c>
      <c r="F4657" s="6" t="s">
        <v>54</v>
      </c>
      <c r="G4657" s="7">
        <v>89766.53686395117</v>
      </c>
      <c r="H4657" s="6">
        <v>495915.2329048982</v>
      </c>
      <c r="I4657" s="6" t="s">
        <v>180</v>
      </c>
      <c r="J4657" s="15">
        <v>22.00286209871706</v>
      </c>
    </row>
    <row r="4658" spans="1:10">
      <c r="A4658" s="6" t="s">
        <v>144</v>
      </c>
      <c r="B4658" s="6" t="s">
        <v>90</v>
      </c>
      <c r="C4658" s="6" t="s">
        <v>265</v>
      </c>
      <c r="D4658" s="6">
        <v>51.68733333333333</v>
      </c>
      <c r="E4658" s="6" t="s">
        <v>90</v>
      </c>
      <c r="F4658" s="6" t="s">
        <v>54</v>
      </c>
      <c r="G4658" s="7">
        <v>88348.04007123776</v>
      </c>
      <c r="H4658" s="6">
        <v>4566474.596508756</v>
      </c>
      <c r="I4658" s="6" t="s">
        <v>179</v>
      </c>
      <c r="J4658" s="15">
        <v>17.53537223567039</v>
      </c>
    </row>
    <row r="4659" spans="1:10">
      <c r="A4659" s="6" t="s">
        <v>144</v>
      </c>
      <c r="B4659" s="6" t="s">
        <v>90</v>
      </c>
      <c r="C4659" s="6" t="s">
        <v>266</v>
      </c>
      <c r="D4659" s="6">
        <v>12.08091666666667</v>
      </c>
      <c r="E4659" s="6" t="s">
        <v>90</v>
      </c>
      <c r="F4659" s="6" t="s">
        <v>57</v>
      </c>
      <c r="G4659" s="7">
        <v>59085.91288749369</v>
      </c>
      <c r="H4659" s="6">
        <v>713811.9897677373</v>
      </c>
      <c r="I4659" s="6" t="s">
        <v>179</v>
      </c>
      <c r="J4659" s="15">
        <v>7.229441618985901</v>
      </c>
    </row>
    <row r="4660" spans="1:10">
      <c r="A4660" s="6" t="s">
        <v>144</v>
      </c>
      <c r="B4660" s="6" t="s">
        <v>90</v>
      </c>
      <c r="C4660" s="6" t="s">
        <v>354</v>
      </c>
      <c r="D4660" s="6">
        <v>0.003416666666666666</v>
      </c>
      <c r="E4660" s="6" t="s">
        <v>90</v>
      </c>
      <c r="F4660" s="6" t="s">
        <v>51</v>
      </c>
      <c r="G4660" s="7">
        <v>43580.99560846043</v>
      </c>
      <c r="H4660" s="6">
        <v>148.9017349955732</v>
      </c>
      <c r="I4660" s="6" t="s">
        <v>180</v>
      </c>
      <c r="J4660" s="15">
        <v>7.203945838271181</v>
      </c>
    </row>
    <row r="4661" spans="1:10">
      <c r="A4661" s="6" t="s">
        <v>144</v>
      </c>
      <c r="B4661" s="6" t="s">
        <v>90</v>
      </c>
      <c r="C4661" s="6" t="s">
        <v>355</v>
      </c>
      <c r="D4661" s="6">
        <v>0.0275</v>
      </c>
      <c r="E4661" s="6" t="s">
        <v>90</v>
      </c>
      <c r="F4661" s="6" t="s">
        <v>52</v>
      </c>
      <c r="G4661" s="7">
        <v>59918.03179942394</v>
      </c>
      <c r="H4661" s="6">
        <v>1647.745874484158</v>
      </c>
      <c r="I4661" s="6" t="s">
        <v>180</v>
      </c>
      <c r="J4661" s="15">
        <v>12.43871031134531</v>
      </c>
    </row>
    <row r="4662" spans="1:10">
      <c r="A4662" s="6" t="s">
        <v>144</v>
      </c>
      <c r="B4662" s="6" t="s">
        <v>90</v>
      </c>
      <c r="C4662" s="6" t="s">
        <v>267</v>
      </c>
      <c r="D4662" s="6">
        <v>229.4101666666667</v>
      </c>
      <c r="E4662" s="6" t="s">
        <v>90</v>
      </c>
      <c r="F4662" s="6" t="s">
        <v>53</v>
      </c>
      <c r="G4662" s="7">
        <v>28187.4549918804</v>
      </c>
      <c r="H4662" s="6">
        <v>6466488.747596449</v>
      </c>
      <c r="I4662" s="6" t="s">
        <v>179</v>
      </c>
      <c r="J4662" s="15">
        <v>17</v>
      </c>
    </row>
    <row r="4663" spans="1:10">
      <c r="A4663" s="6" t="s">
        <v>144</v>
      </c>
      <c r="B4663" s="6" t="s">
        <v>90</v>
      </c>
      <c r="C4663" s="6" t="s">
        <v>366</v>
      </c>
      <c r="D4663" s="6">
        <v>22.40266666666666</v>
      </c>
      <c r="E4663" s="6" t="s">
        <v>90</v>
      </c>
      <c r="F4663" s="6" t="s">
        <v>52</v>
      </c>
      <c r="G4663" s="7">
        <v>78732.78292762766</v>
      </c>
      <c r="H4663" s="6">
        <v>1763824.291666667</v>
      </c>
      <c r="I4663" s="6" t="s">
        <v>179</v>
      </c>
      <c r="J4663" s="15">
        <v>56.95</v>
      </c>
    </row>
    <row r="4664" spans="1:10">
      <c r="A4664" s="6" t="s">
        <v>144</v>
      </c>
      <c r="B4664" s="6" t="s">
        <v>90</v>
      </c>
      <c r="C4664" s="6" t="s">
        <v>268</v>
      </c>
      <c r="D4664" s="6">
        <v>0.3211666666666667</v>
      </c>
      <c r="E4664" s="6" t="s">
        <v>90</v>
      </c>
      <c r="F4664" s="6" t="s">
        <v>51</v>
      </c>
      <c r="G4664" s="7">
        <v>53756.28752738577</v>
      </c>
      <c r="H4664" s="6">
        <v>17264.7276775454</v>
      </c>
      <c r="I4664" s="6" t="s">
        <v>180</v>
      </c>
      <c r="J4664" s="15">
        <v>10.46434484931158</v>
      </c>
    </row>
    <row r="4665" spans="1:10">
      <c r="A4665" s="6" t="s">
        <v>144</v>
      </c>
      <c r="B4665" s="6" t="s">
        <v>90</v>
      </c>
      <c r="C4665" s="6" t="s">
        <v>269</v>
      </c>
      <c r="D4665" s="6">
        <v>0.1063333333333333</v>
      </c>
      <c r="E4665" s="6" t="s">
        <v>90</v>
      </c>
      <c r="F4665" s="6" t="s">
        <v>52</v>
      </c>
      <c r="G4665" s="7">
        <v>84417.47941334113</v>
      </c>
      <c r="H4665" s="6">
        <v>8976.391977618607</v>
      </c>
      <c r="I4665" s="6" t="s">
        <v>179</v>
      </c>
      <c r="J4665" s="15">
        <v>68</v>
      </c>
    </row>
    <row r="4666" spans="1:10">
      <c r="A4666" s="6" t="s">
        <v>144</v>
      </c>
      <c r="B4666" s="6" t="s">
        <v>90</v>
      </c>
      <c r="C4666" s="6" t="s">
        <v>270</v>
      </c>
      <c r="D4666" s="6">
        <v>5.706416666666667</v>
      </c>
      <c r="E4666" s="6" t="s">
        <v>90</v>
      </c>
      <c r="F4666" s="6" t="s">
        <v>59</v>
      </c>
      <c r="G4666" s="7">
        <v>54632.02416918429</v>
      </c>
      <c r="H4666" s="6">
        <v>311753.0932527694</v>
      </c>
      <c r="I4666" s="6" t="s">
        <v>179</v>
      </c>
      <c r="J4666" s="15">
        <v>20.25074634581768</v>
      </c>
    </row>
    <row r="4667" spans="1:10">
      <c r="A4667" s="6" t="s">
        <v>144</v>
      </c>
      <c r="B4667" s="6" t="s">
        <v>86</v>
      </c>
      <c r="C4667" s="6" t="s">
        <v>271</v>
      </c>
      <c r="D4667" s="6">
        <v>61.12525</v>
      </c>
      <c r="E4667" s="6" t="s">
        <v>90</v>
      </c>
      <c r="F4667" s="6" t="s">
        <v>54</v>
      </c>
      <c r="G4667" s="7">
        <v>81091.15446449892</v>
      </c>
      <c r="H4667" s="6">
        <v>4956717.089431113</v>
      </c>
      <c r="I4667" s="6" t="s">
        <v>179</v>
      </c>
      <c r="J4667" s="15">
        <v>47.58333333333334</v>
      </c>
    </row>
    <row r="4668" spans="1:10">
      <c r="A4668" s="6" t="s">
        <v>144</v>
      </c>
      <c r="B4668" s="6" t="s">
        <v>90</v>
      </c>
      <c r="C4668" s="6" t="s">
        <v>272</v>
      </c>
      <c r="D4668" s="6">
        <v>9.432416666666667</v>
      </c>
      <c r="E4668" s="6" t="s">
        <v>90</v>
      </c>
      <c r="F4668" s="6" t="s">
        <v>51</v>
      </c>
      <c r="G4668" s="7">
        <v>51191.96394899175</v>
      </c>
      <c r="H4668" s="6">
        <v>482863.933951869</v>
      </c>
      <c r="I4668" s="6" t="s">
        <v>180</v>
      </c>
      <c r="J4668" s="15">
        <v>9.642676230307826</v>
      </c>
    </row>
    <row r="4669" spans="1:10">
      <c r="A4669" s="6" t="s">
        <v>144</v>
      </c>
      <c r="B4669" s="6" t="s">
        <v>90</v>
      </c>
      <c r="C4669" s="6" t="s">
        <v>273</v>
      </c>
      <c r="D4669" s="6">
        <v>49.266</v>
      </c>
      <c r="E4669" s="6" t="s">
        <v>90</v>
      </c>
      <c r="F4669" s="6" t="s">
        <v>51</v>
      </c>
      <c r="G4669" s="7">
        <v>68796.23409337111</v>
      </c>
      <c r="H4669" s="6">
        <v>3389315.268844021</v>
      </c>
      <c r="I4669" s="6" t="s">
        <v>179</v>
      </c>
      <c r="J4669" s="15">
        <v>27</v>
      </c>
    </row>
    <row r="4670" spans="1:10">
      <c r="A4670" s="6" t="s">
        <v>144</v>
      </c>
      <c r="B4670" s="6" t="s">
        <v>90</v>
      </c>
      <c r="C4670" s="6" t="s">
        <v>274</v>
      </c>
      <c r="D4670" s="6">
        <v>8.7685</v>
      </c>
      <c r="E4670" s="6" t="s">
        <v>90</v>
      </c>
      <c r="F4670" s="6" t="s">
        <v>56</v>
      </c>
      <c r="G4670" s="7">
        <v>58346.71964656267</v>
      </c>
      <c r="H4670" s="6">
        <v>511613.2112208848</v>
      </c>
      <c r="I4670" s="6" t="s">
        <v>180</v>
      </c>
      <c r="J4670" s="15">
        <v>11.93522553370507</v>
      </c>
    </row>
    <row r="4671" spans="1:10">
      <c r="A4671" s="6" t="s">
        <v>144</v>
      </c>
      <c r="B4671" s="6" t="s">
        <v>90</v>
      </c>
      <c r="C4671" s="6" t="s">
        <v>275</v>
      </c>
      <c r="D4671" s="6">
        <v>0.9153333333333334</v>
      </c>
      <c r="E4671" s="6" t="s">
        <v>90</v>
      </c>
      <c r="F4671" s="6" t="s">
        <v>51</v>
      </c>
      <c r="G4671" s="7">
        <v>54453.54162987976</v>
      </c>
      <c r="H4671" s="6">
        <v>49843.14177188327</v>
      </c>
      <c r="I4671" s="6" t="s">
        <v>180</v>
      </c>
      <c r="J4671" s="15">
        <v>10.68776119985255</v>
      </c>
    </row>
    <row r="4672" spans="1:10">
      <c r="A4672" s="6" t="s">
        <v>144</v>
      </c>
      <c r="B4672" s="6" t="s">
        <v>90</v>
      </c>
      <c r="C4672" s="6" t="s">
        <v>276</v>
      </c>
      <c r="D4672" s="6">
        <v>8.119</v>
      </c>
      <c r="E4672" s="6" t="s">
        <v>90</v>
      </c>
      <c r="F4672" s="6" t="s">
        <v>51</v>
      </c>
      <c r="G4672" s="7">
        <v>63381.90932521886</v>
      </c>
      <c r="H4672" s="6">
        <v>514597.7218114519</v>
      </c>
      <c r="I4672" s="6" t="s">
        <v>179</v>
      </c>
      <c r="J4672" s="15">
        <v>57.28333333333333</v>
      </c>
    </row>
    <row r="4673" spans="1:10">
      <c r="A4673" s="6" t="s">
        <v>144</v>
      </c>
      <c r="B4673" s="6" t="s">
        <v>90</v>
      </c>
      <c r="C4673" s="6" t="s">
        <v>277</v>
      </c>
      <c r="D4673" s="6">
        <v>0.1289166666666667</v>
      </c>
      <c r="E4673" s="6" t="s">
        <v>90</v>
      </c>
      <c r="F4673" s="6" t="s">
        <v>57</v>
      </c>
      <c r="G4673" s="7">
        <v>44258.82186038292</v>
      </c>
      <c r="H4673" s="6">
        <v>5705.699784834365</v>
      </c>
      <c r="I4673" s="6" t="s">
        <v>180</v>
      </c>
      <c r="J4673" s="15">
        <v>7.421137055882822</v>
      </c>
    </row>
    <row r="4674" spans="1:10">
      <c r="A4674" s="6" t="s">
        <v>144</v>
      </c>
      <c r="B4674" s="6" t="s">
        <v>90</v>
      </c>
      <c r="C4674" s="6" t="s">
        <v>278</v>
      </c>
      <c r="D4674" s="6">
        <v>70.86924999999999</v>
      </c>
      <c r="E4674" s="6" t="s">
        <v>90</v>
      </c>
      <c r="F4674" s="6" t="s">
        <v>55</v>
      </c>
      <c r="G4674" s="7">
        <v>46621.33394129809</v>
      </c>
      <c r="H4674" s="6">
        <v>3304018.970419339</v>
      </c>
      <c r="I4674" s="6" t="s">
        <v>179</v>
      </c>
      <c r="J4674" s="15">
        <v>47.06666666666667</v>
      </c>
    </row>
    <row r="4675" spans="1:10">
      <c r="A4675" s="6" t="s">
        <v>144</v>
      </c>
      <c r="B4675" s="6" t="s">
        <v>90</v>
      </c>
      <c r="C4675" s="6" t="s">
        <v>280</v>
      </c>
      <c r="D4675" s="6">
        <v>61.20041666666667</v>
      </c>
      <c r="E4675" s="6" t="s">
        <v>90</v>
      </c>
      <c r="F4675" s="6" t="s">
        <v>55</v>
      </c>
      <c r="G4675" s="7">
        <v>88199.71827653726</v>
      </c>
      <c r="H4675" s="6">
        <v>5397859.508406696</v>
      </c>
      <c r="I4675" s="6" t="s">
        <v>179</v>
      </c>
      <c r="J4675" s="15">
        <v>61</v>
      </c>
    </row>
    <row r="4676" spans="1:10">
      <c r="A4676" s="6" t="s">
        <v>144</v>
      </c>
      <c r="B4676" s="6" t="s">
        <v>90</v>
      </c>
      <c r="C4676" s="6" t="s">
        <v>281</v>
      </c>
      <c r="D4676" s="6">
        <v>126.751</v>
      </c>
      <c r="E4676" s="6" t="s">
        <v>90</v>
      </c>
      <c r="F4676" s="6" t="s">
        <v>57</v>
      </c>
      <c r="G4676" s="7">
        <v>70375.78171760954</v>
      </c>
      <c r="H4676" s="6">
        <v>8920200.708488727</v>
      </c>
      <c r="I4676" s="6" t="s">
        <v>179</v>
      </c>
      <c r="J4676" s="15">
        <v>25</v>
      </c>
    </row>
    <row r="4677" spans="1:10">
      <c r="A4677" s="6" t="s">
        <v>144</v>
      </c>
      <c r="B4677" s="6" t="s">
        <v>90</v>
      </c>
      <c r="C4677" s="6" t="s">
        <v>282</v>
      </c>
      <c r="D4677" s="6">
        <v>0.228</v>
      </c>
      <c r="E4677" s="6" t="s">
        <v>90</v>
      </c>
      <c r="F4677" s="6" t="s">
        <v>56</v>
      </c>
      <c r="G4677" s="7">
        <v>55102.56172936118</v>
      </c>
      <c r="H4677" s="6">
        <v>12563.38407429435</v>
      </c>
      <c r="I4677" s="6" t="s">
        <v>180</v>
      </c>
      <c r="J4677" s="15">
        <v>10.89572225957987</v>
      </c>
    </row>
    <row r="4678" spans="1:10">
      <c r="A4678" s="6" t="s">
        <v>144</v>
      </c>
      <c r="B4678" s="6" t="s">
        <v>90</v>
      </c>
      <c r="C4678" s="6" t="s">
        <v>283</v>
      </c>
      <c r="D4678" s="6">
        <v>29.07399999999999</v>
      </c>
      <c r="E4678" s="6" t="s">
        <v>90</v>
      </c>
      <c r="F4678" s="6" t="s">
        <v>51</v>
      </c>
      <c r="G4678" s="7">
        <v>41673.53339700109</v>
      </c>
      <c r="H4678" s="6">
        <v>1211616.309984409</v>
      </c>
      <c r="I4678" s="6" t="s">
        <v>179</v>
      </c>
      <c r="J4678" s="15">
        <v>26.5</v>
      </c>
    </row>
    <row r="4679" spans="1:10">
      <c r="A4679" s="6" t="s">
        <v>144</v>
      </c>
      <c r="B4679" s="6" t="s">
        <v>90</v>
      </c>
      <c r="C4679" s="6" t="s">
        <v>284</v>
      </c>
      <c r="D4679" s="6">
        <v>23.773</v>
      </c>
      <c r="E4679" s="6" t="s">
        <v>90</v>
      </c>
      <c r="F4679" s="6" t="s">
        <v>55</v>
      </c>
      <c r="G4679" s="7">
        <v>71665.2692915682</v>
      </c>
      <c r="H4679" s="6">
        <v>1703698.446868451</v>
      </c>
      <c r="I4679" s="6" t="s">
        <v>180</v>
      </c>
      <c r="J4679" s="15">
        <v>16.20279706256738</v>
      </c>
    </row>
    <row r="4680" spans="1:10">
      <c r="A4680" s="6" t="s">
        <v>144</v>
      </c>
      <c r="B4680" s="6" t="s">
        <v>86</v>
      </c>
      <c r="C4680" s="6" t="s">
        <v>285</v>
      </c>
      <c r="D4680" s="6">
        <v>0.3499999999999999</v>
      </c>
      <c r="E4680" s="6" t="s">
        <v>90</v>
      </c>
      <c r="F4680" s="6" t="s">
        <v>52</v>
      </c>
      <c r="G4680" s="7">
        <v>124592.4363366081</v>
      </c>
      <c r="H4680" s="6">
        <v>43607.35271781282</v>
      </c>
      <c r="I4680" s="6" t="s">
        <v>179</v>
      </c>
      <c r="J4680" s="15">
        <v>102.5583333333333</v>
      </c>
    </row>
    <row r="4681" spans="1:10">
      <c r="A4681" s="6" t="s">
        <v>144</v>
      </c>
      <c r="B4681" s="6" t="s">
        <v>90</v>
      </c>
      <c r="C4681" s="6" t="s">
        <v>286</v>
      </c>
      <c r="D4681" s="6">
        <v>3.237166666666667</v>
      </c>
      <c r="E4681" s="6" t="s">
        <v>90</v>
      </c>
      <c r="F4681" s="6" t="s">
        <v>59</v>
      </c>
      <c r="G4681" s="7">
        <v>90288.54517641803</v>
      </c>
      <c r="H4681" s="6">
        <v>292279.0688269279</v>
      </c>
      <c r="I4681" s="6" t="s">
        <v>180</v>
      </c>
      <c r="J4681" s="15">
        <v>22.17012564253306</v>
      </c>
    </row>
    <row r="4682" spans="1:10">
      <c r="A4682" s="6" t="s">
        <v>144</v>
      </c>
      <c r="B4682" s="6" t="s">
        <v>90</v>
      </c>
      <c r="C4682" s="6" t="s">
        <v>287</v>
      </c>
      <c r="D4682" s="6">
        <v>0.3564166666666667</v>
      </c>
      <c r="E4682" s="6" t="s">
        <v>90</v>
      </c>
      <c r="F4682" s="6" t="s">
        <v>53</v>
      </c>
      <c r="G4682" s="7">
        <v>25443.86066146324</v>
      </c>
      <c r="H4682" s="6">
        <v>9068.616004089856</v>
      </c>
      <c r="I4682" s="6" t="s">
        <v>179</v>
      </c>
      <c r="J4682" s="15">
        <v>16</v>
      </c>
    </row>
    <row r="4683" spans="1:10">
      <c r="A4683" s="6" t="s">
        <v>144</v>
      </c>
      <c r="B4683" s="6" t="s">
        <v>90</v>
      </c>
      <c r="C4683" s="6" t="s">
        <v>376</v>
      </c>
      <c r="D4683" s="6">
        <v>0.2325</v>
      </c>
      <c r="E4683" s="6" t="s">
        <v>90</v>
      </c>
      <c r="F4683" s="6" t="s">
        <v>54</v>
      </c>
      <c r="G4683" s="7">
        <v>76892.37004653887</v>
      </c>
      <c r="H4683" s="6">
        <v>17877.47603582029</v>
      </c>
      <c r="I4683" s="6" t="s">
        <v>180</v>
      </c>
      <c r="J4683" s="15">
        <v>17.87768111188072</v>
      </c>
    </row>
    <row r="4684" spans="1:10">
      <c r="A4684" s="6" t="s">
        <v>144</v>
      </c>
      <c r="B4684" s="6" t="s">
        <v>90</v>
      </c>
      <c r="C4684" s="6" t="s">
        <v>357</v>
      </c>
      <c r="D4684" s="6">
        <v>11.031</v>
      </c>
      <c r="E4684" s="6" t="s">
        <v>90</v>
      </c>
      <c r="F4684" s="6" t="s">
        <v>52</v>
      </c>
      <c r="G4684" s="7">
        <v>59918.03179942394</v>
      </c>
      <c r="H4684" s="6">
        <v>660955.8087794454</v>
      </c>
      <c r="I4684" s="6" t="s">
        <v>180</v>
      </c>
      <c r="J4684" s="15">
        <v>27</v>
      </c>
    </row>
    <row r="4685" spans="1:10">
      <c r="A4685" s="6" t="s">
        <v>144</v>
      </c>
      <c r="B4685" s="6" t="s">
        <v>90</v>
      </c>
      <c r="C4685" s="6" t="s">
        <v>288</v>
      </c>
      <c r="D4685" s="6">
        <v>0.15025</v>
      </c>
      <c r="E4685" s="6" t="s">
        <v>90</v>
      </c>
      <c r="F4685" s="6" t="s">
        <v>58</v>
      </c>
      <c r="G4685" s="7">
        <v>69966.42569413477</v>
      </c>
      <c r="H4685" s="6">
        <v>10512.45546054375</v>
      </c>
      <c r="I4685" s="6" t="s">
        <v>180</v>
      </c>
      <c r="J4685" s="15">
        <v>15.65844825870828</v>
      </c>
    </row>
    <row r="4686" spans="1:10">
      <c r="A4686" s="6" t="s">
        <v>144</v>
      </c>
      <c r="B4686" s="6" t="s">
        <v>90</v>
      </c>
      <c r="C4686" s="6" t="s">
        <v>370</v>
      </c>
      <c r="D4686" s="6">
        <v>0.4484166666666666</v>
      </c>
      <c r="E4686" s="6" t="s">
        <v>90</v>
      </c>
      <c r="F4686" s="6" t="s">
        <v>55</v>
      </c>
      <c r="G4686" s="7">
        <v>63543.31246850626</v>
      </c>
      <c r="H4686" s="6">
        <v>28493.88036608601</v>
      </c>
      <c r="I4686" s="6" t="s">
        <v>180</v>
      </c>
      <c r="J4686" s="15">
        <v>13.60033413525112</v>
      </c>
    </row>
    <row r="4687" spans="1:10">
      <c r="A4687" s="6" t="s">
        <v>144</v>
      </c>
      <c r="B4687" s="6" t="s">
        <v>90</v>
      </c>
      <c r="C4687" s="6" t="s">
        <v>359</v>
      </c>
      <c r="D4687" s="6">
        <v>3.961416666666666</v>
      </c>
      <c r="E4687" s="6" t="s">
        <v>90</v>
      </c>
      <c r="F4687" s="6" t="s">
        <v>60</v>
      </c>
      <c r="G4687" s="7">
        <v>44402.32112778664</v>
      </c>
      <c r="H4687" s="6">
        <v>175896.0949542994</v>
      </c>
      <c r="I4687" s="6" t="s">
        <v>180</v>
      </c>
      <c r="J4687" s="15">
        <v>7.467117542069946</v>
      </c>
    </row>
    <row r="4688" spans="1:10">
      <c r="A4688" s="6" t="s">
        <v>144</v>
      </c>
      <c r="B4688" s="6" t="s">
        <v>90</v>
      </c>
      <c r="C4688" s="6" t="s">
        <v>289</v>
      </c>
      <c r="D4688" s="6">
        <v>96.7175</v>
      </c>
      <c r="E4688" s="6" t="s">
        <v>90</v>
      </c>
      <c r="F4688" s="6" t="s">
        <v>52</v>
      </c>
      <c r="G4688" s="7">
        <v>67135.49298692077</v>
      </c>
      <c r="H4688" s="6">
        <v>6493177.042962509</v>
      </c>
      <c r="I4688" s="6" t="s">
        <v>179</v>
      </c>
      <c r="J4688" s="15">
        <v>64</v>
      </c>
    </row>
    <row r="4689" spans="1:10">
      <c r="A4689" s="6" t="s">
        <v>144</v>
      </c>
      <c r="B4689" s="6" t="s">
        <v>90</v>
      </c>
      <c r="C4689" s="6" t="s">
        <v>290</v>
      </c>
      <c r="D4689" s="6">
        <v>0.006833333333333333</v>
      </c>
      <c r="E4689" s="6" t="s">
        <v>90</v>
      </c>
      <c r="F4689" s="6" t="s">
        <v>53</v>
      </c>
      <c r="G4689" s="7">
        <v>33776.0793312915</v>
      </c>
      <c r="H4689" s="6">
        <v>230.8032087638253</v>
      </c>
      <c r="I4689" s="6" t="s">
        <v>180</v>
      </c>
      <c r="J4689" s="15">
        <v>4.062223754214076</v>
      </c>
    </row>
    <row r="4690" spans="1:10">
      <c r="A4690" s="6" t="s">
        <v>144</v>
      </c>
      <c r="B4690" s="6" t="s">
        <v>90</v>
      </c>
      <c r="C4690" s="6" t="s">
        <v>291</v>
      </c>
      <c r="D4690" s="6">
        <v>0.004333333333333333</v>
      </c>
      <c r="E4690" s="6" t="s">
        <v>90</v>
      </c>
      <c r="F4690" s="6" t="s">
        <v>51</v>
      </c>
      <c r="G4690" s="7">
        <v>52631.38079889913</v>
      </c>
      <c r="H4690" s="6">
        <v>228.0693167952296</v>
      </c>
      <c r="I4690" s="6" t="s">
        <v>180</v>
      </c>
      <c r="J4690" s="15">
        <v>10.10389870051373</v>
      </c>
    </row>
    <row r="4691" spans="1:10">
      <c r="A4691" s="6" t="s">
        <v>144</v>
      </c>
      <c r="B4691" s="6" t="s">
        <v>90</v>
      </c>
      <c r="C4691" s="6" t="s">
        <v>292</v>
      </c>
      <c r="D4691" s="6">
        <v>14.54716666666667</v>
      </c>
      <c r="E4691" s="6" t="s">
        <v>90</v>
      </c>
      <c r="F4691" s="6" t="s">
        <v>54</v>
      </c>
      <c r="G4691" s="7">
        <v>102155.1088842532</v>
      </c>
      <c r="H4691" s="6">
        <v>1486067.394790712</v>
      </c>
      <c r="I4691" s="6" t="s">
        <v>179</v>
      </c>
      <c r="J4691" s="15">
        <v>55</v>
      </c>
    </row>
    <row r="4692" spans="1:10">
      <c r="A4692" s="6" t="s">
        <v>144</v>
      </c>
      <c r="B4692" s="6" t="s">
        <v>90</v>
      </c>
      <c r="C4692" s="6" t="s">
        <v>293</v>
      </c>
      <c r="D4692" s="6">
        <v>430.333</v>
      </c>
      <c r="E4692" s="6" t="s">
        <v>90</v>
      </c>
      <c r="F4692" s="6" t="s">
        <v>53</v>
      </c>
      <c r="G4692" s="7">
        <v>41041.87189365314</v>
      </c>
      <c r="H4692" s="6">
        <v>17661671.85761144</v>
      </c>
      <c r="I4692" s="6" t="s">
        <v>179</v>
      </c>
      <c r="J4692" s="15">
        <v>18</v>
      </c>
    </row>
    <row r="4693" spans="1:10">
      <c r="A4693" s="6" t="s">
        <v>144</v>
      </c>
      <c r="B4693" s="6" t="s">
        <v>90</v>
      </c>
      <c r="C4693" s="6" t="s">
        <v>371</v>
      </c>
      <c r="D4693" s="6">
        <v>0.4140833333333334</v>
      </c>
      <c r="E4693" s="6" t="s">
        <v>90</v>
      </c>
      <c r="F4693" s="6" t="s">
        <v>55</v>
      </c>
      <c r="G4693" s="7">
        <v>51459.79003816719</v>
      </c>
      <c r="H4693" s="6">
        <v>21308.64139163773</v>
      </c>
      <c r="I4693" s="6" t="s">
        <v>180</v>
      </c>
      <c r="J4693" s="15">
        <v>9.72849390740604</v>
      </c>
    </row>
    <row r="4694" spans="1:10">
      <c r="A4694" s="6" t="s">
        <v>144</v>
      </c>
      <c r="B4694" s="6" t="s">
        <v>90</v>
      </c>
      <c r="C4694" s="6" t="s">
        <v>294</v>
      </c>
      <c r="D4694" s="6">
        <v>0.21075</v>
      </c>
      <c r="E4694" s="6" t="s">
        <v>90</v>
      </c>
      <c r="F4694" s="6" t="s">
        <v>54</v>
      </c>
      <c r="G4694" s="7">
        <v>73336.4313640656</v>
      </c>
      <c r="H4694" s="6">
        <v>15455.65290997682</v>
      </c>
      <c r="I4694" s="6" t="s">
        <v>180</v>
      </c>
      <c r="J4694" s="15">
        <v>16.73827606522132</v>
      </c>
    </row>
    <row r="4695" spans="1:10">
      <c r="A4695" s="6" t="s">
        <v>144</v>
      </c>
      <c r="B4695" s="6" t="s">
        <v>90</v>
      </c>
      <c r="C4695" s="6" t="s">
        <v>295</v>
      </c>
      <c r="D4695" s="6">
        <v>7.973166666666666</v>
      </c>
      <c r="E4695" s="6" t="s">
        <v>90</v>
      </c>
      <c r="F4695" s="6" t="s">
        <v>53</v>
      </c>
      <c r="G4695" s="7">
        <v>29529.16394109224</v>
      </c>
      <c r="H4695" s="6">
        <v>235440.9456296519</v>
      </c>
      <c r="I4695" s="6" t="s">
        <v>179</v>
      </c>
      <c r="J4695" s="15">
        <v>15</v>
      </c>
    </row>
    <row r="4696" spans="1:10">
      <c r="A4696" s="6" t="s">
        <v>144</v>
      </c>
      <c r="B4696" s="6" t="s">
        <v>90</v>
      </c>
      <c r="C4696" s="6" t="s">
        <v>296</v>
      </c>
      <c r="D4696" s="6">
        <v>49.07875</v>
      </c>
      <c r="E4696" s="6" t="s">
        <v>90</v>
      </c>
      <c r="F4696" s="6" t="s">
        <v>61</v>
      </c>
      <c r="G4696" s="7">
        <v>58003.92647416519</v>
      </c>
      <c r="H4696" s="6">
        <v>2846760.206443935</v>
      </c>
      <c r="I4696" s="6" t="s">
        <v>179</v>
      </c>
      <c r="J4696" s="15">
        <v>13</v>
      </c>
    </row>
    <row r="4697" spans="1:10">
      <c r="A4697" s="6" t="s">
        <v>144</v>
      </c>
      <c r="B4697" s="6" t="s">
        <v>90</v>
      </c>
      <c r="C4697" s="6" t="s">
        <v>297</v>
      </c>
      <c r="D4697" s="6">
        <v>0.04833333333333334</v>
      </c>
      <c r="E4697" s="6" t="s">
        <v>90</v>
      </c>
      <c r="F4697" s="6" t="s">
        <v>52</v>
      </c>
      <c r="G4697" s="7">
        <v>86676.57256067361</v>
      </c>
      <c r="H4697" s="6">
        <v>4189.367673765892</v>
      </c>
      <c r="I4697" s="6" t="s">
        <v>179</v>
      </c>
      <c r="J4697" s="15">
        <v>50</v>
      </c>
    </row>
    <row r="4698" spans="1:10">
      <c r="A4698" s="6" t="s">
        <v>144</v>
      </c>
      <c r="B4698" s="6" t="s">
        <v>90</v>
      </c>
      <c r="C4698" s="6" t="s">
        <v>298</v>
      </c>
      <c r="D4698" s="6">
        <v>14.96525</v>
      </c>
      <c r="E4698" s="6" t="s">
        <v>90</v>
      </c>
      <c r="F4698" s="6" t="s">
        <v>56</v>
      </c>
      <c r="G4698" s="7">
        <v>48595.16583801468</v>
      </c>
      <c r="H4698" s="6">
        <v>727238.8055573492</v>
      </c>
      <c r="I4698" s="6" t="s">
        <v>179</v>
      </c>
      <c r="J4698" s="15">
        <v>63.75</v>
      </c>
    </row>
    <row r="4699" spans="1:10">
      <c r="A4699" s="6" t="s">
        <v>144</v>
      </c>
      <c r="B4699" s="6" t="s">
        <v>90</v>
      </c>
      <c r="C4699" s="6" t="s">
        <v>299</v>
      </c>
      <c r="D4699" s="6">
        <v>0.3615</v>
      </c>
      <c r="E4699" s="6" t="s">
        <v>90</v>
      </c>
      <c r="F4699" s="6" t="s">
        <v>53</v>
      </c>
      <c r="G4699" s="7">
        <v>25973.79370043561</v>
      </c>
      <c r="H4699" s="6">
        <v>9389.526422707475</v>
      </c>
      <c r="I4699" s="6" t="s">
        <v>179</v>
      </c>
      <c r="J4699" s="15">
        <v>14</v>
      </c>
    </row>
    <row r="4700" spans="1:10">
      <c r="A4700" s="6" t="s">
        <v>144</v>
      </c>
      <c r="B4700" s="6" t="s">
        <v>90</v>
      </c>
      <c r="C4700" s="6" t="s">
        <v>301</v>
      </c>
      <c r="D4700" s="6">
        <v>2.359833333333333</v>
      </c>
      <c r="E4700" s="6" t="s">
        <v>90</v>
      </c>
      <c r="F4700" s="6" t="s">
        <v>59</v>
      </c>
      <c r="G4700" s="7">
        <v>77898.61399430037</v>
      </c>
      <c r="H4700" s="6">
        <v>183827.7459242165</v>
      </c>
      <c r="I4700" s="6" t="s">
        <v>180</v>
      </c>
      <c r="J4700" s="15">
        <v>18.20010495959805</v>
      </c>
    </row>
    <row r="4701" spans="1:10">
      <c r="A4701" s="6" t="s">
        <v>144</v>
      </c>
      <c r="B4701" s="6" t="s">
        <v>90</v>
      </c>
      <c r="C4701" s="6" t="s">
        <v>302</v>
      </c>
      <c r="D4701" s="6">
        <v>106.7463333333333</v>
      </c>
      <c r="E4701" s="6" t="s">
        <v>90</v>
      </c>
      <c r="F4701" s="6" t="s">
        <v>52</v>
      </c>
      <c r="G4701" s="7">
        <v>75366.35678233257</v>
      </c>
      <c r="H4701" s="6">
        <v>8045082.2432058</v>
      </c>
      <c r="I4701" s="6" t="s">
        <v>179</v>
      </c>
      <c r="J4701" s="15">
        <v>59.01666666666667</v>
      </c>
    </row>
    <row r="4702" spans="1:10">
      <c r="A4702" s="6" t="s">
        <v>144</v>
      </c>
      <c r="B4702" s="6" t="s">
        <v>90</v>
      </c>
      <c r="C4702" s="6" t="s">
        <v>303</v>
      </c>
      <c r="D4702" s="6">
        <v>0.172</v>
      </c>
      <c r="E4702" s="6" t="s">
        <v>90</v>
      </c>
      <c r="F4702" s="6" t="s">
        <v>53</v>
      </c>
      <c r="G4702" s="7">
        <v>31792.00581425614</v>
      </c>
      <c r="H4702" s="6">
        <v>5468.225000052056</v>
      </c>
      <c r="I4702" s="6" t="s">
        <v>180</v>
      </c>
      <c r="J4702" s="15">
        <v>14</v>
      </c>
    </row>
    <row r="4703" spans="1:10">
      <c r="A4703" s="6" t="s">
        <v>144</v>
      </c>
      <c r="B4703" s="6" t="s">
        <v>90</v>
      </c>
      <c r="C4703" s="6" t="s">
        <v>361</v>
      </c>
      <c r="D4703" s="6">
        <v>4.722</v>
      </c>
      <c r="E4703" s="6" t="s">
        <v>90</v>
      </c>
      <c r="F4703" s="6" t="s">
        <v>52</v>
      </c>
      <c r="G4703" s="7">
        <v>77309.29947361469</v>
      </c>
      <c r="H4703" s="6">
        <v>365054.5121144086</v>
      </c>
      <c r="I4703" s="6" t="s">
        <v>179</v>
      </c>
      <c r="J4703" s="15">
        <v>52</v>
      </c>
    </row>
    <row r="4704" spans="1:10">
      <c r="A4704" s="6" t="s">
        <v>144</v>
      </c>
      <c r="B4704" s="6" t="s">
        <v>90</v>
      </c>
      <c r="C4704" s="6" t="s">
        <v>305</v>
      </c>
      <c r="D4704" s="6">
        <v>67.97133333333335</v>
      </c>
      <c r="E4704" s="6" t="s">
        <v>90</v>
      </c>
      <c r="F4704" s="6" t="s">
        <v>54</v>
      </c>
      <c r="G4704" s="7">
        <v>98512.45602947168</v>
      </c>
      <c r="H4704" s="6">
        <v>6696022.986264564</v>
      </c>
      <c r="I4704" s="6" t="s">
        <v>179</v>
      </c>
      <c r="J4704" s="15">
        <v>67</v>
      </c>
    </row>
    <row r="4705" spans="1:10">
      <c r="A4705" s="6" t="s">
        <v>144</v>
      </c>
      <c r="B4705" s="6" t="s">
        <v>90</v>
      </c>
      <c r="C4705" s="6" t="s">
        <v>306</v>
      </c>
      <c r="D4705" s="6">
        <v>2.177333333333333</v>
      </c>
      <c r="E4705" s="6" t="s">
        <v>90</v>
      </c>
      <c r="F4705" s="6" t="s">
        <v>57</v>
      </c>
      <c r="G4705" s="7">
        <v>50865.11911120607</v>
      </c>
      <c r="H4705" s="6">
        <v>110750.3193447994</v>
      </c>
      <c r="I4705" s="6" t="s">
        <v>179</v>
      </c>
      <c r="J4705" s="15">
        <v>39</v>
      </c>
    </row>
    <row r="4706" spans="1:10">
      <c r="A4706" s="6" t="s">
        <v>144</v>
      </c>
      <c r="B4706" s="6" t="s">
        <v>90</v>
      </c>
      <c r="C4706" s="6" t="s">
        <v>307</v>
      </c>
      <c r="D4706" s="6">
        <v>0.09833333333333333</v>
      </c>
      <c r="E4706" s="6" t="s">
        <v>90</v>
      </c>
      <c r="F4706" s="6" t="s">
        <v>53</v>
      </c>
      <c r="G4706" s="7">
        <v>34610.3479059413</v>
      </c>
      <c r="H4706" s="6">
        <v>3403.350877417561</v>
      </c>
      <c r="I4706" s="6" t="s">
        <v>180</v>
      </c>
      <c r="J4706" s="15">
        <v>13.5</v>
      </c>
    </row>
    <row r="4707" spans="1:10">
      <c r="A4707" s="6" t="s">
        <v>144</v>
      </c>
      <c r="B4707" s="6" t="s">
        <v>90</v>
      </c>
      <c r="C4707" s="6" t="s">
        <v>362</v>
      </c>
      <c r="D4707" s="6">
        <v>139.13325</v>
      </c>
      <c r="E4707" s="6" t="s">
        <v>90</v>
      </c>
      <c r="F4707" s="6" t="s">
        <v>52</v>
      </c>
      <c r="G4707" s="7">
        <v>56852.15728722059</v>
      </c>
      <c r="H4707" s="6">
        <v>7910025.412882185</v>
      </c>
      <c r="I4707" s="6" t="s">
        <v>179</v>
      </c>
      <c r="J4707" s="15">
        <v>69</v>
      </c>
    </row>
    <row r="4708" spans="1:10">
      <c r="A4708" s="6" t="s">
        <v>144</v>
      </c>
      <c r="B4708" s="6" t="s">
        <v>90</v>
      </c>
      <c r="C4708" s="6" t="s">
        <v>308</v>
      </c>
      <c r="D4708" s="6">
        <v>0.1401666666666667</v>
      </c>
      <c r="E4708" s="6" t="s">
        <v>90</v>
      </c>
      <c r="F4708" s="6" t="s">
        <v>54</v>
      </c>
      <c r="G4708" s="7">
        <v>61958.4525384317</v>
      </c>
      <c r="H4708" s="6">
        <v>8684.509764136843</v>
      </c>
      <c r="I4708" s="6" t="s">
        <v>180</v>
      </c>
      <c r="J4708" s="15">
        <v>13.09250833626427</v>
      </c>
    </row>
    <row r="4709" spans="1:10">
      <c r="A4709" s="6" t="s">
        <v>144</v>
      </c>
      <c r="B4709" s="6" t="s">
        <v>90</v>
      </c>
      <c r="C4709" s="6" t="s">
        <v>309</v>
      </c>
      <c r="D4709" s="6">
        <v>322.4103333333333</v>
      </c>
      <c r="E4709" s="6" t="s">
        <v>90</v>
      </c>
      <c r="F4709" s="6" t="s">
        <v>52</v>
      </c>
      <c r="G4709" s="7">
        <v>73075.41331885532</v>
      </c>
      <c r="H4709" s="6">
        <v>23560268.36660325</v>
      </c>
      <c r="I4709" s="6" t="s">
        <v>179</v>
      </c>
      <c r="J4709" s="15">
        <v>52</v>
      </c>
    </row>
    <row r="4710" spans="1:10">
      <c r="A4710" s="6" t="s">
        <v>144</v>
      </c>
      <c r="B4710" s="6" t="s">
        <v>90</v>
      </c>
      <c r="C4710" s="6" t="s">
        <v>310</v>
      </c>
      <c r="D4710" s="6">
        <v>18.93475</v>
      </c>
      <c r="E4710" s="6" t="s">
        <v>90</v>
      </c>
      <c r="F4710" s="6" t="s">
        <v>52</v>
      </c>
      <c r="G4710" s="7">
        <v>72589.43692380768</v>
      </c>
      <c r="H4710" s="6">
        <v>1374462.840793067</v>
      </c>
      <c r="I4710" s="6" t="s">
        <v>179</v>
      </c>
      <c r="J4710" s="15">
        <v>75.54166666666666</v>
      </c>
    </row>
    <row r="4711" spans="1:10">
      <c r="A4711" s="6" t="s">
        <v>144</v>
      </c>
      <c r="B4711" s="6" t="s">
        <v>90</v>
      </c>
      <c r="C4711" s="6" t="s">
        <v>311</v>
      </c>
      <c r="D4711" s="6">
        <v>2.588916666666667</v>
      </c>
      <c r="E4711" s="6" t="s">
        <v>90</v>
      </c>
      <c r="F4711" s="6" t="s">
        <v>51</v>
      </c>
      <c r="G4711" s="7">
        <v>52856.52992243581</v>
      </c>
      <c r="H4711" s="6">
        <v>136841.1512583594</v>
      </c>
      <c r="I4711" s="6" t="s">
        <v>180</v>
      </c>
      <c r="J4711" s="15">
        <v>10.1760416901758</v>
      </c>
    </row>
    <row r="4712" spans="1:10">
      <c r="A4712" s="6" t="s">
        <v>144</v>
      </c>
      <c r="B4712" s="6" t="s">
        <v>90</v>
      </c>
      <c r="C4712" s="6" t="s">
        <v>312</v>
      </c>
      <c r="D4712" s="6">
        <v>36.98800000000001</v>
      </c>
      <c r="E4712" s="6" t="s">
        <v>90</v>
      </c>
      <c r="F4712" s="6" t="s">
        <v>54</v>
      </c>
      <c r="G4712" s="7">
        <v>98038.89341868946</v>
      </c>
      <c r="H4712" s="6">
        <v>3626262.589770487</v>
      </c>
      <c r="I4712" s="6" t="s">
        <v>179</v>
      </c>
      <c r="J4712" s="15">
        <v>97.98333333333333</v>
      </c>
    </row>
    <row r="4713" spans="1:10">
      <c r="A4713" s="6" t="s">
        <v>144</v>
      </c>
      <c r="B4713" s="6" t="s">
        <v>90</v>
      </c>
      <c r="C4713" s="6" t="s">
        <v>313</v>
      </c>
      <c r="D4713" s="6">
        <v>24.502</v>
      </c>
      <c r="E4713" s="6" t="s">
        <v>90</v>
      </c>
      <c r="F4713" s="6" t="s">
        <v>51</v>
      </c>
      <c r="G4713" s="7">
        <v>52321.25291717758</v>
      </c>
      <c r="H4713" s="6">
        <v>1281975.338976685</v>
      </c>
      <c r="I4713" s="6" t="s">
        <v>180</v>
      </c>
      <c r="J4713" s="15">
        <v>10.00452655012064</v>
      </c>
    </row>
    <row r="4714" spans="1:10">
      <c r="A4714" s="6" t="s">
        <v>144</v>
      </c>
      <c r="B4714" s="6" t="s">
        <v>90</v>
      </c>
      <c r="C4714" s="6" t="s">
        <v>314</v>
      </c>
      <c r="D4714" s="6">
        <v>1.538583333333333</v>
      </c>
      <c r="E4714" s="6" t="s">
        <v>90</v>
      </c>
      <c r="F4714" s="6" t="s">
        <v>51</v>
      </c>
      <c r="G4714" s="7">
        <v>58052.11180989485</v>
      </c>
      <c r="H4714" s="6">
        <v>89318.01169550738</v>
      </c>
      <c r="I4714" s="6" t="s">
        <v>180</v>
      </c>
      <c r="J4714" s="15">
        <v>11.84082636491759</v>
      </c>
    </row>
    <row r="4715" spans="1:10">
      <c r="A4715" s="6" t="s">
        <v>144</v>
      </c>
      <c r="B4715" s="6" t="s">
        <v>90</v>
      </c>
      <c r="C4715" s="6" t="s">
        <v>315</v>
      </c>
      <c r="D4715" s="6">
        <v>3.810416666666667</v>
      </c>
      <c r="E4715" s="6" t="s">
        <v>90</v>
      </c>
      <c r="F4715" s="6" t="s">
        <v>51</v>
      </c>
      <c r="G4715" s="7">
        <v>56453.56097958141</v>
      </c>
      <c r="H4715" s="6">
        <v>215111.58964928</v>
      </c>
      <c r="I4715" s="6" t="s">
        <v>180</v>
      </c>
      <c r="J4715" s="15">
        <v>11.32861368465454</v>
      </c>
    </row>
    <row r="4716" spans="1:10">
      <c r="A4716" s="6" t="s">
        <v>144</v>
      </c>
      <c r="B4716" s="6" t="s">
        <v>86</v>
      </c>
      <c r="C4716" s="6" t="s">
        <v>316</v>
      </c>
      <c r="D4716" s="6">
        <v>1.882916666666667</v>
      </c>
      <c r="E4716" s="6" t="s">
        <v>90</v>
      </c>
      <c r="F4716" s="6" t="s">
        <v>54</v>
      </c>
      <c r="G4716" s="7">
        <v>83552.76780903985</v>
      </c>
      <c r="H4716" s="6">
        <v>157322.8990537713</v>
      </c>
      <c r="I4716" s="6" t="s">
        <v>180</v>
      </c>
      <c r="J4716" s="15">
        <v>18.34838172284276</v>
      </c>
    </row>
    <row r="4717" spans="1:10">
      <c r="A4717" s="6" t="s">
        <v>144</v>
      </c>
      <c r="B4717" s="6" t="s">
        <v>90</v>
      </c>
      <c r="C4717" s="6" t="s">
        <v>317</v>
      </c>
      <c r="D4717" s="6">
        <v>0.227</v>
      </c>
      <c r="E4717" s="6" t="s">
        <v>90</v>
      </c>
      <c r="F4717" s="6" t="s">
        <v>51</v>
      </c>
      <c r="G4717" s="7">
        <v>51588.11271374751</v>
      </c>
      <c r="H4717" s="6">
        <v>11710.50158602069</v>
      </c>
      <c r="I4717" s="6" t="s">
        <v>180</v>
      </c>
      <c r="J4717" s="15">
        <v>9.769611462350877</v>
      </c>
    </row>
    <row r="4718" spans="1:10">
      <c r="A4718" s="6" t="s">
        <v>144</v>
      </c>
      <c r="B4718" s="6" t="s">
        <v>90</v>
      </c>
      <c r="C4718" s="6" t="s">
        <v>319</v>
      </c>
      <c r="D4718" s="6">
        <v>19.55266666666667</v>
      </c>
      <c r="E4718" s="6" t="s">
        <v>90</v>
      </c>
      <c r="F4718" s="6" t="s">
        <v>52</v>
      </c>
      <c r="G4718" s="7">
        <v>59918.03179942394</v>
      </c>
      <c r="H4718" s="6">
        <v>1171557.30309687</v>
      </c>
      <c r="I4718" s="6" t="s">
        <v>180</v>
      </c>
      <c r="J4718" s="15">
        <v>12.43871031134531</v>
      </c>
    </row>
    <row r="4719" spans="1:10">
      <c r="A4719" s="6" t="s">
        <v>144</v>
      </c>
      <c r="B4719" s="6" t="s">
        <v>90</v>
      </c>
      <c r="C4719" s="6" t="s">
        <v>320</v>
      </c>
      <c r="D4719" s="6">
        <v>30.7435</v>
      </c>
      <c r="E4719" s="6" t="s">
        <v>90</v>
      </c>
      <c r="F4719" s="6" t="s">
        <v>51</v>
      </c>
      <c r="G4719" s="7">
        <v>50478.21140108545</v>
      </c>
      <c r="H4719" s="6">
        <v>1551876.89220927</v>
      </c>
      <c r="I4719" s="6" t="s">
        <v>180</v>
      </c>
      <c r="J4719" s="15">
        <v>9.413973396043877</v>
      </c>
    </row>
    <row r="4720" spans="1:10">
      <c r="A4720" s="6" t="s">
        <v>144</v>
      </c>
      <c r="B4720" s="6" t="s">
        <v>90</v>
      </c>
      <c r="C4720" s="6" t="s">
        <v>321</v>
      </c>
      <c r="D4720" s="6">
        <v>0.2525</v>
      </c>
      <c r="E4720" s="6" t="s">
        <v>90</v>
      </c>
      <c r="F4720" s="6" t="s">
        <v>54</v>
      </c>
      <c r="G4720" s="7">
        <v>49362.0809529337</v>
      </c>
      <c r="H4720" s="6">
        <v>12463.92544061576</v>
      </c>
      <c r="I4720" s="6" t="s">
        <v>180</v>
      </c>
      <c r="J4720" s="15">
        <v>9.05633937056912</v>
      </c>
    </row>
    <row r="4721" spans="1:10">
      <c r="A4721" s="6" t="s">
        <v>144</v>
      </c>
      <c r="B4721" s="6" t="s">
        <v>90</v>
      </c>
      <c r="C4721" s="6" t="s">
        <v>322</v>
      </c>
      <c r="D4721" s="6">
        <v>1.595166666666667</v>
      </c>
      <c r="E4721" s="6" t="s">
        <v>90</v>
      </c>
      <c r="F4721" s="6" t="s">
        <v>51</v>
      </c>
      <c r="G4721" s="7">
        <v>51362.83162893766</v>
      </c>
      <c r="H4721" s="6">
        <v>81932.27692009373</v>
      </c>
      <c r="I4721" s="6" t="s">
        <v>180</v>
      </c>
      <c r="J4721" s="15">
        <v>9.697426189242986</v>
      </c>
    </row>
    <row r="4722" spans="1:10">
      <c r="A4722" s="6" t="s">
        <v>144</v>
      </c>
      <c r="B4722" s="6" t="s">
        <v>90</v>
      </c>
      <c r="C4722" s="6" t="s">
        <v>323</v>
      </c>
      <c r="D4722" s="6">
        <v>24.05325</v>
      </c>
      <c r="E4722" s="6" t="s">
        <v>90</v>
      </c>
      <c r="F4722" s="6" t="s">
        <v>55</v>
      </c>
      <c r="G4722" s="7">
        <v>54663.87536141942</v>
      </c>
      <c r="H4722" s="6">
        <v>1314843.860037062</v>
      </c>
      <c r="I4722" s="6" t="s">
        <v>180</v>
      </c>
      <c r="J4722" s="15">
        <v>20.61666666666667</v>
      </c>
    </row>
    <row r="4723" spans="1:10">
      <c r="A4723" s="6" t="s">
        <v>144</v>
      </c>
      <c r="B4723" s="6" t="s">
        <v>90</v>
      </c>
      <c r="C4723" s="6" t="s">
        <v>324</v>
      </c>
      <c r="D4723" s="6">
        <v>26.03916666666667</v>
      </c>
      <c r="E4723" s="6" t="s">
        <v>90</v>
      </c>
      <c r="F4723" s="6" t="s">
        <v>51</v>
      </c>
      <c r="G4723" s="7">
        <v>52939.45685818696</v>
      </c>
      <c r="H4723" s="6">
        <v>1378499.34037314</v>
      </c>
      <c r="I4723" s="6" t="s">
        <v>180</v>
      </c>
      <c r="J4723" s="15">
        <v>10.20261339951505</v>
      </c>
    </row>
    <row r="4724" spans="1:10">
      <c r="A4724" s="6" t="s">
        <v>144</v>
      </c>
      <c r="B4724" s="6" t="s">
        <v>90</v>
      </c>
      <c r="C4724" s="6" t="s">
        <v>372</v>
      </c>
      <c r="D4724" s="6">
        <v>2.02625</v>
      </c>
      <c r="E4724" s="6" t="s">
        <v>90</v>
      </c>
      <c r="F4724" s="6" t="s">
        <v>55</v>
      </c>
      <c r="G4724" s="7">
        <v>87811.98275494319</v>
      </c>
      <c r="H4724" s="6">
        <v>177929.0300572037</v>
      </c>
      <c r="I4724" s="6" t="s">
        <v>180</v>
      </c>
      <c r="J4724" s="15">
        <v>21.37657772920605</v>
      </c>
    </row>
    <row r="4725" spans="1:10">
      <c r="A4725" s="6" t="s">
        <v>144</v>
      </c>
      <c r="B4725" s="6" t="s">
        <v>90</v>
      </c>
      <c r="C4725" s="6" t="s">
        <v>325</v>
      </c>
      <c r="D4725" s="6">
        <v>0.3846666666666667</v>
      </c>
      <c r="E4725" s="6" t="s">
        <v>90</v>
      </c>
      <c r="F4725" s="6" t="s">
        <v>53</v>
      </c>
      <c r="G4725" s="7">
        <v>27183.84720656899</v>
      </c>
      <c r="H4725" s="6">
        <v>10456.71989212687</v>
      </c>
      <c r="I4725" s="6" t="s">
        <v>179</v>
      </c>
      <c r="J4725" s="15">
        <v>16</v>
      </c>
    </row>
    <row r="4726" spans="1:10">
      <c r="A4726" s="6" t="s">
        <v>144</v>
      </c>
      <c r="B4726" s="6" t="s">
        <v>90</v>
      </c>
      <c r="C4726" s="6" t="s">
        <v>364</v>
      </c>
      <c r="D4726" s="6">
        <v>4.36225</v>
      </c>
      <c r="E4726" s="6" t="s">
        <v>90</v>
      </c>
      <c r="F4726" s="6" t="s">
        <v>52</v>
      </c>
      <c r="G4726" s="7">
        <v>51274.29567237874</v>
      </c>
      <c r="H4726" s="6">
        <v>223671.2962968342</v>
      </c>
      <c r="I4726" s="6" t="s">
        <v>179</v>
      </c>
      <c r="J4726" s="15">
        <v>65</v>
      </c>
    </row>
    <row r="4727" spans="1:10">
      <c r="A4727" s="6" t="s">
        <v>144</v>
      </c>
      <c r="B4727" s="6" t="s">
        <v>90</v>
      </c>
      <c r="C4727" s="6" t="s">
        <v>326</v>
      </c>
      <c r="D4727" s="6">
        <v>80.4315</v>
      </c>
      <c r="E4727" s="6" t="s">
        <v>90</v>
      </c>
      <c r="F4727" s="6" t="s">
        <v>54</v>
      </c>
      <c r="G4727" s="7">
        <v>73204.69251441542</v>
      </c>
      <c r="H4727" s="6">
        <v>5887963.225973204</v>
      </c>
      <c r="I4727" s="6" t="s">
        <v>179</v>
      </c>
      <c r="J4727" s="15">
        <v>50.55</v>
      </c>
    </row>
    <row r="4728" spans="1:10">
      <c r="A4728" s="6" t="s">
        <v>144</v>
      </c>
      <c r="B4728" s="6" t="s">
        <v>90</v>
      </c>
      <c r="C4728" s="6" t="s">
        <v>373</v>
      </c>
      <c r="D4728" s="6">
        <v>0.2753333333333334</v>
      </c>
      <c r="E4728" s="6" t="s">
        <v>90</v>
      </c>
      <c r="F4728" s="6" t="s">
        <v>55</v>
      </c>
      <c r="G4728" s="7">
        <v>59139.33667023354</v>
      </c>
      <c r="H4728" s="6">
        <v>16283.03069653764</v>
      </c>
      <c r="I4728" s="6" t="s">
        <v>180</v>
      </c>
      <c r="J4728" s="15">
        <v>12.18919837111368</v>
      </c>
    </row>
    <row r="4729" spans="1:10">
      <c r="A4729" s="6" t="s">
        <v>144</v>
      </c>
      <c r="B4729" s="6" t="s">
        <v>90</v>
      </c>
      <c r="C4729" s="6" t="s">
        <v>374</v>
      </c>
      <c r="D4729" s="6">
        <v>0.0575</v>
      </c>
      <c r="E4729" s="6" t="s">
        <v>90</v>
      </c>
      <c r="F4729" s="6" t="s">
        <v>55</v>
      </c>
      <c r="G4729" s="7">
        <v>64140.6251115471</v>
      </c>
      <c r="H4729" s="6">
        <v>3688.085943913958</v>
      </c>
      <c r="I4729" s="6" t="s">
        <v>180</v>
      </c>
      <c r="J4729" s="15">
        <v>13.79172692930257</v>
      </c>
    </row>
    <row r="4730" spans="1:10">
      <c r="A4730" s="6" t="s">
        <v>144</v>
      </c>
      <c r="B4730" s="6" t="s">
        <v>90</v>
      </c>
      <c r="C4730" s="6" t="s">
        <v>327</v>
      </c>
      <c r="D4730" s="6">
        <v>21.34533333333334</v>
      </c>
      <c r="E4730" s="6" t="s">
        <v>90</v>
      </c>
      <c r="F4730" s="6" t="s">
        <v>57</v>
      </c>
      <c r="G4730" s="7">
        <v>43941.25100916271</v>
      </c>
      <c r="H4730" s="6">
        <v>937940.649874248</v>
      </c>
      <c r="I4730" s="6" t="s">
        <v>180</v>
      </c>
      <c r="J4730" s="15">
        <v>7.319380005814523</v>
      </c>
    </row>
    <row r="4731" spans="1:10">
      <c r="A4731" s="6" t="s">
        <v>144</v>
      </c>
      <c r="B4731" s="6" t="s">
        <v>90</v>
      </c>
      <c r="C4731" s="6" t="s">
        <v>328</v>
      </c>
      <c r="D4731" s="6">
        <v>0.3508333333333333</v>
      </c>
      <c r="E4731" s="6" t="s">
        <v>90</v>
      </c>
      <c r="F4731" s="6" t="s">
        <v>58</v>
      </c>
      <c r="G4731" s="7">
        <v>61261.16637247237</v>
      </c>
      <c r="H4731" s="6">
        <v>21492.45920234239</v>
      </c>
      <c r="I4731" s="6" t="s">
        <v>180</v>
      </c>
      <c r="J4731" s="15">
        <v>12.86908171184699</v>
      </c>
    </row>
    <row r="4732" spans="1:10">
      <c r="A4732" s="6" t="s">
        <v>144</v>
      </c>
      <c r="B4732" s="6" t="s">
        <v>90</v>
      </c>
      <c r="C4732" s="6" t="s">
        <v>329</v>
      </c>
      <c r="D4732" s="6">
        <v>76.01233333333334</v>
      </c>
      <c r="E4732" s="6" t="s">
        <v>90</v>
      </c>
      <c r="F4732" s="6" t="s">
        <v>58</v>
      </c>
      <c r="G4732" s="7">
        <v>59375.40509749136</v>
      </c>
      <c r="H4732" s="6">
        <v>4513263.084072214</v>
      </c>
      <c r="I4732" s="6" t="s">
        <v>180</v>
      </c>
      <c r="J4732" s="15">
        <v>12.2648401583864</v>
      </c>
    </row>
    <row r="4733" spans="1:10">
      <c r="A4733" s="6" t="s">
        <v>144</v>
      </c>
      <c r="B4733" s="6" t="s">
        <v>90</v>
      </c>
      <c r="C4733" s="6" t="s">
        <v>330</v>
      </c>
      <c r="D4733" s="6">
        <v>1.315083333333333</v>
      </c>
      <c r="E4733" s="6" t="s">
        <v>90</v>
      </c>
      <c r="F4733" s="6" t="s">
        <v>52</v>
      </c>
      <c r="G4733" s="7">
        <v>59918.03179942394</v>
      </c>
      <c r="H4733" s="6">
        <v>78797.20498555909</v>
      </c>
      <c r="I4733" s="6" t="s">
        <v>180</v>
      </c>
      <c r="J4733" s="15">
        <v>47.43333333333333</v>
      </c>
    </row>
    <row r="4734" spans="1:10">
      <c r="A4734" s="6" t="s">
        <v>144</v>
      </c>
      <c r="B4734" s="6" t="s">
        <v>90</v>
      </c>
      <c r="C4734" s="6" t="s">
        <v>365</v>
      </c>
      <c r="D4734" s="6">
        <v>0.872</v>
      </c>
      <c r="E4734" s="6" t="s">
        <v>90</v>
      </c>
      <c r="F4734" s="6" t="s">
        <v>53</v>
      </c>
      <c r="G4734" s="7">
        <v>52809.46858302614</v>
      </c>
      <c r="H4734" s="6">
        <v>46049.85660439879</v>
      </c>
      <c r="I4734" s="6" t="s">
        <v>179</v>
      </c>
      <c r="J4734" s="15">
        <v>21.15</v>
      </c>
    </row>
    <row r="4735" spans="1:10">
      <c r="A4735" s="6" t="s">
        <v>144</v>
      </c>
      <c r="B4735" s="6" t="s">
        <v>90</v>
      </c>
      <c r="C4735" s="6" t="s">
        <v>331</v>
      </c>
      <c r="D4735" s="6">
        <v>22.69158333333333</v>
      </c>
      <c r="E4735" s="6" t="s">
        <v>90</v>
      </c>
      <c r="F4735" s="6" t="s">
        <v>58</v>
      </c>
      <c r="G4735" s="7">
        <v>62490.71047845359</v>
      </c>
      <c r="H4735" s="6">
        <v>1418013.164381036</v>
      </c>
      <c r="I4735" s="6" t="s">
        <v>180</v>
      </c>
      <c r="J4735" s="15">
        <v>13.26305609794943</v>
      </c>
    </row>
    <row r="4736" spans="1:10">
      <c r="A4736" s="6" t="s">
        <v>144</v>
      </c>
      <c r="B4736" s="6" t="s">
        <v>90</v>
      </c>
      <c r="C4736" s="6" t="s">
        <v>332</v>
      </c>
      <c r="D4736" s="6">
        <v>89.12649999999999</v>
      </c>
      <c r="E4736" s="6" t="s">
        <v>90</v>
      </c>
      <c r="F4736" s="6" t="s">
        <v>55</v>
      </c>
      <c r="G4736" s="7">
        <v>51480.939560739</v>
      </c>
      <c r="H4736" s="6">
        <v>4588315.959760204</v>
      </c>
      <c r="I4736" s="6" t="s">
        <v>179</v>
      </c>
      <c r="J4736" s="15">
        <v>30.66666666666666</v>
      </c>
    </row>
    <row r="4737" spans="1:10">
      <c r="A4737" s="6" t="s">
        <v>144</v>
      </c>
      <c r="B4737" s="6" t="s">
        <v>90</v>
      </c>
      <c r="C4737" s="6" t="s">
        <v>375</v>
      </c>
      <c r="D4737" s="6">
        <v>0.39725</v>
      </c>
      <c r="E4737" s="6" t="s">
        <v>90</v>
      </c>
      <c r="F4737" s="6" t="s">
        <v>55</v>
      </c>
      <c r="G4737" s="7">
        <v>51398.76773903722</v>
      </c>
      <c r="H4737" s="6">
        <v>20418.16048433253</v>
      </c>
      <c r="I4737" s="6" t="s">
        <v>180</v>
      </c>
      <c r="J4737" s="15">
        <v>9.708940950565097</v>
      </c>
    </row>
    <row r="4738" spans="1:10">
      <c r="A4738" s="6" t="s">
        <v>144</v>
      </c>
      <c r="B4738" s="6" t="s">
        <v>90</v>
      </c>
      <c r="C4738" s="6" t="s">
        <v>333</v>
      </c>
      <c r="D4738" s="6">
        <v>18.96441666666667</v>
      </c>
      <c r="E4738" s="6" t="s">
        <v>90</v>
      </c>
      <c r="F4738" s="6" t="s">
        <v>51</v>
      </c>
      <c r="G4738" s="7">
        <v>50361.75765821278</v>
      </c>
      <c r="H4738" s="6">
        <v>955081.3562960381</v>
      </c>
      <c r="I4738" s="6" t="s">
        <v>180</v>
      </c>
      <c r="J4738" s="15">
        <v>9.376658921813627</v>
      </c>
    </row>
    <row r="4739" spans="1:10">
      <c r="A4739" s="6" t="s">
        <v>144</v>
      </c>
      <c r="B4739" s="6" t="s">
        <v>92</v>
      </c>
      <c r="C4739" s="6" t="s">
        <v>195</v>
      </c>
      <c r="D4739" s="6">
        <v>0.042</v>
      </c>
      <c r="E4739" s="6" t="s">
        <v>92</v>
      </c>
      <c r="F4739" s="6" t="s">
        <v>54</v>
      </c>
      <c r="G4739" s="7">
        <v>74005.80825338791</v>
      </c>
      <c r="H4739" s="6">
        <v>3108.243946642292</v>
      </c>
      <c r="I4739" s="6" t="s">
        <v>180</v>
      </c>
      <c r="J4739" s="15">
        <v>20.94906742477332</v>
      </c>
    </row>
    <row r="4740" spans="1:10">
      <c r="A4740" s="6" t="s">
        <v>144</v>
      </c>
      <c r="B4740" s="6" t="s">
        <v>92</v>
      </c>
      <c r="C4740" s="6" t="s">
        <v>197</v>
      </c>
      <c r="D4740" s="6">
        <v>0.213</v>
      </c>
      <c r="E4740" s="6" t="s">
        <v>92</v>
      </c>
      <c r="F4740" s="6" t="s">
        <v>53</v>
      </c>
      <c r="G4740" s="7">
        <v>63461.32463788219</v>
      </c>
      <c r="H4740" s="6">
        <v>13517.26214786891</v>
      </c>
      <c r="I4740" s="6" t="s">
        <v>180</v>
      </c>
      <c r="J4740" s="15">
        <v>17.00096960870551</v>
      </c>
    </row>
    <row r="4741" spans="1:10">
      <c r="A4741" s="6" t="s">
        <v>144</v>
      </c>
      <c r="B4741" s="6" t="s">
        <v>92</v>
      </c>
      <c r="C4741" s="6" t="s">
        <v>199</v>
      </c>
      <c r="D4741" s="6">
        <v>0.1983333333333333</v>
      </c>
      <c r="E4741" s="6" t="s">
        <v>92</v>
      </c>
      <c r="F4741" s="6" t="s">
        <v>57</v>
      </c>
      <c r="G4741" s="7">
        <v>45943.9020712533</v>
      </c>
      <c r="H4741" s="6">
        <v>9112.207244131905</v>
      </c>
      <c r="I4741" s="6" t="s">
        <v>179</v>
      </c>
      <c r="J4741" s="15">
        <v>30.95</v>
      </c>
    </row>
    <row r="4742" spans="1:10">
      <c r="A4742" s="6" t="s">
        <v>144</v>
      </c>
      <c r="B4742" s="6" t="s">
        <v>92</v>
      </c>
      <c r="C4742" s="6" t="s">
        <v>200</v>
      </c>
      <c r="D4742" s="6">
        <v>0.426</v>
      </c>
      <c r="E4742" s="6" t="s">
        <v>92</v>
      </c>
      <c r="F4742" s="6" t="s">
        <v>52</v>
      </c>
      <c r="G4742" s="7">
        <v>77318.80490856594</v>
      </c>
      <c r="H4742" s="6">
        <v>32937.81089104909</v>
      </c>
      <c r="I4742" s="6" t="s">
        <v>180</v>
      </c>
      <c r="J4742" s="15">
        <v>22.18952976848772</v>
      </c>
    </row>
    <row r="4743" spans="1:10">
      <c r="A4743" s="6" t="s">
        <v>144</v>
      </c>
      <c r="B4743" s="6" t="s">
        <v>92</v>
      </c>
      <c r="C4743" s="6" t="s">
        <v>201</v>
      </c>
      <c r="D4743" s="6">
        <v>0.01</v>
      </c>
      <c r="E4743" s="6" t="s">
        <v>92</v>
      </c>
      <c r="F4743" s="6" t="s">
        <v>56</v>
      </c>
      <c r="G4743" s="7">
        <v>64076.14664886126</v>
      </c>
      <c r="H4743" s="6">
        <v>640.7614664886125</v>
      </c>
      <c r="I4743" s="6" t="s">
        <v>180</v>
      </c>
      <c r="J4743" s="15">
        <v>17.23117314709855</v>
      </c>
    </row>
    <row r="4744" spans="1:10">
      <c r="A4744" s="6" t="s">
        <v>144</v>
      </c>
      <c r="B4744" s="6" t="s">
        <v>88</v>
      </c>
      <c r="C4744" s="6" t="s">
        <v>202</v>
      </c>
      <c r="D4744" s="6">
        <v>1.297083333333333</v>
      </c>
      <c r="E4744" s="6" t="s">
        <v>92</v>
      </c>
      <c r="F4744" s="6" t="s">
        <v>54</v>
      </c>
      <c r="G4744" s="7">
        <v>52343.66061009689</v>
      </c>
      <c r="H4744" s="6">
        <v>67894.08978301319</v>
      </c>
      <c r="I4744" s="6" t="s">
        <v>180</v>
      </c>
      <c r="J4744" s="15">
        <v>28.47960950085214</v>
      </c>
    </row>
    <row r="4745" spans="1:10">
      <c r="A4745" s="6" t="s">
        <v>144</v>
      </c>
      <c r="B4745" s="6" t="s">
        <v>92</v>
      </c>
      <c r="C4745" s="6" t="s">
        <v>203</v>
      </c>
      <c r="D4745" s="6">
        <v>0.04533333333333334</v>
      </c>
      <c r="E4745" s="6" t="s">
        <v>92</v>
      </c>
      <c r="F4745" s="6" t="s">
        <v>53</v>
      </c>
      <c r="G4745" s="7">
        <v>53637.98510318315</v>
      </c>
      <c r="H4745" s="6">
        <v>2431.58865801097</v>
      </c>
      <c r="I4745" s="6" t="s">
        <v>179</v>
      </c>
      <c r="J4745" s="15">
        <v>51.68333333333333</v>
      </c>
    </row>
    <row r="4746" spans="1:10">
      <c r="A4746" s="6" t="s">
        <v>144</v>
      </c>
      <c r="B4746" s="6" t="s">
        <v>92</v>
      </c>
      <c r="C4746" s="6" t="s">
        <v>204</v>
      </c>
      <c r="D4746" s="6">
        <v>5.982416666666666</v>
      </c>
      <c r="E4746" s="6" t="s">
        <v>92</v>
      </c>
      <c r="F4746" s="6" t="s">
        <v>51</v>
      </c>
      <c r="G4746" s="7">
        <v>45931.03732154475</v>
      </c>
      <c r="H4746" s="6">
        <v>274778.603189698</v>
      </c>
      <c r="I4746" s="6" t="s">
        <v>179</v>
      </c>
      <c r="J4746" s="15">
        <v>41.54166666666667</v>
      </c>
    </row>
    <row r="4747" spans="1:10">
      <c r="A4747" s="6" t="s">
        <v>144</v>
      </c>
      <c r="B4747" s="6" t="s">
        <v>92</v>
      </c>
      <c r="C4747" s="6" t="s">
        <v>338</v>
      </c>
      <c r="D4747" s="6">
        <v>0.112</v>
      </c>
      <c r="E4747" s="6" t="s">
        <v>92</v>
      </c>
      <c r="F4747" s="6" t="s">
        <v>52</v>
      </c>
      <c r="G4747" s="7">
        <v>77318.80490856594</v>
      </c>
      <c r="H4747" s="6">
        <v>8659.706149759386</v>
      </c>
      <c r="I4747" s="6" t="s">
        <v>180</v>
      </c>
      <c r="J4747" s="15">
        <v>22.18952976848772</v>
      </c>
    </row>
    <row r="4748" spans="1:10">
      <c r="A4748" s="6" t="s">
        <v>144</v>
      </c>
      <c r="B4748" s="6" t="s">
        <v>92</v>
      </c>
      <c r="C4748" s="6" t="s">
        <v>205</v>
      </c>
      <c r="D4748" s="6">
        <v>1.111333333333333</v>
      </c>
      <c r="E4748" s="6" t="s">
        <v>92</v>
      </c>
      <c r="F4748" s="6" t="s">
        <v>56</v>
      </c>
      <c r="G4748" s="7">
        <v>74010.38875195781</v>
      </c>
      <c r="H4748" s="6">
        <v>82250.21203300911</v>
      </c>
      <c r="I4748" s="6" t="s">
        <v>179</v>
      </c>
      <c r="J4748" s="15">
        <v>55</v>
      </c>
    </row>
    <row r="4749" spans="1:10">
      <c r="A4749" s="6" t="s">
        <v>144</v>
      </c>
      <c r="B4749" s="6" t="s">
        <v>92</v>
      </c>
      <c r="C4749" s="6" t="s">
        <v>211</v>
      </c>
      <c r="D4749" s="6">
        <v>10.25733333333333</v>
      </c>
      <c r="E4749" s="6" t="s">
        <v>92</v>
      </c>
      <c r="F4749" s="6" t="s">
        <v>55</v>
      </c>
      <c r="G4749" s="7">
        <v>25336.04217074411</v>
      </c>
      <c r="H4749" s="6">
        <v>259880.2298927126</v>
      </c>
      <c r="I4749" s="6" t="s">
        <v>179</v>
      </c>
      <c r="J4749" s="15">
        <v>16</v>
      </c>
    </row>
    <row r="4750" spans="1:10">
      <c r="A4750" s="6" t="s">
        <v>144</v>
      </c>
      <c r="B4750" s="6" t="s">
        <v>92</v>
      </c>
      <c r="C4750" s="6" t="s">
        <v>215</v>
      </c>
      <c r="D4750" s="6">
        <v>0.3561666666666667</v>
      </c>
      <c r="E4750" s="6" t="s">
        <v>92</v>
      </c>
      <c r="F4750" s="6" t="s">
        <v>54</v>
      </c>
      <c r="G4750" s="7">
        <v>85640.90773693185</v>
      </c>
      <c r="H4750" s="6">
        <v>30502.43663897056</v>
      </c>
      <c r="I4750" s="6" t="s">
        <v>180</v>
      </c>
      <c r="J4750" s="15">
        <v>25.30551697088117</v>
      </c>
    </row>
    <row r="4751" spans="1:10">
      <c r="A4751" s="6" t="s">
        <v>144</v>
      </c>
      <c r="B4751" s="6" t="s">
        <v>92</v>
      </c>
      <c r="C4751" s="6" t="s">
        <v>217</v>
      </c>
      <c r="D4751" s="6">
        <v>0.09458333333333334</v>
      </c>
      <c r="E4751" s="6" t="s">
        <v>92</v>
      </c>
      <c r="F4751" s="6" t="s">
        <v>53</v>
      </c>
      <c r="G4751" s="7">
        <v>65939.82541874713</v>
      </c>
      <c r="H4751" s="6">
        <v>6236.808487523166</v>
      </c>
      <c r="I4751" s="6" t="s">
        <v>180</v>
      </c>
      <c r="J4751" s="15">
        <v>17.92897745402719</v>
      </c>
    </row>
    <row r="4752" spans="1:10">
      <c r="A4752" s="6" t="s">
        <v>144</v>
      </c>
      <c r="B4752" s="6" t="s">
        <v>92</v>
      </c>
      <c r="C4752" s="6" t="s">
        <v>221</v>
      </c>
      <c r="D4752" s="6">
        <v>0.03316666666666667</v>
      </c>
      <c r="E4752" s="6" t="s">
        <v>92</v>
      </c>
      <c r="F4752" s="6" t="s">
        <v>51</v>
      </c>
      <c r="G4752" s="7">
        <v>44450.04061738423</v>
      </c>
      <c r="H4752" s="6">
        <v>1474.259680476577</v>
      </c>
      <c r="I4752" s="6" t="s">
        <v>179</v>
      </c>
      <c r="J4752" s="15">
        <v>39.525</v>
      </c>
    </row>
    <row r="4753" spans="1:10">
      <c r="A4753" s="6" t="s">
        <v>144</v>
      </c>
      <c r="B4753" s="6" t="s">
        <v>92</v>
      </c>
      <c r="C4753" s="6" t="s">
        <v>342</v>
      </c>
      <c r="D4753" s="6">
        <v>0.2923333333333333</v>
      </c>
      <c r="E4753" s="6" t="s">
        <v>92</v>
      </c>
      <c r="F4753" s="6" t="s">
        <v>53</v>
      </c>
      <c r="G4753" s="7">
        <v>46480.71512957623</v>
      </c>
      <c r="H4753" s="6">
        <v>13587.86238954612</v>
      </c>
      <c r="I4753" s="6" t="s">
        <v>180</v>
      </c>
      <c r="J4753" s="15">
        <v>10.64303784458775</v>
      </c>
    </row>
    <row r="4754" spans="1:10">
      <c r="A4754" s="6" t="s">
        <v>144</v>
      </c>
      <c r="B4754" s="6" t="s">
        <v>92</v>
      </c>
      <c r="C4754" s="6" t="s">
        <v>223</v>
      </c>
      <c r="D4754" s="6">
        <v>1.0745</v>
      </c>
      <c r="E4754" s="6" t="s">
        <v>92</v>
      </c>
      <c r="F4754" s="6" t="s">
        <v>53</v>
      </c>
      <c r="G4754" s="7">
        <v>48232.87547336299</v>
      </c>
      <c r="H4754" s="6">
        <v>51826.22469612853</v>
      </c>
      <c r="I4754" s="6" t="s">
        <v>179</v>
      </c>
      <c r="J4754" s="15">
        <v>53.5</v>
      </c>
    </row>
    <row r="4755" spans="1:10">
      <c r="A4755" s="6" t="s">
        <v>144</v>
      </c>
      <c r="B4755" s="6" t="s">
        <v>92</v>
      </c>
      <c r="C4755" s="6" t="s">
        <v>224</v>
      </c>
      <c r="D4755" s="6">
        <v>2.665</v>
      </c>
      <c r="E4755" s="6" t="s">
        <v>92</v>
      </c>
      <c r="F4755" s="6" t="s">
        <v>51</v>
      </c>
      <c r="G4755" s="7">
        <v>46793.10139429578</v>
      </c>
      <c r="H4755" s="6">
        <v>124703.6152157983</v>
      </c>
      <c r="I4755" s="6" t="s">
        <v>179</v>
      </c>
      <c r="J4755" s="15">
        <v>41.85</v>
      </c>
    </row>
    <row r="4756" spans="1:10">
      <c r="A4756" s="6" t="s">
        <v>144</v>
      </c>
      <c r="B4756" s="6" t="s">
        <v>88</v>
      </c>
      <c r="C4756" s="6" t="s">
        <v>226</v>
      </c>
      <c r="D4756" s="6">
        <v>1.0315</v>
      </c>
      <c r="E4756" s="6" t="s">
        <v>92</v>
      </c>
      <c r="F4756" s="6" t="s">
        <v>56</v>
      </c>
      <c r="G4756" s="7">
        <v>43574.43033788576</v>
      </c>
      <c r="H4756" s="6">
        <v>44947.02489352916</v>
      </c>
      <c r="I4756" s="6" t="s">
        <v>180</v>
      </c>
      <c r="J4756" s="15">
        <v>22.57578323357593</v>
      </c>
    </row>
    <row r="4757" spans="1:10">
      <c r="A4757" s="6" t="s">
        <v>144</v>
      </c>
      <c r="B4757" s="6" t="s">
        <v>92</v>
      </c>
      <c r="C4757" s="6" t="s">
        <v>227</v>
      </c>
      <c r="D4757" s="6">
        <v>0.5519999999999999</v>
      </c>
      <c r="E4757" s="6" t="s">
        <v>92</v>
      </c>
      <c r="F4757" s="6" t="s">
        <v>57</v>
      </c>
      <c r="G4757" s="7">
        <v>53193.31448576911</v>
      </c>
      <c r="H4757" s="6">
        <v>29362.70959614455</v>
      </c>
      <c r="I4757" s="6" t="s">
        <v>179</v>
      </c>
      <c r="J4757" s="15">
        <v>43</v>
      </c>
    </row>
    <row r="4758" spans="1:10">
      <c r="A4758" s="6" t="s">
        <v>144</v>
      </c>
      <c r="B4758" s="6" t="s">
        <v>92</v>
      </c>
      <c r="C4758" s="6" t="s">
        <v>229</v>
      </c>
      <c r="D4758" s="6">
        <v>0.08266666666666667</v>
      </c>
      <c r="E4758" s="6" t="s">
        <v>92</v>
      </c>
      <c r="F4758" s="6" t="s">
        <v>53</v>
      </c>
      <c r="G4758" s="7">
        <v>50225.07411158284</v>
      </c>
      <c r="H4758" s="6">
        <v>4151.939459890848</v>
      </c>
      <c r="I4758" s="6" t="s">
        <v>180</v>
      </c>
      <c r="J4758" s="15">
        <v>12.04501219046236</v>
      </c>
    </row>
    <row r="4759" spans="1:10">
      <c r="A4759" s="6" t="s">
        <v>144</v>
      </c>
      <c r="B4759" s="6" t="s">
        <v>92</v>
      </c>
      <c r="C4759" s="6" t="s">
        <v>230</v>
      </c>
      <c r="D4759" s="6">
        <v>0.003</v>
      </c>
      <c r="E4759" s="6" t="s">
        <v>92</v>
      </c>
      <c r="F4759" s="6" t="s">
        <v>53</v>
      </c>
      <c r="G4759" s="7">
        <v>50127.30283720783</v>
      </c>
      <c r="H4759" s="6">
        <v>150.3819085116235</v>
      </c>
      <c r="I4759" s="6" t="s">
        <v>180</v>
      </c>
      <c r="J4759" s="15">
        <v>42.83333333333334</v>
      </c>
    </row>
    <row r="4760" spans="1:10">
      <c r="A4760" s="6" t="s">
        <v>144</v>
      </c>
      <c r="B4760" s="6" t="s">
        <v>92</v>
      </c>
      <c r="C4760" s="6" t="s">
        <v>236</v>
      </c>
      <c r="D4760" s="6">
        <v>2.0955</v>
      </c>
      <c r="E4760" s="6" t="s">
        <v>92</v>
      </c>
      <c r="F4760" s="6" t="s">
        <v>51</v>
      </c>
      <c r="G4760" s="7">
        <v>44660.20742498994</v>
      </c>
      <c r="H4760" s="6">
        <v>93585.46465906641</v>
      </c>
      <c r="I4760" s="6" t="s">
        <v>179</v>
      </c>
      <c r="J4760" s="15">
        <v>46.28333333333333</v>
      </c>
    </row>
    <row r="4761" spans="1:10">
      <c r="A4761" s="6" t="s">
        <v>144</v>
      </c>
      <c r="B4761" s="6" t="s">
        <v>92</v>
      </c>
      <c r="C4761" s="6" t="s">
        <v>237</v>
      </c>
      <c r="D4761" s="6">
        <v>0.06</v>
      </c>
      <c r="E4761" s="6" t="s">
        <v>92</v>
      </c>
      <c r="F4761" s="6" t="s">
        <v>51</v>
      </c>
      <c r="G4761" s="7">
        <v>45814.12048649801</v>
      </c>
      <c r="H4761" s="6">
        <v>2748.847229189881</v>
      </c>
      <c r="I4761" s="6" t="s">
        <v>180</v>
      </c>
      <c r="J4761" s="15">
        <v>10.39344943888626</v>
      </c>
    </row>
    <row r="4762" spans="1:10">
      <c r="A4762" s="6" t="s">
        <v>144</v>
      </c>
      <c r="B4762" s="6" t="s">
        <v>92</v>
      </c>
      <c r="C4762" s="6" t="s">
        <v>245</v>
      </c>
      <c r="D4762" s="6">
        <v>0.1956666666666667</v>
      </c>
      <c r="E4762" s="6" t="s">
        <v>92</v>
      </c>
      <c r="F4762" s="6" t="s">
        <v>53</v>
      </c>
      <c r="G4762" s="7">
        <v>55652.01866398296</v>
      </c>
      <c r="H4762" s="6">
        <v>10889.24498525267</v>
      </c>
      <c r="I4762" s="6" t="s">
        <v>179</v>
      </c>
      <c r="J4762" s="15">
        <v>39</v>
      </c>
    </row>
    <row r="4763" spans="1:10">
      <c r="A4763" s="6" t="s">
        <v>144</v>
      </c>
      <c r="B4763" s="6" t="s">
        <v>92</v>
      </c>
      <c r="C4763" s="6" t="s">
        <v>247</v>
      </c>
      <c r="D4763" s="6">
        <v>0.1738333333333334</v>
      </c>
      <c r="E4763" s="6" t="s">
        <v>92</v>
      </c>
      <c r="F4763" s="6" t="s">
        <v>51</v>
      </c>
      <c r="G4763" s="7">
        <v>46237.23227272295</v>
      </c>
      <c r="H4763" s="6">
        <v>8037.572210075007</v>
      </c>
      <c r="I4763" s="6" t="s">
        <v>179</v>
      </c>
      <c r="J4763" s="15">
        <v>29.3</v>
      </c>
    </row>
    <row r="4764" spans="1:10">
      <c r="A4764" s="6" t="s">
        <v>144</v>
      </c>
      <c r="B4764" s="6" t="s">
        <v>92</v>
      </c>
      <c r="C4764" s="6" t="s">
        <v>249</v>
      </c>
      <c r="D4764" s="6">
        <v>1.7325</v>
      </c>
      <c r="E4764" s="6" t="s">
        <v>92</v>
      </c>
      <c r="F4764" s="6" t="s">
        <v>53</v>
      </c>
      <c r="G4764" s="7">
        <v>38542.7817237839</v>
      </c>
      <c r="H4764" s="6">
        <v>66775.36933645559</v>
      </c>
      <c r="I4764" s="6" t="s">
        <v>179</v>
      </c>
      <c r="J4764" s="15">
        <v>47.575</v>
      </c>
    </row>
    <row r="4765" spans="1:10">
      <c r="A4765" s="6" t="s">
        <v>144</v>
      </c>
      <c r="B4765" s="6" t="s">
        <v>92</v>
      </c>
      <c r="C4765" s="6" t="s">
        <v>253</v>
      </c>
      <c r="D4765" s="6">
        <v>0.04266666666666667</v>
      </c>
      <c r="E4765" s="6" t="s">
        <v>92</v>
      </c>
      <c r="F4765" s="6" t="s">
        <v>53</v>
      </c>
      <c r="G4765" s="7">
        <v>49900.32874056988</v>
      </c>
      <c r="H4765" s="6">
        <v>2129.080692930982</v>
      </c>
      <c r="I4765" s="6" t="s">
        <v>180</v>
      </c>
      <c r="J4765" s="15">
        <v>11.92342003509223</v>
      </c>
    </row>
    <row r="4766" spans="1:10">
      <c r="A4766" s="6" t="s">
        <v>144</v>
      </c>
      <c r="B4766" s="6" t="s">
        <v>92</v>
      </c>
      <c r="C4766" s="6" t="s">
        <v>260</v>
      </c>
      <c r="D4766" s="6">
        <v>7.769833333333334</v>
      </c>
      <c r="E4766" s="6" t="s">
        <v>92</v>
      </c>
      <c r="F4766" s="6" t="s">
        <v>52</v>
      </c>
      <c r="G4766" s="7">
        <v>77318.80490856594</v>
      </c>
      <c r="H4766" s="6">
        <v>600754.2276720726</v>
      </c>
      <c r="I4766" s="6" t="s">
        <v>180</v>
      </c>
      <c r="J4766" s="15">
        <v>22.18952976848772</v>
      </c>
    </row>
    <row r="4767" spans="1:10">
      <c r="A4767" s="6" t="s">
        <v>144</v>
      </c>
      <c r="B4767" s="6" t="s">
        <v>92</v>
      </c>
      <c r="C4767" s="6" t="s">
        <v>266</v>
      </c>
      <c r="D4767" s="6">
        <v>0.2189166666666666</v>
      </c>
      <c r="E4767" s="6" t="s">
        <v>92</v>
      </c>
      <c r="F4767" s="6" t="s">
        <v>57</v>
      </c>
      <c r="G4767" s="7">
        <v>66010.94055680964</v>
      </c>
      <c r="H4767" s="6">
        <v>14450.89507022824</v>
      </c>
      <c r="I4767" s="6" t="s">
        <v>179</v>
      </c>
      <c r="J4767" s="15">
        <v>90.49166666666667</v>
      </c>
    </row>
    <row r="4768" spans="1:10">
      <c r="A4768" s="6" t="s">
        <v>144</v>
      </c>
      <c r="B4768" s="6" t="s">
        <v>92</v>
      </c>
      <c r="C4768" s="6" t="s">
        <v>267</v>
      </c>
      <c r="D4768" s="6">
        <v>0.2386666666666667</v>
      </c>
      <c r="E4768" s="6" t="s">
        <v>92</v>
      </c>
      <c r="F4768" s="6" t="s">
        <v>53</v>
      </c>
      <c r="G4768" s="7">
        <v>48956.37381074637</v>
      </c>
      <c r="H4768" s="6">
        <v>11684.25454949814</v>
      </c>
      <c r="I4768" s="6" t="s">
        <v>179</v>
      </c>
      <c r="J4768" s="15">
        <v>31.05</v>
      </c>
    </row>
    <row r="4769" spans="1:10">
      <c r="A4769" s="6" t="s">
        <v>144</v>
      </c>
      <c r="B4769" s="6" t="s">
        <v>88</v>
      </c>
      <c r="C4769" s="6" t="s">
        <v>271</v>
      </c>
      <c r="D4769" s="6">
        <v>0.3376666666666666</v>
      </c>
      <c r="E4769" s="6" t="s">
        <v>92</v>
      </c>
      <c r="F4769" s="6" t="s">
        <v>54</v>
      </c>
      <c r="G4769" s="7">
        <v>41071.74894263604</v>
      </c>
      <c r="H4769" s="6">
        <v>13868.5605596301</v>
      </c>
      <c r="I4769" s="6" t="s">
        <v>180</v>
      </c>
      <c r="J4769" s="15">
        <v>20.89086954089749</v>
      </c>
    </row>
    <row r="4770" spans="1:10">
      <c r="A4770" s="6" t="s">
        <v>144</v>
      </c>
      <c r="B4770" s="6" t="s">
        <v>92</v>
      </c>
      <c r="C4770" s="6" t="s">
        <v>273</v>
      </c>
      <c r="D4770" s="6">
        <v>1.252333333333333</v>
      </c>
      <c r="E4770" s="6" t="s">
        <v>92</v>
      </c>
      <c r="F4770" s="6" t="s">
        <v>51</v>
      </c>
      <c r="G4770" s="7">
        <v>39415.32644745876</v>
      </c>
      <c r="H4770" s="6">
        <v>49361.12715436752</v>
      </c>
      <c r="I4770" s="6" t="s">
        <v>179</v>
      </c>
      <c r="J4770" s="15">
        <v>27</v>
      </c>
    </row>
    <row r="4771" spans="1:10">
      <c r="A4771" s="6" t="s">
        <v>144</v>
      </c>
      <c r="B4771" s="6" t="s">
        <v>92</v>
      </c>
      <c r="C4771" s="6" t="s">
        <v>280</v>
      </c>
      <c r="D4771" s="6">
        <v>0.7324999999999999</v>
      </c>
      <c r="E4771" s="6" t="s">
        <v>92</v>
      </c>
      <c r="F4771" s="6" t="s">
        <v>55</v>
      </c>
      <c r="G4771" s="7">
        <v>58368.69681371454</v>
      </c>
      <c r="H4771" s="6">
        <v>42755.0704160459</v>
      </c>
      <c r="I4771" s="6" t="s">
        <v>179</v>
      </c>
      <c r="J4771" s="15">
        <v>52.875</v>
      </c>
    </row>
    <row r="4772" spans="1:10">
      <c r="A4772" s="6" t="s">
        <v>144</v>
      </c>
      <c r="B4772" s="6" t="s">
        <v>92</v>
      </c>
      <c r="C4772" s="6" t="s">
        <v>281</v>
      </c>
      <c r="D4772" s="6">
        <v>0.1154166666666667</v>
      </c>
      <c r="E4772" s="6" t="s">
        <v>92</v>
      </c>
      <c r="F4772" s="6" t="s">
        <v>57</v>
      </c>
      <c r="G4772" s="7">
        <v>47725.16793448776</v>
      </c>
      <c r="H4772" s="6">
        <v>5508.279799105463</v>
      </c>
      <c r="I4772" s="6" t="s">
        <v>179</v>
      </c>
      <c r="J4772" s="15">
        <v>36</v>
      </c>
    </row>
    <row r="4773" spans="1:10">
      <c r="A4773" s="6" t="s">
        <v>144</v>
      </c>
      <c r="B4773" s="6" t="s">
        <v>92</v>
      </c>
      <c r="C4773" s="6" t="s">
        <v>284</v>
      </c>
      <c r="D4773" s="6">
        <v>1.217416666666667</v>
      </c>
      <c r="E4773" s="6" t="s">
        <v>92</v>
      </c>
      <c r="F4773" s="6" t="s">
        <v>55</v>
      </c>
      <c r="G4773" s="7">
        <v>36138.38846146646</v>
      </c>
      <c r="H4773" s="6">
        <v>43995.47641946364</v>
      </c>
      <c r="I4773" s="6" t="s">
        <v>179</v>
      </c>
      <c r="J4773" s="15">
        <v>40.2</v>
      </c>
    </row>
    <row r="4774" spans="1:10">
      <c r="A4774" s="6" t="s">
        <v>144</v>
      </c>
      <c r="B4774" s="6" t="s">
        <v>92</v>
      </c>
      <c r="C4774" s="6" t="s">
        <v>289</v>
      </c>
      <c r="D4774" s="6">
        <v>19.85166666666667</v>
      </c>
      <c r="E4774" s="6" t="s">
        <v>92</v>
      </c>
      <c r="F4774" s="6" t="s">
        <v>52</v>
      </c>
      <c r="G4774" s="7">
        <v>77318.80490856594</v>
      </c>
      <c r="H4774" s="6">
        <v>1534907.142109882</v>
      </c>
      <c r="I4774" s="6" t="s">
        <v>180</v>
      </c>
      <c r="J4774" s="15">
        <v>22.18952976848772</v>
      </c>
    </row>
    <row r="4775" spans="1:10">
      <c r="A4775" s="6" t="s">
        <v>144</v>
      </c>
      <c r="B4775" s="6" t="s">
        <v>92</v>
      </c>
      <c r="C4775" s="6" t="s">
        <v>293</v>
      </c>
      <c r="D4775" s="6">
        <v>0.01916666666666667</v>
      </c>
      <c r="E4775" s="6" t="s">
        <v>92</v>
      </c>
      <c r="F4775" s="6" t="s">
        <v>53</v>
      </c>
      <c r="G4775" s="7">
        <v>67567.57931334202</v>
      </c>
      <c r="H4775" s="6">
        <v>1295.045270172389</v>
      </c>
      <c r="I4775" s="6" t="s">
        <v>179</v>
      </c>
      <c r="J4775" s="15">
        <v>26.71666666666667</v>
      </c>
    </row>
    <row r="4776" spans="1:10">
      <c r="A4776" s="6" t="s">
        <v>144</v>
      </c>
      <c r="B4776" s="6" t="s">
        <v>92</v>
      </c>
      <c r="C4776" s="6" t="s">
        <v>295</v>
      </c>
      <c r="D4776" s="6">
        <v>0.2248333333333333</v>
      </c>
      <c r="E4776" s="6" t="s">
        <v>92</v>
      </c>
      <c r="F4776" s="6" t="s">
        <v>53</v>
      </c>
      <c r="G4776" s="7">
        <v>43665.47276142767</v>
      </c>
      <c r="H4776" s="6">
        <v>9817.453792527655</v>
      </c>
      <c r="I4776" s="6" t="s">
        <v>179</v>
      </c>
      <c r="J4776" s="15">
        <v>37</v>
      </c>
    </row>
    <row r="4777" spans="1:10">
      <c r="A4777" s="6" t="s">
        <v>144</v>
      </c>
      <c r="B4777" s="6" t="s">
        <v>92</v>
      </c>
      <c r="C4777" s="6" t="s">
        <v>296</v>
      </c>
      <c r="D4777" s="6">
        <v>15.75533333333333</v>
      </c>
      <c r="E4777" s="6" t="s">
        <v>92</v>
      </c>
      <c r="F4777" s="6" t="s">
        <v>61</v>
      </c>
      <c r="G4777" s="7">
        <v>53088.58925206317</v>
      </c>
      <c r="H4777" s="6">
        <v>836428.4198626726</v>
      </c>
      <c r="I4777" s="6" t="s">
        <v>179</v>
      </c>
      <c r="J4777" s="15">
        <v>21</v>
      </c>
    </row>
    <row r="4778" spans="1:10">
      <c r="A4778" s="6" t="s">
        <v>144</v>
      </c>
      <c r="B4778" s="6" t="s">
        <v>92</v>
      </c>
      <c r="C4778" s="6" t="s">
        <v>298</v>
      </c>
      <c r="D4778" s="6">
        <v>0.02333333333333333</v>
      </c>
      <c r="E4778" s="6" t="s">
        <v>92</v>
      </c>
      <c r="F4778" s="6" t="s">
        <v>56</v>
      </c>
      <c r="G4778" s="7">
        <v>64956.33439155623</v>
      </c>
      <c r="H4778" s="6">
        <v>1515.647802469646</v>
      </c>
      <c r="I4778" s="6" t="s">
        <v>180</v>
      </c>
      <c r="J4778" s="15">
        <v>17.56073573464467</v>
      </c>
    </row>
    <row r="4779" spans="1:10">
      <c r="A4779" s="6" t="s">
        <v>144</v>
      </c>
      <c r="B4779" s="6" t="s">
        <v>92</v>
      </c>
      <c r="C4779" s="6" t="s">
        <v>361</v>
      </c>
      <c r="D4779" s="6">
        <v>0.021</v>
      </c>
      <c r="E4779" s="6" t="s">
        <v>92</v>
      </c>
      <c r="F4779" s="6" t="s">
        <v>52</v>
      </c>
      <c r="G4779" s="7">
        <v>77318.80490856594</v>
      </c>
      <c r="H4779" s="6">
        <v>1623.694903079885</v>
      </c>
      <c r="I4779" s="6" t="s">
        <v>180</v>
      </c>
      <c r="J4779" s="15">
        <v>22.18952976848772</v>
      </c>
    </row>
    <row r="4780" spans="1:10">
      <c r="A4780" s="6" t="s">
        <v>144</v>
      </c>
      <c r="B4780" s="6" t="s">
        <v>92</v>
      </c>
      <c r="C4780" s="6" t="s">
        <v>305</v>
      </c>
      <c r="D4780" s="6">
        <v>0.1513333333333333</v>
      </c>
      <c r="E4780" s="6" t="s">
        <v>92</v>
      </c>
      <c r="F4780" s="6" t="s">
        <v>54</v>
      </c>
      <c r="G4780" s="7">
        <v>95146.87757960078</v>
      </c>
      <c r="H4780" s="6">
        <v>14398.89414037958</v>
      </c>
      <c r="I4780" s="6" t="s">
        <v>180</v>
      </c>
      <c r="J4780" s="15">
        <v>28.86477128280014</v>
      </c>
    </row>
    <row r="4781" spans="1:10">
      <c r="A4781" s="6" t="s">
        <v>144</v>
      </c>
      <c r="B4781" s="6" t="s">
        <v>92</v>
      </c>
      <c r="C4781" s="6" t="s">
        <v>362</v>
      </c>
      <c r="D4781" s="6">
        <v>0.4080000000000001</v>
      </c>
      <c r="E4781" s="6" t="s">
        <v>92</v>
      </c>
      <c r="F4781" s="6" t="s">
        <v>52</v>
      </c>
      <c r="G4781" s="7">
        <v>77318.80490856594</v>
      </c>
      <c r="H4781" s="6">
        <v>31546.07240269491</v>
      </c>
      <c r="I4781" s="6" t="s">
        <v>180</v>
      </c>
      <c r="J4781" s="15">
        <v>22.18952976848772</v>
      </c>
    </row>
    <row r="4782" spans="1:10">
      <c r="A4782" s="6" t="s">
        <v>144</v>
      </c>
      <c r="B4782" s="6" t="s">
        <v>92</v>
      </c>
      <c r="C4782" s="6" t="s">
        <v>309</v>
      </c>
      <c r="D4782" s="6">
        <v>8.154</v>
      </c>
      <c r="E4782" s="6" t="s">
        <v>92</v>
      </c>
      <c r="F4782" s="6" t="s">
        <v>52</v>
      </c>
      <c r="G4782" s="7">
        <v>77318.80490856594</v>
      </c>
      <c r="H4782" s="6">
        <v>630457.5352244467</v>
      </c>
      <c r="I4782" s="6" t="s">
        <v>180</v>
      </c>
      <c r="J4782" s="15">
        <v>22.18952976848772</v>
      </c>
    </row>
    <row r="4783" spans="1:10">
      <c r="A4783" s="6" t="s">
        <v>144</v>
      </c>
      <c r="B4783" s="6" t="s">
        <v>92</v>
      </c>
      <c r="C4783" s="6" t="s">
        <v>312</v>
      </c>
      <c r="D4783" s="6">
        <v>0.2688333333333333</v>
      </c>
      <c r="E4783" s="6" t="s">
        <v>92</v>
      </c>
      <c r="F4783" s="6" t="s">
        <v>54</v>
      </c>
      <c r="G4783" s="7">
        <v>76542.49786788689</v>
      </c>
      <c r="H4783" s="6">
        <v>20577.17484348359</v>
      </c>
      <c r="I4783" s="6" t="s">
        <v>180</v>
      </c>
      <c r="J4783" s="15">
        <v>21.89886251121246</v>
      </c>
    </row>
    <row r="4784" spans="1:10">
      <c r="A4784" s="6" t="s">
        <v>144</v>
      </c>
      <c r="B4784" s="6" t="s">
        <v>92</v>
      </c>
      <c r="C4784" s="6" t="s">
        <v>318</v>
      </c>
      <c r="D4784" s="6">
        <v>0.1245</v>
      </c>
      <c r="E4784" s="6" t="s">
        <v>92</v>
      </c>
      <c r="F4784" s="6" t="s">
        <v>52</v>
      </c>
      <c r="G4784" s="7">
        <v>77318.80490856594</v>
      </c>
      <c r="H4784" s="6">
        <v>9626.19121111646</v>
      </c>
      <c r="I4784" s="6" t="s">
        <v>180</v>
      </c>
      <c r="J4784" s="15">
        <v>22.18952976848772</v>
      </c>
    </row>
    <row r="4785" spans="1:10">
      <c r="A4785" s="6" t="s">
        <v>144</v>
      </c>
      <c r="B4785" s="6" t="s">
        <v>92</v>
      </c>
      <c r="C4785" s="6" t="s">
        <v>319</v>
      </c>
      <c r="D4785" s="6">
        <v>0.5333333333333333</v>
      </c>
      <c r="E4785" s="6" t="s">
        <v>92</v>
      </c>
      <c r="F4785" s="6" t="s">
        <v>52</v>
      </c>
      <c r="G4785" s="7">
        <v>77318.80490856594</v>
      </c>
      <c r="H4785" s="6">
        <v>41236.69595123517</v>
      </c>
      <c r="I4785" s="6" t="s">
        <v>180</v>
      </c>
      <c r="J4785" s="15">
        <v>22.18952976848772</v>
      </c>
    </row>
    <row r="4786" spans="1:10">
      <c r="A4786" s="6" t="s">
        <v>144</v>
      </c>
      <c r="B4786" s="6" t="s">
        <v>92</v>
      </c>
      <c r="C4786" s="6" t="s">
        <v>320</v>
      </c>
      <c r="D4786" s="6">
        <v>0.6767500000000001</v>
      </c>
      <c r="E4786" s="6" t="s">
        <v>92</v>
      </c>
      <c r="F4786" s="6" t="s">
        <v>51</v>
      </c>
      <c r="G4786" s="7">
        <v>42399.1324717879</v>
      </c>
      <c r="H4786" s="6">
        <v>28693.61290028247</v>
      </c>
      <c r="I4786" s="6" t="s">
        <v>179</v>
      </c>
      <c r="J4786" s="15">
        <v>45</v>
      </c>
    </row>
    <row r="4787" spans="1:10">
      <c r="A4787" s="6" t="s">
        <v>144</v>
      </c>
      <c r="B4787" s="6" t="s">
        <v>92</v>
      </c>
      <c r="C4787" s="6" t="s">
        <v>323</v>
      </c>
      <c r="D4787" s="6">
        <v>0.7031666666666667</v>
      </c>
      <c r="E4787" s="6" t="s">
        <v>92</v>
      </c>
      <c r="F4787" s="6" t="s">
        <v>55</v>
      </c>
      <c r="G4787" s="7">
        <v>37901.84707720344</v>
      </c>
      <c r="H4787" s="6">
        <v>26651.31546978689</v>
      </c>
      <c r="I4787" s="6" t="s">
        <v>179</v>
      </c>
      <c r="J4787" s="15">
        <v>17</v>
      </c>
    </row>
    <row r="4788" spans="1:10">
      <c r="A4788" s="6" t="s">
        <v>144</v>
      </c>
      <c r="B4788" s="6" t="s">
        <v>92</v>
      </c>
      <c r="C4788" s="6" t="s">
        <v>324</v>
      </c>
      <c r="D4788" s="6">
        <v>0.2281666666666667</v>
      </c>
      <c r="E4788" s="6" t="s">
        <v>92</v>
      </c>
      <c r="F4788" s="6" t="s">
        <v>51</v>
      </c>
      <c r="G4788" s="7">
        <v>59286.87997138536</v>
      </c>
      <c r="H4788" s="6">
        <v>13527.28978013776</v>
      </c>
      <c r="I4788" s="6" t="s">
        <v>179</v>
      </c>
      <c r="J4788" s="15">
        <v>44</v>
      </c>
    </row>
    <row r="4789" spans="1:10">
      <c r="A4789" s="6" t="s">
        <v>144</v>
      </c>
      <c r="B4789" s="6" t="s">
        <v>92</v>
      </c>
      <c r="C4789" s="6" t="s">
        <v>326</v>
      </c>
      <c r="D4789" s="6">
        <v>0.1458333333333333</v>
      </c>
      <c r="E4789" s="6" t="s">
        <v>92</v>
      </c>
      <c r="F4789" s="6" t="s">
        <v>54</v>
      </c>
      <c r="G4789" s="7">
        <v>91760.91506579834</v>
      </c>
      <c r="H4789" s="6">
        <v>13381.80011376226</v>
      </c>
      <c r="I4789" s="6" t="s">
        <v>180</v>
      </c>
      <c r="J4789" s="15">
        <v>27.59698883906121</v>
      </c>
    </row>
    <row r="4790" spans="1:10">
      <c r="A4790" s="6" t="s">
        <v>144</v>
      </c>
      <c r="B4790" s="6" t="s">
        <v>92</v>
      </c>
      <c r="C4790" s="6" t="s">
        <v>329</v>
      </c>
      <c r="D4790" s="6">
        <v>0.5755</v>
      </c>
      <c r="E4790" s="6" t="s">
        <v>92</v>
      </c>
      <c r="F4790" s="6" t="s">
        <v>58</v>
      </c>
      <c r="G4790" s="7">
        <v>67115.81850755938</v>
      </c>
      <c r="H4790" s="6">
        <v>38625.15355110043</v>
      </c>
      <c r="I4790" s="6" t="s">
        <v>179</v>
      </c>
      <c r="J4790" s="15">
        <v>43.45833333333333</v>
      </c>
    </row>
    <row r="4791" spans="1:10">
      <c r="A4791" s="6" t="s">
        <v>144</v>
      </c>
      <c r="B4791" s="6" t="s">
        <v>92</v>
      </c>
      <c r="C4791" s="6" t="s">
        <v>330</v>
      </c>
      <c r="D4791" s="6">
        <v>0.0375</v>
      </c>
      <c r="E4791" s="6" t="s">
        <v>92</v>
      </c>
      <c r="F4791" s="6" t="s">
        <v>52</v>
      </c>
      <c r="G4791" s="7">
        <v>77318.80490856594</v>
      </c>
      <c r="H4791" s="6">
        <v>2899.455184071223</v>
      </c>
      <c r="I4791" s="6" t="s">
        <v>180</v>
      </c>
      <c r="J4791" s="15">
        <v>22.18952976848772</v>
      </c>
    </row>
    <row r="4792" spans="1:10">
      <c r="A4792" s="6" t="s">
        <v>144</v>
      </c>
      <c r="B4792" s="6" t="s">
        <v>92</v>
      </c>
      <c r="C4792" s="6" t="s">
        <v>331</v>
      </c>
      <c r="D4792" s="6">
        <v>0.56225</v>
      </c>
      <c r="E4792" s="6" t="s">
        <v>92</v>
      </c>
      <c r="F4792" s="6" t="s">
        <v>58</v>
      </c>
      <c r="G4792" s="7">
        <v>52490.82308035896</v>
      </c>
      <c r="H4792" s="6">
        <v>29512.96527693183</v>
      </c>
      <c r="I4792" s="6" t="s">
        <v>179</v>
      </c>
      <c r="J4792" s="15">
        <v>17.40719355741339</v>
      </c>
    </row>
    <row r="4793" spans="1:10">
      <c r="A4793" s="6" t="s">
        <v>144</v>
      </c>
      <c r="B4793" s="6" t="s">
        <v>92</v>
      </c>
      <c r="C4793" s="6" t="s">
        <v>332</v>
      </c>
      <c r="D4793" s="6">
        <v>1.032916666666667</v>
      </c>
      <c r="E4793" s="6" t="s">
        <v>92</v>
      </c>
      <c r="F4793" s="6" t="s">
        <v>55</v>
      </c>
      <c r="G4793" s="7">
        <v>18935.91078298569</v>
      </c>
      <c r="H4793" s="6">
        <v>19559.21784625897</v>
      </c>
      <c r="I4793" s="6" t="s">
        <v>179</v>
      </c>
      <c r="J4793" s="15">
        <v>13</v>
      </c>
    </row>
    <row r="4794" spans="1:10">
      <c r="A4794" s="6" t="s">
        <v>144</v>
      </c>
      <c r="B4794" s="6" t="s">
        <v>92</v>
      </c>
      <c r="C4794" s="6" t="s">
        <v>333</v>
      </c>
      <c r="D4794" s="6">
        <v>0.3538333333333334</v>
      </c>
      <c r="E4794" s="6" t="s">
        <v>92</v>
      </c>
      <c r="F4794" s="6" t="s">
        <v>51</v>
      </c>
      <c r="G4794" s="7">
        <v>51151.59012928524</v>
      </c>
      <c r="H4794" s="6">
        <v>18099.13764074543</v>
      </c>
      <c r="I4794" s="6" t="s">
        <v>180</v>
      </c>
      <c r="J4794" s="15">
        <v>12.39192115247769</v>
      </c>
    </row>
    <row r="4795" spans="1:10">
      <c r="A4795" s="6" t="s">
        <v>146</v>
      </c>
      <c r="B4795" s="6" t="s">
        <v>44</v>
      </c>
      <c r="C4795" s="6" t="s">
        <v>194</v>
      </c>
      <c r="D4795" s="6">
        <v>2.28025</v>
      </c>
      <c r="E4795" s="6" t="s">
        <v>44</v>
      </c>
      <c r="F4795" s="6" t="s">
        <v>58</v>
      </c>
      <c r="G4795" s="7">
        <v>20829.42392802728</v>
      </c>
      <c r="H4795" s="6">
        <v>47496.2939118842</v>
      </c>
      <c r="I4795" s="6" t="s">
        <v>179</v>
      </c>
      <c r="J4795" s="15">
        <v>14.33333333333333</v>
      </c>
    </row>
    <row r="4796" spans="1:10">
      <c r="A4796" s="6" t="s">
        <v>146</v>
      </c>
      <c r="B4796" s="6" t="s">
        <v>44</v>
      </c>
      <c r="C4796" s="6" t="s">
        <v>195</v>
      </c>
      <c r="D4796" s="6">
        <v>43.97471965584973</v>
      </c>
      <c r="E4796" s="6" t="s">
        <v>44</v>
      </c>
      <c r="F4796" s="6" t="s">
        <v>54</v>
      </c>
      <c r="G4796" s="7">
        <v>84052.83905275936</v>
      </c>
      <c r="H4796" s="6">
        <v>3696200.033623351</v>
      </c>
      <c r="I4796" s="6" t="s">
        <v>179</v>
      </c>
      <c r="J4796" s="15">
        <v>47.38333333333333</v>
      </c>
    </row>
    <row r="4797" spans="1:10">
      <c r="A4797" s="6" t="s">
        <v>146</v>
      </c>
      <c r="B4797" s="6" t="s">
        <v>90</v>
      </c>
      <c r="C4797" s="6" t="s">
        <v>195</v>
      </c>
      <c r="D4797" s="6">
        <v>230.4256136774836</v>
      </c>
      <c r="E4797" s="6" t="s">
        <v>44</v>
      </c>
      <c r="F4797" s="6" t="s">
        <v>54</v>
      </c>
      <c r="G4797" s="7">
        <v>56976.27849226169</v>
      </c>
      <c r="H4797" s="6">
        <v>13128793.93663861</v>
      </c>
      <c r="I4797" s="6" t="s">
        <v>180</v>
      </c>
      <c r="J4797" s="15">
        <v>11.49610447263148</v>
      </c>
    </row>
    <row r="4798" spans="1:10">
      <c r="A4798" s="6" t="s">
        <v>146</v>
      </c>
      <c r="B4798" s="6" t="s">
        <v>44</v>
      </c>
      <c r="C4798" s="6" t="s">
        <v>196</v>
      </c>
      <c r="D4798" s="6">
        <v>10.6975</v>
      </c>
      <c r="E4798" s="6" t="s">
        <v>44</v>
      </c>
      <c r="F4798" s="6" t="s">
        <v>52</v>
      </c>
      <c r="G4798" s="7">
        <v>69869.94547012541</v>
      </c>
      <c r="H4798" s="6">
        <v>747433.7416666666</v>
      </c>
      <c r="I4798" s="6" t="s">
        <v>179</v>
      </c>
      <c r="J4798" s="15">
        <v>67.825</v>
      </c>
    </row>
    <row r="4799" spans="1:10">
      <c r="A4799" s="6" t="s">
        <v>146</v>
      </c>
      <c r="B4799" s="6" t="s">
        <v>90</v>
      </c>
      <c r="C4799" s="6" t="s">
        <v>197</v>
      </c>
      <c r="D4799" s="6">
        <v>304.1710833333333</v>
      </c>
      <c r="E4799" s="6" t="s">
        <v>44</v>
      </c>
      <c r="F4799" s="6" t="s">
        <v>53</v>
      </c>
      <c r="G4799" s="7">
        <v>24873.23941462196</v>
      </c>
      <c r="H4799" s="6">
        <v>7565720.178754925</v>
      </c>
      <c r="I4799" s="6" t="s">
        <v>179</v>
      </c>
      <c r="J4799" s="15">
        <v>27</v>
      </c>
    </row>
    <row r="4800" spans="1:10">
      <c r="A4800" s="6" t="s">
        <v>146</v>
      </c>
      <c r="B4800" s="6" t="s">
        <v>44</v>
      </c>
      <c r="C4800" s="6" t="s">
        <v>198</v>
      </c>
      <c r="D4800" s="6">
        <v>330.1125833333334</v>
      </c>
      <c r="E4800" s="6" t="s">
        <v>44</v>
      </c>
      <c r="F4800" s="6" t="s">
        <v>58</v>
      </c>
      <c r="G4800" s="7">
        <v>87192.31842895708</v>
      </c>
      <c r="H4800" s="6">
        <v>28783281.48340563</v>
      </c>
      <c r="I4800" s="6" t="s">
        <v>179</v>
      </c>
      <c r="J4800" s="15">
        <v>38</v>
      </c>
    </row>
    <row r="4801" spans="1:10">
      <c r="A4801" s="6" t="s">
        <v>146</v>
      </c>
      <c r="B4801" s="6" t="s">
        <v>44</v>
      </c>
      <c r="C4801" s="6" t="s">
        <v>199</v>
      </c>
      <c r="D4801" s="6">
        <v>652.5410000000001</v>
      </c>
      <c r="E4801" s="6" t="s">
        <v>44</v>
      </c>
      <c r="F4801" s="6" t="s">
        <v>57</v>
      </c>
      <c r="G4801" s="7">
        <v>42727.16197460723</v>
      </c>
      <c r="H4801" s="6">
        <v>27881225.00207218</v>
      </c>
      <c r="I4801" s="6" t="s">
        <v>179</v>
      </c>
      <c r="J4801" s="15">
        <v>44.83333333333334</v>
      </c>
    </row>
    <row r="4802" spans="1:10">
      <c r="A4802" s="6" t="s">
        <v>146</v>
      </c>
      <c r="B4802" s="6" t="s">
        <v>44</v>
      </c>
      <c r="C4802" s="6" t="s">
        <v>337</v>
      </c>
      <c r="D4802" s="6">
        <v>27.86608333333333</v>
      </c>
      <c r="E4802" s="6" t="s">
        <v>44</v>
      </c>
      <c r="F4802" s="6" t="s">
        <v>52</v>
      </c>
      <c r="G4802" s="7">
        <v>64169.74384104699</v>
      </c>
      <c r="H4802" s="6">
        <v>1788159.429353269</v>
      </c>
      <c r="I4802" s="6" t="s">
        <v>180</v>
      </c>
      <c r="J4802" s="15">
        <v>17.01155042897912</v>
      </c>
    </row>
    <row r="4803" spans="1:10">
      <c r="A4803" s="6" t="s">
        <v>146</v>
      </c>
      <c r="B4803" s="6" t="s">
        <v>44</v>
      </c>
      <c r="C4803" s="6" t="s">
        <v>200</v>
      </c>
      <c r="D4803" s="6">
        <v>5.533333333333334</v>
      </c>
      <c r="E4803" s="6" t="s">
        <v>44</v>
      </c>
      <c r="F4803" s="6" t="s">
        <v>52</v>
      </c>
      <c r="G4803" s="7">
        <v>79455.19213558563</v>
      </c>
      <c r="H4803" s="6">
        <v>439652.0631502406</v>
      </c>
      <c r="I4803" s="6" t="s">
        <v>179</v>
      </c>
      <c r="J4803" s="15">
        <v>83.38333333333334</v>
      </c>
    </row>
    <row r="4804" spans="1:10">
      <c r="A4804" s="6" t="s">
        <v>146</v>
      </c>
      <c r="B4804" s="6" t="s">
        <v>44</v>
      </c>
      <c r="C4804" s="6" t="s">
        <v>201</v>
      </c>
      <c r="D4804" s="6">
        <v>294.1160833333333</v>
      </c>
      <c r="E4804" s="6" t="s">
        <v>44</v>
      </c>
      <c r="F4804" s="6" t="s">
        <v>56</v>
      </c>
      <c r="G4804" s="7">
        <v>55387.37653085204</v>
      </c>
      <c r="H4804" s="6">
        <v>16290318.25136279</v>
      </c>
      <c r="I4804" s="6" t="s">
        <v>179</v>
      </c>
      <c r="J4804" s="15">
        <v>24</v>
      </c>
    </row>
    <row r="4805" spans="1:10">
      <c r="A4805" s="6" t="s">
        <v>146</v>
      </c>
      <c r="B4805" s="6" t="s">
        <v>44</v>
      </c>
      <c r="C4805" s="6" t="s">
        <v>202</v>
      </c>
      <c r="D4805" s="6">
        <v>1632.109</v>
      </c>
      <c r="E4805" s="6" t="s">
        <v>44</v>
      </c>
      <c r="F4805" s="6" t="s">
        <v>54</v>
      </c>
      <c r="G4805" s="7">
        <v>97582.35964345603</v>
      </c>
      <c r="H4805" s="6">
        <v>159265047.4153214</v>
      </c>
      <c r="I4805" s="6" t="s">
        <v>179</v>
      </c>
      <c r="J4805" s="15">
        <v>68</v>
      </c>
    </row>
    <row r="4806" spans="1:10">
      <c r="A4806" s="6" t="s">
        <v>146</v>
      </c>
      <c r="B4806" s="6" t="s">
        <v>44</v>
      </c>
      <c r="C4806" s="6" t="s">
        <v>203</v>
      </c>
      <c r="D4806" s="6">
        <v>2988.90425</v>
      </c>
      <c r="E4806" s="6" t="s">
        <v>44</v>
      </c>
      <c r="F4806" s="6" t="s">
        <v>53</v>
      </c>
      <c r="G4806" s="7">
        <v>40461.29080326468</v>
      </c>
      <c r="H4806" s="6">
        <v>120934924.0423637</v>
      </c>
      <c r="I4806" s="6" t="s">
        <v>179</v>
      </c>
      <c r="J4806" s="15">
        <v>44.11666666666667</v>
      </c>
    </row>
    <row r="4807" spans="1:10">
      <c r="A4807" s="6" t="s">
        <v>146</v>
      </c>
      <c r="B4807" s="6" t="s">
        <v>44</v>
      </c>
      <c r="C4807" s="6" t="s">
        <v>204</v>
      </c>
      <c r="D4807" s="6">
        <v>7636.022083333333</v>
      </c>
      <c r="E4807" s="6" t="s">
        <v>44</v>
      </c>
      <c r="F4807" s="6" t="s">
        <v>51</v>
      </c>
      <c r="G4807" s="7">
        <v>22075.51100893869</v>
      </c>
      <c r="H4807" s="6">
        <v>168569089.5651239</v>
      </c>
      <c r="I4807" s="6" t="s">
        <v>179</v>
      </c>
      <c r="J4807" s="15">
        <v>17.73333333333333</v>
      </c>
    </row>
    <row r="4808" spans="1:10">
      <c r="A4808" s="6" t="s">
        <v>146</v>
      </c>
      <c r="B4808" s="6" t="s">
        <v>44</v>
      </c>
      <c r="C4808" s="6" t="s">
        <v>338</v>
      </c>
      <c r="D4808" s="6">
        <v>41.77241666666666</v>
      </c>
      <c r="E4808" s="6" t="s">
        <v>44</v>
      </c>
      <c r="F4808" s="6" t="s">
        <v>52</v>
      </c>
      <c r="G4808" s="7">
        <v>64169.74384104699</v>
      </c>
      <c r="H4808" s="6">
        <v>2680525.277121482</v>
      </c>
      <c r="I4808" s="6" t="s">
        <v>180</v>
      </c>
      <c r="J4808" s="15">
        <v>17.01155042897912</v>
      </c>
    </row>
    <row r="4809" spans="1:10">
      <c r="A4809" s="6" t="s">
        <v>146</v>
      </c>
      <c r="B4809" s="6" t="s">
        <v>44</v>
      </c>
      <c r="C4809" s="6" t="s">
        <v>205</v>
      </c>
      <c r="D4809" s="6">
        <v>835.5104166666666</v>
      </c>
      <c r="E4809" s="6" t="s">
        <v>44</v>
      </c>
      <c r="F4809" s="6" t="s">
        <v>56</v>
      </c>
      <c r="G4809" s="7">
        <v>54049.79733429672</v>
      </c>
      <c r="H4809" s="6">
        <v>45159168.69152714</v>
      </c>
      <c r="I4809" s="6" t="s">
        <v>179</v>
      </c>
      <c r="J4809" s="15">
        <v>22.35</v>
      </c>
    </row>
    <row r="4810" spans="1:10">
      <c r="A4810" s="6" t="s">
        <v>146</v>
      </c>
      <c r="B4810" s="6" t="s">
        <v>44</v>
      </c>
      <c r="C4810" s="6" t="s">
        <v>206</v>
      </c>
      <c r="D4810" s="6">
        <v>225.55725</v>
      </c>
      <c r="E4810" s="6" t="s">
        <v>44</v>
      </c>
      <c r="F4810" s="6" t="s">
        <v>55</v>
      </c>
      <c r="G4810" s="7">
        <v>52787.66629507686</v>
      </c>
      <c r="H4810" s="6">
        <v>11906640.84343522</v>
      </c>
      <c r="I4810" s="6" t="s">
        <v>179</v>
      </c>
      <c r="J4810" s="15">
        <v>47</v>
      </c>
    </row>
    <row r="4811" spans="1:10">
      <c r="A4811" s="6" t="s">
        <v>146</v>
      </c>
      <c r="B4811" s="6" t="s">
        <v>44</v>
      </c>
      <c r="C4811" s="6" t="s">
        <v>207</v>
      </c>
      <c r="D4811" s="6">
        <v>3.05725</v>
      </c>
      <c r="E4811" s="6" t="s">
        <v>44</v>
      </c>
      <c r="F4811" s="6" t="s">
        <v>55</v>
      </c>
      <c r="G4811" s="7">
        <v>43102.17610390013</v>
      </c>
      <c r="H4811" s="6">
        <v>131774.1278936487</v>
      </c>
      <c r="I4811" s="6" t="s">
        <v>180</v>
      </c>
      <c r="J4811" s="15">
        <v>106.2666666666667</v>
      </c>
    </row>
    <row r="4812" spans="1:10">
      <c r="A4812" s="6" t="s">
        <v>146</v>
      </c>
      <c r="B4812" s="6" t="s">
        <v>44</v>
      </c>
      <c r="C4812" s="6" t="s">
        <v>208</v>
      </c>
      <c r="D4812" s="6">
        <v>46.00683333333333</v>
      </c>
      <c r="E4812" s="6" t="s">
        <v>44</v>
      </c>
      <c r="F4812" s="6" t="s">
        <v>51</v>
      </c>
      <c r="G4812" s="7">
        <v>21097.10902947491</v>
      </c>
      <c r="H4812" s="6">
        <v>970611.1789342141</v>
      </c>
      <c r="I4812" s="6" t="s">
        <v>179</v>
      </c>
      <c r="J4812" s="15">
        <v>30</v>
      </c>
    </row>
    <row r="4813" spans="1:10">
      <c r="A4813" s="6" t="s">
        <v>146</v>
      </c>
      <c r="B4813" s="6" t="s">
        <v>44</v>
      </c>
      <c r="C4813" s="6" t="s">
        <v>209</v>
      </c>
      <c r="D4813" s="6">
        <v>4.16675</v>
      </c>
      <c r="E4813" s="6" t="s">
        <v>44</v>
      </c>
      <c r="F4813" s="6" t="s">
        <v>57</v>
      </c>
      <c r="G4813" s="7">
        <v>41050.93445745452</v>
      </c>
      <c r="H4813" s="6">
        <v>171048.9811505986</v>
      </c>
      <c r="I4813" s="6" t="s">
        <v>180</v>
      </c>
      <c r="J4813" s="15">
        <v>8.447085698826186</v>
      </c>
    </row>
    <row r="4814" spans="1:10">
      <c r="A4814" s="6" t="s">
        <v>146</v>
      </c>
      <c r="B4814" s="6" t="s">
        <v>44</v>
      </c>
      <c r="C4814" s="6" t="s">
        <v>210</v>
      </c>
      <c r="D4814" s="6">
        <v>3.719166666666667</v>
      </c>
      <c r="E4814" s="6" t="s">
        <v>44</v>
      </c>
      <c r="F4814" s="6" t="s">
        <v>53</v>
      </c>
      <c r="G4814" s="7">
        <v>43419.65361451151</v>
      </c>
      <c r="H4814" s="6">
        <v>161484.9284013041</v>
      </c>
      <c r="I4814" s="6" t="s">
        <v>180</v>
      </c>
      <c r="J4814" s="15">
        <v>9.324588140221366</v>
      </c>
    </row>
    <row r="4815" spans="1:10">
      <c r="A4815" s="6" t="s">
        <v>146</v>
      </c>
      <c r="B4815" s="6" t="s">
        <v>44</v>
      </c>
      <c r="C4815" s="6" t="s">
        <v>211</v>
      </c>
      <c r="D4815" s="6">
        <v>2990.162916666667</v>
      </c>
      <c r="E4815" s="6" t="s">
        <v>44</v>
      </c>
      <c r="F4815" s="6" t="s">
        <v>55</v>
      </c>
      <c r="G4815" s="7">
        <v>51366.3962792253</v>
      </c>
      <c r="H4815" s="6">
        <v>153593893.3169442</v>
      </c>
      <c r="I4815" s="6" t="s">
        <v>179</v>
      </c>
      <c r="J4815" s="15">
        <v>40.03333333333333</v>
      </c>
    </row>
    <row r="4816" spans="1:10">
      <c r="A4816" s="6" t="s">
        <v>146</v>
      </c>
      <c r="B4816" s="6" t="s">
        <v>44</v>
      </c>
      <c r="C4816" s="6" t="s">
        <v>212</v>
      </c>
      <c r="D4816" s="6">
        <v>449.2996666666667</v>
      </c>
      <c r="E4816" s="6" t="s">
        <v>44</v>
      </c>
      <c r="F4816" s="6" t="s">
        <v>55</v>
      </c>
      <c r="G4816" s="7">
        <v>42485.0021579509</v>
      </c>
      <c r="H4816" s="6">
        <v>19088497.30789995</v>
      </c>
      <c r="I4816" s="6" t="s">
        <v>179</v>
      </c>
      <c r="J4816" s="15">
        <v>39.03333333333333</v>
      </c>
    </row>
    <row r="4817" spans="1:10">
      <c r="A4817" s="6" t="s">
        <v>146</v>
      </c>
      <c r="B4817" s="6" t="s">
        <v>44</v>
      </c>
      <c r="C4817" s="6" t="s">
        <v>213</v>
      </c>
      <c r="D4817" s="6">
        <v>31.05183333333333</v>
      </c>
      <c r="E4817" s="6" t="s">
        <v>44</v>
      </c>
      <c r="F4817" s="6" t="s">
        <v>52</v>
      </c>
      <c r="G4817" s="7">
        <v>64169.74384104699</v>
      </c>
      <c r="H4817" s="6">
        <v>1992588.190794884</v>
      </c>
      <c r="I4817" s="6" t="s">
        <v>180</v>
      </c>
      <c r="J4817" s="15">
        <v>68</v>
      </c>
    </row>
    <row r="4818" spans="1:10">
      <c r="A4818" s="6" t="s">
        <v>146</v>
      </c>
      <c r="B4818" s="6" t="s">
        <v>90</v>
      </c>
      <c r="C4818" s="6" t="s">
        <v>214</v>
      </c>
      <c r="D4818" s="6">
        <v>6.369916666666667</v>
      </c>
      <c r="E4818" s="6" t="s">
        <v>44</v>
      </c>
      <c r="F4818" s="6" t="s">
        <v>53</v>
      </c>
      <c r="G4818" s="7">
        <v>29230.07315219457</v>
      </c>
      <c r="H4818" s="6">
        <v>186193.1301400501</v>
      </c>
      <c r="I4818" s="6" t="s">
        <v>179</v>
      </c>
      <c r="J4818" s="15">
        <v>27</v>
      </c>
    </row>
    <row r="4819" spans="1:10">
      <c r="A4819" s="6" t="s">
        <v>146</v>
      </c>
      <c r="B4819" s="6" t="s">
        <v>44</v>
      </c>
      <c r="C4819" s="6" t="s">
        <v>215</v>
      </c>
      <c r="D4819" s="6">
        <v>1548.1725</v>
      </c>
      <c r="E4819" s="6" t="s">
        <v>44</v>
      </c>
      <c r="F4819" s="6" t="s">
        <v>54</v>
      </c>
      <c r="G4819" s="7">
        <v>99644.87381086698</v>
      </c>
      <c r="H4819" s="6">
        <v>154267453.3999545</v>
      </c>
      <c r="I4819" s="6" t="s">
        <v>179</v>
      </c>
      <c r="J4819" s="15">
        <v>65.5</v>
      </c>
    </row>
    <row r="4820" spans="1:10">
      <c r="A4820" s="6" t="s">
        <v>146</v>
      </c>
      <c r="B4820" s="6" t="s">
        <v>44</v>
      </c>
      <c r="C4820" s="6" t="s">
        <v>216</v>
      </c>
      <c r="D4820" s="6">
        <v>21.32758333333333</v>
      </c>
      <c r="E4820" s="6" t="s">
        <v>44</v>
      </c>
      <c r="F4820" s="6" t="s">
        <v>55</v>
      </c>
      <c r="G4820" s="7">
        <v>42969.13562366418</v>
      </c>
      <c r="H4820" s="6">
        <v>916427.8207749998</v>
      </c>
      <c r="I4820" s="6" t="s">
        <v>180</v>
      </c>
      <c r="J4820" s="15">
        <v>9.157691766844557</v>
      </c>
    </row>
    <row r="4821" spans="1:10">
      <c r="A4821" s="6" t="s">
        <v>146</v>
      </c>
      <c r="B4821" s="6" t="s">
        <v>90</v>
      </c>
      <c r="C4821" s="6" t="s">
        <v>217</v>
      </c>
      <c r="D4821" s="6">
        <v>448.3678333333334</v>
      </c>
      <c r="E4821" s="6" t="s">
        <v>44</v>
      </c>
      <c r="F4821" s="6" t="s">
        <v>53</v>
      </c>
      <c r="G4821" s="7">
        <v>29595.99008532836</v>
      </c>
      <c r="H4821" s="6">
        <v>13269889.94991349</v>
      </c>
      <c r="I4821" s="6" t="s">
        <v>179</v>
      </c>
      <c r="J4821" s="15">
        <v>15</v>
      </c>
    </row>
    <row r="4822" spans="1:10">
      <c r="A4822" s="6" t="s">
        <v>146</v>
      </c>
      <c r="B4822" s="6" t="s">
        <v>90</v>
      </c>
      <c r="C4822" s="6" t="s">
        <v>218</v>
      </c>
      <c r="D4822" s="6">
        <v>59.40616666666666</v>
      </c>
      <c r="E4822" s="6" t="s">
        <v>44</v>
      </c>
      <c r="F4822" s="6" t="s">
        <v>54</v>
      </c>
      <c r="G4822" s="7">
        <v>55803.8509311504</v>
      </c>
      <c r="H4822" s="6">
        <v>3315092.869057742</v>
      </c>
      <c r="I4822" s="6" t="s">
        <v>180</v>
      </c>
      <c r="J4822" s="15">
        <v>11.12043154931672</v>
      </c>
    </row>
    <row r="4823" spans="1:10">
      <c r="A4823" s="6" t="s">
        <v>146</v>
      </c>
      <c r="B4823" s="6" t="s">
        <v>44</v>
      </c>
      <c r="C4823" s="6" t="s">
        <v>219</v>
      </c>
      <c r="D4823" s="6">
        <v>177.2825</v>
      </c>
      <c r="E4823" s="6" t="s">
        <v>44</v>
      </c>
      <c r="F4823" s="6" t="s">
        <v>51</v>
      </c>
      <c r="G4823" s="7">
        <v>24699.68371704026</v>
      </c>
      <c r="H4823" s="6">
        <v>4378821.678566189</v>
      </c>
      <c r="I4823" s="6" t="s">
        <v>179</v>
      </c>
      <c r="J4823" s="15">
        <v>13.96666666666667</v>
      </c>
    </row>
    <row r="4824" spans="1:10">
      <c r="A4824" s="6" t="s">
        <v>146</v>
      </c>
      <c r="B4824" s="6" t="s">
        <v>44</v>
      </c>
      <c r="C4824" s="6" t="s">
        <v>220</v>
      </c>
      <c r="D4824" s="6">
        <v>17.20566666666667</v>
      </c>
      <c r="E4824" s="6" t="s">
        <v>44</v>
      </c>
      <c r="F4824" s="6" t="s">
        <v>57</v>
      </c>
      <c r="G4824" s="7">
        <v>40154.70104495549</v>
      </c>
      <c r="H4824" s="6">
        <v>690888.4012791559</v>
      </c>
      <c r="I4824" s="6" t="s">
        <v>180</v>
      </c>
      <c r="J4824" s="15">
        <v>8.115072084977196</v>
      </c>
    </row>
    <row r="4825" spans="1:10">
      <c r="A4825" s="6" t="s">
        <v>146</v>
      </c>
      <c r="B4825" s="6" t="s">
        <v>44</v>
      </c>
      <c r="C4825" s="6" t="s">
        <v>221</v>
      </c>
      <c r="D4825" s="6">
        <v>234.9538333333333</v>
      </c>
      <c r="E4825" s="6" t="s">
        <v>44</v>
      </c>
      <c r="F4825" s="6" t="s">
        <v>51</v>
      </c>
      <c r="G4825" s="7">
        <v>26492.73446871235</v>
      </c>
      <c r="H4825" s="6">
        <v>6224569.518906097</v>
      </c>
      <c r="I4825" s="6" t="s">
        <v>179</v>
      </c>
      <c r="J4825" s="15">
        <v>21.28333333333333</v>
      </c>
    </row>
    <row r="4826" spans="1:10">
      <c r="A4826" s="6" t="s">
        <v>146</v>
      </c>
      <c r="B4826" s="6" t="s">
        <v>44</v>
      </c>
      <c r="C4826" s="6" t="s">
        <v>222</v>
      </c>
      <c r="D4826" s="6">
        <v>3.96125</v>
      </c>
      <c r="E4826" s="6" t="s">
        <v>44</v>
      </c>
      <c r="F4826" s="6" t="s">
        <v>57</v>
      </c>
      <c r="G4826" s="7">
        <v>40818.44055788575</v>
      </c>
      <c r="H4826" s="6">
        <v>161692.0476599249</v>
      </c>
      <c r="I4826" s="6" t="s">
        <v>180</v>
      </c>
      <c r="J4826" s="15">
        <v>8.360957310041353</v>
      </c>
    </row>
    <row r="4827" spans="1:10">
      <c r="A4827" s="6" t="s">
        <v>146</v>
      </c>
      <c r="B4827" s="6" t="s">
        <v>44</v>
      </c>
      <c r="C4827" s="6" t="s">
        <v>342</v>
      </c>
      <c r="D4827" s="6">
        <v>343.5161666666667</v>
      </c>
      <c r="E4827" s="6" t="s">
        <v>44</v>
      </c>
      <c r="F4827" s="6" t="s">
        <v>53</v>
      </c>
      <c r="G4827" s="7">
        <v>45319.56223077881</v>
      </c>
      <c r="H4827" s="6">
        <v>15568002.29252859</v>
      </c>
      <c r="I4827" s="6" t="s">
        <v>180</v>
      </c>
      <c r="J4827" s="15">
        <v>10.02841765257</v>
      </c>
    </row>
    <row r="4828" spans="1:10">
      <c r="A4828" s="6" t="s">
        <v>146</v>
      </c>
      <c r="B4828" s="6" t="s">
        <v>86</v>
      </c>
      <c r="C4828" s="6" t="s">
        <v>223</v>
      </c>
      <c r="D4828" s="6">
        <v>742.1685833333333</v>
      </c>
      <c r="E4828" s="6" t="s">
        <v>44</v>
      </c>
      <c r="F4828" s="6" t="s">
        <v>53</v>
      </c>
      <c r="G4828" s="7">
        <v>24418.66320757394</v>
      </c>
      <c r="H4828" s="6">
        <v>18122764.67965894</v>
      </c>
      <c r="I4828" s="6" t="s">
        <v>179</v>
      </c>
      <c r="J4828" s="15">
        <v>7.983333333333333</v>
      </c>
    </row>
    <row r="4829" spans="1:10">
      <c r="A4829" s="6" t="s">
        <v>146</v>
      </c>
      <c r="B4829" s="6" t="s">
        <v>44</v>
      </c>
      <c r="C4829" s="6" t="s">
        <v>224</v>
      </c>
      <c r="D4829" s="6">
        <v>1916.15425</v>
      </c>
      <c r="E4829" s="6" t="s">
        <v>44</v>
      </c>
      <c r="F4829" s="6" t="s">
        <v>51</v>
      </c>
      <c r="G4829" s="7">
        <v>20842.13163725611</v>
      </c>
      <c r="H4829" s="6">
        <v>39936739.11578776</v>
      </c>
      <c r="I4829" s="6" t="s">
        <v>179</v>
      </c>
      <c r="J4829" s="15">
        <v>11</v>
      </c>
    </row>
    <row r="4830" spans="1:10">
      <c r="A4830" s="6" t="s">
        <v>146</v>
      </c>
      <c r="B4830" s="6" t="s">
        <v>44</v>
      </c>
      <c r="C4830" s="6" t="s">
        <v>225</v>
      </c>
      <c r="D4830" s="6">
        <v>0.07625</v>
      </c>
      <c r="E4830" s="6" t="s">
        <v>44</v>
      </c>
      <c r="F4830" s="6" t="s">
        <v>54</v>
      </c>
      <c r="G4830" s="7">
        <v>67290.20302962229</v>
      </c>
      <c r="H4830" s="6">
        <v>5130.8779810087</v>
      </c>
      <c r="I4830" s="6" t="s">
        <v>180</v>
      </c>
      <c r="J4830" s="15">
        <v>18.16753827502286</v>
      </c>
    </row>
    <row r="4831" spans="1:10">
      <c r="A4831" s="6" t="s">
        <v>146</v>
      </c>
      <c r="B4831" s="6" t="s">
        <v>44</v>
      </c>
      <c r="C4831" s="6" t="s">
        <v>226</v>
      </c>
      <c r="D4831" s="6">
        <v>1433.968916666667</v>
      </c>
      <c r="E4831" s="6" t="s">
        <v>44</v>
      </c>
      <c r="F4831" s="6" t="s">
        <v>56</v>
      </c>
      <c r="G4831" s="7">
        <v>59921.09743873261</v>
      </c>
      <c r="H4831" s="6">
        <v>85924991.17969717</v>
      </c>
      <c r="I4831" s="6" t="s">
        <v>179</v>
      </c>
      <c r="J4831" s="15">
        <v>47.875</v>
      </c>
    </row>
    <row r="4832" spans="1:10">
      <c r="A4832" s="6" t="s">
        <v>146</v>
      </c>
      <c r="B4832" s="6" t="s">
        <v>44</v>
      </c>
      <c r="C4832" s="6" t="s">
        <v>345</v>
      </c>
      <c r="D4832" s="6">
        <v>146.9273333333333</v>
      </c>
      <c r="E4832" s="6" t="s">
        <v>44</v>
      </c>
      <c r="F4832" s="6" t="s">
        <v>53</v>
      </c>
      <c r="G4832" s="7">
        <v>44066.89222480646</v>
      </c>
      <c r="H4832" s="6">
        <v>6474630.962878213</v>
      </c>
      <c r="I4832" s="6" t="s">
        <v>180</v>
      </c>
      <c r="J4832" s="15">
        <v>9.564360533249458</v>
      </c>
    </row>
    <row r="4833" spans="1:10">
      <c r="A4833" s="6" t="s">
        <v>146</v>
      </c>
      <c r="B4833" s="6" t="s">
        <v>44</v>
      </c>
      <c r="C4833" s="6" t="s">
        <v>227</v>
      </c>
      <c r="D4833" s="6">
        <v>368.9633333333334</v>
      </c>
      <c r="E4833" s="6" t="s">
        <v>44</v>
      </c>
      <c r="F4833" s="6" t="s">
        <v>57</v>
      </c>
      <c r="G4833" s="7">
        <v>47608.30251275475</v>
      </c>
      <c r="H4833" s="6">
        <v>17565717.98944771</v>
      </c>
      <c r="I4833" s="6" t="s">
        <v>179</v>
      </c>
      <c r="J4833" s="15">
        <v>51.93333333333333</v>
      </c>
    </row>
    <row r="4834" spans="1:10">
      <c r="A4834" s="6" t="s">
        <v>146</v>
      </c>
      <c r="B4834" s="6" t="s">
        <v>44</v>
      </c>
      <c r="C4834" s="6" t="s">
        <v>228</v>
      </c>
      <c r="D4834" s="6">
        <v>355.0551666666667</v>
      </c>
      <c r="E4834" s="6" t="s">
        <v>44</v>
      </c>
      <c r="F4834" s="6" t="s">
        <v>51</v>
      </c>
      <c r="G4834" s="7">
        <v>36404.73502976458</v>
      </c>
      <c r="H4834" s="6">
        <v>12925689.2634489</v>
      </c>
      <c r="I4834" s="6" t="s">
        <v>179</v>
      </c>
      <c r="J4834" s="15">
        <v>21</v>
      </c>
    </row>
    <row r="4835" spans="1:10">
      <c r="A4835" s="6" t="s">
        <v>146</v>
      </c>
      <c r="B4835" s="6" t="s">
        <v>44</v>
      </c>
      <c r="C4835" s="6" t="s">
        <v>229</v>
      </c>
      <c r="D4835" s="6">
        <v>292.6990833333333</v>
      </c>
      <c r="E4835" s="6" t="s">
        <v>44</v>
      </c>
      <c r="F4835" s="6" t="s">
        <v>53</v>
      </c>
      <c r="G4835" s="7">
        <v>41295.07283256564</v>
      </c>
      <c r="H4835" s="6">
        <v>12087029.9642752</v>
      </c>
      <c r="I4835" s="6" t="s">
        <v>180</v>
      </c>
      <c r="J4835" s="15">
        <v>8.537527834847253</v>
      </c>
    </row>
    <row r="4836" spans="1:10">
      <c r="A4836" s="6" t="s">
        <v>146</v>
      </c>
      <c r="B4836" s="6" t="s">
        <v>44</v>
      </c>
      <c r="C4836" s="6" t="s">
        <v>367</v>
      </c>
      <c r="D4836" s="6">
        <v>10.6565</v>
      </c>
      <c r="E4836" s="6" t="s">
        <v>44</v>
      </c>
      <c r="F4836" s="6" t="s">
        <v>55</v>
      </c>
      <c r="G4836" s="7">
        <v>49244.11517900768</v>
      </c>
      <c r="H4836" s="6">
        <v>524769.9134050955</v>
      </c>
      <c r="I4836" s="6" t="s">
        <v>180</v>
      </c>
      <c r="J4836" s="15">
        <v>11.48228557236773</v>
      </c>
    </row>
    <row r="4837" spans="1:10">
      <c r="A4837" s="6" t="s">
        <v>146</v>
      </c>
      <c r="B4837" s="6" t="s">
        <v>44</v>
      </c>
      <c r="C4837" s="6" t="s">
        <v>230</v>
      </c>
      <c r="D4837" s="6">
        <v>308.8215833333334</v>
      </c>
      <c r="E4837" s="6" t="s">
        <v>44</v>
      </c>
      <c r="F4837" s="6" t="s">
        <v>53</v>
      </c>
      <c r="G4837" s="7">
        <v>40526.99807878413</v>
      </c>
      <c r="H4837" s="6">
        <v>12515611.71443707</v>
      </c>
      <c r="I4837" s="6" t="s">
        <v>179</v>
      </c>
      <c r="J4837" s="15">
        <v>43.54166666666667</v>
      </c>
    </row>
    <row r="4838" spans="1:10">
      <c r="A4838" s="6" t="s">
        <v>146</v>
      </c>
      <c r="B4838" s="6" t="s">
        <v>44</v>
      </c>
      <c r="C4838" s="6" t="s">
        <v>378</v>
      </c>
      <c r="D4838" s="6">
        <v>20.81741666666667</v>
      </c>
      <c r="E4838" s="6" t="s">
        <v>44</v>
      </c>
      <c r="F4838" s="6" t="s">
        <v>51</v>
      </c>
      <c r="G4838" s="7">
        <v>36833.11874185415</v>
      </c>
      <c r="H4838" s="6">
        <v>766770.3799819869</v>
      </c>
      <c r="I4838" s="6" t="s">
        <v>180</v>
      </c>
      <c r="J4838" s="15">
        <v>6.884577295595829</v>
      </c>
    </row>
    <row r="4839" spans="1:10">
      <c r="A4839" s="6" t="s">
        <v>146</v>
      </c>
      <c r="B4839" s="6" t="s">
        <v>44</v>
      </c>
      <c r="C4839" s="6" t="s">
        <v>231</v>
      </c>
      <c r="D4839" s="6">
        <v>11.5035</v>
      </c>
      <c r="E4839" s="6" t="s">
        <v>44</v>
      </c>
      <c r="F4839" s="6" t="s">
        <v>52</v>
      </c>
      <c r="G4839" s="7">
        <v>106696.4944389694</v>
      </c>
      <c r="H4839" s="6">
        <v>1227383.123778685</v>
      </c>
      <c r="I4839" s="6" t="s">
        <v>179</v>
      </c>
      <c r="J4839" s="15">
        <v>75</v>
      </c>
    </row>
    <row r="4840" spans="1:10">
      <c r="A4840" s="6" t="s">
        <v>146</v>
      </c>
      <c r="B4840" s="6" t="s">
        <v>44</v>
      </c>
      <c r="C4840" s="6" t="s">
        <v>346</v>
      </c>
      <c r="D4840" s="6">
        <v>7.308166666666666</v>
      </c>
      <c r="E4840" s="6" t="s">
        <v>44</v>
      </c>
      <c r="F4840" s="6" t="s">
        <v>52</v>
      </c>
      <c r="G4840" s="7">
        <v>64169.74384104699</v>
      </c>
      <c r="H4840" s="6">
        <v>468963.1829476782</v>
      </c>
      <c r="I4840" s="6" t="s">
        <v>180</v>
      </c>
      <c r="J4840" s="15">
        <v>17.01155042897912</v>
      </c>
    </row>
    <row r="4841" spans="1:10">
      <c r="A4841" s="6" t="s">
        <v>146</v>
      </c>
      <c r="B4841" s="6" t="s">
        <v>44</v>
      </c>
      <c r="C4841" s="6" t="s">
        <v>232</v>
      </c>
      <c r="D4841" s="6">
        <v>38.29316666666666</v>
      </c>
      <c r="E4841" s="6" t="s">
        <v>44</v>
      </c>
      <c r="F4841" s="6" t="s">
        <v>51</v>
      </c>
      <c r="G4841" s="7">
        <v>28201.41411980885</v>
      </c>
      <c r="H4841" s="6">
        <v>1079921.451125527</v>
      </c>
      <c r="I4841" s="6" t="s">
        <v>179</v>
      </c>
      <c r="J4841" s="15">
        <v>20</v>
      </c>
    </row>
    <row r="4842" spans="1:10">
      <c r="A4842" s="6" t="s">
        <v>146</v>
      </c>
      <c r="B4842" s="6" t="s">
        <v>44</v>
      </c>
      <c r="C4842" s="6" t="s">
        <v>233</v>
      </c>
      <c r="D4842" s="6">
        <v>515.3255833333333</v>
      </c>
      <c r="E4842" s="6" t="s">
        <v>44</v>
      </c>
      <c r="F4842" s="6" t="s">
        <v>59</v>
      </c>
      <c r="G4842" s="7">
        <v>60259.27520860936</v>
      </c>
      <c r="H4842" s="6">
        <v>31053146.14812049</v>
      </c>
      <c r="I4842" s="6" t="s">
        <v>179</v>
      </c>
      <c r="J4842" s="15">
        <v>40.40833333333333</v>
      </c>
    </row>
    <row r="4843" spans="1:10">
      <c r="A4843" s="6" t="s">
        <v>146</v>
      </c>
      <c r="B4843" s="6" t="s">
        <v>44</v>
      </c>
      <c r="C4843" s="6" t="s">
        <v>234</v>
      </c>
      <c r="D4843" s="6">
        <v>186.5790833333333</v>
      </c>
      <c r="E4843" s="6" t="s">
        <v>44</v>
      </c>
      <c r="F4843" s="6" t="s">
        <v>56</v>
      </c>
      <c r="G4843" s="7">
        <v>60675.69596540061</v>
      </c>
      <c r="H4843" s="6">
        <v>11320815.73383648</v>
      </c>
      <c r="I4843" s="6" t="s">
        <v>179</v>
      </c>
      <c r="J4843" s="15">
        <v>37.40833333333333</v>
      </c>
    </row>
    <row r="4844" spans="1:10">
      <c r="A4844" s="6" t="s">
        <v>146</v>
      </c>
      <c r="B4844" s="6" t="s">
        <v>44</v>
      </c>
      <c r="C4844" s="6" t="s">
        <v>235</v>
      </c>
      <c r="D4844" s="6">
        <v>1.461583333333333</v>
      </c>
      <c r="E4844" s="6" t="s">
        <v>44</v>
      </c>
      <c r="F4844" s="6" t="s">
        <v>53</v>
      </c>
      <c r="G4844" s="7">
        <v>42906.76971531406</v>
      </c>
      <c r="H4844" s="6">
        <v>62711.81950307445</v>
      </c>
      <c r="I4844" s="6" t="s">
        <v>180</v>
      </c>
      <c r="J4844" s="15">
        <v>9.134588041494082</v>
      </c>
    </row>
    <row r="4845" spans="1:10">
      <c r="A4845" s="6" t="s">
        <v>146</v>
      </c>
      <c r="B4845" s="6" t="s">
        <v>44</v>
      </c>
      <c r="C4845" s="6" t="s">
        <v>236</v>
      </c>
      <c r="D4845" s="6">
        <v>2322.52375</v>
      </c>
      <c r="E4845" s="6" t="s">
        <v>44</v>
      </c>
      <c r="F4845" s="6" t="s">
        <v>51</v>
      </c>
      <c r="G4845" s="7">
        <v>16875.52434086435</v>
      </c>
      <c r="H4845" s="6">
        <v>39193806.07536056</v>
      </c>
      <c r="I4845" s="6" t="s">
        <v>179</v>
      </c>
      <c r="J4845" s="15">
        <v>16.31666666666667</v>
      </c>
    </row>
    <row r="4846" spans="1:10">
      <c r="A4846" s="6" t="s">
        <v>146</v>
      </c>
      <c r="B4846" s="6" t="s">
        <v>44</v>
      </c>
      <c r="C4846" s="6" t="s">
        <v>237</v>
      </c>
      <c r="D4846" s="6">
        <v>223.1323333333333</v>
      </c>
      <c r="E4846" s="6" t="s">
        <v>44</v>
      </c>
      <c r="F4846" s="6" t="s">
        <v>51</v>
      </c>
      <c r="G4846" s="7">
        <v>25931.08338799715</v>
      </c>
      <c r="H4846" s="6">
        <v>5786063.142225043</v>
      </c>
      <c r="I4846" s="6" t="s">
        <v>179</v>
      </c>
      <c r="J4846" s="15">
        <v>20</v>
      </c>
    </row>
    <row r="4847" spans="1:10">
      <c r="A4847" s="6" t="s">
        <v>146</v>
      </c>
      <c r="B4847" s="6" t="s">
        <v>44</v>
      </c>
      <c r="C4847" s="6" t="s">
        <v>238</v>
      </c>
      <c r="D4847" s="6">
        <v>530.5193333333334</v>
      </c>
      <c r="E4847" s="6" t="s">
        <v>44</v>
      </c>
      <c r="F4847" s="6" t="s">
        <v>51</v>
      </c>
      <c r="G4847" s="7">
        <v>21509.06685400382</v>
      </c>
      <c r="H4847" s="6">
        <v>11410975.80800821</v>
      </c>
      <c r="I4847" s="6" t="s">
        <v>179</v>
      </c>
      <c r="J4847" s="15">
        <v>11</v>
      </c>
    </row>
    <row r="4848" spans="1:10">
      <c r="A4848" s="6" t="s">
        <v>146</v>
      </c>
      <c r="B4848" s="6" t="s">
        <v>44</v>
      </c>
      <c r="C4848" s="6" t="s">
        <v>239</v>
      </c>
      <c r="D4848" s="6">
        <v>495.7991666666666</v>
      </c>
      <c r="E4848" s="6" t="s">
        <v>44</v>
      </c>
      <c r="F4848" s="6" t="s">
        <v>54</v>
      </c>
      <c r="G4848" s="7">
        <v>91141.09901653728</v>
      </c>
      <c r="H4848" s="6">
        <v>45187680.94148333</v>
      </c>
      <c r="I4848" s="6" t="s">
        <v>179</v>
      </c>
      <c r="J4848" s="15">
        <v>62</v>
      </c>
    </row>
    <row r="4849" spans="1:10">
      <c r="A4849" s="6" t="s">
        <v>146</v>
      </c>
      <c r="B4849" s="6" t="s">
        <v>44</v>
      </c>
      <c r="C4849" s="6" t="s">
        <v>379</v>
      </c>
      <c r="D4849" s="6">
        <v>7.57225</v>
      </c>
      <c r="E4849" s="6" t="s">
        <v>44</v>
      </c>
      <c r="F4849" s="6" t="s">
        <v>51</v>
      </c>
      <c r="G4849" s="7">
        <v>54300.15081254677</v>
      </c>
      <c r="H4849" s="6">
        <v>411174.3169903073</v>
      </c>
      <c r="I4849" s="6" t="s">
        <v>180</v>
      </c>
      <c r="J4849" s="15">
        <v>13.35531623494908</v>
      </c>
    </row>
    <row r="4850" spans="1:10">
      <c r="A4850" s="6" t="s">
        <v>146</v>
      </c>
      <c r="B4850" s="6" t="s">
        <v>44</v>
      </c>
      <c r="C4850" s="6" t="s">
        <v>347</v>
      </c>
      <c r="D4850" s="6">
        <v>1.398333333333333</v>
      </c>
      <c r="E4850" s="6" t="s">
        <v>44</v>
      </c>
      <c r="F4850" s="6" t="s">
        <v>52</v>
      </c>
      <c r="G4850" s="7">
        <v>64169.74384104699</v>
      </c>
      <c r="H4850" s="6">
        <v>89730.69180439737</v>
      </c>
      <c r="I4850" s="6" t="s">
        <v>180</v>
      </c>
      <c r="J4850" s="15">
        <v>17.01155042897912</v>
      </c>
    </row>
    <row r="4851" spans="1:10">
      <c r="A4851" s="6" t="s">
        <v>146</v>
      </c>
      <c r="B4851" s="6" t="s">
        <v>44</v>
      </c>
      <c r="C4851" s="6" t="s">
        <v>368</v>
      </c>
      <c r="D4851" s="6">
        <v>4.3285</v>
      </c>
      <c r="E4851" s="6" t="s">
        <v>44</v>
      </c>
      <c r="F4851" s="6" t="s">
        <v>55</v>
      </c>
      <c r="G4851" s="7">
        <v>48770.50191399889</v>
      </c>
      <c r="H4851" s="6">
        <v>211103.1175347442</v>
      </c>
      <c r="I4851" s="6" t="s">
        <v>180</v>
      </c>
      <c r="J4851" s="15">
        <v>11.30683345298744</v>
      </c>
    </row>
    <row r="4852" spans="1:10">
      <c r="A4852" s="6" t="s">
        <v>146</v>
      </c>
      <c r="B4852" s="6" t="s">
        <v>44</v>
      </c>
      <c r="C4852" s="6" t="s">
        <v>240</v>
      </c>
      <c r="D4852" s="6">
        <v>30.819</v>
      </c>
      <c r="E4852" s="6" t="s">
        <v>44</v>
      </c>
      <c r="F4852" s="6" t="s">
        <v>51</v>
      </c>
      <c r="G4852" s="7">
        <v>18174.39388396715</v>
      </c>
      <c r="H4852" s="6">
        <v>560116.6451099836</v>
      </c>
      <c r="I4852" s="6" t="s">
        <v>179</v>
      </c>
      <c r="J4852" s="15">
        <v>18</v>
      </c>
    </row>
    <row r="4853" spans="1:10">
      <c r="A4853" s="6" t="s">
        <v>146</v>
      </c>
      <c r="B4853" s="6" t="s">
        <v>90</v>
      </c>
      <c r="C4853" s="6" t="s">
        <v>241</v>
      </c>
      <c r="D4853" s="6">
        <v>238.216</v>
      </c>
      <c r="E4853" s="6" t="s">
        <v>44</v>
      </c>
      <c r="F4853" s="6" t="s">
        <v>53</v>
      </c>
      <c r="G4853" s="7">
        <v>26388.49277067184</v>
      </c>
      <c r="H4853" s="6">
        <v>6286161.193858364</v>
      </c>
      <c r="I4853" s="6" t="s">
        <v>179</v>
      </c>
      <c r="J4853" s="15">
        <v>14.36666666666667</v>
      </c>
    </row>
    <row r="4854" spans="1:10">
      <c r="A4854" s="6" t="s">
        <v>146</v>
      </c>
      <c r="B4854" s="6" t="s">
        <v>44</v>
      </c>
      <c r="C4854" s="6" t="s">
        <v>242</v>
      </c>
      <c r="D4854" s="6">
        <v>1323.39175</v>
      </c>
      <c r="E4854" s="6" t="s">
        <v>44</v>
      </c>
      <c r="F4854" s="6" t="s">
        <v>56</v>
      </c>
      <c r="G4854" s="7">
        <v>41454.84700212286</v>
      </c>
      <c r="H4854" s="6">
        <v>54861002.52012163</v>
      </c>
      <c r="I4854" s="6" t="s">
        <v>179</v>
      </c>
      <c r="J4854" s="15">
        <v>28.81666666666667</v>
      </c>
    </row>
    <row r="4855" spans="1:10">
      <c r="A4855" s="6" t="s">
        <v>146</v>
      </c>
      <c r="B4855" s="6" t="s">
        <v>44</v>
      </c>
      <c r="C4855" s="6" t="s">
        <v>243</v>
      </c>
      <c r="D4855" s="6">
        <v>1.592833333333333</v>
      </c>
      <c r="E4855" s="6" t="s">
        <v>44</v>
      </c>
      <c r="F4855" s="6" t="s">
        <v>58</v>
      </c>
      <c r="G4855" s="7">
        <v>39072.48177856206</v>
      </c>
      <c r="H4855" s="6">
        <v>62235.95139295293</v>
      </c>
      <c r="I4855" s="6" t="s">
        <v>180</v>
      </c>
      <c r="J4855" s="15">
        <v>7.714159192642155</v>
      </c>
    </row>
    <row r="4856" spans="1:10">
      <c r="A4856" s="6" t="s">
        <v>146</v>
      </c>
      <c r="B4856" s="6" t="s">
        <v>44</v>
      </c>
      <c r="C4856" s="6" t="s">
        <v>369</v>
      </c>
      <c r="D4856" s="6">
        <v>5.792583333333333</v>
      </c>
      <c r="E4856" s="6" t="s">
        <v>44</v>
      </c>
      <c r="F4856" s="6" t="s">
        <v>55</v>
      </c>
      <c r="G4856" s="7">
        <v>49104.86498874119</v>
      </c>
      <c r="H4856" s="6">
        <v>284444.0225193657</v>
      </c>
      <c r="I4856" s="6" t="s">
        <v>180</v>
      </c>
      <c r="J4856" s="15">
        <v>11.43069972625358</v>
      </c>
    </row>
    <row r="4857" spans="1:10">
      <c r="A4857" s="6" t="s">
        <v>146</v>
      </c>
      <c r="B4857" s="6" t="s">
        <v>44</v>
      </c>
      <c r="C4857" s="6" t="s">
        <v>244</v>
      </c>
      <c r="D4857" s="6">
        <v>48.03874999999999</v>
      </c>
      <c r="E4857" s="6" t="s">
        <v>44</v>
      </c>
      <c r="F4857" s="6" t="s">
        <v>55</v>
      </c>
      <c r="G4857" s="7">
        <v>48324.15434814322</v>
      </c>
      <c r="H4857" s="6">
        <v>2321431.969691865</v>
      </c>
      <c r="I4857" s="6" t="s">
        <v>180</v>
      </c>
      <c r="J4857" s="15">
        <v>25.75</v>
      </c>
    </row>
    <row r="4858" spans="1:10">
      <c r="A4858" s="6" t="s">
        <v>146</v>
      </c>
      <c r="B4858" s="6" t="s">
        <v>90</v>
      </c>
      <c r="C4858" s="6" t="s">
        <v>245</v>
      </c>
      <c r="D4858" s="6">
        <v>216.7365833333333</v>
      </c>
      <c r="E4858" s="6" t="s">
        <v>44</v>
      </c>
      <c r="F4858" s="6" t="s">
        <v>53</v>
      </c>
      <c r="G4858" s="7">
        <v>15981.96816829709</v>
      </c>
      <c r="H4858" s="6">
        <v>3463877.175738804</v>
      </c>
      <c r="I4858" s="6" t="s">
        <v>179</v>
      </c>
      <c r="J4858" s="15">
        <v>38</v>
      </c>
    </row>
    <row r="4859" spans="1:10">
      <c r="A4859" s="6" t="s">
        <v>146</v>
      </c>
      <c r="B4859" s="6" t="s">
        <v>44</v>
      </c>
      <c r="C4859" s="6" t="s">
        <v>246</v>
      </c>
      <c r="D4859" s="6">
        <v>0.7715833333333333</v>
      </c>
      <c r="E4859" s="6" t="s">
        <v>44</v>
      </c>
      <c r="F4859" s="6" t="s">
        <v>53</v>
      </c>
      <c r="G4859" s="7">
        <v>41073.70877033749</v>
      </c>
      <c r="H4859" s="6">
        <v>31691.78912537957</v>
      </c>
      <c r="I4859" s="6" t="s">
        <v>180</v>
      </c>
      <c r="J4859" s="15">
        <v>8.45552254331084</v>
      </c>
    </row>
    <row r="4860" spans="1:10">
      <c r="A4860" s="6" t="s">
        <v>146</v>
      </c>
      <c r="B4860" s="6" t="s">
        <v>44</v>
      </c>
      <c r="C4860" s="6" t="s">
        <v>348</v>
      </c>
      <c r="D4860" s="6">
        <v>3.374166666666667</v>
      </c>
      <c r="E4860" s="6" t="s">
        <v>44</v>
      </c>
      <c r="F4860" s="6" t="s">
        <v>52</v>
      </c>
      <c r="G4860" s="7">
        <v>64169.74384104699</v>
      </c>
      <c r="H4860" s="6">
        <v>216519.4106769994</v>
      </c>
      <c r="I4860" s="6" t="s">
        <v>180</v>
      </c>
      <c r="J4860" s="15">
        <v>17.01155042897912</v>
      </c>
    </row>
    <row r="4861" spans="1:10">
      <c r="A4861" s="6" t="s">
        <v>146</v>
      </c>
      <c r="B4861" s="6" t="s">
        <v>44</v>
      </c>
      <c r="C4861" s="6" t="s">
        <v>349</v>
      </c>
      <c r="D4861" s="6">
        <v>11.19583333333333</v>
      </c>
      <c r="E4861" s="6" t="s">
        <v>44</v>
      </c>
      <c r="F4861" s="6" t="s">
        <v>52</v>
      </c>
      <c r="G4861" s="7">
        <v>64169.74384104699</v>
      </c>
      <c r="H4861" s="6">
        <v>718433.7570870552</v>
      </c>
      <c r="I4861" s="6" t="s">
        <v>180</v>
      </c>
      <c r="J4861" s="15">
        <v>17.01155042897912</v>
      </c>
    </row>
    <row r="4862" spans="1:10">
      <c r="A4862" s="6" t="s">
        <v>146</v>
      </c>
      <c r="B4862" s="6" t="s">
        <v>44</v>
      </c>
      <c r="C4862" s="6" t="s">
        <v>247</v>
      </c>
      <c r="D4862" s="6">
        <v>1282.38175</v>
      </c>
      <c r="E4862" s="6" t="s">
        <v>44</v>
      </c>
      <c r="F4862" s="6" t="s">
        <v>51</v>
      </c>
      <c r="G4862" s="7">
        <v>30572.38239922268</v>
      </c>
      <c r="H4862" s="6">
        <v>39205465.24278438</v>
      </c>
      <c r="I4862" s="6" t="s">
        <v>179</v>
      </c>
      <c r="J4862" s="15">
        <v>25.55</v>
      </c>
    </row>
    <row r="4863" spans="1:10">
      <c r="A4863" s="6" t="s">
        <v>146</v>
      </c>
      <c r="B4863" s="6" t="s">
        <v>44</v>
      </c>
      <c r="C4863" s="6" t="s">
        <v>248</v>
      </c>
      <c r="D4863" s="6">
        <v>173.54175</v>
      </c>
      <c r="E4863" s="6" t="s">
        <v>44</v>
      </c>
      <c r="F4863" s="6" t="s">
        <v>55</v>
      </c>
      <c r="G4863" s="7">
        <v>87415.63794531897</v>
      </c>
      <c r="H4863" s="6">
        <v>15170262.78639706</v>
      </c>
      <c r="I4863" s="6" t="s">
        <v>179</v>
      </c>
      <c r="J4863" s="15">
        <v>48.6</v>
      </c>
    </row>
    <row r="4864" spans="1:10">
      <c r="A4864" s="6" t="s">
        <v>146</v>
      </c>
      <c r="B4864" s="6" t="s">
        <v>44</v>
      </c>
      <c r="C4864" s="6" t="s">
        <v>249</v>
      </c>
      <c r="D4864" s="6">
        <v>1555.548416666667</v>
      </c>
      <c r="E4864" s="6" t="s">
        <v>44</v>
      </c>
      <c r="F4864" s="6" t="s">
        <v>53</v>
      </c>
      <c r="G4864" s="7">
        <v>42005.85786023017</v>
      </c>
      <c r="H4864" s="6">
        <v>65342145.6852061</v>
      </c>
      <c r="I4864" s="6" t="s">
        <v>179</v>
      </c>
      <c r="J4864" s="15">
        <v>39.98333333333333</v>
      </c>
    </row>
    <row r="4865" spans="1:10">
      <c r="A4865" s="6" t="s">
        <v>146</v>
      </c>
      <c r="B4865" s="6" t="s">
        <v>44</v>
      </c>
      <c r="C4865" s="6" t="s">
        <v>351</v>
      </c>
      <c r="D4865" s="6">
        <v>8.927666666666667</v>
      </c>
      <c r="E4865" s="6" t="s">
        <v>44</v>
      </c>
      <c r="F4865" s="6" t="s">
        <v>53</v>
      </c>
      <c r="G4865" s="7">
        <v>50618.83248175711</v>
      </c>
      <c r="H4865" s="6">
        <v>451908.0634529669</v>
      </c>
      <c r="I4865" s="6" t="s">
        <v>180</v>
      </c>
      <c r="J4865" s="15">
        <v>11.99155565016354</v>
      </c>
    </row>
    <row r="4866" spans="1:10">
      <c r="A4866" s="6" t="s">
        <v>146</v>
      </c>
      <c r="B4866" s="6" t="s">
        <v>44</v>
      </c>
      <c r="C4866" s="6" t="s">
        <v>250</v>
      </c>
      <c r="D4866" s="6">
        <v>45.43375</v>
      </c>
      <c r="E4866" s="6" t="s">
        <v>44</v>
      </c>
      <c r="F4866" s="6" t="s">
        <v>55</v>
      </c>
      <c r="G4866" s="7">
        <v>52905.45321842405</v>
      </c>
      <c r="H4866" s="6">
        <v>2403693.135162574</v>
      </c>
      <c r="I4866" s="6" t="s">
        <v>180</v>
      </c>
      <c r="J4866" s="15">
        <v>29</v>
      </c>
    </row>
    <row r="4867" spans="1:10">
      <c r="A4867" s="6" t="s">
        <v>146</v>
      </c>
      <c r="B4867" s="6" t="s">
        <v>44</v>
      </c>
      <c r="C4867" s="6" t="s">
        <v>251</v>
      </c>
      <c r="D4867" s="6">
        <v>15.83183333333333</v>
      </c>
      <c r="E4867" s="6" t="s">
        <v>44</v>
      </c>
      <c r="F4867" s="6" t="s">
        <v>53</v>
      </c>
      <c r="G4867" s="7">
        <v>35076.47747982296</v>
      </c>
      <c r="H4867" s="6">
        <v>555324.9453809772</v>
      </c>
      <c r="I4867" s="6" t="s">
        <v>179</v>
      </c>
      <c r="J4867" s="15">
        <v>8.671570765153875</v>
      </c>
    </row>
    <row r="4868" spans="1:10">
      <c r="A4868" s="6" t="s">
        <v>146</v>
      </c>
      <c r="B4868" s="6" t="s">
        <v>44</v>
      </c>
      <c r="C4868" s="6" t="s">
        <v>252</v>
      </c>
      <c r="D4868" s="6">
        <v>177.26425</v>
      </c>
      <c r="E4868" s="6" t="s">
        <v>44</v>
      </c>
      <c r="F4868" s="6" t="s">
        <v>57</v>
      </c>
      <c r="G4868" s="7">
        <v>29402.0465874927</v>
      </c>
      <c r="H4868" s="6">
        <v>5211931.736796953</v>
      </c>
      <c r="I4868" s="6" t="s">
        <v>179</v>
      </c>
      <c r="J4868" s="15">
        <v>20</v>
      </c>
    </row>
    <row r="4869" spans="1:10">
      <c r="A4869" s="6" t="s">
        <v>146</v>
      </c>
      <c r="B4869" s="6" t="s">
        <v>90</v>
      </c>
      <c r="C4869" s="6" t="s">
        <v>253</v>
      </c>
      <c r="D4869" s="6">
        <v>410.5015</v>
      </c>
      <c r="E4869" s="6" t="s">
        <v>44</v>
      </c>
      <c r="F4869" s="6" t="s">
        <v>53</v>
      </c>
      <c r="G4869" s="7">
        <v>32446.79249986879</v>
      </c>
      <c r="H4869" s="6">
        <v>13319456.99138489</v>
      </c>
      <c r="I4869" s="6" t="s">
        <v>179</v>
      </c>
      <c r="J4869" s="15">
        <v>16</v>
      </c>
    </row>
    <row r="4870" spans="1:10">
      <c r="A4870" s="6" t="s">
        <v>146</v>
      </c>
      <c r="B4870" s="6" t="s">
        <v>86</v>
      </c>
      <c r="C4870" s="6" t="s">
        <v>353</v>
      </c>
      <c r="D4870" s="6">
        <v>7.990166666666667</v>
      </c>
      <c r="E4870" s="6" t="s">
        <v>44</v>
      </c>
      <c r="F4870" s="6" t="s">
        <v>62</v>
      </c>
      <c r="G4870" s="7">
        <v>81005.34654028571</v>
      </c>
      <c r="H4870" s="6">
        <v>647246.2197479729</v>
      </c>
      <c r="I4870" s="6" t="s">
        <v>179</v>
      </c>
      <c r="J4870" s="15">
        <v>102.3</v>
      </c>
    </row>
    <row r="4871" spans="1:10">
      <c r="A4871" s="6" t="s">
        <v>146</v>
      </c>
      <c r="B4871" s="6" t="s">
        <v>44</v>
      </c>
      <c r="C4871" s="6" t="s">
        <v>254</v>
      </c>
      <c r="D4871" s="6">
        <v>6.431416666666666</v>
      </c>
      <c r="E4871" s="6" t="s">
        <v>44</v>
      </c>
      <c r="F4871" s="6" t="s">
        <v>51</v>
      </c>
      <c r="G4871" s="7">
        <v>67100.46594067648</v>
      </c>
      <c r="H4871" s="6">
        <v>431551.0549919657</v>
      </c>
      <c r="I4871" s="6" t="s">
        <v>179</v>
      </c>
      <c r="J4871" s="15">
        <v>18.5</v>
      </c>
    </row>
    <row r="4872" spans="1:10">
      <c r="A4872" s="6" t="s">
        <v>146</v>
      </c>
      <c r="B4872" s="6" t="s">
        <v>44</v>
      </c>
      <c r="C4872" s="6" t="s">
        <v>255</v>
      </c>
      <c r="D4872" s="6">
        <v>86.04483333333333</v>
      </c>
      <c r="E4872" s="6" t="s">
        <v>44</v>
      </c>
      <c r="F4872" s="6" t="s">
        <v>51</v>
      </c>
      <c r="G4872" s="7">
        <v>32463.72189421727</v>
      </c>
      <c r="H4872" s="6">
        <v>2793335.539767609</v>
      </c>
      <c r="I4872" s="6" t="s">
        <v>179</v>
      </c>
      <c r="J4872" s="15">
        <v>13.29939623747558</v>
      </c>
    </row>
    <row r="4873" spans="1:10">
      <c r="A4873" s="6" t="s">
        <v>146</v>
      </c>
      <c r="B4873" s="6" t="s">
        <v>44</v>
      </c>
      <c r="C4873" s="6" t="s">
        <v>256</v>
      </c>
      <c r="D4873" s="6">
        <v>2.17225</v>
      </c>
      <c r="E4873" s="6" t="s">
        <v>44</v>
      </c>
      <c r="F4873" s="6" t="s">
        <v>57</v>
      </c>
      <c r="G4873" s="7">
        <v>42467.27080588165</v>
      </c>
      <c r="H4873" s="6">
        <v>92249.52900807641</v>
      </c>
      <c r="I4873" s="6" t="s">
        <v>180</v>
      </c>
      <c r="J4873" s="15">
        <v>25.26666666666667</v>
      </c>
    </row>
    <row r="4874" spans="1:10">
      <c r="A4874" s="6" t="s">
        <v>146</v>
      </c>
      <c r="B4874" s="6" t="s">
        <v>99</v>
      </c>
      <c r="C4874" s="6" t="s">
        <v>257</v>
      </c>
      <c r="D4874" s="6">
        <v>15.38883333333333</v>
      </c>
      <c r="E4874" s="6" t="s">
        <v>44</v>
      </c>
      <c r="F4874" s="6" t="s">
        <v>52</v>
      </c>
      <c r="G4874" s="7">
        <v>75774.66216780181</v>
      </c>
      <c r="H4874" s="6">
        <v>1166083.646989941</v>
      </c>
      <c r="I4874" s="6" t="s">
        <v>180</v>
      </c>
      <c r="J4874" s="15">
        <v>18.54075282561386</v>
      </c>
    </row>
    <row r="4875" spans="1:10">
      <c r="A4875" s="6" t="s">
        <v>146</v>
      </c>
      <c r="B4875" s="6" t="s">
        <v>44</v>
      </c>
      <c r="C4875" s="6" t="s">
        <v>258</v>
      </c>
      <c r="D4875" s="6">
        <v>10.9775</v>
      </c>
      <c r="E4875" s="6" t="s">
        <v>44</v>
      </c>
      <c r="F4875" s="6" t="s">
        <v>52</v>
      </c>
      <c r="G4875" s="7">
        <v>106696.4944389694</v>
      </c>
      <c r="H4875" s="6">
        <v>1171260.767703787</v>
      </c>
      <c r="I4875" s="6" t="s">
        <v>179</v>
      </c>
      <c r="J4875" s="15">
        <v>74</v>
      </c>
    </row>
    <row r="4876" spans="1:10">
      <c r="A4876" s="6" t="s">
        <v>146</v>
      </c>
      <c r="B4876" s="6" t="s">
        <v>44</v>
      </c>
      <c r="C4876" s="6" t="s">
        <v>259</v>
      </c>
      <c r="D4876" s="6">
        <v>129.1553333333333</v>
      </c>
      <c r="E4876" s="6" t="s">
        <v>44</v>
      </c>
      <c r="F4876" s="6" t="s">
        <v>56</v>
      </c>
      <c r="G4876" s="7">
        <v>42233.6310286505</v>
      </c>
      <c r="H4876" s="6">
        <v>5454698.693382365</v>
      </c>
      <c r="I4876" s="6" t="s">
        <v>179</v>
      </c>
      <c r="J4876" s="15">
        <v>38.91666666666667</v>
      </c>
    </row>
    <row r="4877" spans="1:10">
      <c r="A4877" s="6" t="s">
        <v>146</v>
      </c>
      <c r="B4877" s="6" t="s">
        <v>44</v>
      </c>
      <c r="C4877" s="6" t="s">
        <v>260</v>
      </c>
      <c r="D4877" s="6">
        <v>837.7824166666667</v>
      </c>
      <c r="E4877" s="6" t="s">
        <v>44</v>
      </c>
      <c r="F4877" s="6" t="s">
        <v>52</v>
      </c>
      <c r="G4877" s="7">
        <v>54560.56274648917</v>
      </c>
      <c r="H4877" s="6">
        <v>45709880.112447</v>
      </c>
      <c r="I4877" s="6" t="s">
        <v>179</v>
      </c>
      <c r="J4877" s="15">
        <v>53</v>
      </c>
    </row>
    <row r="4878" spans="1:10">
      <c r="A4878" s="6" t="s">
        <v>146</v>
      </c>
      <c r="B4878" s="6" t="s">
        <v>44</v>
      </c>
      <c r="C4878" s="6" t="s">
        <v>261</v>
      </c>
      <c r="D4878" s="6">
        <v>1.820916666666667</v>
      </c>
      <c r="E4878" s="6" t="s">
        <v>44</v>
      </c>
      <c r="F4878" s="6" t="s">
        <v>54</v>
      </c>
      <c r="G4878" s="7">
        <v>66379.62434043601</v>
      </c>
      <c r="H4878" s="6">
        <v>120871.7642885723</v>
      </c>
      <c r="I4878" s="6" t="s">
        <v>180</v>
      </c>
      <c r="J4878" s="15">
        <v>17.83021039026165</v>
      </c>
    </row>
    <row r="4879" spans="1:10">
      <c r="A4879" s="6" t="s">
        <v>146</v>
      </c>
      <c r="B4879" s="6" t="s">
        <v>44</v>
      </c>
      <c r="C4879" s="6" t="s">
        <v>262</v>
      </c>
      <c r="D4879" s="6">
        <v>399.2974166666667</v>
      </c>
      <c r="E4879" s="6" t="s">
        <v>44</v>
      </c>
      <c r="F4879" s="6" t="s">
        <v>51</v>
      </c>
      <c r="G4879" s="7">
        <v>21698.35157241016</v>
      </c>
      <c r="H4879" s="6">
        <v>8664095.728788482</v>
      </c>
      <c r="I4879" s="6" t="s">
        <v>179</v>
      </c>
      <c r="J4879" s="15">
        <v>22.96666666666667</v>
      </c>
    </row>
    <row r="4880" spans="1:10">
      <c r="A4880" s="6" t="s">
        <v>146</v>
      </c>
      <c r="B4880" s="6" t="s">
        <v>90</v>
      </c>
      <c r="C4880" s="6" t="s">
        <v>263</v>
      </c>
      <c r="D4880" s="6">
        <v>304.8245833333333</v>
      </c>
      <c r="E4880" s="6" t="s">
        <v>44</v>
      </c>
      <c r="F4880" s="6" t="s">
        <v>54</v>
      </c>
      <c r="G4880" s="7">
        <v>65896.61824279206</v>
      </c>
      <c r="H4880" s="6">
        <v>20086909.19893482</v>
      </c>
      <c r="I4880" s="6" t="s">
        <v>179</v>
      </c>
      <c r="J4880" s="15">
        <v>46.91666666666666</v>
      </c>
    </row>
    <row r="4881" spans="1:10">
      <c r="A4881" s="6" t="s">
        <v>146</v>
      </c>
      <c r="B4881" s="6" t="s">
        <v>90</v>
      </c>
      <c r="C4881" s="6" t="s">
        <v>264</v>
      </c>
      <c r="D4881" s="6">
        <v>154.22675</v>
      </c>
      <c r="E4881" s="6" t="s">
        <v>44</v>
      </c>
      <c r="F4881" s="6" t="s">
        <v>54</v>
      </c>
      <c r="G4881" s="7">
        <v>89766.53686395117</v>
      </c>
      <c r="H4881" s="6">
        <v>13844401.23928238</v>
      </c>
      <c r="I4881" s="6" t="s">
        <v>180</v>
      </c>
      <c r="J4881" s="15">
        <v>22.00286209871706</v>
      </c>
    </row>
    <row r="4882" spans="1:10">
      <c r="A4882" s="6" t="s">
        <v>146</v>
      </c>
      <c r="B4882" s="6" t="s">
        <v>44</v>
      </c>
      <c r="C4882" s="6" t="s">
        <v>265</v>
      </c>
      <c r="D4882" s="6">
        <v>554.6828333333333</v>
      </c>
      <c r="E4882" s="6" t="s">
        <v>44</v>
      </c>
      <c r="F4882" s="6" t="s">
        <v>54</v>
      </c>
      <c r="G4882" s="7">
        <v>99228.92218252944</v>
      </c>
      <c r="H4882" s="6">
        <v>55040579.70481827</v>
      </c>
      <c r="I4882" s="6" t="s">
        <v>179</v>
      </c>
      <c r="J4882" s="15">
        <v>72.81666666666666</v>
      </c>
    </row>
    <row r="4883" spans="1:10">
      <c r="A4883" s="6" t="s">
        <v>146</v>
      </c>
      <c r="B4883" s="6" t="s">
        <v>44</v>
      </c>
      <c r="C4883" s="6" t="s">
        <v>266</v>
      </c>
      <c r="D4883" s="6">
        <v>350.448</v>
      </c>
      <c r="E4883" s="6" t="s">
        <v>44</v>
      </c>
      <c r="F4883" s="6" t="s">
        <v>57</v>
      </c>
      <c r="G4883" s="7">
        <v>50415.37206732162</v>
      </c>
      <c r="H4883" s="6">
        <v>17667966.31024873</v>
      </c>
      <c r="I4883" s="6" t="s">
        <v>179</v>
      </c>
      <c r="J4883" s="15">
        <v>51.35</v>
      </c>
    </row>
    <row r="4884" spans="1:10">
      <c r="A4884" s="6" t="s">
        <v>146</v>
      </c>
      <c r="B4884" s="6" t="s">
        <v>44</v>
      </c>
      <c r="C4884" s="6" t="s">
        <v>354</v>
      </c>
      <c r="D4884" s="6">
        <v>0.14</v>
      </c>
      <c r="E4884" s="6" t="s">
        <v>44</v>
      </c>
      <c r="F4884" s="6" t="s">
        <v>51</v>
      </c>
      <c r="G4884" s="7">
        <v>34245.1170714133</v>
      </c>
      <c r="H4884" s="6">
        <v>4794.316389997862</v>
      </c>
      <c r="I4884" s="6" t="s">
        <v>180</v>
      </c>
      <c r="J4884" s="15">
        <v>5.925840681598826</v>
      </c>
    </row>
    <row r="4885" spans="1:10">
      <c r="A4885" s="6" t="s">
        <v>146</v>
      </c>
      <c r="B4885" s="6" t="s">
        <v>44</v>
      </c>
      <c r="C4885" s="6" t="s">
        <v>355</v>
      </c>
      <c r="D4885" s="6">
        <v>2.770833333333333</v>
      </c>
      <c r="E4885" s="6" t="s">
        <v>44</v>
      </c>
      <c r="F4885" s="6" t="s">
        <v>52</v>
      </c>
      <c r="G4885" s="7">
        <v>64169.74384104699</v>
      </c>
      <c r="H4885" s="6">
        <v>177803.6652262344</v>
      </c>
      <c r="I4885" s="6" t="s">
        <v>180</v>
      </c>
      <c r="J4885" s="15">
        <v>17.01155042897912</v>
      </c>
    </row>
    <row r="4886" spans="1:10">
      <c r="A4886" s="6" t="s">
        <v>146</v>
      </c>
      <c r="B4886" s="6" t="s">
        <v>44</v>
      </c>
      <c r="C4886" s="6" t="s">
        <v>267</v>
      </c>
      <c r="D4886" s="6">
        <v>2479.645083333333</v>
      </c>
      <c r="E4886" s="6" t="s">
        <v>44</v>
      </c>
      <c r="F4886" s="6" t="s">
        <v>53</v>
      </c>
      <c r="G4886" s="7">
        <v>48667.70261730252</v>
      </c>
      <c r="H4886" s="6">
        <v>120678629.512123</v>
      </c>
      <c r="I4886" s="6" t="s">
        <v>179</v>
      </c>
      <c r="J4886" s="15">
        <v>37</v>
      </c>
    </row>
    <row r="4887" spans="1:10">
      <c r="A4887" s="6" t="s">
        <v>146</v>
      </c>
      <c r="B4887" s="6" t="s">
        <v>44</v>
      </c>
      <c r="C4887" s="6" t="s">
        <v>268</v>
      </c>
      <c r="D4887" s="6">
        <v>3.975</v>
      </c>
      <c r="E4887" s="6" t="s">
        <v>44</v>
      </c>
      <c r="F4887" s="6" t="s">
        <v>51</v>
      </c>
      <c r="G4887" s="7">
        <v>19920.3047306236</v>
      </c>
      <c r="H4887" s="6">
        <v>79183.21130422883</v>
      </c>
      <c r="I4887" s="6" t="s">
        <v>179</v>
      </c>
      <c r="J4887" s="15">
        <v>6.233478833728606</v>
      </c>
    </row>
    <row r="4888" spans="1:10">
      <c r="A4888" s="6" t="s">
        <v>146</v>
      </c>
      <c r="B4888" s="6" t="s">
        <v>86</v>
      </c>
      <c r="C4888" s="6" t="s">
        <v>269</v>
      </c>
      <c r="D4888" s="6">
        <v>16.59816666666667</v>
      </c>
      <c r="E4888" s="6" t="s">
        <v>44</v>
      </c>
      <c r="F4888" s="6" t="s">
        <v>52</v>
      </c>
      <c r="G4888" s="7">
        <v>83790.30016891156</v>
      </c>
      <c r="H4888" s="6">
        <v>1390765.367253622</v>
      </c>
      <c r="I4888" s="6" t="s">
        <v>179</v>
      </c>
      <c r="J4888" s="15">
        <v>44.5</v>
      </c>
    </row>
    <row r="4889" spans="1:10">
      <c r="A4889" s="6" t="s">
        <v>146</v>
      </c>
      <c r="B4889" s="6" t="s">
        <v>44</v>
      </c>
      <c r="C4889" s="6" t="s">
        <v>270</v>
      </c>
      <c r="D4889" s="6">
        <v>193.1909166666667</v>
      </c>
      <c r="E4889" s="6" t="s">
        <v>44</v>
      </c>
      <c r="F4889" s="6" t="s">
        <v>59</v>
      </c>
      <c r="G4889" s="7">
        <v>65211.48255173301</v>
      </c>
      <c r="H4889" s="6">
        <v>12598266.09136164</v>
      </c>
      <c r="I4889" s="6" t="s">
        <v>179</v>
      </c>
      <c r="J4889" s="15">
        <v>52.22499999999999</v>
      </c>
    </row>
    <row r="4890" spans="1:10">
      <c r="A4890" s="6" t="s">
        <v>146</v>
      </c>
      <c r="B4890" s="6" t="s">
        <v>86</v>
      </c>
      <c r="C4890" s="6" t="s">
        <v>271</v>
      </c>
      <c r="D4890" s="6">
        <v>148.6649249730664</v>
      </c>
      <c r="E4890" s="6" t="s">
        <v>44</v>
      </c>
      <c r="F4890" s="6" t="s">
        <v>54</v>
      </c>
      <c r="G4890" s="7">
        <v>81091.15446449892</v>
      </c>
      <c r="H4890" s="6">
        <v>12055410.39444407</v>
      </c>
      <c r="I4890" s="6" t="s">
        <v>179</v>
      </c>
      <c r="J4890" s="15">
        <v>47.58333333333334</v>
      </c>
    </row>
    <row r="4891" spans="1:10">
      <c r="A4891" s="6" t="s">
        <v>146</v>
      </c>
      <c r="B4891" s="6" t="s">
        <v>99</v>
      </c>
      <c r="C4891" s="6" t="s">
        <v>271</v>
      </c>
      <c r="D4891" s="6">
        <v>669.647908360267</v>
      </c>
      <c r="E4891" s="6" t="s">
        <v>44</v>
      </c>
      <c r="F4891" s="6" t="s">
        <v>54</v>
      </c>
      <c r="G4891" s="7">
        <v>71251.68519479706</v>
      </c>
      <c r="H4891" s="6">
        <v>47713541.95784006</v>
      </c>
      <c r="I4891" s="6" t="s">
        <v>180</v>
      </c>
      <c r="J4891" s="15">
        <v>17.03053040549212</v>
      </c>
    </row>
    <row r="4892" spans="1:10">
      <c r="A4892" s="6" t="s">
        <v>146</v>
      </c>
      <c r="B4892" s="6" t="s">
        <v>44</v>
      </c>
      <c r="C4892" s="6" t="s">
        <v>272</v>
      </c>
      <c r="D4892" s="6">
        <v>65.2705</v>
      </c>
      <c r="E4892" s="6" t="s">
        <v>44</v>
      </c>
      <c r="F4892" s="6" t="s">
        <v>51</v>
      </c>
      <c r="G4892" s="7">
        <v>25556.23235325186</v>
      </c>
      <c r="H4892" s="6">
        <v>1668068.063812925</v>
      </c>
      <c r="I4892" s="6" t="s">
        <v>179</v>
      </c>
      <c r="J4892" s="15">
        <v>19</v>
      </c>
    </row>
    <row r="4893" spans="1:10">
      <c r="A4893" s="6" t="s">
        <v>146</v>
      </c>
      <c r="B4893" s="6" t="s">
        <v>44</v>
      </c>
      <c r="C4893" s="6" t="s">
        <v>273</v>
      </c>
      <c r="D4893" s="6">
        <v>1091.1455</v>
      </c>
      <c r="E4893" s="6" t="s">
        <v>44</v>
      </c>
      <c r="F4893" s="6" t="s">
        <v>51</v>
      </c>
      <c r="G4893" s="7">
        <v>40826.03765706107</v>
      </c>
      <c r="H4893" s="6">
        <v>44547147.27233272</v>
      </c>
      <c r="I4893" s="6" t="s">
        <v>179</v>
      </c>
      <c r="J4893" s="15">
        <v>26.31666666666667</v>
      </c>
    </row>
    <row r="4894" spans="1:10">
      <c r="A4894" s="6" t="s">
        <v>146</v>
      </c>
      <c r="B4894" s="6" t="s">
        <v>44</v>
      </c>
      <c r="C4894" s="6" t="s">
        <v>274</v>
      </c>
      <c r="D4894" s="6">
        <v>154.8745833333333</v>
      </c>
      <c r="E4894" s="6" t="s">
        <v>44</v>
      </c>
      <c r="F4894" s="6" t="s">
        <v>56</v>
      </c>
      <c r="G4894" s="7">
        <v>71131.25468556939</v>
      </c>
      <c r="H4894" s="6">
        <v>11016423.43140477</v>
      </c>
      <c r="I4894" s="6" t="s">
        <v>179</v>
      </c>
      <c r="J4894" s="15">
        <v>42</v>
      </c>
    </row>
    <row r="4895" spans="1:10">
      <c r="A4895" s="6" t="s">
        <v>146</v>
      </c>
      <c r="B4895" s="6" t="s">
        <v>44</v>
      </c>
      <c r="C4895" s="6" t="s">
        <v>275</v>
      </c>
      <c r="D4895" s="6">
        <v>12.52058333333333</v>
      </c>
      <c r="E4895" s="6" t="s">
        <v>44</v>
      </c>
      <c r="F4895" s="6" t="s">
        <v>51</v>
      </c>
      <c r="G4895" s="7">
        <v>59571.48346905452</v>
      </c>
      <c r="H4895" s="6">
        <v>745869.7230645863</v>
      </c>
      <c r="I4895" s="6" t="s">
        <v>179</v>
      </c>
      <c r="J4895" s="15">
        <v>19</v>
      </c>
    </row>
    <row r="4896" spans="1:10">
      <c r="A4896" s="6" t="s">
        <v>146</v>
      </c>
      <c r="B4896" s="6" t="s">
        <v>44</v>
      </c>
      <c r="C4896" s="6" t="s">
        <v>276</v>
      </c>
      <c r="D4896" s="6">
        <v>287.6583333333333</v>
      </c>
      <c r="E4896" s="6" t="s">
        <v>44</v>
      </c>
      <c r="F4896" s="6" t="s">
        <v>51</v>
      </c>
      <c r="G4896" s="7">
        <v>39632.99974164585</v>
      </c>
      <c r="H4896" s="6">
        <v>11400762.65068227</v>
      </c>
      <c r="I4896" s="6" t="s">
        <v>179</v>
      </c>
      <c r="J4896" s="15">
        <v>46</v>
      </c>
    </row>
    <row r="4897" spans="1:10">
      <c r="A4897" s="6" t="s">
        <v>146</v>
      </c>
      <c r="B4897" s="6" t="s">
        <v>44</v>
      </c>
      <c r="C4897" s="6" t="s">
        <v>277</v>
      </c>
      <c r="D4897" s="6">
        <v>1.565833333333333</v>
      </c>
      <c r="E4897" s="6" t="s">
        <v>44</v>
      </c>
      <c r="F4897" s="6" t="s">
        <v>57</v>
      </c>
      <c r="G4897" s="7">
        <v>40351.08108770724</v>
      </c>
      <c r="H4897" s="6">
        <v>63183.06780316826</v>
      </c>
      <c r="I4897" s="6" t="s">
        <v>180</v>
      </c>
      <c r="J4897" s="15">
        <v>8.187821936491906</v>
      </c>
    </row>
    <row r="4898" spans="1:10">
      <c r="A4898" s="6" t="s">
        <v>146</v>
      </c>
      <c r="B4898" s="6" t="s">
        <v>92</v>
      </c>
      <c r="C4898" s="6" t="s">
        <v>278</v>
      </c>
      <c r="D4898" s="6">
        <v>672.7735833333332</v>
      </c>
      <c r="E4898" s="6" t="s">
        <v>44</v>
      </c>
      <c r="F4898" s="6" t="s">
        <v>55</v>
      </c>
      <c r="G4898" s="7">
        <v>30336.77880022909</v>
      </c>
      <c r="H4898" s="6">
        <v>20409783.38022082</v>
      </c>
      <c r="I4898" s="6" t="s">
        <v>179</v>
      </c>
      <c r="J4898" s="15">
        <v>14</v>
      </c>
    </row>
    <row r="4899" spans="1:10">
      <c r="A4899" s="6" t="s">
        <v>146</v>
      </c>
      <c r="B4899" s="6" t="s">
        <v>44</v>
      </c>
      <c r="C4899" s="6" t="s">
        <v>279</v>
      </c>
      <c r="D4899" s="6">
        <v>133.3750833333333</v>
      </c>
      <c r="E4899" s="6" t="s">
        <v>44</v>
      </c>
      <c r="F4899" s="6" t="s">
        <v>52</v>
      </c>
      <c r="G4899" s="7">
        <v>53440.82611531692</v>
      </c>
      <c r="H4899" s="6">
        <v>7127674.63653257</v>
      </c>
      <c r="I4899" s="6" t="s">
        <v>179</v>
      </c>
      <c r="J4899" s="15">
        <v>43.65</v>
      </c>
    </row>
    <row r="4900" spans="1:10">
      <c r="A4900" s="6" t="s">
        <v>146</v>
      </c>
      <c r="B4900" s="6" t="s">
        <v>44</v>
      </c>
      <c r="C4900" s="6" t="s">
        <v>280</v>
      </c>
      <c r="D4900" s="6">
        <v>1201.196</v>
      </c>
      <c r="E4900" s="6" t="s">
        <v>44</v>
      </c>
      <c r="F4900" s="6" t="s">
        <v>55</v>
      </c>
      <c r="G4900" s="7">
        <v>70181.01398935323</v>
      </c>
      <c r="H4900" s="6">
        <v>84301153.27995515</v>
      </c>
      <c r="I4900" s="6" t="s">
        <v>179</v>
      </c>
      <c r="J4900" s="15">
        <v>56.09999999999999</v>
      </c>
    </row>
    <row r="4901" spans="1:10">
      <c r="A4901" s="6" t="s">
        <v>146</v>
      </c>
      <c r="B4901" s="6" t="s">
        <v>99</v>
      </c>
      <c r="C4901" s="6" t="s">
        <v>281</v>
      </c>
      <c r="D4901" s="6">
        <v>869.2602499999999</v>
      </c>
      <c r="E4901" s="6" t="s">
        <v>44</v>
      </c>
      <c r="F4901" s="6" t="s">
        <v>57</v>
      </c>
      <c r="G4901" s="7">
        <v>35247.74734936949</v>
      </c>
      <c r="H4901" s="6">
        <v>30639465.67284975</v>
      </c>
      <c r="I4901" s="6" t="s">
        <v>180</v>
      </c>
      <c r="J4901" s="15">
        <v>5.008812304479592</v>
      </c>
    </row>
    <row r="4902" spans="1:10">
      <c r="A4902" s="6" t="s">
        <v>146</v>
      </c>
      <c r="B4902" s="6" t="s">
        <v>44</v>
      </c>
      <c r="C4902" s="6" t="s">
        <v>282</v>
      </c>
      <c r="D4902" s="6">
        <v>3.042083333333333</v>
      </c>
      <c r="E4902" s="6" t="s">
        <v>44</v>
      </c>
      <c r="F4902" s="6" t="s">
        <v>56</v>
      </c>
      <c r="G4902" s="7">
        <v>62372.04989791066</v>
      </c>
      <c r="H4902" s="6">
        <v>189740.973460269</v>
      </c>
      <c r="I4902" s="6" t="s">
        <v>179</v>
      </c>
      <c r="J4902" s="15">
        <v>43.03333333333333</v>
      </c>
    </row>
    <row r="4903" spans="1:10">
      <c r="A4903" s="6" t="s">
        <v>146</v>
      </c>
      <c r="B4903" s="6" t="s">
        <v>44</v>
      </c>
      <c r="C4903" s="6" t="s">
        <v>283</v>
      </c>
      <c r="D4903" s="6">
        <v>872.7574166666667</v>
      </c>
      <c r="E4903" s="6" t="s">
        <v>44</v>
      </c>
      <c r="F4903" s="6" t="s">
        <v>51</v>
      </c>
      <c r="G4903" s="7">
        <v>51675.72551452865</v>
      </c>
      <c r="H4903" s="6">
        <v>45100372.70443578</v>
      </c>
      <c r="I4903" s="6" t="s">
        <v>179</v>
      </c>
      <c r="J4903" s="15">
        <v>42.25</v>
      </c>
    </row>
    <row r="4904" spans="1:10">
      <c r="A4904" s="6" t="s">
        <v>146</v>
      </c>
      <c r="B4904" s="6" t="s">
        <v>44</v>
      </c>
      <c r="C4904" s="6" t="s">
        <v>284</v>
      </c>
      <c r="D4904" s="6">
        <v>461.4698333333334</v>
      </c>
      <c r="E4904" s="6" t="s">
        <v>44</v>
      </c>
      <c r="F4904" s="6" t="s">
        <v>55</v>
      </c>
      <c r="G4904" s="7">
        <v>52691.68338907469</v>
      </c>
      <c r="H4904" s="6">
        <v>24315622.35160907</v>
      </c>
      <c r="I4904" s="6" t="s">
        <v>179</v>
      </c>
      <c r="J4904" s="15">
        <v>61</v>
      </c>
    </row>
    <row r="4905" spans="1:10">
      <c r="A4905" s="6" t="s">
        <v>146</v>
      </c>
      <c r="B4905" s="6" t="s">
        <v>44</v>
      </c>
      <c r="C4905" s="6" t="s">
        <v>285</v>
      </c>
      <c r="D4905" s="6">
        <v>6.180666666666667</v>
      </c>
      <c r="E4905" s="6" t="s">
        <v>44</v>
      </c>
      <c r="F4905" s="6" t="s">
        <v>52</v>
      </c>
      <c r="G4905" s="7">
        <v>109530.9227207585</v>
      </c>
      <c r="H4905" s="6">
        <v>676974.1230294346</v>
      </c>
      <c r="I4905" s="6" t="s">
        <v>179</v>
      </c>
      <c r="J4905" s="15">
        <v>68.40000000000001</v>
      </c>
    </row>
    <row r="4906" spans="1:10">
      <c r="A4906" s="6" t="s">
        <v>146</v>
      </c>
      <c r="B4906" s="6" t="s">
        <v>44</v>
      </c>
      <c r="C4906" s="6" t="s">
        <v>286</v>
      </c>
      <c r="D4906" s="6">
        <v>92.97233333333334</v>
      </c>
      <c r="E4906" s="6" t="s">
        <v>44</v>
      </c>
      <c r="F4906" s="6" t="s">
        <v>59</v>
      </c>
      <c r="G4906" s="7">
        <v>70858.2206620012</v>
      </c>
      <c r="H4906" s="6">
        <v>6587854.110794463</v>
      </c>
      <c r="I4906" s="6" t="s">
        <v>179</v>
      </c>
      <c r="J4906" s="15">
        <v>56.70833333333333</v>
      </c>
    </row>
    <row r="4907" spans="1:10">
      <c r="A4907" s="6" t="s">
        <v>146</v>
      </c>
      <c r="B4907" s="6" t="s">
        <v>44</v>
      </c>
      <c r="C4907" s="6" t="s">
        <v>287</v>
      </c>
      <c r="D4907" s="6">
        <v>3.382833333333334</v>
      </c>
      <c r="E4907" s="6" t="s">
        <v>44</v>
      </c>
      <c r="F4907" s="6" t="s">
        <v>53</v>
      </c>
      <c r="G4907" s="7">
        <v>39870.55547829608</v>
      </c>
      <c r="H4907" s="6">
        <v>134875.4440904959</v>
      </c>
      <c r="I4907" s="6" t="s">
        <v>180</v>
      </c>
      <c r="J4907" s="15">
        <v>70</v>
      </c>
    </row>
    <row r="4908" spans="1:10">
      <c r="A4908" s="6" t="s">
        <v>146</v>
      </c>
      <c r="B4908" s="6" t="s">
        <v>44</v>
      </c>
      <c r="C4908" s="6" t="s">
        <v>376</v>
      </c>
      <c r="D4908" s="6">
        <v>1.542333333333333</v>
      </c>
      <c r="E4908" s="6" t="s">
        <v>44</v>
      </c>
      <c r="F4908" s="6" t="s">
        <v>54</v>
      </c>
      <c r="G4908" s="7">
        <v>79057.97495815926</v>
      </c>
      <c r="H4908" s="6">
        <v>121933.750043801</v>
      </c>
      <c r="I4908" s="6" t="s">
        <v>180</v>
      </c>
      <c r="J4908" s="15">
        <v>22.52696120040784</v>
      </c>
    </row>
    <row r="4909" spans="1:10">
      <c r="A4909" s="6" t="s">
        <v>146</v>
      </c>
      <c r="B4909" s="6" t="s">
        <v>44</v>
      </c>
      <c r="C4909" s="6" t="s">
        <v>288</v>
      </c>
      <c r="D4909" s="6">
        <v>1.123166666666667</v>
      </c>
      <c r="E4909" s="6" t="s">
        <v>44</v>
      </c>
      <c r="F4909" s="6" t="s">
        <v>58</v>
      </c>
      <c r="G4909" s="7">
        <v>43931.19520815281</v>
      </c>
      <c r="H4909" s="6">
        <v>49342.05408462363</v>
      </c>
      <c r="I4909" s="6" t="s">
        <v>180</v>
      </c>
      <c r="J4909" s="15">
        <v>17</v>
      </c>
    </row>
    <row r="4910" spans="1:10">
      <c r="A4910" s="6" t="s">
        <v>146</v>
      </c>
      <c r="B4910" s="6" t="s">
        <v>44</v>
      </c>
      <c r="C4910" s="6" t="s">
        <v>370</v>
      </c>
      <c r="D4910" s="6">
        <v>3.94725</v>
      </c>
      <c r="E4910" s="6" t="s">
        <v>44</v>
      </c>
      <c r="F4910" s="6" t="s">
        <v>55</v>
      </c>
      <c r="G4910" s="7">
        <v>52208.58507995072</v>
      </c>
      <c r="H4910" s="6">
        <v>206080.3374568355</v>
      </c>
      <c r="I4910" s="6" t="s">
        <v>180</v>
      </c>
      <c r="J4910" s="15">
        <v>12.58048649997455</v>
      </c>
    </row>
    <row r="4911" spans="1:10">
      <c r="A4911" s="6" t="s">
        <v>146</v>
      </c>
      <c r="B4911" s="6" t="s">
        <v>44</v>
      </c>
      <c r="C4911" s="6" t="s">
        <v>359</v>
      </c>
      <c r="D4911" s="6">
        <v>85.24508333333333</v>
      </c>
      <c r="E4911" s="6" t="s">
        <v>44</v>
      </c>
      <c r="F4911" s="6" t="s">
        <v>60</v>
      </c>
      <c r="G4911" s="7">
        <v>50100.63171043061</v>
      </c>
      <c r="H4911" s="6">
        <v>4270832.5252083</v>
      </c>
      <c r="I4911" s="6" t="s">
        <v>180</v>
      </c>
      <c r="J4911" s="15">
        <v>11.79958589274542</v>
      </c>
    </row>
    <row r="4912" spans="1:10">
      <c r="A4912" s="6" t="s">
        <v>146</v>
      </c>
      <c r="B4912" s="6" t="s">
        <v>44</v>
      </c>
      <c r="C4912" s="6" t="s">
        <v>289</v>
      </c>
      <c r="D4912" s="6">
        <v>862.0445</v>
      </c>
      <c r="E4912" s="6" t="s">
        <v>44</v>
      </c>
      <c r="F4912" s="6" t="s">
        <v>52</v>
      </c>
      <c r="G4912" s="7">
        <v>53667.82982646869</v>
      </c>
      <c r="H4912" s="6">
        <v>46264057.52884328</v>
      </c>
      <c r="I4912" s="6" t="s">
        <v>179</v>
      </c>
      <c r="J4912" s="15">
        <v>70</v>
      </c>
    </row>
    <row r="4913" spans="1:10">
      <c r="A4913" s="6" t="s">
        <v>146</v>
      </c>
      <c r="B4913" s="6" t="s">
        <v>44</v>
      </c>
      <c r="C4913" s="6" t="s">
        <v>290</v>
      </c>
      <c r="D4913" s="6">
        <v>0.255</v>
      </c>
      <c r="E4913" s="6" t="s">
        <v>44</v>
      </c>
      <c r="F4913" s="6" t="s">
        <v>53</v>
      </c>
      <c r="G4913" s="7">
        <v>42307.93424836712</v>
      </c>
      <c r="H4913" s="6">
        <v>10788.52323333362</v>
      </c>
      <c r="I4913" s="6" t="s">
        <v>180</v>
      </c>
      <c r="J4913" s="15">
        <v>8.912746806042239</v>
      </c>
    </row>
    <row r="4914" spans="1:10">
      <c r="A4914" s="6" t="s">
        <v>146</v>
      </c>
      <c r="B4914" s="6" t="s">
        <v>44</v>
      </c>
      <c r="C4914" s="6" t="s">
        <v>291</v>
      </c>
      <c r="D4914" s="6">
        <v>0.04799999999999999</v>
      </c>
      <c r="E4914" s="6" t="s">
        <v>44</v>
      </c>
      <c r="F4914" s="6" t="s">
        <v>51</v>
      </c>
      <c r="G4914" s="7">
        <v>35329.77696152869</v>
      </c>
      <c r="H4914" s="6">
        <v>1695.829294153377</v>
      </c>
      <c r="I4914" s="6" t="s">
        <v>180</v>
      </c>
      <c r="J4914" s="15">
        <v>6.327657713737932</v>
      </c>
    </row>
    <row r="4915" spans="1:10">
      <c r="A4915" s="6" t="s">
        <v>146</v>
      </c>
      <c r="B4915" s="6" t="s">
        <v>44</v>
      </c>
      <c r="C4915" s="6" t="s">
        <v>292</v>
      </c>
      <c r="D4915" s="6">
        <v>246.0250833333333</v>
      </c>
      <c r="E4915" s="6" t="s">
        <v>44</v>
      </c>
      <c r="F4915" s="6" t="s">
        <v>54</v>
      </c>
      <c r="G4915" s="7">
        <v>110583.058701143</v>
      </c>
      <c r="H4915" s="6">
        <v>27206206.2322036</v>
      </c>
      <c r="I4915" s="6" t="s">
        <v>179</v>
      </c>
      <c r="J4915" s="15">
        <v>79</v>
      </c>
    </row>
    <row r="4916" spans="1:10">
      <c r="A4916" s="6" t="s">
        <v>146</v>
      </c>
      <c r="B4916" s="6" t="s">
        <v>44</v>
      </c>
      <c r="C4916" s="6" t="s">
        <v>293</v>
      </c>
      <c r="D4916" s="6">
        <v>149.7498333333333</v>
      </c>
      <c r="E4916" s="6" t="s">
        <v>44</v>
      </c>
      <c r="F4916" s="6" t="s">
        <v>53</v>
      </c>
      <c r="G4916" s="7">
        <v>36013.86577983866</v>
      </c>
      <c r="H4916" s="6">
        <v>5393070.398219875</v>
      </c>
      <c r="I4916" s="6" t="s">
        <v>179</v>
      </c>
      <c r="J4916" s="15">
        <v>16</v>
      </c>
    </row>
    <row r="4917" spans="1:10">
      <c r="A4917" s="6" t="s">
        <v>146</v>
      </c>
      <c r="B4917" s="6" t="s">
        <v>44</v>
      </c>
      <c r="C4917" s="6" t="s">
        <v>371</v>
      </c>
      <c r="D4917" s="6">
        <v>4.2275</v>
      </c>
      <c r="E4917" s="6" t="s">
        <v>44</v>
      </c>
      <c r="F4917" s="6" t="s">
        <v>55</v>
      </c>
      <c r="G4917" s="7">
        <v>45569.36787795558</v>
      </c>
      <c r="H4917" s="6">
        <v>192644.5027040572</v>
      </c>
      <c r="I4917" s="6" t="s">
        <v>180</v>
      </c>
      <c r="J4917" s="15">
        <v>10.12095925448125</v>
      </c>
    </row>
    <row r="4918" spans="1:10">
      <c r="A4918" s="6" t="s">
        <v>146</v>
      </c>
      <c r="B4918" s="6" t="s">
        <v>44</v>
      </c>
      <c r="C4918" s="6" t="s">
        <v>294</v>
      </c>
      <c r="D4918" s="6">
        <v>1.351083333333333</v>
      </c>
      <c r="E4918" s="6" t="s">
        <v>44</v>
      </c>
      <c r="F4918" s="6" t="s">
        <v>54</v>
      </c>
      <c r="G4918" s="7">
        <v>75932.54966215488</v>
      </c>
      <c r="H4918" s="6">
        <v>102591.2023060431</v>
      </c>
      <c r="I4918" s="6" t="s">
        <v>180</v>
      </c>
      <c r="J4918" s="15">
        <v>98.8</v>
      </c>
    </row>
    <row r="4919" spans="1:10">
      <c r="A4919" s="6" t="s">
        <v>146</v>
      </c>
      <c r="B4919" s="6" t="s">
        <v>90</v>
      </c>
      <c r="C4919" s="6" t="s">
        <v>295</v>
      </c>
      <c r="D4919" s="6">
        <v>145.4831666666666</v>
      </c>
      <c r="E4919" s="6" t="s">
        <v>44</v>
      </c>
      <c r="F4919" s="6" t="s">
        <v>53</v>
      </c>
      <c r="G4919" s="7">
        <v>29529.16394109224</v>
      </c>
      <c r="H4919" s="6">
        <v>4295996.279169245</v>
      </c>
      <c r="I4919" s="6" t="s">
        <v>179</v>
      </c>
      <c r="J4919" s="15">
        <v>15</v>
      </c>
    </row>
    <row r="4920" spans="1:10">
      <c r="A4920" s="6" t="s">
        <v>146</v>
      </c>
      <c r="B4920" s="6" t="s">
        <v>92</v>
      </c>
      <c r="C4920" s="6" t="s">
        <v>296</v>
      </c>
      <c r="D4920" s="6">
        <v>503.9675833333333</v>
      </c>
      <c r="E4920" s="6" t="s">
        <v>44</v>
      </c>
      <c r="F4920" s="6" t="s">
        <v>61</v>
      </c>
      <c r="G4920" s="7">
        <v>53088.58925206317</v>
      </c>
      <c r="H4920" s="6">
        <v>26754928.02793825</v>
      </c>
      <c r="I4920" s="6" t="s">
        <v>179</v>
      </c>
      <c r="J4920" s="15">
        <v>21</v>
      </c>
    </row>
    <row r="4921" spans="1:10">
      <c r="A4921" s="6" t="s">
        <v>146</v>
      </c>
      <c r="B4921" s="6" t="s">
        <v>44</v>
      </c>
      <c r="C4921" s="6" t="s">
        <v>297</v>
      </c>
      <c r="D4921" s="6">
        <v>11.19316666666666</v>
      </c>
      <c r="E4921" s="6" t="s">
        <v>44</v>
      </c>
      <c r="F4921" s="6" t="s">
        <v>52</v>
      </c>
      <c r="G4921" s="7">
        <v>89849.66915387864</v>
      </c>
      <c r="H4921" s="6">
        <v>1005702.321784222</v>
      </c>
      <c r="I4921" s="6" t="s">
        <v>179</v>
      </c>
      <c r="J4921" s="15">
        <v>67</v>
      </c>
    </row>
    <row r="4922" spans="1:10">
      <c r="A4922" s="6" t="s">
        <v>146</v>
      </c>
      <c r="B4922" s="6" t="s">
        <v>44</v>
      </c>
      <c r="C4922" s="6" t="s">
        <v>298</v>
      </c>
      <c r="D4922" s="6">
        <v>328.2775</v>
      </c>
      <c r="E4922" s="6" t="s">
        <v>44</v>
      </c>
      <c r="F4922" s="6" t="s">
        <v>56</v>
      </c>
      <c r="G4922" s="7">
        <v>36500.00929252619</v>
      </c>
      <c r="H4922" s="6">
        <v>11982131.80052726</v>
      </c>
      <c r="I4922" s="6" t="s">
        <v>179</v>
      </c>
      <c r="J4922" s="15">
        <v>21</v>
      </c>
    </row>
    <row r="4923" spans="1:10">
      <c r="A4923" s="6" t="s">
        <v>146</v>
      </c>
      <c r="B4923" s="6" t="s">
        <v>44</v>
      </c>
      <c r="C4923" s="6" t="s">
        <v>299</v>
      </c>
      <c r="D4923" s="6">
        <v>3.7075</v>
      </c>
      <c r="E4923" s="6" t="s">
        <v>44</v>
      </c>
      <c r="F4923" s="6" t="s">
        <v>53</v>
      </c>
      <c r="G4923" s="7">
        <v>45885.15175897437</v>
      </c>
      <c r="H4923" s="6">
        <v>170119.2001463975</v>
      </c>
      <c r="I4923" s="6" t="s">
        <v>180</v>
      </c>
      <c r="J4923" s="15">
        <v>6.9</v>
      </c>
    </row>
    <row r="4924" spans="1:10">
      <c r="A4924" s="6" t="s">
        <v>146</v>
      </c>
      <c r="B4924" s="6" t="s">
        <v>44</v>
      </c>
      <c r="C4924" s="6" t="s">
        <v>300</v>
      </c>
      <c r="D4924" s="6">
        <v>540.0613333333333</v>
      </c>
      <c r="E4924" s="6" t="s">
        <v>44</v>
      </c>
      <c r="F4924" s="6" t="s">
        <v>52</v>
      </c>
      <c r="G4924" s="7">
        <v>79641.24563235717</v>
      </c>
      <c r="H4924" s="6">
        <v>43011157.30453832</v>
      </c>
      <c r="I4924" s="6" t="s">
        <v>179</v>
      </c>
      <c r="J4924" s="15">
        <v>66.55</v>
      </c>
    </row>
    <row r="4925" spans="1:10">
      <c r="A4925" s="6" t="s">
        <v>146</v>
      </c>
      <c r="B4925" s="6" t="s">
        <v>44</v>
      </c>
      <c r="C4925" s="6" t="s">
        <v>301</v>
      </c>
      <c r="D4925" s="6">
        <v>140.2705</v>
      </c>
      <c r="E4925" s="6" t="s">
        <v>44</v>
      </c>
      <c r="F4925" s="6" t="s">
        <v>59</v>
      </c>
      <c r="G4925" s="7">
        <v>69390.77724405598</v>
      </c>
      <c r="H4925" s="6">
        <v>9733479.019412354</v>
      </c>
      <c r="I4925" s="6" t="s">
        <v>179</v>
      </c>
      <c r="J4925" s="15">
        <v>26.65</v>
      </c>
    </row>
    <row r="4926" spans="1:10">
      <c r="A4926" s="6" t="s">
        <v>146</v>
      </c>
      <c r="B4926" s="6" t="s">
        <v>44</v>
      </c>
      <c r="C4926" s="6" t="s">
        <v>302</v>
      </c>
      <c r="D4926" s="6">
        <v>364.9715</v>
      </c>
      <c r="E4926" s="6" t="s">
        <v>44</v>
      </c>
      <c r="F4926" s="6" t="s">
        <v>52</v>
      </c>
      <c r="G4926" s="7">
        <v>92343.76797362817</v>
      </c>
      <c r="H4926" s="6">
        <v>33702843.51298703</v>
      </c>
      <c r="I4926" s="6" t="s">
        <v>179</v>
      </c>
      <c r="J4926" s="15">
        <v>67.58333333333333</v>
      </c>
    </row>
    <row r="4927" spans="1:10">
      <c r="A4927" s="6" t="s">
        <v>146</v>
      </c>
      <c r="B4927" s="6" t="s">
        <v>44</v>
      </c>
      <c r="C4927" s="6" t="s">
        <v>303</v>
      </c>
      <c r="D4927" s="6">
        <v>1.836333333333333</v>
      </c>
      <c r="E4927" s="6" t="s">
        <v>44</v>
      </c>
      <c r="F4927" s="6" t="s">
        <v>53</v>
      </c>
      <c r="G4927" s="7">
        <v>44904.12248503024</v>
      </c>
      <c r="H4927" s="6">
        <v>82458.93692334385</v>
      </c>
      <c r="I4927" s="6" t="s">
        <v>180</v>
      </c>
      <c r="J4927" s="15">
        <v>9.8745161695424</v>
      </c>
    </row>
    <row r="4928" spans="1:10">
      <c r="A4928" s="6" t="s">
        <v>146</v>
      </c>
      <c r="B4928" s="6" t="s">
        <v>44</v>
      </c>
      <c r="C4928" s="6" t="s">
        <v>304</v>
      </c>
      <c r="D4928" s="6">
        <v>6.078166666666665</v>
      </c>
      <c r="E4928" s="6" t="s">
        <v>44</v>
      </c>
      <c r="F4928" s="6" t="s">
        <v>52</v>
      </c>
      <c r="G4928" s="7">
        <v>50330.3901944117</v>
      </c>
      <c r="H4928" s="6">
        <v>305916.5</v>
      </c>
      <c r="I4928" s="6" t="s">
        <v>179</v>
      </c>
      <c r="J4928" s="15">
        <v>49.75</v>
      </c>
    </row>
    <row r="4929" spans="1:10">
      <c r="A4929" s="6" t="s">
        <v>146</v>
      </c>
      <c r="B4929" s="6" t="s">
        <v>44</v>
      </c>
      <c r="C4929" s="6" t="s">
        <v>361</v>
      </c>
      <c r="D4929" s="6">
        <v>5.93775</v>
      </c>
      <c r="E4929" s="6" t="s">
        <v>44</v>
      </c>
      <c r="F4929" s="6" t="s">
        <v>52</v>
      </c>
      <c r="G4929" s="7">
        <v>64169.74384104699</v>
      </c>
      <c r="H4929" s="6">
        <v>381023.8964921768</v>
      </c>
      <c r="I4929" s="6" t="s">
        <v>180</v>
      </c>
      <c r="J4929" s="15">
        <v>17.01155042897912</v>
      </c>
    </row>
    <row r="4930" spans="1:10">
      <c r="A4930" s="6" t="s">
        <v>146</v>
      </c>
      <c r="B4930" s="6" t="s">
        <v>44</v>
      </c>
      <c r="C4930" s="6" t="s">
        <v>305</v>
      </c>
      <c r="D4930" s="6">
        <v>788.73925</v>
      </c>
      <c r="E4930" s="6" t="s">
        <v>44</v>
      </c>
      <c r="F4930" s="6" t="s">
        <v>54</v>
      </c>
      <c r="G4930" s="7">
        <v>96370.04394739907</v>
      </c>
      <c r="H4930" s="6">
        <v>76010836.18553858</v>
      </c>
      <c r="I4930" s="6" t="s">
        <v>179</v>
      </c>
      <c r="J4930" s="15">
        <v>61.86666666666667</v>
      </c>
    </row>
    <row r="4931" spans="1:10">
      <c r="A4931" s="6" t="s">
        <v>146</v>
      </c>
      <c r="B4931" s="6" t="s">
        <v>44</v>
      </c>
      <c r="C4931" s="6" t="s">
        <v>306</v>
      </c>
      <c r="D4931" s="6">
        <v>25.56408333333334</v>
      </c>
      <c r="E4931" s="6" t="s">
        <v>44</v>
      </c>
      <c r="F4931" s="6" t="s">
        <v>57</v>
      </c>
      <c r="G4931" s="7">
        <v>40370.17715309708</v>
      </c>
      <c r="H4931" s="6">
        <v>1032026.572923203</v>
      </c>
      <c r="I4931" s="6" t="s">
        <v>180</v>
      </c>
      <c r="J4931" s="15">
        <v>8.194896157997103</v>
      </c>
    </row>
    <row r="4932" spans="1:10">
      <c r="A4932" s="6" t="s">
        <v>146</v>
      </c>
      <c r="B4932" s="6" t="s">
        <v>44</v>
      </c>
      <c r="C4932" s="6" t="s">
        <v>307</v>
      </c>
      <c r="D4932" s="6">
        <v>1.593583333333333</v>
      </c>
      <c r="E4932" s="6" t="s">
        <v>44</v>
      </c>
      <c r="F4932" s="6" t="s">
        <v>53</v>
      </c>
      <c r="G4932" s="7">
        <v>47182.63629472011</v>
      </c>
      <c r="H4932" s="6">
        <v>75189.46282199438</v>
      </c>
      <c r="I4932" s="6" t="s">
        <v>180</v>
      </c>
      <c r="J4932" s="15">
        <v>10.71860164282394</v>
      </c>
    </row>
    <row r="4933" spans="1:10">
      <c r="A4933" s="6" t="s">
        <v>146</v>
      </c>
      <c r="B4933" s="6" t="s">
        <v>44</v>
      </c>
      <c r="C4933" s="6" t="s">
        <v>308</v>
      </c>
      <c r="D4933" s="6">
        <v>2.121916666666666</v>
      </c>
      <c r="E4933" s="6" t="s">
        <v>44</v>
      </c>
      <c r="F4933" s="6" t="s">
        <v>54</v>
      </c>
      <c r="G4933" s="7">
        <v>67991.01390409522</v>
      </c>
      <c r="H4933" s="6">
        <v>144271.2655866647</v>
      </c>
      <c r="I4933" s="6" t="s">
        <v>180</v>
      </c>
      <c r="J4933" s="15">
        <v>117.3083333333333</v>
      </c>
    </row>
    <row r="4934" spans="1:10">
      <c r="A4934" s="6" t="s">
        <v>146</v>
      </c>
      <c r="B4934" s="6" t="s">
        <v>44</v>
      </c>
      <c r="C4934" s="6" t="s">
        <v>309</v>
      </c>
      <c r="D4934" s="6">
        <v>1356.105333333333</v>
      </c>
      <c r="E4934" s="6" t="s">
        <v>44</v>
      </c>
      <c r="F4934" s="6" t="s">
        <v>52</v>
      </c>
      <c r="G4934" s="7">
        <v>91168.45115770098</v>
      </c>
      <c r="H4934" s="6">
        <v>123634022.8466978</v>
      </c>
      <c r="I4934" s="6" t="s">
        <v>179</v>
      </c>
      <c r="J4934" s="15">
        <v>69.59999999999999</v>
      </c>
    </row>
    <row r="4935" spans="1:10">
      <c r="A4935" s="6" t="s">
        <v>146</v>
      </c>
      <c r="B4935" s="6" t="s">
        <v>90</v>
      </c>
      <c r="C4935" s="6" t="s">
        <v>310</v>
      </c>
      <c r="D4935" s="6">
        <v>253.6210833333333</v>
      </c>
      <c r="E4935" s="6" t="s">
        <v>44</v>
      </c>
      <c r="F4935" s="6" t="s">
        <v>52</v>
      </c>
      <c r="G4935" s="7">
        <v>72589.43692380768</v>
      </c>
      <c r="H4935" s="6">
        <v>18410211.63117277</v>
      </c>
      <c r="I4935" s="6" t="s">
        <v>179</v>
      </c>
      <c r="J4935" s="15">
        <v>75.54166666666666</v>
      </c>
    </row>
    <row r="4936" spans="1:10">
      <c r="A4936" s="6" t="s">
        <v>146</v>
      </c>
      <c r="B4936" s="6" t="s">
        <v>44</v>
      </c>
      <c r="C4936" s="6" t="s">
        <v>311</v>
      </c>
      <c r="D4936" s="6">
        <v>59.3705</v>
      </c>
      <c r="E4936" s="6" t="s">
        <v>44</v>
      </c>
      <c r="F4936" s="6" t="s">
        <v>51</v>
      </c>
      <c r="G4936" s="7">
        <v>22378.64345356504</v>
      </c>
      <c r="H4936" s="6">
        <v>1328631.251159883</v>
      </c>
      <c r="I4936" s="6" t="s">
        <v>179</v>
      </c>
      <c r="J4936" s="15">
        <v>31</v>
      </c>
    </row>
    <row r="4937" spans="1:10">
      <c r="A4937" s="6" t="s">
        <v>146</v>
      </c>
      <c r="B4937" s="6" t="s">
        <v>44</v>
      </c>
      <c r="C4937" s="6" t="s">
        <v>312</v>
      </c>
      <c r="D4937" s="6">
        <v>375.9980833333333</v>
      </c>
      <c r="E4937" s="6" t="s">
        <v>44</v>
      </c>
      <c r="F4937" s="6" t="s">
        <v>54</v>
      </c>
      <c r="G4937" s="7">
        <v>99103.91619886176</v>
      </c>
      <c r="H4937" s="6">
        <v>37262882.5415993</v>
      </c>
      <c r="I4937" s="6" t="s">
        <v>179</v>
      </c>
      <c r="J4937" s="15">
        <v>79.65000000000001</v>
      </c>
    </row>
    <row r="4938" spans="1:10">
      <c r="A4938" s="6" t="s">
        <v>146</v>
      </c>
      <c r="B4938" s="6" t="s">
        <v>44</v>
      </c>
      <c r="C4938" s="6" t="s">
        <v>313</v>
      </c>
      <c r="D4938" s="6">
        <v>84.63625</v>
      </c>
      <c r="E4938" s="6" t="s">
        <v>44</v>
      </c>
      <c r="F4938" s="6" t="s">
        <v>51</v>
      </c>
      <c r="G4938" s="7">
        <v>28821.66810714348</v>
      </c>
      <c r="H4938" s="6">
        <v>2439357.907333223</v>
      </c>
      <c r="I4938" s="6" t="s">
        <v>179</v>
      </c>
      <c r="J4938" s="15">
        <v>17</v>
      </c>
    </row>
    <row r="4939" spans="1:10">
      <c r="A4939" s="6" t="s">
        <v>146</v>
      </c>
      <c r="B4939" s="6" t="s">
        <v>44</v>
      </c>
      <c r="C4939" s="6" t="s">
        <v>314</v>
      </c>
      <c r="D4939" s="6">
        <v>40.17666666666667</v>
      </c>
      <c r="E4939" s="6" t="s">
        <v>44</v>
      </c>
      <c r="F4939" s="6" t="s">
        <v>51</v>
      </c>
      <c r="G4939" s="7">
        <v>57290.59885869359</v>
      </c>
      <c r="H4939" s="6">
        <v>2301745.293479446</v>
      </c>
      <c r="I4939" s="6" t="s">
        <v>179</v>
      </c>
      <c r="J4939" s="15">
        <v>17.49166666666667</v>
      </c>
    </row>
    <row r="4940" spans="1:10">
      <c r="A4940" s="6" t="s">
        <v>146</v>
      </c>
      <c r="B4940" s="6" t="s">
        <v>44</v>
      </c>
      <c r="C4940" s="6" t="s">
        <v>315</v>
      </c>
      <c r="D4940" s="6">
        <v>55.95516666666666</v>
      </c>
      <c r="E4940" s="6" t="s">
        <v>44</v>
      </c>
      <c r="F4940" s="6" t="s">
        <v>51</v>
      </c>
      <c r="G4940" s="7">
        <v>47743.91064626968</v>
      </c>
      <c r="H4940" s="6">
        <v>2671518.477530461</v>
      </c>
      <c r="I4940" s="6" t="s">
        <v>179</v>
      </c>
      <c r="J4940" s="15">
        <v>21</v>
      </c>
    </row>
    <row r="4941" spans="1:10">
      <c r="A4941" s="6" t="s">
        <v>146</v>
      </c>
      <c r="B4941" s="6" t="s">
        <v>44</v>
      </c>
      <c r="C4941" s="6" t="s">
        <v>316</v>
      </c>
      <c r="D4941" s="6">
        <v>12.76075</v>
      </c>
      <c r="E4941" s="6" t="s">
        <v>44</v>
      </c>
      <c r="F4941" s="6" t="s">
        <v>54</v>
      </c>
      <c r="G4941" s="7">
        <v>78233.00759152489</v>
      </c>
      <c r="H4941" s="6">
        <v>998311.8516235512</v>
      </c>
      <c r="I4941" s="6" t="s">
        <v>180</v>
      </c>
      <c r="J4941" s="15">
        <v>22.22134840703962</v>
      </c>
    </row>
    <row r="4942" spans="1:10">
      <c r="A4942" s="6" t="s">
        <v>146</v>
      </c>
      <c r="B4942" s="6" t="s">
        <v>44</v>
      </c>
      <c r="C4942" s="6" t="s">
        <v>317</v>
      </c>
      <c r="D4942" s="6">
        <v>2.72825</v>
      </c>
      <c r="E4942" s="6" t="s">
        <v>44</v>
      </c>
      <c r="F4942" s="6" t="s">
        <v>51</v>
      </c>
      <c r="G4942" s="7">
        <v>21140.95965465714</v>
      </c>
      <c r="H4942" s="6">
        <v>57677.82317781835</v>
      </c>
      <c r="I4942" s="6" t="s">
        <v>179</v>
      </c>
      <c r="J4942" s="15">
        <v>17</v>
      </c>
    </row>
    <row r="4943" spans="1:10">
      <c r="A4943" s="6" t="s">
        <v>146</v>
      </c>
      <c r="B4943" s="6" t="s">
        <v>90</v>
      </c>
      <c r="C4943" s="6" t="s">
        <v>318</v>
      </c>
      <c r="D4943" s="6">
        <v>5.7</v>
      </c>
      <c r="E4943" s="6" t="s">
        <v>44</v>
      </c>
      <c r="F4943" s="6" t="s">
        <v>52</v>
      </c>
      <c r="G4943" s="7">
        <v>59918.03179942394</v>
      </c>
      <c r="H4943" s="6">
        <v>341532.7812567165</v>
      </c>
      <c r="I4943" s="6" t="s">
        <v>180</v>
      </c>
      <c r="J4943" s="15">
        <v>12.43871031134531</v>
      </c>
    </row>
    <row r="4944" spans="1:10">
      <c r="A4944" s="6" t="s">
        <v>146</v>
      </c>
      <c r="B4944" s="6" t="s">
        <v>90</v>
      </c>
      <c r="C4944" s="6" t="s">
        <v>319</v>
      </c>
      <c r="D4944" s="6">
        <v>21.30325</v>
      </c>
      <c r="E4944" s="6" t="s">
        <v>44</v>
      </c>
      <c r="F4944" s="6" t="s">
        <v>52</v>
      </c>
      <c r="G4944" s="7">
        <v>59918.03179942394</v>
      </c>
      <c r="H4944" s="6">
        <v>1276448.810931078</v>
      </c>
      <c r="I4944" s="6" t="s">
        <v>180</v>
      </c>
      <c r="J4944" s="15">
        <v>12.43871031134531</v>
      </c>
    </row>
    <row r="4945" spans="1:10">
      <c r="A4945" s="6" t="s">
        <v>146</v>
      </c>
      <c r="B4945" s="6" t="s">
        <v>44</v>
      </c>
      <c r="C4945" s="6" t="s">
        <v>320</v>
      </c>
      <c r="D4945" s="6">
        <v>329.3483333333333</v>
      </c>
      <c r="E4945" s="6" t="s">
        <v>44</v>
      </c>
      <c r="F4945" s="6" t="s">
        <v>51</v>
      </c>
      <c r="G4945" s="7">
        <v>19671.04087638638</v>
      </c>
      <c r="H4945" s="6">
        <v>6478624.527569727</v>
      </c>
      <c r="I4945" s="6" t="s">
        <v>179</v>
      </c>
      <c r="J4945" s="15">
        <v>13.5</v>
      </c>
    </row>
    <row r="4946" spans="1:10">
      <c r="A4946" s="6" t="s">
        <v>146</v>
      </c>
      <c r="B4946" s="6" t="s">
        <v>90</v>
      </c>
      <c r="C4946" s="6" t="s">
        <v>321</v>
      </c>
      <c r="D4946" s="6">
        <v>27.29666666666667</v>
      </c>
      <c r="E4946" s="6" t="s">
        <v>44</v>
      </c>
      <c r="F4946" s="6" t="s">
        <v>54</v>
      </c>
      <c r="G4946" s="7">
        <v>49362.0809529337</v>
      </c>
      <c r="H4946" s="6">
        <v>1347420.269745247</v>
      </c>
      <c r="I4946" s="6" t="s">
        <v>180</v>
      </c>
      <c r="J4946" s="15">
        <v>9.05633937056912</v>
      </c>
    </row>
    <row r="4947" spans="1:10">
      <c r="A4947" s="6" t="s">
        <v>146</v>
      </c>
      <c r="B4947" s="6" t="s">
        <v>44</v>
      </c>
      <c r="C4947" s="6" t="s">
        <v>322</v>
      </c>
      <c r="D4947" s="6">
        <v>48.16616666666666</v>
      </c>
      <c r="E4947" s="6" t="s">
        <v>44</v>
      </c>
      <c r="F4947" s="6" t="s">
        <v>51</v>
      </c>
      <c r="G4947" s="7">
        <v>17287.61454620521</v>
      </c>
      <c r="H4947" s="6">
        <v>832678.1235016111</v>
      </c>
      <c r="I4947" s="6" t="s">
        <v>179</v>
      </c>
      <c r="J4947" s="15">
        <v>34.25833333333333</v>
      </c>
    </row>
    <row r="4948" spans="1:10">
      <c r="A4948" s="6" t="s">
        <v>146</v>
      </c>
      <c r="B4948" s="6" t="s">
        <v>44</v>
      </c>
      <c r="C4948" s="6" t="s">
        <v>323</v>
      </c>
      <c r="D4948" s="6">
        <v>496.8723333333334</v>
      </c>
      <c r="E4948" s="6" t="s">
        <v>44</v>
      </c>
      <c r="F4948" s="6" t="s">
        <v>55</v>
      </c>
      <c r="G4948" s="7">
        <v>44740.69956922525</v>
      </c>
      <c r="H4948" s="6">
        <v>22230415.78992661</v>
      </c>
      <c r="I4948" s="6" t="s">
        <v>179</v>
      </c>
      <c r="J4948" s="15">
        <v>49</v>
      </c>
    </row>
    <row r="4949" spans="1:10">
      <c r="A4949" s="6" t="s">
        <v>146</v>
      </c>
      <c r="B4949" s="6" t="s">
        <v>44</v>
      </c>
      <c r="C4949" s="6" t="s">
        <v>324</v>
      </c>
      <c r="D4949" s="6">
        <v>391.3691666666667</v>
      </c>
      <c r="E4949" s="6" t="s">
        <v>44</v>
      </c>
      <c r="F4949" s="6" t="s">
        <v>51</v>
      </c>
      <c r="G4949" s="7">
        <v>24363.28610429227</v>
      </c>
      <c r="H4949" s="6">
        <v>9535038.979898447</v>
      </c>
      <c r="I4949" s="6" t="s">
        <v>179</v>
      </c>
      <c r="J4949" s="15">
        <v>23</v>
      </c>
    </row>
    <row r="4950" spans="1:10">
      <c r="A4950" s="6" t="s">
        <v>146</v>
      </c>
      <c r="B4950" s="6" t="s">
        <v>44</v>
      </c>
      <c r="C4950" s="6" t="s">
        <v>372</v>
      </c>
      <c r="D4950" s="6">
        <v>5.601166666666667</v>
      </c>
      <c r="E4950" s="6" t="s">
        <v>44</v>
      </c>
      <c r="F4950" s="6" t="s">
        <v>55</v>
      </c>
      <c r="G4950" s="7">
        <v>72406.7109908938</v>
      </c>
      <c r="H4950" s="6">
        <v>405562.0560451613</v>
      </c>
      <c r="I4950" s="6" t="s">
        <v>180</v>
      </c>
      <c r="J4950" s="15">
        <v>20.06297117767726</v>
      </c>
    </row>
    <row r="4951" spans="1:10">
      <c r="A4951" s="6" t="s">
        <v>146</v>
      </c>
      <c r="B4951" s="6" t="s">
        <v>90</v>
      </c>
      <c r="C4951" s="6" t="s">
        <v>325</v>
      </c>
      <c r="D4951" s="6">
        <v>2.799916666666666</v>
      </c>
      <c r="E4951" s="6" t="s">
        <v>44</v>
      </c>
      <c r="F4951" s="6" t="s">
        <v>53</v>
      </c>
      <c r="G4951" s="7">
        <v>27183.84720656899</v>
      </c>
      <c r="H4951" s="6">
        <v>76112.50685779261</v>
      </c>
      <c r="I4951" s="6" t="s">
        <v>179</v>
      </c>
      <c r="J4951" s="15">
        <v>16</v>
      </c>
    </row>
    <row r="4952" spans="1:10">
      <c r="A4952" s="6" t="s">
        <v>146</v>
      </c>
      <c r="B4952" s="6" t="s">
        <v>44</v>
      </c>
      <c r="C4952" s="6" t="s">
        <v>364</v>
      </c>
      <c r="D4952" s="6">
        <v>83.78941666666667</v>
      </c>
      <c r="E4952" s="6" t="s">
        <v>44</v>
      </c>
      <c r="F4952" s="6" t="s">
        <v>52</v>
      </c>
      <c r="G4952" s="7">
        <v>64169.74384104699</v>
      </c>
      <c r="H4952" s="6">
        <v>5376745.404090754</v>
      </c>
      <c r="I4952" s="6" t="s">
        <v>180</v>
      </c>
      <c r="J4952" s="15">
        <v>17.01155042897912</v>
      </c>
    </row>
    <row r="4953" spans="1:10">
      <c r="A4953" s="6" t="s">
        <v>146</v>
      </c>
      <c r="B4953" s="6" t="s">
        <v>44</v>
      </c>
      <c r="C4953" s="6" t="s">
        <v>326</v>
      </c>
      <c r="D4953" s="6">
        <v>934.62175</v>
      </c>
      <c r="E4953" s="6" t="s">
        <v>44</v>
      </c>
      <c r="F4953" s="6" t="s">
        <v>54</v>
      </c>
      <c r="G4953" s="7">
        <v>88918.54864031605</v>
      </c>
      <c r="H4953" s="6">
        <v>83105209.53767231</v>
      </c>
      <c r="I4953" s="6" t="s">
        <v>179</v>
      </c>
      <c r="J4953" s="15">
        <v>66.75833333333333</v>
      </c>
    </row>
    <row r="4954" spans="1:10">
      <c r="A4954" s="6" t="s">
        <v>146</v>
      </c>
      <c r="B4954" s="6" t="s">
        <v>44</v>
      </c>
      <c r="C4954" s="6" t="s">
        <v>373</v>
      </c>
      <c r="D4954" s="6">
        <v>2.0795</v>
      </c>
      <c r="E4954" s="6" t="s">
        <v>44</v>
      </c>
      <c r="F4954" s="6" t="s">
        <v>55</v>
      </c>
      <c r="G4954" s="7">
        <v>50189.50053381042</v>
      </c>
      <c r="H4954" s="6">
        <v>104369.0663600588</v>
      </c>
      <c r="I4954" s="6" t="s">
        <v>180</v>
      </c>
      <c r="J4954" s="15">
        <v>11.83250773966314</v>
      </c>
    </row>
    <row r="4955" spans="1:10">
      <c r="A4955" s="6" t="s">
        <v>146</v>
      </c>
      <c r="B4955" s="6" t="s">
        <v>44</v>
      </c>
      <c r="C4955" s="6" t="s">
        <v>374</v>
      </c>
      <c r="D4955" s="6">
        <v>0.25875</v>
      </c>
      <c r="E4955" s="6" t="s">
        <v>44</v>
      </c>
      <c r="F4955" s="6" t="s">
        <v>55</v>
      </c>
      <c r="G4955" s="7">
        <v>52744.27292192488</v>
      </c>
      <c r="H4955" s="6">
        <v>13647.58061854806</v>
      </c>
      <c r="I4955" s="6" t="s">
        <v>180</v>
      </c>
      <c r="J4955" s="15">
        <v>12.7789344197111</v>
      </c>
    </row>
    <row r="4956" spans="1:10">
      <c r="A4956" s="6" t="s">
        <v>146</v>
      </c>
      <c r="B4956" s="6" t="s">
        <v>44</v>
      </c>
      <c r="C4956" s="6" t="s">
        <v>327</v>
      </c>
      <c r="D4956" s="6">
        <v>451.5265</v>
      </c>
      <c r="E4956" s="6" t="s">
        <v>44</v>
      </c>
      <c r="F4956" s="6" t="s">
        <v>57</v>
      </c>
      <c r="G4956" s="7">
        <v>40979.35428179214</v>
      </c>
      <c r="H4956" s="6">
        <v>18503264.41111762</v>
      </c>
      <c r="I4956" s="6" t="s">
        <v>179</v>
      </c>
      <c r="J4956" s="15">
        <v>43.75</v>
      </c>
    </row>
    <row r="4957" spans="1:10">
      <c r="A4957" s="6" t="s">
        <v>146</v>
      </c>
      <c r="B4957" s="6" t="s">
        <v>44</v>
      </c>
      <c r="C4957" s="6" t="s">
        <v>328</v>
      </c>
      <c r="D4957" s="6">
        <v>2.829916666666667</v>
      </c>
      <c r="E4957" s="6" t="s">
        <v>44</v>
      </c>
      <c r="F4957" s="6" t="s">
        <v>58</v>
      </c>
      <c r="G4957" s="7">
        <v>68315.07045437419</v>
      </c>
      <c r="H4957" s="6">
        <v>193325.9564633411</v>
      </c>
      <c r="I4957" s="6" t="s">
        <v>179</v>
      </c>
      <c r="J4957" s="15">
        <v>32.08333333333333</v>
      </c>
    </row>
    <row r="4958" spans="1:10">
      <c r="A4958" s="6" t="s">
        <v>146</v>
      </c>
      <c r="B4958" s="6" t="s">
        <v>44</v>
      </c>
      <c r="C4958" s="6" t="s">
        <v>329</v>
      </c>
      <c r="D4958" s="6">
        <v>1852.813416666667</v>
      </c>
      <c r="E4958" s="6" t="s">
        <v>44</v>
      </c>
      <c r="F4958" s="6" t="s">
        <v>58</v>
      </c>
      <c r="G4958" s="7">
        <v>61073.72389180421</v>
      </c>
      <c r="H4958" s="6">
        <v>113158215.0325304</v>
      </c>
      <c r="I4958" s="6" t="s">
        <v>179</v>
      </c>
      <c r="J4958" s="15">
        <v>26</v>
      </c>
    </row>
    <row r="4959" spans="1:10">
      <c r="A4959" s="6" t="s">
        <v>146</v>
      </c>
      <c r="B4959" s="6" t="s">
        <v>44</v>
      </c>
      <c r="C4959" s="6" t="s">
        <v>330</v>
      </c>
      <c r="D4959" s="6">
        <v>57.86175</v>
      </c>
      <c r="E4959" s="6" t="s">
        <v>44</v>
      </c>
      <c r="F4959" s="6" t="s">
        <v>52</v>
      </c>
      <c r="G4959" s="7">
        <v>78332.43723892634</v>
      </c>
      <c r="H4959" s="6">
        <v>4532451.900409446</v>
      </c>
      <c r="I4959" s="6" t="s">
        <v>179</v>
      </c>
      <c r="J4959" s="15">
        <v>90.33333333333333</v>
      </c>
    </row>
    <row r="4960" spans="1:10">
      <c r="A4960" s="6" t="s">
        <v>146</v>
      </c>
      <c r="B4960" s="6" t="s">
        <v>44</v>
      </c>
      <c r="C4960" s="6" t="s">
        <v>365</v>
      </c>
      <c r="D4960" s="6">
        <v>21.54125</v>
      </c>
      <c r="E4960" s="6" t="s">
        <v>44</v>
      </c>
      <c r="F4960" s="6" t="s">
        <v>53</v>
      </c>
      <c r="G4960" s="7">
        <v>47398.73115342639</v>
      </c>
      <c r="H4960" s="6">
        <v>1021027.917458746</v>
      </c>
      <c r="I4960" s="6" t="s">
        <v>180</v>
      </c>
      <c r="J4960" s="15">
        <v>10.79865493471494</v>
      </c>
    </row>
    <row r="4961" spans="1:10">
      <c r="A4961" s="6" t="s">
        <v>146</v>
      </c>
      <c r="B4961" s="6" t="s">
        <v>44</v>
      </c>
      <c r="C4961" s="6" t="s">
        <v>331</v>
      </c>
      <c r="D4961" s="6">
        <v>559.1797499999999</v>
      </c>
      <c r="E4961" s="6" t="s">
        <v>44</v>
      </c>
      <c r="F4961" s="6" t="s">
        <v>58</v>
      </c>
      <c r="G4961" s="7">
        <v>57688.3500255051</v>
      </c>
      <c r="H4961" s="6">
        <v>32258157.14517443</v>
      </c>
      <c r="I4961" s="6" t="s">
        <v>179</v>
      </c>
      <c r="J4961" s="15">
        <v>27.625</v>
      </c>
    </row>
    <row r="4962" spans="1:10">
      <c r="A4962" s="6" t="s">
        <v>146</v>
      </c>
      <c r="B4962" s="6" t="s">
        <v>44</v>
      </c>
      <c r="C4962" s="6" t="s">
        <v>332</v>
      </c>
      <c r="D4962" s="6">
        <v>1675.35475</v>
      </c>
      <c r="E4962" s="6" t="s">
        <v>44</v>
      </c>
      <c r="F4962" s="6" t="s">
        <v>55</v>
      </c>
      <c r="G4962" s="7">
        <v>45151.10383039913</v>
      </c>
      <c r="H4962" s="6">
        <v>75644116.27000238</v>
      </c>
      <c r="I4962" s="6" t="s">
        <v>179</v>
      </c>
      <c r="J4962" s="15">
        <v>40.03333333333333</v>
      </c>
    </row>
    <row r="4963" spans="1:10">
      <c r="A4963" s="6" t="s">
        <v>146</v>
      </c>
      <c r="B4963" s="6" t="s">
        <v>44</v>
      </c>
      <c r="C4963" s="6" t="s">
        <v>375</v>
      </c>
      <c r="D4963" s="6">
        <v>3.7705</v>
      </c>
      <c r="E4963" s="6" t="s">
        <v>44</v>
      </c>
      <c r="F4963" s="6" t="s">
        <v>55</v>
      </c>
      <c r="G4963" s="7">
        <v>44949.97309867274</v>
      </c>
      <c r="H4963" s="6">
        <v>169483.8735685456</v>
      </c>
      <c r="I4963" s="6" t="s">
        <v>180</v>
      </c>
      <c r="J4963" s="15">
        <v>9.891501731250248</v>
      </c>
    </row>
    <row r="4964" spans="1:10">
      <c r="A4964" s="6" t="s">
        <v>146</v>
      </c>
      <c r="B4964" s="6" t="s">
        <v>44</v>
      </c>
      <c r="C4964" s="6" t="s">
        <v>333</v>
      </c>
      <c r="D4964" s="6">
        <v>384.8710833333333</v>
      </c>
      <c r="E4964" s="6" t="s">
        <v>44</v>
      </c>
      <c r="F4964" s="6" t="s">
        <v>51</v>
      </c>
      <c r="G4964" s="7">
        <v>14927.02860564678</v>
      </c>
      <c r="H4964" s="6">
        <v>5744981.670402933</v>
      </c>
      <c r="I4964" s="6" t="s">
        <v>179</v>
      </c>
      <c r="J4964" s="15">
        <v>17</v>
      </c>
    </row>
    <row r="4965" spans="1:10">
      <c r="A4965" s="6" t="s">
        <v>146</v>
      </c>
      <c r="B4965" s="6" t="s">
        <v>86</v>
      </c>
      <c r="C4965" s="6" t="s">
        <v>194</v>
      </c>
      <c r="D4965" s="6">
        <v>0.3729166666666667</v>
      </c>
      <c r="E4965" s="6" t="s">
        <v>86</v>
      </c>
      <c r="F4965" s="6" t="s">
        <v>58</v>
      </c>
      <c r="G4965" s="7">
        <v>61487.56191741362</v>
      </c>
      <c r="H4965" s="6">
        <v>22929.73663170216</v>
      </c>
      <c r="I4965" s="6" t="s">
        <v>180</v>
      </c>
      <c r="J4965" s="15">
        <v>11.71747342741184</v>
      </c>
    </row>
    <row r="4966" spans="1:10">
      <c r="A4966" s="6" t="s">
        <v>146</v>
      </c>
      <c r="B4966" s="6" t="s">
        <v>90</v>
      </c>
      <c r="C4966" s="6" t="s">
        <v>195</v>
      </c>
      <c r="D4966" s="6">
        <v>39.4555</v>
      </c>
      <c r="E4966" s="6" t="s">
        <v>86</v>
      </c>
      <c r="F4966" s="6" t="s">
        <v>54</v>
      </c>
      <c r="G4966" s="7">
        <v>56976.27849226169</v>
      </c>
      <c r="H4966" s="6">
        <v>2248027.556051431</v>
      </c>
      <c r="I4966" s="6" t="s">
        <v>180</v>
      </c>
      <c r="J4966" s="15">
        <v>11.49610447263148</v>
      </c>
    </row>
    <row r="4967" spans="1:10">
      <c r="A4967" s="6" t="s">
        <v>146</v>
      </c>
      <c r="B4967" s="6" t="s">
        <v>86</v>
      </c>
      <c r="C4967" s="6" t="s">
        <v>334</v>
      </c>
      <c r="D4967" s="6">
        <v>0.0009166666666666666</v>
      </c>
      <c r="E4967" s="6" t="s">
        <v>86</v>
      </c>
      <c r="F4967" s="6" t="s">
        <v>54</v>
      </c>
      <c r="G4967" s="7">
        <v>79484.86508293969</v>
      </c>
      <c r="H4967" s="6">
        <v>72.86112632602806</v>
      </c>
      <c r="I4967" s="6" t="s">
        <v>180</v>
      </c>
      <c r="J4967" s="15">
        <v>72</v>
      </c>
    </row>
    <row r="4968" spans="1:10">
      <c r="A4968" s="6" t="s">
        <v>146</v>
      </c>
      <c r="B4968" s="6" t="s">
        <v>86</v>
      </c>
      <c r="C4968" s="6" t="s">
        <v>335</v>
      </c>
      <c r="D4968" s="6">
        <v>324.50875</v>
      </c>
      <c r="E4968" s="6" t="s">
        <v>86</v>
      </c>
      <c r="F4968" s="6" t="s">
        <v>52</v>
      </c>
      <c r="G4968" s="7">
        <v>101612.9380442109</v>
      </c>
      <c r="H4968" s="6">
        <v>32974287.50855432</v>
      </c>
      <c r="I4968" s="6" t="s">
        <v>179</v>
      </c>
      <c r="J4968" s="15">
        <v>76.41666666666666</v>
      </c>
    </row>
    <row r="4969" spans="1:10">
      <c r="A4969" s="6" t="s">
        <v>146</v>
      </c>
      <c r="B4969" s="6" t="s">
        <v>90</v>
      </c>
      <c r="C4969" s="6" t="s">
        <v>336</v>
      </c>
      <c r="D4969" s="6">
        <v>1595.194083333333</v>
      </c>
      <c r="E4969" s="6" t="s">
        <v>86</v>
      </c>
      <c r="F4969" s="6" t="s">
        <v>52</v>
      </c>
      <c r="G4969" s="7">
        <v>59918.03179942394</v>
      </c>
      <c r="H4969" s="6">
        <v>95580889.81141958</v>
      </c>
      <c r="I4969" s="6" t="s">
        <v>180</v>
      </c>
      <c r="J4969" s="15">
        <v>12.43871031134531</v>
      </c>
    </row>
    <row r="4970" spans="1:10">
      <c r="A4970" s="6" t="s">
        <v>146</v>
      </c>
      <c r="B4970" s="6" t="s">
        <v>90</v>
      </c>
      <c r="C4970" s="6" t="s">
        <v>197</v>
      </c>
      <c r="D4970" s="6">
        <v>73.41916666666667</v>
      </c>
      <c r="E4970" s="6" t="s">
        <v>86</v>
      </c>
      <c r="F4970" s="6" t="s">
        <v>53</v>
      </c>
      <c r="G4970" s="7">
        <v>24873.23941462196</v>
      </c>
      <c r="H4970" s="6">
        <v>1826172.510122032</v>
      </c>
      <c r="I4970" s="6" t="s">
        <v>179</v>
      </c>
      <c r="J4970" s="15">
        <v>27</v>
      </c>
    </row>
    <row r="4971" spans="1:10">
      <c r="A4971" s="6" t="s">
        <v>146</v>
      </c>
      <c r="B4971" s="6" t="s">
        <v>86</v>
      </c>
      <c r="C4971" s="6" t="s">
        <v>198</v>
      </c>
      <c r="D4971" s="6">
        <v>39.99608333333334</v>
      </c>
      <c r="E4971" s="6" t="s">
        <v>86</v>
      </c>
      <c r="F4971" s="6" t="s">
        <v>58</v>
      </c>
      <c r="G4971" s="7">
        <v>82331.46221962862</v>
      </c>
      <c r="H4971" s="6">
        <v>3292936.023891452</v>
      </c>
      <c r="I4971" s="6" t="s">
        <v>180</v>
      </c>
      <c r="J4971" s="15">
        <v>17.98136201752669</v>
      </c>
    </row>
    <row r="4972" spans="1:10">
      <c r="A4972" s="6" t="s">
        <v>146</v>
      </c>
      <c r="B4972" s="6" t="s">
        <v>86</v>
      </c>
      <c r="C4972" s="6" t="s">
        <v>199</v>
      </c>
      <c r="D4972" s="6">
        <v>72.34466666666667</v>
      </c>
      <c r="E4972" s="6" t="s">
        <v>86</v>
      </c>
      <c r="F4972" s="6" t="s">
        <v>57</v>
      </c>
      <c r="G4972" s="7">
        <v>52709.72675479725</v>
      </c>
      <c r="H4972" s="6">
        <v>3813267.612166889</v>
      </c>
      <c r="I4972" s="6" t="s">
        <v>179</v>
      </c>
      <c r="J4972" s="15">
        <v>49.53333333333333</v>
      </c>
    </row>
    <row r="4973" spans="1:10">
      <c r="A4973" s="6" t="s">
        <v>146</v>
      </c>
      <c r="B4973" s="6" t="s">
        <v>86</v>
      </c>
      <c r="C4973" s="6" t="s">
        <v>337</v>
      </c>
      <c r="D4973" s="6">
        <v>21.66883333333334</v>
      </c>
      <c r="E4973" s="6" t="s">
        <v>86</v>
      </c>
      <c r="F4973" s="6" t="s">
        <v>52</v>
      </c>
      <c r="G4973" s="7">
        <v>76118.45485007425</v>
      </c>
      <c r="H4973" s="6">
        <v>1649398.111737117</v>
      </c>
      <c r="I4973" s="6" t="s">
        <v>179</v>
      </c>
      <c r="J4973" s="15">
        <v>50.90833333333333</v>
      </c>
    </row>
    <row r="4974" spans="1:10">
      <c r="A4974" s="6" t="s">
        <v>146</v>
      </c>
      <c r="B4974" s="6" t="s">
        <v>86</v>
      </c>
      <c r="C4974" s="6" t="s">
        <v>200</v>
      </c>
      <c r="D4974" s="6">
        <v>72.92858333333334</v>
      </c>
      <c r="E4974" s="6" t="s">
        <v>86</v>
      </c>
      <c r="F4974" s="6" t="s">
        <v>52</v>
      </c>
      <c r="G4974" s="7">
        <v>74043.30178681524</v>
      </c>
      <c r="H4974" s="6">
        <v>5399873.104634904</v>
      </c>
      <c r="I4974" s="6" t="s">
        <v>179</v>
      </c>
      <c r="J4974" s="15">
        <v>64.11666666666666</v>
      </c>
    </row>
    <row r="4975" spans="1:10">
      <c r="A4975" s="6" t="s">
        <v>146</v>
      </c>
      <c r="B4975" s="6" t="s">
        <v>86</v>
      </c>
      <c r="C4975" s="6" t="s">
        <v>201</v>
      </c>
      <c r="D4975" s="6">
        <v>48.90725</v>
      </c>
      <c r="E4975" s="6" t="s">
        <v>86</v>
      </c>
      <c r="F4975" s="6" t="s">
        <v>56</v>
      </c>
      <c r="G4975" s="7">
        <v>57893.42884687793</v>
      </c>
      <c r="H4975" s="6">
        <v>2831408.39797147</v>
      </c>
      <c r="I4975" s="6" t="s">
        <v>179</v>
      </c>
      <c r="J4975" s="15">
        <v>34.10833333333333</v>
      </c>
    </row>
    <row r="4976" spans="1:10">
      <c r="A4976" s="6" t="s">
        <v>146</v>
      </c>
      <c r="B4976" s="6" t="s">
        <v>86</v>
      </c>
      <c r="C4976" s="6" t="s">
        <v>202</v>
      </c>
      <c r="D4976" s="6">
        <v>553.3016666666667</v>
      </c>
      <c r="E4976" s="6" t="s">
        <v>86</v>
      </c>
      <c r="F4976" s="6" t="s">
        <v>54</v>
      </c>
      <c r="G4976" s="7">
        <v>90789.34185131452</v>
      </c>
      <c r="H4976" s="6">
        <v>50233894.16190208</v>
      </c>
      <c r="I4976" s="6" t="s">
        <v>179</v>
      </c>
      <c r="J4976" s="15">
        <v>65.125</v>
      </c>
    </row>
    <row r="4977" spans="1:10">
      <c r="A4977" s="6" t="s">
        <v>146</v>
      </c>
      <c r="B4977" s="6" t="s">
        <v>86</v>
      </c>
      <c r="C4977" s="6" t="s">
        <v>203</v>
      </c>
      <c r="D4977" s="6">
        <v>679.0700000000001</v>
      </c>
      <c r="E4977" s="6" t="s">
        <v>86</v>
      </c>
      <c r="F4977" s="6" t="s">
        <v>53</v>
      </c>
      <c r="G4977" s="7">
        <v>22045.15542894867</v>
      </c>
      <c r="H4977" s="6">
        <v>14970203.69713617</v>
      </c>
      <c r="I4977" s="6" t="s">
        <v>179</v>
      </c>
      <c r="J4977" s="15">
        <v>8</v>
      </c>
    </row>
    <row r="4978" spans="1:10">
      <c r="A4978" s="6" t="s">
        <v>146</v>
      </c>
      <c r="B4978" s="6" t="s">
        <v>86</v>
      </c>
      <c r="C4978" s="6" t="s">
        <v>204</v>
      </c>
      <c r="D4978" s="6">
        <v>1597.83825</v>
      </c>
      <c r="E4978" s="6" t="s">
        <v>86</v>
      </c>
      <c r="F4978" s="6" t="s">
        <v>51</v>
      </c>
      <c r="G4978" s="7">
        <v>46344.34011305719</v>
      </c>
      <c r="H4978" s="6">
        <v>74050759.30365211</v>
      </c>
      <c r="I4978" s="6" t="s">
        <v>179</v>
      </c>
      <c r="J4978" s="15">
        <v>45</v>
      </c>
    </row>
    <row r="4979" spans="1:10">
      <c r="A4979" s="6" t="s">
        <v>146</v>
      </c>
      <c r="B4979" s="6" t="s">
        <v>86</v>
      </c>
      <c r="C4979" s="6" t="s">
        <v>338</v>
      </c>
      <c r="D4979" s="6">
        <v>6.001916666666666</v>
      </c>
      <c r="E4979" s="6" t="s">
        <v>86</v>
      </c>
      <c r="F4979" s="6" t="s">
        <v>52</v>
      </c>
      <c r="G4979" s="7">
        <v>71922.38560201312</v>
      </c>
      <c r="H4979" s="6">
        <v>431672.1648511493</v>
      </c>
      <c r="I4979" s="6" t="s">
        <v>179</v>
      </c>
      <c r="J4979" s="15">
        <v>54.91666666666667</v>
      </c>
    </row>
    <row r="4980" spans="1:10">
      <c r="A4980" s="6" t="s">
        <v>146</v>
      </c>
      <c r="B4980" s="6" t="s">
        <v>90</v>
      </c>
      <c r="C4980" s="6" t="s">
        <v>339</v>
      </c>
      <c r="D4980" s="6">
        <v>7.242249999999999</v>
      </c>
      <c r="E4980" s="6" t="s">
        <v>86</v>
      </c>
      <c r="F4980" s="6" t="s">
        <v>52</v>
      </c>
      <c r="G4980" s="7">
        <v>59918.03179942394</v>
      </c>
      <c r="H4980" s="6">
        <v>433941.365799378</v>
      </c>
      <c r="I4980" s="6" t="s">
        <v>180</v>
      </c>
      <c r="J4980" s="15">
        <v>12.43871031134531</v>
      </c>
    </row>
    <row r="4981" spans="1:10">
      <c r="A4981" s="6" t="s">
        <v>146</v>
      </c>
      <c r="B4981" s="6" t="s">
        <v>86</v>
      </c>
      <c r="C4981" s="6" t="s">
        <v>205</v>
      </c>
      <c r="D4981" s="6">
        <v>213.6885</v>
      </c>
      <c r="E4981" s="6" t="s">
        <v>86</v>
      </c>
      <c r="F4981" s="6" t="s">
        <v>56</v>
      </c>
      <c r="G4981" s="7">
        <v>60176.4051044983</v>
      </c>
      <c r="H4981" s="6">
        <v>12859005.74217258</v>
      </c>
      <c r="I4981" s="6" t="s">
        <v>179</v>
      </c>
      <c r="J4981" s="15">
        <v>41</v>
      </c>
    </row>
    <row r="4982" spans="1:10">
      <c r="A4982" s="6" t="s">
        <v>146</v>
      </c>
      <c r="B4982" s="6" t="s">
        <v>86</v>
      </c>
      <c r="C4982" s="6" t="s">
        <v>206</v>
      </c>
      <c r="D4982" s="6">
        <v>19.03216666666667</v>
      </c>
      <c r="E4982" s="6" t="s">
        <v>86</v>
      </c>
      <c r="F4982" s="6" t="s">
        <v>55</v>
      </c>
      <c r="G4982" s="7">
        <v>62775.43713070149</v>
      </c>
      <c r="H4982" s="6">
        <v>1194752.582044366</v>
      </c>
      <c r="I4982" s="6" t="s">
        <v>180</v>
      </c>
      <c r="J4982" s="15">
        <v>12.10449825179888</v>
      </c>
    </row>
    <row r="4983" spans="1:10">
      <c r="A4983" s="6" t="s">
        <v>146</v>
      </c>
      <c r="B4983" s="6" t="s">
        <v>86</v>
      </c>
      <c r="C4983" s="6" t="s">
        <v>340</v>
      </c>
      <c r="D4983" s="6">
        <v>467.6025833333333</v>
      </c>
      <c r="E4983" s="6" t="s">
        <v>86</v>
      </c>
      <c r="F4983" s="6" t="s">
        <v>52</v>
      </c>
      <c r="G4983" s="7">
        <v>76248.97905109002</v>
      </c>
      <c r="H4983" s="6">
        <v>35654219.58081891</v>
      </c>
      <c r="I4983" s="6" t="s">
        <v>179</v>
      </c>
      <c r="J4983" s="15">
        <v>53.35833333333333</v>
      </c>
    </row>
    <row r="4984" spans="1:10">
      <c r="A4984" s="6" t="s">
        <v>146</v>
      </c>
      <c r="B4984" s="6" t="s">
        <v>86</v>
      </c>
      <c r="C4984" s="6" t="s">
        <v>207</v>
      </c>
      <c r="D4984" s="6">
        <v>0.4505833333333333</v>
      </c>
      <c r="E4984" s="6" t="s">
        <v>86</v>
      </c>
      <c r="F4984" s="6" t="s">
        <v>55</v>
      </c>
      <c r="G4984" s="7">
        <v>52810.92507980197</v>
      </c>
      <c r="H4984" s="6">
        <v>23795.7226588741</v>
      </c>
      <c r="I4984" s="6" t="s">
        <v>180</v>
      </c>
      <c r="J4984" s="15">
        <v>9.110020613894488</v>
      </c>
    </row>
    <row r="4985" spans="1:10">
      <c r="A4985" s="6" t="s">
        <v>146</v>
      </c>
      <c r="B4985" s="6" t="s">
        <v>86</v>
      </c>
      <c r="C4985" s="6" t="s">
        <v>208</v>
      </c>
      <c r="D4985" s="6">
        <v>2.282583333333333</v>
      </c>
      <c r="E4985" s="6" t="s">
        <v>86</v>
      </c>
      <c r="F4985" s="6" t="s">
        <v>51</v>
      </c>
      <c r="G4985" s="7">
        <v>52043.19496136486</v>
      </c>
      <c r="H4985" s="6">
        <v>118792.9294322287</v>
      </c>
      <c r="I4985" s="6" t="s">
        <v>180</v>
      </c>
      <c r="J4985" s="15">
        <v>8.879306790692469</v>
      </c>
    </row>
    <row r="4986" spans="1:10">
      <c r="A4986" s="6" t="s">
        <v>146</v>
      </c>
      <c r="B4986" s="6" t="s">
        <v>86</v>
      </c>
      <c r="C4986" s="6" t="s">
        <v>209</v>
      </c>
      <c r="D4986" s="6">
        <v>0.4065833333333334</v>
      </c>
      <c r="E4986" s="6" t="s">
        <v>86</v>
      </c>
      <c r="F4986" s="6" t="s">
        <v>57</v>
      </c>
      <c r="G4986" s="7">
        <v>50343.81581786243</v>
      </c>
      <c r="H4986" s="6">
        <v>20468.9564479459</v>
      </c>
      <c r="I4986" s="6" t="s">
        <v>180</v>
      </c>
      <c r="J4986" s="15">
        <v>8.368619180747757</v>
      </c>
    </row>
    <row r="4987" spans="1:10">
      <c r="A4987" s="6" t="s">
        <v>146</v>
      </c>
      <c r="B4987" s="6" t="s">
        <v>90</v>
      </c>
      <c r="C4987" s="6" t="s">
        <v>210</v>
      </c>
      <c r="D4987" s="6">
        <v>0.5555</v>
      </c>
      <c r="E4987" s="6" t="s">
        <v>86</v>
      </c>
      <c r="F4987" s="6" t="s">
        <v>53</v>
      </c>
      <c r="G4987" s="7">
        <v>33962.09735450833</v>
      </c>
      <c r="H4987" s="6">
        <v>18865.94508042938</v>
      </c>
      <c r="I4987" s="6" t="s">
        <v>180</v>
      </c>
      <c r="J4987" s="15">
        <v>12</v>
      </c>
    </row>
    <row r="4988" spans="1:10">
      <c r="A4988" s="6" t="s">
        <v>146</v>
      </c>
      <c r="B4988" s="6" t="s">
        <v>86</v>
      </c>
      <c r="C4988" s="6" t="s">
        <v>211</v>
      </c>
      <c r="D4988" s="6">
        <v>307.1215833333333</v>
      </c>
      <c r="E4988" s="6" t="s">
        <v>86</v>
      </c>
      <c r="F4988" s="6" t="s">
        <v>55</v>
      </c>
      <c r="G4988" s="7">
        <v>53062.99242745514</v>
      </c>
      <c r="H4988" s="6">
        <v>16296790.2507247</v>
      </c>
      <c r="I4988" s="6" t="s">
        <v>179</v>
      </c>
      <c r="J4988" s="15">
        <v>38</v>
      </c>
    </row>
    <row r="4989" spans="1:10">
      <c r="A4989" s="6" t="s">
        <v>146</v>
      </c>
      <c r="B4989" s="6" t="s">
        <v>86</v>
      </c>
      <c r="C4989" s="6" t="s">
        <v>377</v>
      </c>
      <c r="D4989" s="6">
        <v>0.6653333333333333</v>
      </c>
      <c r="E4989" s="6" t="s">
        <v>86</v>
      </c>
      <c r="F4989" s="6" t="s">
        <v>51</v>
      </c>
      <c r="G4989" s="7">
        <v>69820.10309347716</v>
      </c>
      <c r="H4989" s="6">
        <v>46453.64192486013</v>
      </c>
      <c r="I4989" s="6" t="s">
        <v>180</v>
      </c>
      <c r="J4989" s="15">
        <v>14.22152059913335</v>
      </c>
    </row>
    <row r="4990" spans="1:10">
      <c r="A4990" s="6" t="s">
        <v>146</v>
      </c>
      <c r="B4990" s="6" t="s">
        <v>86</v>
      </c>
      <c r="C4990" s="6" t="s">
        <v>212</v>
      </c>
      <c r="D4990" s="6">
        <v>58.64225</v>
      </c>
      <c r="E4990" s="6" t="s">
        <v>86</v>
      </c>
      <c r="F4990" s="6" t="s">
        <v>55</v>
      </c>
      <c r="G4990" s="7">
        <v>52156.54206456027</v>
      </c>
      <c r="H4990" s="6">
        <v>3058576.978885459</v>
      </c>
      <c r="I4990" s="6" t="s">
        <v>179</v>
      </c>
      <c r="J4990" s="15">
        <v>36</v>
      </c>
    </row>
    <row r="4991" spans="1:10">
      <c r="A4991" s="6" t="s">
        <v>146</v>
      </c>
      <c r="B4991" s="6" t="s">
        <v>86</v>
      </c>
      <c r="C4991" s="6" t="s">
        <v>213</v>
      </c>
      <c r="D4991" s="6">
        <v>87.31183333333334</v>
      </c>
      <c r="E4991" s="6" t="s">
        <v>86</v>
      </c>
      <c r="F4991" s="6" t="s">
        <v>52</v>
      </c>
      <c r="G4991" s="7">
        <v>91659.65133947671</v>
      </c>
      <c r="H4991" s="6">
        <v>8002972.201143835</v>
      </c>
      <c r="I4991" s="6" t="s">
        <v>179</v>
      </c>
      <c r="J4991" s="15">
        <v>69</v>
      </c>
    </row>
    <row r="4992" spans="1:10">
      <c r="A4992" s="6" t="s">
        <v>146</v>
      </c>
      <c r="B4992" s="6" t="s">
        <v>90</v>
      </c>
      <c r="C4992" s="6" t="s">
        <v>214</v>
      </c>
      <c r="D4992" s="6">
        <v>0.728</v>
      </c>
      <c r="E4992" s="6" t="s">
        <v>86</v>
      </c>
      <c r="F4992" s="6" t="s">
        <v>53</v>
      </c>
      <c r="G4992" s="7">
        <v>29230.07315219457</v>
      </c>
      <c r="H4992" s="6">
        <v>21279.49325479765</v>
      </c>
      <c r="I4992" s="6" t="s">
        <v>179</v>
      </c>
      <c r="J4992" s="15">
        <v>27</v>
      </c>
    </row>
    <row r="4993" spans="1:10">
      <c r="A4993" s="6" t="s">
        <v>146</v>
      </c>
      <c r="B4993" s="6" t="s">
        <v>86</v>
      </c>
      <c r="C4993" s="6" t="s">
        <v>215</v>
      </c>
      <c r="D4993" s="6">
        <v>241.1501666666667</v>
      </c>
      <c r="E4993" s="6" t="s">
        <v>86</v>
      </c>
      <c r="F4993" s="6" t="s">
        <v>54</v>
      </c>
      <c r="G4993" s="7">
        <v>92290.56849765679</v>
      </c>
      <c r="H4993" s="6">
        <v>22255885.97497135</v>
      </c>
      <c r="I4993" s="6" t="s">
        <v>179</v>
      </c>
      <c r="J4993" s="15">
        <v>62</v>
      </c>
    </row>
    <row r="4994" spans="1:10">
      <c r="A4994" s="6" t="s">
        <v>146</v>
      </c>
      <c r="B4994" s="6" t="s">
        <v>86</v>
      </c>
      <c r="C4994" s="6" t="s">
        <v>216</v>
      </c>
      <c r="D4994" s="6">
        <v>3.15575</v>
      </c>
      <c r="E4994" s="6" t="s">
        <v>86</v>
      </c>
      <c r="F4994" s="6" t="s">
        <v>55</v>
      </c>
      <c r="G4994" s="7">
        <v>48830.3229287997</v>
      </c>
      <c r="H4994" s="6">
        <v>154096.2915825596</v>
      </c>
      <c r="I4994" s="6" t="s">
        <v>180</v>
      </c>
      <c r="J4994" s="15">
        <v>7.913793034893832</v>
      </c>
    </row>
    <row r="4995" spans="1:10">
      <c r="A4995" s="6" t="s">
        <v>146</v>
      </c>
      <c r="B4995" s="6" t="s">
        <v>86</v>
      </c>
      <c r="C4995" s="6" t="s">
        <v>341</v>
      </c>
      <c r="D4995" s="6">
        <v>3.429166666666667</v>
      </c>
      <c r="E4995" s="6" t="s">
        <v>86</v>
      </c>
      <c r="F4995" s="6" t="s">
        <v>52</v>
      </c>
      <c r="G4995" s="7">
        <v>67420.24760609666</v>
      </c>
      <c r="H4995" s="6">
        <v>231195.2657492398</v>
      </c>
      <c r="I4995" s="6" t="s">
        <v>179</v>
      </c>
      <c r="J4995" s="15">
        <v>49.875</v>
      </c>
    </row>
    <row r="4996" spans="1:10">
      <c r="A4996" s="6" t="s">
        <v>146</v>
      </c>
      <c r="B4996" s="6" t="s">
        <v>90</v>
      </c>
      <c r="C4996" s="6" t="s">
        <v>217</v>
      </c>
      <c r="D4996" s="6">
        <v>74.62083333333334</v>
      </c>
      <c r="E4996" s="6" t="s">
        <v>86</v>
      </c>
      <c r="F4996" s="6" t="s">
        <v>53</v>
      </c>
      <c r="G4996" s="7">
        <v>29595.99008532836</v>
      </c>
      <c r="H4996" s="6">
        <v>2208477.443492273</v>
      </c>
      <c r="I4996" s="6" t="s">
        <v>179</v>
      </c>
      <c r="J4996" s="15">
        <v>15</v>
      </c>
    </row>
    <row r="4997" spans="1:10">
      <c r="A4997" s="6" t="s">
        <v>146</v>
      </c>
      <c r="B4997" s="6" t="s">
        <v>90</v>
      </c>
      <c r="C4997" s="6" t="s">
        <v>218</v>
      </c>
      <c r="D4997" s="6">
        <v>10.15991666666667</v>
      </c>
      <c r="E4997" s="6" t="s">
        <v>86</v>
      </c>
      <c r="F4997" s="6" t="s">
        <v>54</v>
      </c>
      <c r="G4997" s="7">
        <v>55803.8509311504</v>
      </c>
      <c r="H4997" s="6">
        <v>566962.4751395772</v>
      </c>
      <c r="I4997" s="6" t="s">
        <v>180</v>
      </c>
      <c r="J4997" s="15">
        <v>11.12043154931672</v>
      </c>
    </row>
    <row r="4998" spans="1:10">
      <c r="A4998" s="6" t="s">
        <v>146</v>
      </c>
      <c r="B4998" s="6" t="s">
        <v>86</v>
      </c>
      <c r="C4998" s="6" t="s">
        <v>219</v>
      </c>
      <c r="D4998" s="6">
        <v>12.0475</v>
      </c>
      <c r="E4998" s="6" t="s">
        <v>86</v>
      </c>
      <c r="F4998" s="6" t="s">
        <v>51</v>
      </c>
      <c r="G4998" s="7">
        <v>52259.13647561446</v>
      </c>
      <c r="H4998" s="6">
        <v>629591.9466899652</v>
      </c>
      <c r="I4998" s="6" t="s">
        <v>180</v>
      </c>
      <c r="J4998" s="15">
        <v>8.944200287956821</v>
      </c>
    </row>
    <row r="4999" spans="1:10">
      <c r="A4999" s="6" t="s">
        <v>146</v>
      </c>
      <c r="B4999" s="6" t="s">
        <v>86</v>
      </c>
      <c r="C4999" s="6" t="s">
        <v>220</v>
      </c>
      <c r="D4999" s="6">
        <v>4.256416666666667</v>
      </c>
      <c r="E4999" s="6" t="s">
        <v>86</v>
      </c>
      <c r="F4999" s="6" t="s">
        <v>57</v>
      </c>
      <c r="G4999" s="7">
        <v>55010.17947726394</v>
      </c>
      <c r="H4999" s="6">
        <v>234146.2447633508</v>
      </c>
      <c r="I4999" s="6" t="s">
        <v>179</v>
      </c>
      <c r="J4999" s="15">
        <v>6.921154133661506</v>
      </c>
    </row>
    <row r="5000" spans="1:10">
      <c r="A5000" s="6" t="s">
        <v>146</v>
      </c>
      <c r="B5000" s="6" t="s">
        <v>86</v>
      </c>
      <c r="C5000" s="6" t="s">
        <v>221</v>
      </c>
      <c r="D5000" s="6">
        <v>43.83341666666666</v>
      </c>
      <c r="E5000" s="6" t="s">
        <v>86</v>
      </c>
      <c r="F5000" s="6" t="s">
        <v>51</v>
      </c>
      <c r="G5000" s="7">
        <v>49959.47837571311</v>
      </c>
      <c r="H5000" s="6">
        <v>2189894.632091956</v>
      </c>
      <c r="I5000" s="6" t="s">
        <v>180</v>
      </c>
      <c r="J5000" s="15">
        <v>8.25312031135539</v>
      </c>
    </row>
    <row r="5001" spans="1:10">
      <c r="A5001" s="6" t="s">
        <v>146</v>
      </c>
      <c r="B5001" s="6" t="s">
        <v>86</v>
      </c>
      <c r="C5001" s="6" t="s">
        <v>222</v>
      </c>
      <c r="D5001" s="6">
        <v>0.4970833333333333</v>
      </c>
      <c r="E5001" s="6" t="s">
        <v>86</v>
      </c>
      <c r="F5001" s="6" t="s">
        <v>57</v>
      </c>
      <c r="G5001" s="7">
        <v>49392.57285899352</v>
      </c>
      <c r="H5001" s="6">
        <v>24552.22475865803</v>
      </c>
      <c r="I5001" s="6" t="s">
        <v>180</v>
      </c>
      <c r="J5001" s="15">
        <v>8.082757138131251</v>
      </c>
    </row>
    <row r="5002" spans="1:10">
      <c r="A5002" s="6" t="s">
        <v>146</v>
      </c>
      <c r="B5002" s="6" t="s">
        <v>86</v>
      </c>
      <c r="C5002" s="6" t="s">
        <v>342</v>
      </c>
      <c r="D5002" s="6">
        <v>46.43408333333333</v>
      </c>
      <c r="E5002" s="6" t="s">
        <v>86</v>
      </c>
      <c r="F5002" s="6" t="s">
        <v>53</v>
      </c>
      <c r="G5002" s="7">
        <v>33275.25972937583</v>
      </c>
      <c r="H5002" s="6">
        <v>1545106.183212148</v>
      </c>
      <c r="I5002" s="6" t="s">
        <v>179</v>
      </c>
      <c r="J5002" s="15">
        <v>8</v>
      </c>
    </row>
    <row r="5003" spans="1:10">
      <c r="A5003" s="6" t="s">
        <v>146</v>
      </c>
      <c r="B5003" s="6" t="s">
        <v>86</v>
      </c>
      <c r="C5003" s="6" t="s">
        <v>343</v>
      </c>
      <c r="D5003" s="6">
        <v>11.10891666666667</v>
      </c>
      <c r="E5003" s="6" t="s">
        <v>86</v>
      </c>
      <c r="F5003" s="6" t="s">
        <v>52</v>
      </c>
      <c r="G5003" s="7">
        <v>69744.27374406446</v>
      </c>
      <c r="H5003" s="6">
        <v>774783.325</v>
      </c>
      <c r="I5003" s="6" t="s">
        <v>179</v>
      </c>
      <c r="J5003" s="15">
        <v>50.60833333333333</v>
      </c>
    </row>
    <row r="5004" spans="1:10">
      <c r="A5004" s="6" t="s">
        <v>146</v>
      </c>
      <c r="B5004" s="6" t="s">
        <v>86</v>
      </c>
      <c r="C5004" s="6" t="s">
        <v>223</v>
      </c>
      <c r="D5004" s="6">
        <v>44.2025</v>
      </c>
      <c r="E5004" s="6" t="s">
        <v>86</v>
      </c>
      <c r="F5004" s="6" t="s">
        <v>53</v>
      </c>
      <c r="G5004" s="7">
        <v>24418.66320757394</v>
      </c>
      <c r="H5004" s="6">
        <v>1079365.960432787</v>
      </c>
      <c r="I5004" s="6" t="s">
        <v>179</v>
      </c>
      <c r="J5004" s="15">
        <v>7.983333333333333</v>
      </c>
    </row>
    <row r="5005" spans="1:10">
      <c r="A5005" s="6" t="s">
        <v>146</v>
      </c>
      <c r="B5005" s="6" t="s">
        <v>86</v>
      </c>
      <c r="C5005" s="6" t="s">
        <v>224</v>
      </c>
      <c r="D5005" s="6">
        <v>629.2575000000001</v>
      </c>
      <c r="E5005" s="6" t="s">
        <v>86</v>
      </c>
      <c r="F5005" s="6" t="s">
        <v>51</v>
      </c>
      <c r="G5005" s="7">
        <v>44832.66432506633</v>
      </c>
      <c r="H5005" s="6">
        <v>28211290.27153043</v>
      </c>
      <c r="I5005" s="6" t="s">
        <v>179</v>
      </c>
      <c r="J5005" s="15">
        <v>47</v>
      </c>
    </row>
    <row r="5006" spans="1:10">
      <c r="A5006" s="6" t="s">
        <v>146</v>
      </c>
      <c r="B5006" s="6" t="s">
        <v>86</v>
      </c>
      <c r="C5006" s="6" t="s">
        <v>225</v>
      </c>
      <c r="D5006" s="6">
        <v>0.007666666666666667</v>
      </c>
      <c r="E5006" s="6" t="s">
        <v>86</v>
      </c>
      <c r="F5006" s="6" t="s">
        <v>54</v>
      </c>
      <c r="G5006" s="7">
        <v>67108.78662238816</v>
      </c>
      <c r="H5006" s="6">
        <v>514.5006974383092</v>
      </c>
      <c r="I5006" s="6" t="s">
        <v>180</v>
      </c>
      <c r="J5006" s="15">
        <v>13.40673142526458</v>
      </c>
    </row>
    <row r="5007" spans="1:10">
      <c r="A5007" s="6" t="s">
        <v>146</v>
      </c>
      <c r="B5007" s="6" t="s">
        <v>86</v>
      </c>
      <c r="C5007" s="6" t="s">
        <v>226</v>
      </c>
      <c r="D5007" s="6">
        <v>277.0481666666666</v>
      </c>
      <c r="E5007" s="6" t="s">
        <v>86</v>
      </c>
      <c r="F5007" s="6" t="s">
        <v>56</v>
      </c>
      <c r="G5007" s="7">
        <v>74819.13266235047</v>
      </c>
      <c r="H5007" s="6">
        <v>20728503.53569432</v>
      </c>
      <c r="I5007" s="6" t="s">
        <v>179</v>
      </c>
      <c r="J5007" s="15">
        <v>51.55</v>
      </c>
    </row>
    <row r="5008" spans="1:10">
      <c r="A5008" s="6" t="s">
        <v>146</v>
      </c>
      <c r="B5008" s="6" t="s">
        <v>90</v>
      </c>
      <c r="C5008" s="6" t="s">
        <v>344</v>
      </c>
      <c r="D5008" s="6">
        <v>45.14816666666667</v>
      </c>
      <c r="E5008" s="6" t="s">
        <v>86</v>
      </c>
      <c r="F5008" s="6" t="s">
        <v>52</v>
      </c>
      <c r="G5008" s="7">
        <v>59918.03179942394</v>
      </c>
      <c r="H5008" s="6">
        <v>2705189.286019025</v>
      </c>
      <c r="I5008" s="6" t="s">
        <v>180</v>
      </c>
      <c r="J5008" s="15">
        <v>12.43871031134531</v>
      </c>
    </row>
    <row r="5009" spans="1:10">
      <c r="A5009" s="6" t="s">
        <v>146</v>
      </c>
      <c r="B5009" s="6" t="s">
        <v>86</v>
      </c>
      <c r="C5009" s="6" t="s">
        <v>345</v>
      </c>
      <c r="D5009" s="6">
        <v>39.42883333333333</v>
      </c>
      <c r="E5009" s="6" t="s">
        <v>86</v>
      </c>
      <c r="F5009" s="6" t="s">
        <v>53</v>
      </c>
      <c r="G5009" s="7">
        <v>31603.56115403747</v>
      </c>
      <c r="H5009" s="6">
        <v>1246091.545482351</v>
      </c>
      <c r="I5009" s="6" t="s">
        <v>179</v>
      </c>
      <c r="J5009" s="15">
        <v>8</v>
      </c>
    </row>
    <row r="5010" spans="1:10">
      <c r="A5010" s="6" t="s">
        <v>146</v>
      </c>
      <c r="B5010" s="6" t="s">
        <v>86</v>
      </c>
      <c r="C5010" s="6" t="s">
        <v>227</v>
      </c>
      <c r="D5010" s="6">
        <v>54.21625</v>
      </c>
      <c r="E5010" s="6" t="s">
        <v>86</v>
      </c>
      <c r="F5010" s="6" t="s">
        <v>57</v>
      </c>
      <c r="G5010" s="7">
        <v>50057.03584104127</v>
      </c>
      <c r="H5010" s="6">
        <v>2713904.769416854</v>
      </c>
      <c r="I5010" s="6" t="s">
        <v>179</v>
      </c>
      <c r="J5010" s="15">
        <v>39</v>
      </c>
    </row>
    <row r="5011" spans="1:10">
      <c r="A5011" s="6" t="s">
        <v>146</v>
      </c>
      <c r="B5011" s="6" t="s">
        <v>90</v>
      </c>
      <c r="C5011" s="6" t="s">
        <v>228</v>
      </c>
      <c r="D5011" s="6">
        <v>84.26991666666666</v>
      </c>
      <c r="E5011" s="6" t="s">
        <v>86</v>
      </c>
      <c r="F5011" s="6" t="s">
        <v>51</v>
      </c>
      <c r="G5011" s="7">
        <v>55221.41986499156</v>
      </c>
      <c r="H5011" s="6">
        <v>4653504.45023785</v>
      </c>
      <c r="I5011" s="6" t="s">
        <v>180</v>
      </c>
      <c r="J5011" s="15">
        <v>10.933807156893</v>
      </c>
    </row>
    <row r="5012" spans="1:10">
      <c r="A5012" s="6" t="s">
        <v>146</v>
      </c>
      <c r="B5012" s="6" t="s">
        <v>86</v>
      </c>
      <c r="C5012" s="6" t="s">
        <v>229</v>
      </c>
      <c r="D5012" s="6">
        <v>44.88108333333333</v>
      </c>
      <c r="E5012" s="6" t="s">
        <v>86</v>
      </c>
      <c r="F5012" s="6" t="s">
        <v>53</v>
      </c>
      <c r="G5012" s="7">
        <v>21180.73880713652</v>
      </c>
      <c r="H5012" s="6">
        <v>950614.5034646612</v>
      </c>
      <c r="I5012" s="6" t="s">
        <v>179</v>
      </c>
      <c r="J5012" s="15">
        <v>5</v>
      </c>
    </row>
    <row r="5013" spans="1:10">
      <c r="A5013" s="6" t="s">
        <v>146</v>
      </c>
      <c r="B5013" s="6" t="s">
        <v>86</v>
      </c>
      <c r="C5013" s="6" t="s">
        <v>367</v>
      </c>
      <c r="D5013" s="6">
        <v>2.594833333333333</v>
      </c>
      <c r="E5013" s="6" t="s">
        <v>86</v>
      </c>
      <c r="F5013" s="6" t="s">
        <v>55</v>
      </c>
      <c r="G5013" s="7">
        <v>60915.58547543351</v>
      </c>
      <c r="H5013" s="6">
        <v>158065.7917111707</v>
      </c>
      <c r="I5013" s="6" t="s">
        <v>180</v>
      </c>
      <c r="J5013" s="15">
        <v>11.5455863690021</v>
      </c>
    </row>
    <row r="5014" spans="1:10">
      <c r="A5014" s="6" t="s">
        <v>146</v>
      </c>
      <c r="B5014" s="6" t="s">
        <v>86</v>
      </c>
      <c r="C5014" s="6" t="s">
        <v>230</v>
      </c>
      <c r="D5014" s="6">
        <v>63.41158333333333</v>
      </c>
      <c r="E5014" s="6" t="s">
        <v>86</v>
      </c>
      <c r="F5014" s="6" t="s">
        <v>53</v>
      </c>
      <c r="G5014" s="7">
        <v>31425.98001427314</v>
      </c>
      <c r="H5014" s="6">
        <v>1992771.150506749</v>
      </c>
      <c r="I5014" s="6" t="s">
        <v>179</v>
      </c>
      <c r="J5014" s="15">
        <v>8</v>
      </c>
    </row>
    <row r="5015" spans="1:10">
      <c r="A5015" s="6" t="s">
        <v>146</v>
      </c>
      <c r="B5015" s="6" t="s">
        <v>86</v>
      </c>
      <c r="C5015" s="6" t="s">
        <v>378</v>
      </c>
      <c r="D5015" s="6">
        <v>4.6905</v>
      </c>
      <c r="E5015" s="6" t="s">
        <v>86</v>
      </c>
      <c r="F5015" s="6" t="s">
        <v>51</v>
      </c>
      <c r="G5015" s="7">
        <v>54762.15567895858</v>
      </c>
      <c r="H5015" s="6">
        <v>256861.8912121552</v>
      </c>
      <c r="I5015" s="6" t="s">
        <v>180</v>
      </c>
      <c r="J5015" s="15">
        <v>9.696393169391754</v>
      </c>
    </row>
    <row r="5016" spans="1:10">
      <c r="A5016" s="6" t="s">
        <v>146</v>
      </c>
      <c r="B5016" s="6" t="s">
        <v>86</v>
      </c>
      <c r="C5016" s="6" t="s">
        <v>231</v>
      </c>
      <c r="D5016" s="6">
        <v>25.65958333333333</v>
      </c>
      <c r="E5016" s="6" t="s">
        <v>86</v>
      </c>
      <c r="F5016" s="6" t="s">
        <v>52</v>
      </c>
      <c r="G5016" s="7">
        <v>92791.93151714627</v>
      </c>
      <c r="H5016" s="6">
        <v>2381002.299425174</v>
      </c>
      <c r="I5016" s="6" t="s">
        <v>179</v>
      </c>
      <c r="J5016" s="15">
        <v>46</v>
      </c>
    </row>
    <row r="5017" spans="1:10">
      <c r="A5017" s="6" t="s">
        <v>146</v>
      </c>
      <c r="B5017" s="6" t="s">
        <v>86</v>
      </c>
      <c r="C5017" s="6" t="s">
        <v>346</v>
      </c>
      <c r="D5017" s="6">
        <v>15.90741666666667</v>
      </c>
      <c r="E5017" s="6" t="s">
        <v>86</v>
      </c>
      <c r="F5017" s="6" t="s">
        <v>52</v>
      </c>
      <c r="G5017" s="7">
        <v>91431.43065714603</v>
      </c>
      <c r="H5017" s="6">
        <v>1454437.863892662</v>
      </c>
      <c r="I5017" s="6" t="s">
        <v>179</v>
      </c>
      <c r="J5017" s="15">
        <v>46</v>
      </c>
    </row>
    <row r="5018" spans="1:10">
      <c r="A5018" s="6" t="s">
        <v>146</v>
      </c>
      <c r="B5018" s="6" t="s">
        <v>86</v>
      </c>
      <c r="C5018" s="6" t="s">
        <v>232</v>
      </c>
      <c r="D5018" s="6">
        <v>13.26591666666667</v>
      </c>
      <c r="E5018" s="6" t="s">
        <v>86</v>
      </c>
      <c r="F5018" s="6" t="s">
        <v>51</v>
      </c>
      <c r="G5018" s="7">
        <v>50639.92494996203</v>
      </c>
      <c r="H5018" s="6">
        <v>671785.0243924505</v>
      </c>
      <c r="I5018" s="6" t="s">
        <v>180</v>
      </c>
      <c r="J5018" s="15">
        <v>8.457604187732773</v>
      </c>
    </row>
    <row r="5019" spans="1:10">
      <c r="A5019" s="6" t="s">
        <v>146</v>
      </c>
      <c r="B5019" s="6" t="s">
        <v>86</v>
      </c>
      <c r="C5019" s="6" t="s">
        <v>233</v>
      </c>
      <c r="D5019" s="6">
        <v>102.8916666666667</v>
      </c>
      <c r="E5019" s="6" t="s">
        <v>86</v>
      </c>
      <c r="F5019" s="6" t="s">
        <v>59</v>
      </c>
      <c r="G5019" s="7">
        <v>42805.8355381377</v>
      </c>
      <c r="H5019" s="6">
        <v>4404363.761578218</v>
      </c>
      <c r="I5019" s="6" t="s">
        <v>179</v>
      </c>
      <c r="J5019" s="15">
        <v>27.26666666666667</v>
      </c>
    </row>
    <row r="5020" spans="1:10">
      <c r="A5020" s="6" t="s">
        <v>146</v>
      </c>
      <c r="B5020" s="6" t="s">
        <v>86</v>
      </c>
      <c r="C5020" s="6" t="s">
        <v>234</v>
      </c>
      <c r="D5020" s="6">
        <v>85.14341666666667</v>
      </c>
      <c r="E5020" s="6" t="s">
        <v>86</v>
      </c>
      <c r="F5020" s="6" t="s">
        <v>56</v>
      </c>
      <c r="G5020" s="7">
        <v>61798.18645536575</v>
      </c>
      <c r="H5020" s="6">
        <v>5261708.738613563</v>
      </c>
      <c r="I5020" s="6" t="s">
        <v>179</v>
      </c>
      <c r="J5020" s="15">
        <v>49</v>
      </c>
    </row>
    <row r="5021" spans="1:10">
      <c r="A5021" s="6" t="s">
        <v>146</v>
      </c>
      <c r="B5021" s="6" t="s">
        <v>86</v>
      </c>
      <c r="C5021" s="6" t="s">
        <v>235</v>
      </c>
      <c r="D5021" s="6">
        <v>0.11575</v>
      </c>
      <c r="E5021" s="6" t="s">
        <v>86</v>
      </c>
      <c r="F5021" s="6" t="s">
        <v>53</v>
      </c>
      <c r="G5021" s="7">
        <v>36703.49839619301</v>
      </c>
      <c r="H5021" s="6">
        <v>4248.429939359341</v>
      </c>
      <c r="I5021" s="6" t="s">
        <v>180</v>
      </c>
      <c r="J5021" s="15">
        <v>4.269509732692095</v>
      </c>
    </row>
    <row r="5022" spans="1:10">
      <c r="A5022" s="6" t="s">
        <v>146</v>
      </c>
      <c r="B5022" s="6" t="s">
        <v>86</v>
      </c>
      <c r="C5022" s="6" t="s">
        <v>236</v>
      </c>
      <c r="D5022" s="6">
        <v>696.9534166666667</v>
      </c>
      <c r="E5022" s="6" t="s">
        <v>86</v>
      </c>
      <c r="F5022" s="6" t="s">
        <v>51</v>
      </c>
      <c r="G5022" s="7">
        <v>45192.70977200848</v>
      </c>
      <c r="H5022" s="6">
        <v>31497213.48402636</v>
      </c>
      <c r="I5022" s="6" t="s">
        <v>179</v>
      </c>
      <c r="J5022" s="15">
        <v>44.98333333333333</v>
      </c>
    </row>
    <row r="5023" spans="1:10">
      <c r="A5023" s="6" t="s">
        <v>146</v>
      </c>
      <c r="B5023" s="6" t="s">
        <v>86</v>
      </c>
      <c r="C5023" s="6" t="s">
        <v>237</v>
      </c>
      <c r="D5023" s="6">
        <v>29.70883333333333</v>
      </c>
      <c r="E5023" s="6" t="s">
        <v>86</v>
      </c>
      <c r="F5023" s="6" t="s">
        <v>51</v>
      </c>
      <c r="G5023" s="7">
        <v>63094.71676521076</v>
      </c>
      <c r="H5023" s="6">
        <v>1874470.424591519</v>
      </c>
      <c r="I5023" s="6" t="s">
        <v>179</v>
      </c>
      <c r="J5023" s="15">
        <v>44</v>
      </c>
    </row>
    <row r="5024" spans="1:10">
      <c r="A5024" s="6" t="s">
        <v>146</v>
      </c>
      <c r="B5024" s="6" t="s">
        <v>86</v>
      </c>
      <c r="C5024" s="6" t="s">
        <v>238</v>
      </c>
      <c r="D5024" s="6">
        <v>120.2070833333333</v>
      </c>
      <c r="E5024" s="6" t="s">
        <v>86</v>
      </c>
      <c r="F5024" s="6" t="s">
        <v>51</v>
      </c>
      <c r="G5024" s="7">
        <v>52817.93378501572</v>
      </c>
      <c r="H5024" s="6">
        <v>6349089.767989867</v>
      </c>
      <c r="I5024" s="6" t="s">
        <v>180</v>
      </c>
      <c r="J5024" s="15">
        <v>9.112126829525121</v>
      </c>
    </row>
    <row r="5025" spans="1:10">
      <c r="A5025" s="6" t="s">
        <v>146</v>
      </c>
      <c r="B5025" s="6" t="s">
        <v>86</v>
      </c>
      <c r="C5025" s="6" t="s">
        <v>239</v>
      </c>
      <c r="D5025" s="6">
        <v>147.8734166666667</v>
      </c>
      <c r="E5025" s="6" t="s">
        <v>86</v>
      </c>
      <c r="F5025" s="6" t="s">
        <v>54</v>
      </c>
      <c r="G5025" s="7">
        <v>81786.38878957105</v>
      </c>
      <c r="H5025" s="6">
        <v>12094032.74714223</v>
      </c>
      <c r="I5025" s="6" t="s">
        <v>179</v>
      </c>
      <c r="J5025" s="15">
        <v>44.55</v>
      </c>
    </row>
    <row r="5026" spans="1:10">
      <c r="A5026" s="6" t="s">
        <v>146</v>
      </c>
      <c r="B5026" s="6" t="s">
        <v>86</v>
      </c>
      <c r="C5026" s="6" t="s">
        <v>379</v>
      </c>
      <c r="D5026" s="6">
        <v>2.812083333333333</v>
      </c>
      <c r="E5026" s="6" t="s">
        <v>86</v>
      </c>
      <c r="F5026" s="6" t="s">
        <v>51</v>
      </c>
      <c r="G5026" s="7">
        <v>75094.96404458805</v>
      </c>
      <c r="H5026" s="6">
        <v>211173.296807052</v>
      </c>
      <c r="I5026" s="6" t="s">
        <v>180</v>
      </c>
      <c r="J5026" s="15">
        <v>15.80669136118093</v>
      </c>
    </row>
    <row r="5027" spans="1:10">
      <c r="A5027" s="6" t="s">
        <v>146</v>
      </c>
      <c r="B5027" s="6" t="s">
        <v>90</v>
      </c>
      <c r="C5027" s="6" t="s">
        <v>347</v>
      </c>
      <c r="D5027" s="6">
        <v>1.9025</v>
      </c>
      <c r="E5027" s="6" t="s">
        <v>86</v>
      </c>
      <c r="F5027" s="6" t="s">
        <v>52</v>
      </c>
      <c r="G5027" s="7">
        <v>59918.03179942394</v>
      </c>
      <c r="H5027" s="6">
        <v>113994.0554984041</v>
      </c>
      <c r="I5027" s="6" t="s">
        <v>180</v>
      </c>
      <c r="J5027" s="15">
        <v>12.43871031134531</v>
      </c>
    </row>
    <row r="5028" spans="1:10">
      <c r="A5028" s="6" t="s">
        <v>146</v>
      </c>
      <c r="B5028" s="6" t="s">
        <v>86</v>
      </c>
      <c r="C5028" s="6" t="s">
        <v>368</v>
      </c>
      <c r="D5028" s="6">
        <v>0.6507500000000001</v>
      </c>
      <c r="E5028" s="6" t="s">
        <v>86</v>
      </c>
      <c r="F5028" s="6" t="s">
        <v>55</v>
      </c>
      <c r="G5028" s="7">
        <v>60407.98176689334</v>
      </c>
      <c r="H5028" s="6">
        <v>39310.49413480584</v>
      </c>
      <c r="I5028" s="6" t="s">
        <v>180</v>
      </c>
      <c r="J5028" s="15">
        <v>11.3930442328316</v>
      </c>
    </row>
    <row r="5029" spans="1:10">
      <c r="A5029" s="6" t="s">
        <v>146</v>
      </c>
      <c r="B5029" s="6" t="s">
        <v>86</v>
      </c>
      <c r="C5029" s="6" t="s">
        <v>240</v>
      </c>
      <c r="D5029" s="6">
        <v>4.693</v>
      </c>
      <c r="E5029" s="6" t="s">
        <v>86</v>
      </c>
      <c r="F5029" s="6" t="s">
        <v>51</v>
      </c>
      <c r="G5029" s="7">
        <v>53422.25984326284</v>
      </c>
      <c r="H5029" s="6">
        <v>250710.6654444325</v>
      </c>
      <c r="I5029" s="6" t="s">
        <v>180</v>
      </c>
      <c r="J5029" s="15">
        <v>9.293735407865949</v>
      </c>
    </row>
    <row r="5030" spans="1:10">
      <c r="A5030" s="6" t="s">
        <v>146</v>
      </c>
      <c r="B5030" s="6" t="s">
        <v>86</v>
      </c>
      <c r="C5030" s="6" t="s">
        <v>241</v>
      </c>
      <c r="D5030" s="6">
        <v>40.09008333333334</v>
      </c>
      <c r="E5030" s="6" t="s">
        <v>86</v>
      </c>
      <c r="F5030" s="6" t="s">
        <v>53</v>
      </c>
      <c r="G5030" s="7">
        <v>43071.21343853512</v>
      </c>
      <c r="H5030" s="6">
        <v>1726728.53601866</v>
      </c>
      <c r="I5030" s="6" t="s">
        <v>179</v>
      </c>
      <c r="J5030" s="15">
        <v>8.983333333333333</v>
      </c>
    </row>
    <row r="5031" spans="1:10">
      <c r="A5031" s="6" t="s">
        <v>146</v>
      </c>
      <c r="B5031" s="6" t="s">
        <v>86</v>
      </c>
      <c r="C5031" s="6" t="s">
        <v>242</v>
      </c>
      <c r="D5031" s="6">
        <v>206.3644166666667</v>
      </c>
      <c r="E5031" s="6" t="s">
        <v>86</v>
      </c>
      <c r="F5031" s="6" t="s">
        <v>56</v>
      </c>
      <c r="G5031" s="7">
        <v>57221.26624687723</v>
      </c>
      <c r="H5031" s="6">
        <v>11808433.22996484</v>
      </c>
      <c r="I5031" s="6" t="s">
        <v>179</v>
      </c>
      <c r="J5031" s="15">
        <v>35.83333333333333</v>
      </c>
    </row>
    <row r="5032" spans="1:10">
      <c r="A5032" s="6" t="s">
        <v>146</v>
      </c>
      <c r="B5032" s="6" t="s">
        <v>86</v>
      </c>
      <c r="C5032" s="6" t="s">
        <v>243</v>
      </c>
      <c r="D5032" s="6">
        <v>0.181</v>
      </c>
      <c r="E5032" s="6" t="s">
        <v>86</v>
      </c>
      <c r="F5032" s="6" t="s">
        <v>58</v>
      </c>
      <c r="G5032" s="7">
        <v>65690.85748623914</v>
      </c>
      <c r="H5032" s="6">
        <v>11890.04520500928</v>
      </c>
      <c r="I5032" s="6" t="s">
        <v>180</v>
      </c>
      <c r="J5032" s="15">
        <v>12.98062354676108</v>
      </c>
    </row>
    <row r="5033" spans="1:10">
      <c r="A5033" s="6" t="s">
        <v>146</v>
      </c>
      <c r="B5033" s="6" t="s">
        <v>86</v>
      </c>
      <c r="C5033" s="6" t="s">
        <v>369</v>
      </c>
      <c r="D5033" s="6">
        <v>1.146</v>
      </c>
      <c r="E5033" s="6" t="s">
        <v>86</v>
      </c>
      <c r="F5033" s="6" t="s">
        <v>55</v>
      </c>
      <c r="G5033" s="7">
        <v>60294.88113470585</v>
      </c>
      <c r="H5033" s="6">
        <v>69097.93378037291</v>
      </c>
      <c r="I5033" s="6" t="s">
        <v>180</v>
      </c>
      <c r="J5033" s="15">
        <v>11.35905588375959</v>
      </c>
    </row>
    <row r="5034" spans="1:10">
      <c r="A5034" s="6" t="s">
        <v>146</v>
      </c>
      <c r="B5034" s="6" t="s">
        <v>86</v>
      </c>
      <c r="C5034" s="6" t="s">
        <v>244</v>
      </c>
      <c r="D5034" s="6">
        <v>9.708083333333333</v>
      </c>
      <c r="E5034" s="6" t="s">
        <v>86</v>
      </c>
      <c r="F5034" s="6" t="s">
        <v>55</v>
      </c>
      <c r="G5034" s="7">
        <v>58783.58446736775</v>
      </c>
      <c r="H5034" s="6">
        <v>570675.936641245</v>
      </c>
      <c r="I5034" s="6" t="s">
        <v>180</v>
      </c>
      <c r="J5034" s="15">
        <v>10.90488973377989</v>
      </c>
    </row>
    <row r="5035" spans="1:10">
      <c r="A5035" s="6" t="s">
        <v>146</v>
      </c>
      <c r="B5035" s="6" t="s">
        <v>86</v>
      </c>
      <c r="C5035" s="6" t="s">
        <v>245</v>
      </c>
      <c r="D5035" s="6">
        <v>85.00916666666667</v>
      </c>
      <c r="E5035" s="6" t="s">
        <v>86</v>
      </c>
      <c r="F5035" s="6" t="s">
        <v>53</v>
      </c>
      <c r="G5035" s="7">
        <v>25664.32175307323</v>
      </c>
      <c r="H5035" s="6">
        <v>2181702.605293961</v>
      </c>
      <c r="I5035" s="6" t="s">
        <v>179</v>
      </c>
      <c r="J5035" s="15">
        <v>6.05</v>
      </c>
    </row>
    <row r="5036" spans="1:10">
      <c r="A5036" s="6" t="s">
        <v>146</v>
      </c>
      <c r="B5036" s="6" t="s">
        <v>86</v>
      </c>
      <c r="C5036" s="6" t="s">
        <v>246</v>
      </c>
      <c r="D5036" s="6">
        <v>0.05316666666666667</v>
      </c>
      <c r="E5036" s="6" t="s">
        <v>86</v>
      </c>
      <c r="F5036" s="6" t="s">
        <v>53</v>
      </c>
      <c r="G5036" s="7">
        <v>34748.35236673716</v>
      </c>
      <c r="H5036" s="6">
        <v>1847.454067498192</v>
      </c>
      <c r="I5036" s="6" t="s">
        <v>180</v>
      </c>
      <c r="J5036" s="15">
        <v>3.681960534684491</v>
      </c>
    </row>
    <row r="5037" spans="1:10">
      <c r="A5037" s="6" t="s">
        <v>146</v>
      </c>
      <c r="B5037" s="6" t="s">
        <v>86</v>
      </c>
      <c r="C5037" s="6" t="s">
        <v>348</v>
      </c>
      <c r="D5037" s="6">
        <v>149.8928333333333</v>
      </c>
      <c r="E5037" s="6" t="s">
        <v>86</v>
      </c>
      <c r="F5037" s="6" t="s">
        <v>52</v>
      </c>
      <c r="G5037" s="7">
        <v>86810.6381175656</v>
      </c>
      <c r="H5037" s="6">
        <v>13012292.51091657</v>
      </c>
      <c r="I5037" s="6" t="s">
        <v>179</v>
      </c>
      <c r="J5037" s="15">
        <v>67</v>
      </c>
    </row>
    <row r="5038" spans="1:10">
      <c r="A5038" s="6" t="s">
        <v>146</v>
      </c>
      <c r="B5038" s="6" t="s">
        <v>90</v>
      </c>
      <c r="C5038" s="6" t="s">
        <v>349</v>
      </c>
      <c r="D5038" s="6">
        <v>4.857916666666667</v>
      </c>
      <c r="E5038" s="6" t="s">
        <v>86</v>
      </c>
      <c r="F5038" s="6" t="s">
        <v>52</v>
      </c>
      <c r="G5038" s="7">
        <v>59918.03179942394</v>
      </c>
      <c r="H5038" s="6">
        <v>291076.8053122849</v>
      </c>
      <c r="I5038" s="6" t="s">
        <v>180</v>
      </c>
      <c r="J5038" s="15">
        <v>12.43871031134531</v>
      </c>
    </row>
    <row r="5039" spans="1:10">
      <c r="A5039" s="6" t="s">
        <v>146</v>
      </c>
      <c r="B5039" s="6" t="s">
        <v>90</v>
      </c>
      <c r="C5039" s="6" t="s">
        <v>350</v>
      </c>
      <c r="D5039" s="6">
        <v>34.47208333333333</v>
      </c>
      <c r="E5039" s="6" t="s">
        <v>86</v>
      </c>
      <c r="F5039" s="6" t="s">
        <v>52</v>
      </c>
      <c r="G5039" s="7">
        <v>59918.03179942394</v>
      </c>
      <c r="H5039" s="6">
        <v>2065499.385359058</v>
      </c>
      <c r="I5039" s="6" t="s">
        <v>180</v>
      </c>
      <c r="J5039" s="15">
        <v>12.43871031134531</v>
      </c>
    </row>
    <row r="5040" spans="1:10">
      <c r="A5040" s="6" t="s">
        <v>146</v>
      </c>
      <c r="B5040" s="6" t="s">
        <v>86</v>
      </c>
      <c r="C5040" s="6" t="s">
        <v>247</v>
      </c>
      <c r="D5040" s="6">
        <v>262.3814166666667</v>
      </c>
      <c r="E5040" s="6" t="s">
        <v>86</v>
      </c>
      <c r="F5040" s="6" t="s">
        <v>51</v>
      </c>
      <c r="G5040" s="7">
        <v>47796.79242260937</v>
      </c>
      <c r="H5040" s="6">
        <v>12540990.10796685</v>
      </c>
      <c r="I5040" s="6" t="s">
        <v>179</v>
      </c>
      <c r="J5040" s="15">
        <v>27.70833333333334</v>
      </c>
    </row>
    <row r="5041" spans="1:10">
      <c r="A5041" s="6" t="s">
        <v>146</v>
      </c>
      <c r="B5041" s="6" t="s">
        <v>86</v>
      </c>
      <c r="C5041" s="6" t="s">
        <v>248</v>
      </c>
      <c r="D5041" s="6">
        <v>22.72116666666667</v>
      </c>
      <c r="E5041" s="6" t="s">
        <v>86</v>
      </c>
      <c r="F5041" s="6" t="s">
        <v>55</v>
      </c>
      <c r="G5041" s="7">
        <v>106714.629788976</v>
      </c>
      <c r="H5041" s="6">
        <v>2424680.889206957</v>
      </c>
      <c r="I5041" s="6" t="s">
        <v>179</v>
      </c>
      <c r="J5041" s="15">
        <v>59</v>
      </c>
    </row>
    <row r="5042" spans="1:10">
      <c r="A5042" s="6" t="s">
        <v>146</v>
      </c>
      <c r="B5042" s="6" t="s">
        <v>86</v>
      </c>
      <c r="C5042" s="6" t="s">
        <v>249</v>
      </c>
      <c r="D5042" s="6">
        <v>244.6179166666666</v>
      </c>
      <c r="E5042" s="6" t="s">
        <v>86</v>
      </c>
      <c r="F5042" s="6" t="s">
        <v>53</v>
      </c>
      <c r="G5042" s="7">
        <v>26147.16905457934</v>
      </c>
      <c r="H5042" s="6">
        <v>6396066.020862333</v>
      </c>
      <c r="I5042" s="6" t="s">
        <v>179</v>
      </c>
      <c r="J5042" s="15">
        <v>8</v>
      </c>
    </row>
    <row r="5043" spans="1:10">
      <c r="A5043" s="6" t="s">
        <v>146</v>
      </c>
      <c r="B5043" s="6" t="s">
        <v>86</v>
      </c>
      <c r="C5043" s="6" t="s">
        <v>351</v>
      </c>
      <c r="D5043" s="6">
        <v>3.166666666666667</v>
      </c>
      <c r="E5043" s="6" t="s">
        <v>86</v>
      </c>
      <c r="F5043" s="6" t="s">
        <v>53</v>
      </c>
      <c r="G5043" s="7">
        <v>56922.31407124049</v>
      </c>
      <c r="H5043" s="6">
        <v>180253.9945589282</v>
      </c>
      <c r="I5043" s="6" t="s">
        <v>179</v>
      </c>
      <c r="J5043" s="15">
        <v>9</v>
      </c>
    </row>
    <row r="5044" spans="1:10">
      <c r="A5044" s="6" t="s">
        <v>146</v>
      </c>
      <c r="B5044" s="6" t="s">
        <v>90</v>
      </c>
      <c r="C5044" s="6" t="s">
        <v>352</v>
      </c>
      <c r="D5044" s="6">
        <v>45.72716666666666</v>
      </c>
      <c r="E5044" s="6" t="s">
        <v>86</v>
      </c>
      <c r="F5044" s="6" t="s">
        <v>52</v>
      </c>
      <c r="G5044" s="7">
        <v>59918.03179942394</v>
      </c>
      <c r="H5044" s="6">
        <v>2739881.826430891</v>
      </c>
      <c r="I5044" s="6" t="s">
        <v>180</v>
      </c>
      <c r="J5044" s="15">
        <v>12.43871031134531</v>
      </c>
    </row>
    <row r="5045" spans="1:10">
      <c r="A5045" s="6" t="s">
        <v>146</v>
      </c>
      <c r="B5045" s="6" t="s">
        <v>86</v>
      </c>
      <c r="C5045" s="6" t="s">
        <v>250</v>
      </c>
      <c r="D5045" s="6">
        <v>8.253916666666667</v>
      </c>
      <c r="E5045" s="6" t="s">
        <v>86</v>
      </c>
      <c r="F5045" s="6" t="s">
        <v>55</v>
      </c>
      <c r="G5045" s="7">
        <v>66086.58612630059</v>
      </c>
      <c r="H5045" s="6">
        <v>545473.1746709746</v>
      </c>
      <c r="I5045" s="6" t="s">
        <v>180</v>
      </c>
      <c r="J5045" s="15">
        <v>13.09954563319033</v>
      </c>
    </row>
    <row r="5046" spans="1:10">
      <c r="A5046" s="6" t="s">
        <v>146</v>
      </c>
      <c r="B5046" s="6" t="s">
        <v>86</v>
      </c>
      <c r="C5046" s="6" t="s">
        <v>251</v>
      </c>
      <c r="D5046" s="6">
        <v>1.854583333333333</v>
      </c>
      <c r="E5046" s="6" t="s">
        <v>86</v>
      </c>
      <c r="F5046" s="6" t="s">
        <v>53</v>
      </c>
      <c r="G5046" s="7">
        <v>37508.53710293493</v>
      </c>
      <c r="H5046" s="6">
        <v>69562.70776881807</v>
      </c>
      <c r="I5046" s="6" t="s">
        <v>179</v>
      </c>
      <c r="J5046" s="15">
        <v>5.316666666666666</v>
      </c>
    </row>
    <row r="5047" spans="1:10">
      <c r="A5047" s="6" t="s">
        <v>146</v>
      </c>
      <c r="B5047" s="6" t="s">
        <v>86</v>
      </c>
      <c r="C5047" s="6" t="s">
        <v>252</v>
      </c>
      <c r="D5047" s="6">
        <v>35.59050000000001</v>
      </c>
      <c r="E5047" s="6" t="s">
        <v>86</v>
      </c>
      <c r="F5047" s="6" t="s">
        <v>57</v>
      </c>
      <c r="G5047" s="7">
        <v>46102.94284291674</v>
      </c>
      <c r="H5047" s="6">
        <v>1640826.787250828</v>
      </c>
      <c r="I5047" s="6" t="s">
        <v>179</v>
      </c>
      <c r="J5047" s="15">
        <v>35.93333333333333</v>
      </c>
    </row>
    <row r="5048" spans="1:10">
      <c r="A5048" s="6" t="s">
        <v>146</v>
      </c>
      <c r="B5048" s="6" t="s">
        <v>86</v>
      </c>
      <c r="C5048" s="6" t="s">
        <v>253</v>
      </c>
      <c r="D5048" s="6">
        <v>35.02825</v>
      </c>
      <c r="E5048" s="6" t="s">
        <v>86</v>
      </c>
      <c r="F5048" s="6" t="s">
        <v>53</v>
      </c>
      <c r="G5048" s="7">
        <v>38500.53307646881</v>
      </c>
      <c r="H5048" s="6">
        <v>1348606.297735819</v>
      </c>
      <c r="I5048" s="6" t="s">
        <v>179</v>
      </c>
      <c r="J5048" s="15">
        <v>7.241666666666667</v>
      </c>
    </row>
    <row r="5049" spans="1:10">
      <c r="A5049" s="6" t="s">
        <v>146</v>
      </c>
      <c r="B5049" s="6" t="s">
        <v>86</v>
      </c>
      <c r="C5049" s="6" t="s">
        <v>353</v>
      </c>
      <c r="D5049" s="6">
        <v>2.026833333333333</v>
      </c>
      <c r="E5049" s="6" t="s">
        <v>86</v>
      </c>
      <c r="F5049" s="6" t="s">
        <v>62</v>
      </c>
      <c r="G5049" s="7">
        <v>81005.34654028571</v>
      </c>
      <c r="H5049" s="6">
        <v>164184.3365460691</v>
      </c>
      <c r="I5049" s="6" t="s">
        <v>179</v>
      </c>
      <c r="J5049" s="15">
        <v>102.3</v>
      </c>
    </row>
    <row r="5050" spans="1:10">
      <c r="A5050" s="6" t="s">
        <v>146</v>
      </c>
      <c r="B5050" s="6" t="s">
        <v>86</v>
      </c>
      <c r="C5050" s="6" t="s">
        <v>254</v>
      </c>
      <c r="D5050" s="6">
        <v>1.061833333333333</v>
      </c>
      <c r="E5050" s="6" t="s">
        <v>86</v>
      </c>
      <c r="F5050" s="6" t="s">
        <v>51</v>
      </c>
      <c r="G5050" s="7">
        <v>51614.23657191667</v>
      </c>
      <c r="H5050" s="6">
        <v>54805.71686661352</v>
      </c>
      <c r="I5050" s="6" t="s">
        <v>180</v>
      </c>
      <c r="J5050" s="15">
        <v>8.750398691807874</v>
      </c>
    </row>
    <row r="5051" spans="1:10">
      <c r="A5051" s="6" t="s">
        <v>146</v>
      </c>
      <c r="B5051" s="6" t="s">
        <v>86</v>
      </c>
      <c r="C5051" s="6" t="s">
        <v>255</v>
      </c>
      <c r="D5051" s="6">
        <v>8.641916666666667</v>
      </c>
      <c r="E5051" s="6" t="s">
        <v>86</v>
      </c>
      <c r="F5051" s="6" t="s">
        <v>51</v>
      </c>
      <c r="G5051" s="7">
        <v>73355.33392821437</v>
      </c>
      <c r="H5051" s="6">
        <v>633930.6828631345</v>
      </c>
      <c r="I5051" s="6" t="s">
        <v>180</v>
      </c>
      <c r="J5051" s="15">
        <v>15.28390776123177</v>
      </c>
    </row>
    <row r="5052" spans="1:10">
      <c r="A5052" s="6" t="s">
        <v>146</v>
      </c>
      <c r="B5052" s="6" t="s">
        <v>86</v>
      </c>
      <c r="C5052" s="6" t="s">
        <v>256</v>
      </c>
      <c r="D5052" s="6">
        <v>0.2656666666666666</v>
      </c>
      <c r="E5052" s="6" t="s">
        <v>86</v>
      </c>
      <c r="F5052" s="6" t="s">
        <v>57</v>
      </c>
      <c r="G5052" s="7">
        <v>51479.56712363959</v>
      </c>
      <c r="H5052" s="6">
        <v>13676.40499918025</v>
      </c>
      <c r="I5052" s="6" t="s">
        <v>180</v>
      </c>
      <c r="J5052" s="15">
        <v>8.709928606638151</v>
      </c>
    </row>
    <row r="5053" spans="1:10">
      <c r="A5053" s="6" t="s">
        <v>146</v>
      </c>
      <c r="B5053" s="6" t="s">
        <v>86</v>
      </c>
      <c r="C5053" s="6" t="s">
        <v>257</v>
      </c>
      <c r="D5053" s="6">
        <v>32.68791666666667</v>
      </c>
      <c r="E5053" s="6" t="s">
        <v>86</v>
      </c>
      <c r="F5053" s="6" t="s">
        <v>52</v>
      </c>
      <c r="G5053" s="7">
        <v>92031.68978853835</v>
      </c>
      <c r="H5053" s="6">
        <v>3008324.206500259</v>
      </c>
      <c r="I5053" s="6" t="s">
        <v>179</v>
      </c>
      <c r="J5053" s="15">
        <v>47</v>
      </c>
    </row>
    <row r="5054" spans="1:10">
      <c r="A5054" s="6" t="s">
        <v>146</v>
      </c>
      <c r="B5054" s="6" t="s">
        <v>86</v>
      </c>
      <c r="C5054" s="6" t="s">
        <v>258</v>
      </c>
      <c r="D5054" s="6">
        <v>14.84858333333333</v>
      </c>
      <c r="E5054" s="6" t="s">
        <v>86</v>
      </c>
      <c r="F5054" s="6" t="s">
        <v>52</v>
      </c>
      <c r="G5054" s="7">
        <v>85328.84139394178</v>
      </c>
      <c r="H5054" s="6">
        <v>1267012.412174727</v>
      </c>
      <c r="I5054" s="6" t="s">
        <v>179</v>
      </c>
      <c r="J5054" s="15">
        <v>40.5</v>
      </c>
    </row>
    <row r="5055" spans="1:10">
      <c r="A5055" s="6" t="s">
        <v>146</v>
      </c>
      <c r="B5055" s="6" t="s">
        <v>86</v>
      </c>
      <c r="C5055" s="6" t="s">
        <v>259</v>
      </c>
      <c r="D5055" s="6">
        <v>89.57241666666667</v>
      </c>
      <c r="E5055" s="6" t="s">
        <v>86</v>
      </c>
      <c r="F5055" s="6" t="s">
        <v>56</v>
      </c>
      <c r="G5055" s="7">
        <v>59850.06651982686</v>
      </c>
      <c r="H5055" s="6">
        <v>5360915.095841648</v>
      </c>
      <c r="I5055" s="6" t="s">
        <v>179</v>
      </c>
      <c r="J5055" s="15">
        <v>61.94166666666666</v>
      </c>
    </row>
    <row r="5056" spans="1:10">
      <c r="A5056" s="6" t="s">
        <v>146</v>
      </c>
      <c r="B5056" s="6" t="s">
        <v>86</v>
      </c>
      <c r="C5056" s="6" t="s">
        <v>260</v>
      </c>
      <c r="D5056" s="6">
        <v>4943.98825</v>
      </c>
      <c r="E5056" s="6" t="s">
        <v>86</v>
      </c>
      <c r="F5056" s="6" t="s">
        <v>52</v>
      </c>
      <c r="G5056" s="7">
        <v>56913.67510083943</v>
      </c>
      <c r="H5056" s="6">
        <v>281380540.9628677</v>
      </c>
      <c r="I5056" s="6" t="s">
        <v>179</v>
      </c>
      <c r="J5056" s="15">
        <v>53.18333333333334</v>
      </c>
    </row>
    <row r="5057" spans="1:10">
      <c r="A5057" s="6" t="s">
        <v>146</v>
      </c>
      <c r="B5057" s="6" t="s">
        <v>86</v>
      </c>
      <c r="C5057" s="6" t="s">
        <v>261</v>
      </c>
      <c r="D5057" s="6">
        <v>0.3904166666666666</v>
      </c>
      <c r="E5057" s="6" t="s">
        <v>86</v>
      </c>
      <c r="F5057" s="6" t="s">
        <v>54</v>
      </c>
      <c r="G5057" s="7">
        <v>65516.52158123471</v>
      </c>
      <c r="H5057" s="6">
        <v>25578.74196734038</v>
      </c>
      <c r="I5057" s="6" t="s">
        <v>180</v>
      </c>
      <c r="J5057" s="15">
        <v>12.92823312700416</v>
      </c>
    </row>
    <row r="5058" spans="1:10">
      <c r="A5058" s="6" t="s">
        <v>146</v>
      </c>
      <c r="B5058" s="6" t="s">
        <v>86</v>
      </c>
      <c r="C5058" s="6" t="s">
        <v>262</v>
      </c>
      <c r="D5058" s="6">
        <v>70.566</v>
      </c>
      <c r="E5058" s="6" t="s">
        <v>86</v>
      </c>
      <c r="F5058" s="6" t="s">
        <v>51</v>
      </c>
      <c r="G5058" s="7">
        <v>49180.16248136549</v>
      </c>
      <c r="H5058" s="6">
        <v>3470447.345660037</v>
      </c>
      <c r="I5058" s="6" t="s">
        <v>179</v>
      </c>
      <c r="J5058" s="15">
        <v>85</v>
      </c>
    </row>
    <row r="5059" spans="1:10">
      <c r="A5059" s="6" t="s">
        <v>146</v>
      </c>
      <c r="B5059" s="6" t="s">
        <v>90</v>
      </c>
      <c r="C5059" s="6" t="s">
        <v>263</v>
      </c>
      <c r="D5059" s="6">
        <v>62.574</v>
      </c>
      <c r="E5059" s="6" t="s">
        <v>86</v>
      </c>
      <c r="F5059" s="6" t="s">
        <v>54</v>
      </c>
      <c r="G5059" s="7">
        <v>65896.61824279206</v>
      </c>
      <c r="H5059" s="6">
        <v>4123414.98992447</v>
      </c>
      <c r="I5059" s="6" t="s">
        <v>179</v>
      </c>
      <c r="J5059" s="15">
        <v>46.91666666666666</v>
      </c>
    </row>
    <row r="5060" spans="1:10">
      <c r="A5060" s="6" t="s">
        <v>146</v>
      </c>
      <c r="B5060" s="6" t="s">
        <v>86</v>
      </c>
      <c r="C5060" s="6" t="s">
        <v>264</v>
      </c>
      <c r="D5060" s="6">
        <v>26.537</v>
      </c>
      <c r="E5060" s="6" t="s">
        <v>86</v>
      </c>
      <c r="F5060" s="6" t="s">
        <v>54</v>
      </c>
      <c r="G5060" s="7">
        <v>105927.7948608726</v>
      </c>
      <c r="H5060" s="6">
        <v>2811005.892222977</v>
      </c>
      <c r="I5060" s="6" t="s">
        <v>179</v>
      </c>
      <c r="J5060" s="15">
        <v>64.26666666666667</v>
      </c>
    </row>
    <row r="5061" spans="1:10">
      <c r="A5061" s="6" t="s">
        <v>146</v>
      </c>
      <c r="B5061" s="6" t="s">
        <v>86</v>
      </c>
      <c r="C5061" s="6" t="s">
        <v>265</v>
      </c>
      <c r="D5061" s="6">
        <v>98.98241666666667</v>
      </c>
      <c r="E5061" s="6" t="s">
        <v>86</v>
      </c>
      <c r="F5061" s="6" t="s">
        <v>54</v>
      </c>
      <c r="G5061" s="7">
        <v>88690.92662794892</v>
      </c>
      <c r="H5061" s="6">
        <v>8778842.254040401</v>
      </c>
      <c r="I5061" s="6" t="s">
        <v>179</v>
      </c>
      <c r="J5061" s="15">
        <v>70.31666666666666</v>
      </c>
    </row>
    <row r="5062" spans="1:10">
      <c r="A5062" s="6" t="s">
        <v>146</v>
      </c>
      <c r="B5062" s="6" t="s">
        <v>86</v>
      </c>
      <c r="C5062" s="6" t="s">
        <v>266</v>
      </c>
      <c r="D5062" s="6">
        <v>22.86258333333333</v>
      </c>
      <c r="E5062" s="6" t="s">
        <v>86</v>
      </c>
      <c r="F5062" s="6" t="s">
        <v>57</v>
      </c>
      <c r="G5062" s="7">
        <v>56598.40474601523</v>
      </c>
      <c r="H5062" s="6">
        <v>1293985.745039502</v>
      </c>
      <c r="I5062" s="6" t="s">
        <v>179</v>
      </c>
      <c r="J5062" s="15">
        <v>41.60833333333333</v>
      </c>
    </row>
    <row r="5063" spans="1:10">
      <c r="A5063" s="6" t="s">
        <v>146</v>
      </c>
      <c r="B5063" s="6" t="s">
        <v>86</v>
      </c>
      <c r="C5063" s="6" t="s">
        <v>354</v>
      </c>
      <c r="D5063" s="6">
        <v>0.07541666666666666</v>
      </c>
      <c r="E5063" s="6" t="s">
        <v>86</v>
      </c>
      <c r="F5063" s="6" t="s">
        <v>51</v>
      </c>
      <c r="G5063" s="7">
        <v>44088.02354954973</v>
      </c>
      <c r="H5063" s="6">
        <v>3324.971776028542</v>
      </c>
      <c r="I5063" s="6" t="s">
        <v>180</v>
      </c>
      <c r="J5063" s="15">
        <v>6.488664602023904</v>
      </c>
    </row>
    <row r="5064" spans="1:10">
      <c r="A5064" s="6" t="s">
        <v>146</v>
      </c>
      <c r="B5064" s="6" t="s">
        <v>90</v>
      </c>
      <c r="C5064" s="6" t="s">
        <v>355</v>
      </c>
      <c r="D5064" s="6">
        <v>36.95558333333333</v>
      </c>
      <c r="E5064" s="6" t="s">
        <v>86</v>
      </c>
      <c r="F5064" s="6" t="s">
        <v>52</v>
      </c>
      <c r="G5064" s="7">
        <v>59918.03179942394</v>
      </c>
      <c r="H5064" s="6">
        <v>2214305.817332928</v>
      </c>
      <c r="I5064" s="6" t="s">
        <v>180</v>
      </c>
      <c r="J5064" s="15">
        <v>12.43871031134531</v>
      </c>
    </row>
    <row r="5065" spans="1:10">
      <c r="A5065" s="6" t="s">
        <v>146</v>
      </c>
      <c r="B5065" s="6" t="s">
        <v>86</v>
      </c>
      <c r="C5065" s="6" t="s">
        <v>267</v>
      </c>
      <c r="D5065" s="6">
        <v>363.3276666666667</v>
      </c>
      <c r="E5065" s="6" t="s">
        <v>86</v>
      </c>
      <c r="F5065" s="6" t="s">
        <v>53</v>
      </c>
      <c r="G5065" s="7">
        <v>29372.68127915858</v>
      </c>
      <c r="H5065" s="6">
        <v>10671907.75290037</v>
      </c>
      <c r="I5065" s="6" t="s">
        <v>179</v>
      </c>
      <c r="J5065" s="15">
        <v>8</v>
      </c>
    </row>
    <row r="5066" spans="1:10">
      <c r="A5066" s="6" t="s">
        <v>146</v>
      </c>
      <c r="B5066" s="6" t="s">
        <v>86</v>
      </c>
      <c r="C5066" s="6" t="s">
        <v>268</v>
      </c>
      <c r="D5066" s="6">
        <v>0.7615833333333334</v>
      </c>
      <c r="E5066" s="6" t="s">
        <v>86</v>
      </c>
      <c r="F5066" s="6" t="s">
        <v>51</v>
      </c>
      <c r="G5066" s="7">
        <v>54934.22900617691</v>
      </c>
      <c r="H5066" s="6">
        <v>41836.9932406209</v>
      </c>
      <c r="I5066" s="6" t="s">
        <v>180</v>
      </c>
      <c r="J5066" s="15">
        <v>9.748103652333924</v>
      </c>
    </row>
    <row r="5067" spans="1:10">
      <c r="A5067" s="6" t="s">
        <v>146</v>
      </c>
      <c r="B5067" s="6" t="s">
        <v>86</v>
      </c>
      <c r="C5067" s="6" t="s">
        <v>269</v>
      </c>
      <c r="D5067" s="6">
        <v>27.47183333333333</v>
      </c>
      <c r="E5067" s="6" t="s">
        <v>86</v>
      </c>
      <c r="F5067" s="6" t="s">
        <v>52</v>
      </c>
      <c r="G5067" s="7">
        <v>83790.30016891156</v>
      </c>
      <c r="H5067" s="6">
        <v>2301873.16119031</v>
      </c>
      <c r="I5067" s="6" t="s">
        <v>179</v>
      </c>
      <c r="J5067" s="15">
        <v>44.5</v>
      </c>
    </row>
    <row r="5068" spans="1:10">
      <c r="A5068" s="6" t="s">
        <v>146</v>
      </c>
      <c r="B5068" s="6" t="s">
        <v>86</v>
      </c>
      <c r="C5068" s="6" t="s">
        <v>356</v>
      </c>
      <c r="D5068" s="6">
        <v>28.51858333333334</v>
      </c>
      <c r="E5068" s="6" t="s">
        <v>86</v>
      </c>
      <c r="F5068" s="6" t="s">
        <v>52</v>
      </c>
      <c r="G5068" s="7">
        <v>55062.04930703079</v>
      </c>
      <c r="H5068" s="6">
        <v>1570291.641666667</v>
      </c>
      <c r="I5068" s="6" t="s">
        <v>179</v>
      </c>
      <c r="J5068" s="15">
        <v>48.93333333333333</v>
      </c>
    </row>
    <row r="5069" spans="1:10">
      <c r="A5069" s="6" t="s">
        <v>146</v>
      </c>
      <c r="B5069" s="6" t="s">
        <v>86</v>
      </c>
      <c r="C5069" s="6" t="s">
        <v>270</v>
      </c>
      <c r="D5069" s="6">
        <v>32.78608333333333</v>
      </c>
      <c r="E5069" s="6" t="s">
        <v>86</v>
      </c>
      <c r="F5069" s="6" t="s">
        <v>59</v>
      </c>
      <c r="G5069" s="7">
        <v>48832.25327446419</v>
      </c>
      <c r="H5069" s="6">
        <v>1601018.325211022</v>
      </c>
      <c r="I5069" s="6" t="s">
        <v>179</v>
      </c>
      <c r="J5069" s="15">
        <v>27.28333333333333</v>
      </c>
    </row>
    <row r="5070" spans="1:10">
      <c r="A5070" s="6" t="s">
        <v>146</v>
      </c>
      <c r="B5070" s="6" t="s">
        <v>86</v>
      </c>
      <c r="C5070" s="6" t="s">
        <v>271</v>
      </c>
      <c r="D5070" s="6">
        <v>296.2521666666667</v>
      </c>
      <c r="E5070" s="6" t="s">
        <v>86</v>
      </c>
      <c r="F5070" s="6" t="s">
        <v>54</v>
      </c>
      <c r="G5070" s="7">
        <v>81091.15446449892</v>
      </c>
      <c r="H5070" s="6">
        <v>24023430.20760915</v>
      </c>
      <c r="I5070" s="6" t="s">
        <v>179</v>
      </c>
      <c r="J5070" s="15">
        <v>47.58333333333334</v>
      </c>
    </row>
    <row r="5071" spans="1:10">
      <c r="A5071" s="6" t="s">
        <v>146</v>
      </c>
      <c r="B5071" s="6" t="s">
        <v>86</v>
      </c>
      <c r="C5071" s="6" t="s">
        <v>272</v>
      </c>
      <c r="D5071" s="6">
        <v>8.215</v>
      </c>
      <c r="E5071" s="6" t="s">
        <v>86</v>
      </c>
      <c r="F5071" s="6" t="s">
        <v>51</v>
      </c>
      <c r="G5071" s="7">
        <v>35610.26336083005</v>
      </c>
      <c r="H5071" s="6">
        <v>292538.3135092188</v>
      </c>
      <c r="I5071" s="6" t="s">
        <v>179</v>
      </c>
      <c r="J5071" s="15">
        <v>8.94980137224452</v>
      </c>
    </row>
    <row r="5072" spans="1:10">
      <c r="A5072" s="6" t="s">
        <v>146</v>
      </c>
      <c r="B5072" s="6" t="s">
        <v>86</v>
      </c>
      <c r="C5072" s="6" t="s">
        <v>273</v>
      </c>
      <c r="D5072" s="6">
        <v>182.9085833333333</v>
      </c>
      <c r="E5072" s="6" t="s">
        <v>86</v>
      </c>
      <c r="F5072" s="6" t="s">
        <v>51</v>
      </c>
      <c r="G5072" s="7">
        <v>67973.7631418879</v>
      </c>
      <c r="H5072" s="6">
        <v>12432984.72011826</v>
      </c>
      <c r="I5072" s="6" t="s">
        <v>179</v>
      </c>
      <c r="J5072" s="15">
        <v>38.09999999999999</v>
      </c>
    </row>
    <row r="5073" spans="1:10">
      <c r="A5073" s="6" t="s">
        <v>146</v>
      </c>
      <c r="B5073" s="6" t="s">
        <v>90</v>
      </c>
      <c r="C5073" s="6" t="s">
        <v>274</v>
      </c>
      <c r="D5073" s="6">
        <v>19.52583333333333</v>
      </c>
      <c r="E5073" s="6" t="s">
        <v>86</v>
      </c>
      <c r="F5073" s="6" t="s">
        <v>56</v>
      </c>
      <c r="G5073" s="7">
        <v>58346.71964656267</v>
      </c>
      <c r="H5073" s="6">
        <v>1139268.323365508</v>
      </c>
      <c r="I5073" s="6" t="s">
        <v>180</v>
      </c>
      <c r="J5073" s="15">
        <v>11.93522553370507</v>
      </c>
    </row>
    <row r="5074" spans="1:10">
      <c r="A5074" s="6" t="s">
        <v>146</v>
      </c>
      <c r="B5074" s="6" t="s">
        <v>86</v>
      </c>
      <c r="C5074" s="6" t="s">
        <v>275</v>
      </c>
      <c r="D5074" s="6">
        <v>2.776833333333333</v>
      </c>
      <c r="E5074" s="6" t="s">
        <v>86</v>
      </c>
      <c r="F5074" s="6" t="s">
        <v>51</v>
      </c>
      <c r="G5074" s="7">
        <v>56718.02460313684</v>
      </c>
      <c r="H5074" s="6">
        <v>157496.5013188105</v>
      </c>
      <c r="I5074" s="6" t="s">
        <v>180</v>
      </c>
      <c r="J5074" s="15">
        <v>10.28415960754818</v>
      </c>
    </row>
    <row r="5075" spans="1:10">
      <c r="A5075" s="6" t="s">
        <v>146</v>
      </c>
      <c r="B5075" s="6" t="s">
        <v>86</v>
      </c>
      <c r="C5075" s="6" t="s">
        <v>276</v>
      </c>
      <c r="D5075" s="6">
        <v>42.49341666666668</v>
      </c>
      <c r="E5075" s="6" t="s">
        <v>86</v>
      </c>
      <c r="F5075" s="6" t="s">
        <v>51</v>
      </c>
      <c r="G5075" s="7">
        <v>60321.29966037828</v>
      </c>
      <c r="H5075" s="6">
        <v>2563258.120343314</v>
      </c>
      <c r="I5075" s="6" t="s">
        <v>179</v>
      </c>
      <c r="J5075" s="15">
        <v>37.45</v>
      </c>
    </row>
    <row r="5076" spans="1:10">
      <c r="A5076" s="6" t="s">
        <v>146</v>
      </c>
      <c r="B5076" s="6" t="s">
        <v>86</v>
      </c>
      <c r="C5076" s="6" t="s">
        <v>277</v>
      </c>
      <c r="D5076" s="6">
        <v>0.3585</v>
      </c>
      <c r="E5076" s="6" t="s">
        <v>86</v>
      </c>
      <c r="F5076" s="6" t="s">
        <v>57</v>
      </c>
      <c r="G5076" s="7">
        <v>45163.47927531065</v>
      </c>
      <c r="H5076" s="6">
        <v>16191.10732019887</v>
      </c>
      <c r="I5076" s="6" t="s">
        <v>180</v>
      </c>
      <c r="J5076" s="15">
        <v>6.811854348285148</v>
      </c>
    </row>
    <row r="5077" spans="1:10">
      <c r="A5077" s="6" t="s">
        <v>146</v>
      </c>
      <c r="B5077" s="6" t="s">
        <v>86</v>
      </c>
      <c r="C5077" s="6" t="s">
        <v>278</v>
      </c>
      <c r="D5077" s="6">
        <v>508.8545833333334</v>
      </c>
      <c r="E5077" s="6" t="s">
        <v>86</v>
      </c>
      <c r="F5077" s="6" t="s">
        <v>55</v>
      </c>
      <c r="G5077" s="7">
        <v>53128.99840502581</v>
      </c>
      <c r="H5077" s="6">
        <v>27034934.34630674</v>
      </c>
      <c r="I5077" s="6" t="s">
        <v>179</v>
      </c>
      <c r="J5077" s="15">
        <v>40.01666666666667</v>
      </c>
    </row>
    <row r="5078" spans="1:10">
      <c r="A5078" s="6" t="s">
        <v>146</v>
      </c>
      <c r="B5078" s="6" t="s">
        <v>86</v>
      </c>
      <c r="C5078" s="6" t="s">
        <v>280</v>
      </c>
      <c r="D5078" s="6">
        <v>214.8651666666667</v>
      </c>
      <c r="E5078" s="6" t="s">
        <v>86</v>
      </c>
      <c r="F5078" s="6" t="s">
        <v>55</v>
      </c>
      <c r="G5078" s="7">
        <v>96599.03834307451</v>
      </c>
      <c r="H5078" s="6">
        <v>20755768.47342443</v>
      </c>
      <c r="I5078" s="6" t="s">
        <v>179</v>
      </c>
      <c r="J5078" s="15">
        <v>52.99166666666667</v>
      </c>
    </row>
    <row r="5079" spans="1:10">
      <c r="A5079" s="6" t="s">
        <v>146</v>
      </c>
      <c r="B5079" s="6" t="s">
        <v>86</v>
      </c>
      <c r="C5079" s="6" t="s">
        <v>281</v>
      </c>
      <c r="D5079" s="6">
        <v>424.0286666666667</v>
      </c>
      <c r="E5079" s="6" t="s">
        <v>86</v>
      </c>
      <c r="F5079" s="6" t="s">
        <v>57</v>
      </c>
      <c r="G5079" s="7">
        <v>64904.72664042063</v>
      </c>
      <c r="H5079" s="6">
        <v>27521464.69770204</v>
      </c>
      <c r="I5079" s="6" t="s">
        <v>179</v>
      </c>
      <c r="J5079" s="15">
        <v>37.11666666666667</v>
      </c>
    </row>
    <row r="5080" spans="1:10">
      <c r="A5080" s="6" t="s">
        <v>146</v>
      </c>
      <c r="B5080" s="6" t="s">
        <v>86</v>
      </c>
      <c r="C5080" s="6" t="s">
        <v>282</v>
      </c>
      <c r="D5080" s="6">
        <v>0.4995833333333333</v>
      </c>
      <c r="E5080" s="6" t="s">
        <v>86</v>
      </c>
      <c r="F5080" s="6" t="s">
        <v>56</v>
      </c>
      <c r="G5080" s="7">
        <v>58542.49321323277</v>
      </c>
      <c r="H5080" s="6">
        <v>29246.85390111087</v>
      </c>
      <c r="I5080" s="6" t="s">
        <v>180</v>
      </c>
      <c r="J5080" s="15">
        <v>10.83243838187085</v>
      </c>
    </row>
    <row r="5081" spans="1:10">
      <c r="A5081" s="6" t="s">
        <v>146</v>
      </c>
      <c r="B5081" s="6" t="s">
        <v>86</v>
      </c>
      <c r="C5081" s="6" t="s">
        <v>283</v>
      </c>
      <c r="D5081" s="6">
        <v>137.28725</v>
      </c>
      <c r="E5081" s="6" t="s">
        <v>86</v>
      </c>
      <c r="F5081" s="6" t="s">
        <v>51</v>
      </c>
      <c r="G5081" s="7">
        <v>43749.65798536066</v>
      </c>
      <c r="H5081" s="6">
        <v>6006270.233250706</v>
      </c>
      <c r="I5081" s="6" t="s">
        <v>179</v>
      </c>
      <c r="J5081" s="15">
        <v>26.78333333333333</v>
      </c>
    </row>
    <row r="5082" spans="1:10">
      <c r="A5082" s="6" t="s">
        <v>146</v>
      </c>
      <c r="B5082" s="6" t="s">
        <v>86</v>
      </c>
      <c r="C5082" s="6" t="s">
        <v>284</v>
      </c>
      <c r="D5082" s="6">
        <v>73.95475</v>
      </c>
      <c r="E5082" s="6" t="s">
        <v>86</v>
      </c>
      <c r="F5082" s="6" t="s">
        <v>55</v>
      </c>
      <c r="G5082" s="7">
        <v>63545.27884100618</v>
      </c>
      <c r="H5082" s="6">
        <v>4699475.210366902</v>
      </c>
      <c r="I5082" s="6" t="s">
        <v>179</v>
      </c>
      <c r="J5082" s="15">
        <v>52.41666666666666</v>
      </c>
    </row>
    <row r="5083" spans="1:10">
      <c r="A5083" s="6" t="s">
        <v>146</v>
      </c>
      <c r="B5083" s="6" t="s">
        <v>86</v>
      </c>
      <c r="C5083" s="6" t="s">
        <v>285</v>
      </c>
      <c r="D5083" s="6">
        <v>4.70025</v>
      </c>
      <c r="E5083" s="6" t="s">
        <v>86</v>
      </c>
      <c r="F5083" s="6" t="s">
        <v>52</v>
      </c>
      <c r="G5083" s="7">
        <v>124592.4363366081</v>
      </c>
      <c r="H5083" s="6">
        <v>585615.5988911421</v>
      </c>
      <c r="I5083" s="6" t="s">
        <v>179</v>
      </c>
      <c r="J5083" s="15">
        <v>102.5583333333333</v>
      </c>
    </row>
    <row r="5084" spans="1:10">
      <c r="A5084" s="6" t="s">
        <v>146</v>
      </c>
      <c r="B5084" s="6" t="s">
        <v>86</v>
      </c>
      <c r="C5084" s="6" t="s">
        <v>286</v>
      </c>
      <c r="D5084" s="6">
        <v>17.29508333333333</v>
      </c>
      <c r="E5084" s="6" t="s">
        <v>86</v>
      </c>
      <c r="F5084" s="6" t="s">
        <v>59</v>
      </c>
      <c r="G5084" s="7">
        <v>94264.55631912273</v>
      </c>
      <c r="H5084" s="6">
        <v>1630313.356918921</v>
      </c>
      <c r="I5084" s="6" t="s">
        <v>180</v>
      </c>
      <c r="J5084" s="15">
        <v>21.56742656834614</v>
      </c>
    </row>
    <row r="5085" spans="1:10">
      <c r="A5085" s="6" t="s">
        <v>146</v>
      </c>
      <c r="B5085" s="6" t="s">
        <v>86</v>
      </c>
      <c r="C5085" s="6" t="s">
        <v>287</v>
      </c>
      <c r="D5085" s="6">
        <v>0.5435000000000001</v>
      </c>
      <c r="E5085" s="6" t="s">
        <v>86</v>
      </c>
      <c r="F5085" s="6" t="s">
        <v>53</v>
      </c>
      <c r="G5085" s="7">
        <v>43228.14111673474</v>
      </c>
      <c r="H5085" s="6">
        <v>23494.49469694533</v>
      </c>
      <c r="I5085" s="6" t="s">
        <v>180</v>
      </c>
      <c r="J5085" s="15">
        <v>6.230257697286521</v>
      </c>
    </row>
    <row r="5086" spans="1:10">
      <c r="A5086" s="6" t="s">
        <v>146</v>
      </c>
      <c r="B5086" s="6" t="s">
        <v>86</v>
      </c>
      <c r="C5086" s="6" t="s">
        <v>376</v>
      </c>
      <c r="D5086" s="6">
        <v>0.3065</v>
      </c>
      <c r="E5086" s="6" t="s">
        <v>86</v>
      </c>
      <c r="F5086" s="6" t="s">
        <v>54</v>
      </c>
      <c r="G5086" s="7">
        <v>84102.59287945434</v>
      </c>
      <c r="H5086" s="6">
        <v>25777.44471755276</v>
      </c>
      <c r="I5086" s="6" t="s">
        <v>180</v>
      </c>
      <c r="J5086" s="15">
        <v>18.51361197894614</v>
      </c>
    </row>
    <row r="5087" spans="1:10">
      <c r="A5087" s="6" t="s">
        <v>146</v>
      </c>
      <c r="B5087" s="6" t="s">
        <v>90</v>
      </c>
      <c r="C5087" s="6" t="s">
        <v>357</v>
      </c>
      <c r="D5087" s="6">
        <v>34.72191666666667</v>
      </c>
      <c r="E5087" s="6" t="s">
        <v>86</v>
      </c>
      <c r="F5087" s="6" t="s">
        <v>52</v>
      </c>
      <c r="G5087" s="7">
        <v>59918.03179942394</v>
      </c>
      <c r="H5087" s="6">
        <v>2080468.906970281</v>
      </c>
      <c r="I5087" s="6" t="s">
        <v>180</v>
      </c>
      <c r="J5087" s="15">
        <v>27</v>
      </c>
    </row>
    <row r="5088" spans="1:10">
      <c r="A5088" s="6" t="s">
        <v>146</v>
      </c>
      <c r="B5088" s="6" t="s">
        <v>86</v>
      </c>
      <c r="C5088" s="6" t="s">
        <v>288</v>
      </c>
      <c r="D5088" s="6">
        <v>0.303</v>
      </c>
      <c r="E5088" s="6" t="s">
        <v>86</v>
      </c>
      <c r="F5088" s="6" t="s">
        <v>58</v>
      </c>
      <c r="G5088" s="7">
        <v>72708.53956010977</v>
      </c>
      <c r="H5088" s="6">
        <v>22030.68748671326</v>
      </c>
      <c r="I5088" s="6" t="s">
        <v>180</v>
      </c>
      <c r="J5088" s="15">
        <v>15.08953685157575</v>
      </c>
    </row>
    <row r="5089" spans="1:10">
      <c r="A5089" s="6" t="s">
        <v>146</v>
      </c>
      <c r="B5089" s="6" t="s">
        <v>86</v>
      </c>
      <c r="C5089" s="6" t="s">
        <v>370</v>
      </c>
      <c r="D5089" s="6">
        <v>1.158916666666667</v>
      </c>
      <c r="E5089" s="6" t="s">
        <v>86</v>
      </c>
      <c r="F5089" s="6" t="s">
        <v>55</v>
      </c>
      <c r="G5089" s="7">
        <v>65936.30235774722</v>
      </c>
      <c r="H5089" s="6">
        <v>76414.67974076587</v>
      </c>
      <c r="I5089" s="6" t="s">
        <v>180</v>
      </c>
      <c r="J5089" s="15">
        <v>13.0543832226303</v>
      </c>
    </row>
    <row r="5090" spans="1:10">
      <c r="A5090" s="6" t="s">
        <v>146</v>
      </c>
      <c r="B5090" s="6" t="s">
        <v>86</v>
      </c>
      <c r="C5090" s="6" t="s">
        <v>358</v>
      </c>
      <c r="D5090" s="6">
        <v>17.17558333333333</v>
      </c>
      <c r="E5090" s="6" t="s">
        <v>86</v>
      </c>
      <c r="F5090" s="6" t="s">
        <v>52</v>
      </c>
      <c r="G5090" s="7">
        <v>54855.48768358183</v>
      </c>
      <c r="H5090" s="6">
        <v>942174.9999999999</v>
      </c>
      <c r="I5090" s="6" t="s">
        <v>179</v>
      </c>
      <c r="J5090" s="15">
        <v>46.81666666666667</v>
      </c>
    </row>
    <row r="5091" spans="1:10">
      <c r="A5091" s="6" t="s">
        <v>146</v>
      </c>
      <c r="B5091" s="6" t="s">
        <v>90</v>
      </c>
      <c r="C5091" s="6" t="s">
        <v>359</v>
      </c>
      <c r="D5091" s="6">
        <v>15.13183333333333</v>
      </c>
      <c r="E5091" s="6" t="s">
        <v>86</v>
      </c>
      <c r="F5091" s="6" t="s">
        <v>60</v>
      </c>
      <c r="G5091" s="7">
        <v>44402.32112778664</v>
      </c>
      <c r="H5091" s="6">
        <v>671888.5229188129</v>
      </c>
      <c r="I5091" s="6" t="s">
        <v>180</v>
      </c>
      <c r="J5091" s="15">
        <v>7.467117542069946</v>
      </c>
    </row>
    <row r="5092" spans="1:10">
      <c r="A5092" s="6" t="s">
        <v>146</v>
      </c>
      <c r="B5092" s="6" t="s">
        <v>86</v>
      </c>
      <c r="C5092" s="6" t="s">
        <v>289</v>
      </c>
      <c r="D5092" s="6">
        <v>2105.678666666667</v>
      </c>
      <c r="E5092" s="6" t="s">
        <v>86</v>
      </c>
      <c r="F5092" s="6" t="s">
        <v>52</v>
      </c>
      <c r="G5092" s="7">
        <v>59342.46197897197</v>
      </c>
      <c r="H5092" s="6">
        <v>124956156.216599</v>
      </c>
      <c r="I5092" s="6" t="s">
        <v>179</v>
      </c>
      <c r="J5092" s="15">
        <v>65</v>
      </c>
    </row>
    <row r="5093" spans="1:10">
      <c r="A5093" s="6" t="s">
        <v>146</v>
      </c>
      <c r="B5093" s="6" t="s">
        <v>86</v>
      </c>
      <c r="C5093" s="6" t="s">
        <v>290</v>
      </c>
      <c r="D5093" s="6">
        <v>0.04175</v>
      </c>
      <c r="E5093" s="6" t="s">
        <v>86</v>
      </c>
      <c r="F5093" s="6" t="s">
        <v>53</v>
      </c>
      <c r="G5093" s="7">
        <v>34427.13805641644</v>
      </c>
      <c r="H5093" s="6">
        <v>1437.333013855386</v>
      </c>
      <c r="I5093" s="6" t="s">
        <v>180</v>
      </c>
      <c r="J5093" s="15">
        <v>3.585431064468892</v>
      </c>
    </row>
    <row r="5094" spans="1:10">
      <c r="A5094" s="6" t="s">
        <v>146</v>
      </c>
      <c r="B5094" s="6" t="s">
        <v>90</v>
      </c>
      <c r="C5094" s="6" t="s">
        <v>360</v>
      </c>
      <c r="D5094" s="6">
        <v>90.59691666666667</v>
      </c>
      <c r="E5094" s="6" t="s">
        <v>86</v>
      </c>
      <c r="F5094" s="6" t="s">
        <v>52</v>
      </c>
      <c r="G5094" s="7">
        <v>59918.03179942394</v>
      </c>
      <c r="H5094" s="6">
        <v>5428388.933763094</v>
      </c>
      <c r="I5094" s="6" t="s">
        <v>180</v>
      </c>
      <c r="J5094" s="15">
        <v>12.43871031134531</v>
      </c>
    </row>
    <row r="5095" spans="1:10">
      <c r="A5095" s="6" t="s">
        <v>146</v>
      </c>
      <c r="B5095" s="6" t="s">
        <v>86</v>
      </c>
      <c r="C5095" s="6" t="s">
        <v>291</v>
      </c>
      <c r="D5095" s="6">
        <v>0.01175</v>
      </c>
      <c r="E5095" s="6" t="s">
        <v>86</v>
      </c>
      <c r="F5095" s="6" t="s">
        <v>51</v>
      </c>
      <c r="G5095" s="7">
        <v>53740.19196942599</v>
      </c>
      <c r="H5095" s="6">
        <v>631.4472556407554</v>
      </c>
      <c r="I5095" s="6" t="s">
        <v>180</v>
      </c>
      <c r="J5095" s="15">
        <v>9.389278535046072</v>
      </c>
    </row>
    <row r="5096" spans="1:10">
      <c r="A5096" s="6" t="s">
        <v>146</v>
      </c>
      <c r="B5096" s="6" t="s">
        <v>86</v>
      </c>
      <c r="C5096" s="6" t="s">
        <v>292</v>
      </c>
      <c r="D5096" s="6">
        <v>35.8505</v>
      </c>
      <c r="E5096" s="6" t="s">
        <v>86</v>
      </c>
      <c r="F5096" s="6" t="s">
        <v>54</v>
      </c>
      <c r="G5096" s="7">
        <v>107403.6498671448</v>
      </c>
      <c r="H5096" s="6">
        <v>3850474.549562074</v>
      </c>
      <c r="I5096" s="6" t="s">
        <v>179</v>
      </c>
      <c r="J5096" s="15">
        <v>64.08333333333333</v>
      </c>
    </row>
    <row r="5097" spans="1:10">
      <c r="A5097" s="6" t="s">
        <v>146</v>
      </c>
      <c r="B5097" s="6" t="s">
        <v>86</v>
      </c>
      <c r="C5097" s="6" t="s">
        <v>293</v>
      </c>
      <c r="D5097" s="6">
        <v>257.194</v>
      </c>
      <c r="E5097" s="6" t="s">
        <v>86</v>
      </c>
      <c r="F5097" s="6" t="s">
        <v>53</v>
      </c>
      <c r="G5097" s="7">
        <v>41597.32934492987</v>
      </c>
      <c r="H5097" s="6">
        <v>10698583.52353989</v>
      </c>
      <c r="I5097" s="6" t="s">
        <v>179</v>
      </c>
      <c r="J5097" s="15">
        <v>8</v>
      </c>
    </row>
    <row r="5098" spans="1:10">
      <c r="A5098" s="6" t="s">
        <v>146</v>
      </c>
      <c r="B5098" s="6" t="s">
        <v>86</v>
      </c>
      <c r="C5098" s="6" t="s">
        <v>371</v>
      </c>
      <c r="D5098" s="6">
        <v>1.415166666666666</v>
      </c>
      <c r="E5098" s="6" t="s">
        <v>86</v>
      </c>
      <c r="F5098" s="6" t="s">
        <v>55</v>
      </c>
      <c r="G5098" s="7">
        <v>53143.73619775795</v>
      </c>
      <c r="H5098" s="6">
        <v>75207.24400919378</v>
      </c>
      <c r="I5098" s="6" t="s">
        <v>180</v>
      </c>
      <c r="J5098" s="15">
        <v>9.210035089794005</v>
      </c>
    </row>
    <row r="5099" spans="1:10">
      <c r="A5099" s="6" t="s">
        <v>146</v>
      </c>
      <c r="B5099" s="6" t="s">
        <v>86</v>
      </c>
      <c r="C5099" s="6" t="s">
        <v>294</v>
      </c>
      <c r="D5099" s="6">
        <v>0.2745</v>
      </c>
      <c r="E5099" s="6" t="s">
        <v>86</v>
      </c>
      <c r="F5099" s="6" t="s">
        <v>54</v>
      </c>
      <c r="G5099" s="7">
        <v>80294.88770816996</v>
      </c>
      <c r="H5099" s="6">
        <v>22040.94667589266</v>
      </c>
      <c r="I5099" s="6" t="s">
        <v>180</v>
      </c>
      <c r="J5099" s="15">
        <v>17.36934240218201</v>
      </c>
    </row>
    <row r="5100" spans="1:10">
      <c r="A5100" s="6" t="s">
        <v>146</v>
      </c>
      <c r="B5100" s="6" t="s">
        <v>86</v>
      </c>
      <c r="C5100" s="6" t="s">
        <v>295</v>
      </c>
      <c r="D5100" s="6">
        <v>21.91508333333333</v>
      </c>
      <c r="E5100" s="6" t="s">
        <v>86</v>
      </c>
      <c r="F5100" s="6" t="s">
        <v>53</v>
      </c>
      <c r="G5100" s="7">
        <v>42004.62287217464</v>
      </c>
      <c r="H5100" s="6">
        <v>920534.8106289466</v>
      </c>
      <c r="I5100" s="6" t="s">
        <v>179</v>
      </c>
      <c r="J5100" s="15">
        <v>8</v>
      </c>
    </row>
    <row r="5101" spans="1:10">
      <c r="A5101" s="6" t="s">
        <v>146</v>
      </c>
      <c r="B5101" s="6" t="s">
        <v>90</v>
      </c>
      <c r="C5101" s="6" t="s">
        <v>296</v>
      </c>
      <c r="D5101" s="6">
        <v>47.02116666666667</v>
      </c>
      <c r="E5101" s="6" t="s">
        <v>86</v>
      </c>
      <c r="F5101" s="6" t="s">
        <v>61</v>
      </c>
      <c r="G5101" s="7">
        <v>58003.92647416519</v>
      </c>
      <c r="H5101" s="6">
        <v>2727412.294062801</v>
      </c>
      <c r="I5101" s="6" t="s">
        <v>179</v>
      </c>
      <c r="J5101" s="15">
        <v>13</v>
      </c>
    </row>
    <row r="5102" spans="1:10">
      <c r="A5102" s="6" t="s">
        <v>146</v>
      </c>
      <c r="B5102" s="6" t="s">
        <v>86</v>
      </c>
      <c r="C5102" s="6" t="s">
        <v>297</v>
      </c>
      <c r="D5102" s="6">
        <v>13.852</v>
      </c>
      <c r="E5102" s="6" t="s">
        <v>86</v>
      </c>
      <c r="F5102" s="6" t="s">
        <v>52</v>
      </c>
      <c r="G5102" s="7">
        <v>101698.6474446838</v>
      </c>
      <c r="H5102" s="6">
        <v>1408729.66440376</v>
      </c>
      <c r="I5102" s="6" t="s">
        <v>179</v>
      </c>
      <c r="J5102" s="15">
        <v>48</v>
      </c>
    </row>
    <row r="5103" spans="1:10">
      <c r="A5103" s="6" t="s">
        <v>146</v>
      </c>
      <c r="B5103" s="6" t="s">
        <v>86</v>
      </c>
      <c r="C5103" s="6" t="s">
        <v>298</v>
      </c>
      <c r="D5103" s="6">
        <v>41.02191666666666</v>
      </c>
      <c r="E5103" s="6" t="s">
        <v>86</v>
      </c>
      <c r="F5103" s="6" t="s">
        <v>56</v>
      </c>
      <c r="G5103" s="7">
        <v>56461.9741659997</v>
      </c>
      <c r="H5103" s="6">
        <v>2316178.399073126</v>
      </c>
      <c r="I5103" s="6" t="s">
        <v>180</v>
      </c>
      <c r="J5103" s="15">
        <v>10.20721280832045</v>
      </c>
    </row>
    <row r="5104" spans="1:10">
      <c r="A5104" s="6" t="s">
        <v>146</v>
      </c>
      <c r="B5104" s="6" t="s">
        <v>86</v>
      </c>
      <c r="C5104" s="6" t="s">
        <v>299</v>
      </c>
      <c r="D5104" s="6">
        <v>0.4360833333333333</v>
      </c>
      <c r="E5104" s="6" t="s">
        <v>86</v>
      </c>
      <c r="F5104" s="6" t="s">
        <v>53</v>
      </c>
      <c r="G5104" s="7">
        <v>37262.91410991319</v>
      </c>
      <c r="H5104" s="6">
        <v>16249.73579476464</v>
      </c>
      <c r="I5104" s="6" t="s">
        <v>180</v>
      </c>
      <c r="J5104" s="15">
        <v>4.437622113556362</v>
      </c>
    </row>
    <row r="5105" spans="1:10">
      <c r="A5105" s="6" t="s">
        <v>146</v>
      </c>
      <c r="B5105" s="6" t="s">
        <v>86</v>
      </c>
      <c r="C5105" s="6" t="s">
        <v>300</v>
      </c>
      <c r="D5105" s="6">
        <v>56.0885</v>
      </c>
      <c r="E5105" s="6" t="s">
        <v>86</v>
      </c>
      <c r="F5105" s="6" t="s">
        <v>52</v>
      </c>
      <c r="G5105" s="7">
        <v>60613.11558221976</v>
      </c>
      <c r="H5105" s="6">
        <v>3399698.733333333</v>
      </c>
      <c r="I5105" s="6" t="s">
        <v>179</v>
      </c>
      <c r="J5105" s="15">
        <v>39.13333333333333</v>
      </c>
    </row>
    <row r="5106" spans="1:10">
      <c r="A5106" s="6" t="s">
        <v>146</v>
      </c>
      <c r="B5106" s="6" t="s">
        <v>86</v>
      </c>
      <c r="C5106" s="6" t="s">
        <v>301</v>
      </c>
      <c r="D5106" s="6">
        <v>6.935</v>
      </c>
      <c r="E5106" s="6" t="s">
        <v>86</v>
      </c>
      <c r="F5106" s="6" t="s">
        <v>59</v>
      </c>
      <c r="G5106" s="7">
        <v>80753.32287666532</v>
      </c>
      <c r="H5106" s="6">
        <v>560024.294149674</v>
      </c>
      <c r="I5106" s="6" t="s">
        <v>180</v>
      </c>
      <c r="J5106" s="15">
        <v>17.50710869254084</v>
      </c>
    </row>
    <row r="5107" spans="1:10">
      <c r="A5107" s="6" t="s">
        <v>146</v>
      </c>
      <c r="B5107" s="6" t="s">
        <v>86</v>
      </c>
      <c r="C5107" s="6" t="s">
        <v>302</v>
      </c>
      <c r="D5107" s="6">
        <v>684.3172499999999</v>
      </c>
      <c r="E5107" s="6" t="s">
        <v>86</v>
      </c>
      <c r="F5107" s="6" t="s">
        <v>52</v>
      </c>
      <c r="G5107" s="7">
        <v>80746.62125224819</v>
      </c>
      <c r="H5107" s="6">
        <v>55256305.80213004</v>
      </c>
      <c r="I5107" s="6" t="s">
        <v>179</v>
      </c>
      <c r="J5107" s="15">
        <v>74.09166666666667</v>
      </c>
    </row>
    <row r="5108" spans="1:10">
      <c r="A5108" s="6" t="s">
        <v>146</v>
      </c>
      <c r="B5108" s="6" t="s">
        <v>86</v>
      </c>
      <c r="C5108" s="6" t="s">
        <v>303</v>
      </c>
      <c r="D5108" s="6">
        <v>0.26525</v>
      </c>
      <c r="E5108" s="6" t="s">
        <v>86</v>
      </c>
      <c r="F5108" s="6" t="s">
        <v>53</v>
      </c>
      <c r="G5108" s="7">
        <v>36138.49003274566</v>
      </c>
      <c r="H5108" s="6">
        <v>9585.734481185786</v>
      </c>
      <c r="I5108" s="6" t="s">
        <v>180</v>
      </c>
      <c r="J5108" s="15">
        <v>4.099716681017344</v>
      </c>
    </row>
    <row r="5109" spans="1:10">
      <c r="A5109" s="6" t="s">
        <v>146</v>
      </c>
      <c r="B5109" s="6" t="s">
        <v>86</v>
      </c>
      <c r="C5109" s="6" t="s">
        <v>304</v>
      </c>
      <c r="D5109" s="6">
        <v>149.4990833333333</v>
      </c>
      <c r="E5109" s="6" t="s">
        <v>86</v>
      </c>
      <c r="F5109" s="6" t="s">
        <v>52</v>
      </c>
      <c r="G5109" s="7">
        <v>61933.94976223377</v>
      </c>
      <c r="H5109" s="6">
        <v>9259068.716666665</v>
      </c>
      <c r="I5109" s="6" t="s">
        <v>179</v>
      </c>
      <c r="J5109" s="15">
        <v>61.50833333333333</v>
      </c>
    </row>
    <row r="5110" spans="1:10">
      <c r="A5110" s="6" t="s">
        <v>146</v>
      </c>
      <c r="B5110" s="6" t="s">
        <v>86</v>
      </c>
      <c r="C5110" s="6" t="s">
        <v>361</v>
      </c>
      <c r="D5110" s="6">
        <v>629.591</v>
      </c>
      <c r="E5110" s="6" t="s">
        <v>86</v>
      </c>
      <c r="F5110" s="6" t="s">
        <v>52</v>
      </c>
      <c r="G5110" s="7">
        <v>58941.63635603187</v>
      </c>
      <c r="H5110" s="6">
        <v>37109123.77503046</v>
      </c>
      <c r="I5110" s="6" t="s">
        <v>179</v>
      </c>
      <c r="J5110" s="15">
        <v>64.18333333333334</v>
      </c>
    </row>
    <row r="5111" spans="1:10">
      <c r="A5111" s="6" t="s">
        <v>146</v>
      </c>
      <c r="B5111" s="6" t="s">
        <v>86</v>
      </c>
      <c r="C5111" s="6" t="s">
        <v>305</v>
      </c>
      <c r="D5111" s="6">
        <v>102.3990833333333</v>
      </c>
      <c r="E5111" s="6" t="s">
        <v>86</v>
      </c>
      <c r="F5111" s="6" t="s">
        <v>54</v>
      </c>
      <c r="G5111" s="7">
        <v>98575.27110239657</v>
      </c>
      <c r="H5111" s="6">
        <v>10094017.40022023</v>
      </c>
      <c r="I5111" s="6" t="s">
        <v>179</v>
      </c>
      <c r="J5111" s="15">
        <v>67.27500000000001</v>
      </c>
    </row>
    <row r="5112" spans="1:10">
      <c r="A5112" s="6" t="s">
        <v>146</v>
      </c>
      <c r="B5112" s="6" t="s">
        <v>86</v>
      </c>
      <c r="C5112" s="6" t="s">
        <v>306</v>
      </c>
      <c r="D5112" s="6">
        <v>6.672916666666667</v>
      </c>
      <c r="E5112" s="6" t="s">
        <v>86</v>
      </c>
      <c r="F5112" s="6" t="s">
        <v>57</v>
      </c>
      <c r="G5112" s="7">
        <v>54237.63482677883</v>
      </c>
      <c r="H5112" s="6">
        <v>361923.217396193</v>
      </c>
      <c r="I5112" s="6" t="s">
        <v>179</v>
      </c>
      <c r="J5112" s="15">
        <v>7.283649717513925</v>
      </c>
    </row>
    <row r="5113" spans="1:10">
      <c r="A5113" s="6" t="s">
        <v>146</v>
      </c>
      <c r="B5113" s="6" t="s">
        <v>86</v>
      </c>
      <c r="C5113" s="6" t="s">
        <v>307</v>
      </c>
      <c r="D5113" s="6">
        <v>0.1625</v>
      </c>
      <c r="E5113" s="6" t="s">
        <v>86</v>
      </c>
      <c r="F5113" s="6" t="s">
        <v>53</v>
      </c>
      <c r="G5113" s="7">
        <v>38849.90588497226</v>
      </c>
      <c r="H5113" s="6">
        <v>6313.109706307993</v>
      </c>
      <c r="I5113" s="6" t="s">
        <v>180</v>
      </c>
      <c r="J5113" s="15">
        <v>4.914535720331878</v>
      </c>
    </row>
    <row r="5114" spans="1:10">
      <c r="A5114" s="6" t="s">
        <v>146</v>
      </c>
      <c r="B5114" s="6" t="s">
        <v>86</v>
      </c>
      <c r="C5114" s="6" t="s">
        <v>362</v>
      </c>
      <c r="D5114" s="6">
        <v>2892.255833333334</v>
      </c>
      <c r="E5114" s="6" t="s">
        <v>86</v>
      </c>
      <c r="F5114" s="6" t="s">
        <v>52</v>
      </c>
      <c r="G5114" s="7">
        <v>57401.5078649952</v>
      </c>
      <c r="H5114" s="6">
        <v>166019845.9646616</v>
      </c>
      <c r="I5114" s="6" t="s">
        <v>179</v>
      </c>
      <c r="J5114" s="15">
        <v>50.76666666666667</v>
      </c>
    </row>
    <row r="5115" spans="1:10">
      <c r="A5115" s="6" t="s">
        <v>146</v>
      </c>
      <c r="B5115" s="6" t="s">
        <v>86</v>
      </c>
      <c r="C5115" s="6" t="s">
        <v>308</v>
      </c>
      <c r="D5115" s="6">
        <v>0.27075</v>
      </c>
      <c r="E5115" s="6" t="s">
        <v>86</v>
      </c>
      <c r="F5115" s="6" t="s">
        <v>54</v>
      </c>
      <c r="G5115" s="7">
        <v>68318.31691385624</v>
      </c>
      <c r="H5115" s="6">
        <v>18497.18430442658</v>
      </c>
      <c r="I5115" s="6" t="s">
        <v>180</v>
      </c>
      <c r="J5115" s="15">
        <v>13.7702124860198</v>
      </c>
    </row>
    <row r="5116" spans="1:10">
      <c r="A5116" s="6" t="s">
        <v>146</v>
      </c>
      <c r="B5116" s="6" t="s">
        <v>86</v>
      </c>
      <c r="C5116" s="6" t="s">
        <v>309</v>
      </c>
      <c r="D5116" s="6">
        <v>883.4463333333333</v>
      </c>
      <c r="E5116" s="6" t="s">
        <v>86</v>
      </c>
      <c r="F5116" s="6" t="s">
        <v>52</v>
      </c>
      <c r="G5116" s="7">
        <v>76640.37565605484</v>
      </c>
      <c r="H5116" s="6">
        <v>67707658.85863091</v>
      </c>
      <c r="I5116" s="6" t="s">
        <v>179</v>
      </c>
      <c r="J5116" s="15">
        <v>56.75</v>
      </c>
    </row>
    <row r="5117" spans="1:10">
      <c r="A5117" s="6" t="s">
        <v>146</v>
      </c>
      <c r="B5117" s="6" t="s">
        <v>86</v>
      </c>
      <c r="C5117" s="6" t="s">
        <v>310</v>
      </c>
      <c r="D5117" s="6">
        <v>72.44666666666667</v>
      </c>
      <c r="E5117" s="6" t="s">
        <v>86</v>
      </c>
      <c r="F5117" s="6" t="s">
        <v>52</v>
      </c>
      <c r="G5117" s="7">
        <v>90408.28872156367</v>
      </c>
      <c r="H5117" s="6">
        <v>6549779.156914883</v>
      </c>
      <c r="I5117" s="6" t="s">
        <v>179</v>
      </c>
      <c r="J5117" s="15">
        <v>71.22499999999999</v>
      </c>
    </row>
    <row r="5118" spans="1:10">
      <c r="A5118" s="6" t="s">
        <v>146</v>
      </c>
      <c r="B5118" s="6" t="s">
        <v>86</v>
      </c>
      <c r="C5118" s="6" t="s">
        <v>311</v>
      </c>
      <c r="D5118" s="6">
        <v>157.792</v>
      </c>
      <c r="E5118" s="6" t="s">
        <v>86</v>
      </c>
      <c r="F5118" s="6" t="s">
        <v>51</v>
      </c>
      <c r="G5118" s="7">
        <v>45054.61286131107</v>
      </c>
      <c r="H5118" s="6">
        <v>7109257.472611996</v>
      </c>
      <c r="I5118" s="6" t="s">
        <v>179</v>
      </c>
      <c r="J5118" s="15">
        <v>50.35</v>
      </c>
    </row>
    <row r="5119" spans="1:10">
      <c r="A5119" s="6" t="s">
        <v>146</v>
      </c>
      <c r="B5119" s="6" t="s">
        <v>86</v>
      </c>
      <c r="C5119" s="6" t="s">
        <v>312</v>
      </c>
      <c r="D5119" s="6">
        <v>98.48341666666668</v>
      </c>
      <c r="E5119" s="6" t="s">
        <v>86</v>
      </c>
      <c r="F5119" s="6" t="s">
        <v>54</v>
      </c>
      <c r="G5119" s="7">
        <v>81169.23103268788</v>
      </c>
      <c r="H5119" s="6">
        <v>7993823.200305132</v>
      </c>
      <c r="I5119" s="6" t="s">
        <v>179</v>
      </c>
      <c r="J5119" s="15">
        <v>47.825</v>
      </c>
    </row>
    <row r="5120" spans="1:10">
      <c r="A5120" s="6" t="s">
        <v>146</v>
      </c>
      <c r="B5120" s="6" t="s">
        <v>86</v>
      </c>
      <c r="C5120" s="6" t="s">
        <v>313</v>
      </c>
      <c r="D5120" s="6">
        <v>8.80475</v>
      </c>
      <c r="E5120" s="6" t="s">
        <v>86</v>
      </c>
      <c r="F5120" s="6" t="s">
        <v>51</v>
      </c>
      <c r="G5120" s="7">
        <v>53462.78643120329</v>
      </c>
      <c r="H5120" s="6">
        <v>470726.4688301372</v>
      </c>
      <c r="I5120" s="6" t="s">
        <v>180</v>
      </c>
      <c r="J5120" s="15">
        <v>9.305914224119906</v>
      </c>
    </row>
    <row r="5121" spans="1:10">
      <c r="A5121" s="6" t="s">
        <v>146</v>
      </c>
      <c r="B5121" s="6" t="s">
        <v>86</v>
      </c>
      <c r="C5121" s="6" t="s">
        <v>314</v>
      </c>
      <c r="D5121" s="6">
        <v>5.494</v>
      </c>
      <c r="E5121" s="6" t="s">
        <v>86</v>
      </c>
      <c r="F5121" s="6" t="s">
        <v>51</v>
      </c>
      <c r="G5121" s="7">
        <v>61051.11439376624</v>
      </c>
      <c r="H5121" s="6">
        <v>335414.8224793517</v>
      </c>
      <c r="I5121" s="6" t="s">
        <v>180</v>
      </c>
      <c r="J5121" s="15">
        <v>11.58631473715136</v>
      </c>
    </row>
    <row r="5122" spans="1:10">
      <c r="A5122" s="6" t="s">
        <v>146</v>
      </c>
      <c r="B5122" s="6" t="s">
        <v>86</v>
      </c>
      <c r="C5122" s="6" t="s">
        <v>315</v>
      </c>
      <c r="D5122" s="6">
        <v>17.163</v>
      </c>
      <c r="E5122" s="6" t="s">
        <v>86</v>
      </c>
      <c r="F5122" s="6" t="s">
        <v>51</v>
      </c>
      <c r="G5122" s="7">
        <v>37464.72792440534</v>
      </c>
      <c r="H5122" s="6">
        <v>643007.1253665689</v>
      </c>
      <c r="I5122" s="6" t="s">
        <v>179</v>
      </c>
      <c r="J5122" s="15">
        <v>14</v>
      </c>
    </row>
    <row r="5123" spans="1:10">
      <c r="A5123" s="6" t="s">
        <v>146</v>
      </c>
      <c r="B5123" s="6" t="s">
        <v>86</v>
      </c>
      <c r="C5123" s="6" t="s">
        <v>316</v>
      </c>
      <c r="D5123" s="6">
        <v>2.130333333333334</v>
      </c>
      <c r="E5123" s="6" t="s">
        <v>86</v>
      </c>
      <c r="F5123" s="6" t="s">
        <v>54</v>
      </c>
      <c r="G5123" s="7">
        <v>83552.76780903985</v>
      </c>
      <c r="H5123" s="6">
        <v>177995.2463558579</v>
      </c>
      <c r="I5123" s="6" t="s">
        <v>180</v>
      </c>
      <c r="J5123" s="15">
        <v>18.34838172284276</v>
      </c>
    </row>
    <row r="5124" spans="1:10">
      <c r="A5124" s="6" t="s">
        <v>146</v>
      </c>
      <c r="B5124" s="6" t="s">
        <v>86</v>
      </c>
      <c r="C5124" s="6" t="s">
        <v>317</v>
      </c>
      <c r="D5124" s="6">
        <v>0.4615833333333333</v>
      </c>
      <c r="E5124" s="6" t="s">
        <v>86</v>
      </c>
      <c r="F5124" s="6" t="s">
        <v>51</v>
      </c>
      <c r="G5124" s="7">
        <v>52842.46544157674</v>
      </c>
      <c r="H5124" s="6">
        <v>24391.20134007446</v>
      </c>
      <c r="I5124" s="6" t="s">
        <v>180</v>
      </c>
      <c r="J5124" s="15">
        <v>9.119498941337266</v>
      </c>
    </row>
    <row r="5125" spans="1:10">
      <c r="A5125" s="6" t="s">
        <v>146</v>
      </c>
      <c r="B5125" s="6" t="s">
        <v>86</v>
      </c>
      <c r="C5125" s="6" t="s">
        <v>319</v>
      </c>
      <c r="D5125" s="6">
        <v>88.81616666666667</v>
      </c>
      <c r="E5125" s="6" t="s">
        <v>86</v>
      </c>
      <c r="F5125" s="6" t="s">
        <v>52</v>
      </c>
      <c r="G5125" s="7">
        <v>75015.8326520299</v>
      </c>
      <c r="H5125" s="6">
        <v>6662618.695461464</v>
      </c>
      <c r="I5125" s="6" t="s">
        <v>179</v>
      </c>
      <c r="J5125" s="15">
        <v>68.13333333333333</v>
      </c>
    </row>
    <row r="5126" spans="1:10">
      <c r="A5126" s="6" t="s">
        <v>146</v>
      </c>
      <c r="B5126" s="6" t="s">
        <v>90</v>
      </c>
      <c r="C5126" s="6" t="s">
        <v>363</v>
      </c>
      <c r="D5126" s="6">
        <v>28.19275</v>
      </c>
      <c r="E5126" s="6" t="s">
        <v>86</v>
      </c>
      <c r="F5126" s="6" t="s">
        <v>52</v>
      </c>
      <c r="G5126" s="7">
        <v>59918.03179942394</v>
      </c>
      <c r="H5126" s="6">
        <v>1689254.091013209</v>
      </c>
      <c r="I5126" s="6" t="s">
        <v>180</v>
      </c>
      <c r="J5126" s="15">
        <v>12.43871031134531</v>
      </c>
    </row>
    <row r="5127" spans="1:10">
      <c r="A5127" s="6" t="s">
        <v>146</v>
      </c>
      <c r="B5127" s="6" t="s">
        <v>86</v>
      </c>
      <c r="C5127" s="6" t="s">
        <v>320</v>
      </c>
      <c r="D5127" s="6">
        <v>66.28825000000001</v>
      </c>
      <c r="E5127" s="6" t="s">
        <v>86</v>
      </c>
      <c r="F5127" s="6" t="s">
        <v>51</v>
      </c>
      <c r="G5127" s="7">
        <v>52021.16753243782</v>
      </c>
      <c r="H5127" s="6">
        <v>3448392.158682121</v>
      </c>
      <c r="I5127" s="6" t="s">
        <v>179</v>
      </c>
      <c r="J5127" s="15">
        <v>101.05</v>
      </c>
    </row>
    <row r="5128" spans="1:10">
      <c r="A5128" s="6" t="s">
        <v>146</v>
      </c>
      <c r="B5128" s="6" t="s">
        <v>90</v>
      </c>
      <c r="C5128" s="6" t="s">
        <v>321</v>
      </c>
      <c r="D5128" s="6">
        <v>6.273416666666667</v>
      </c>
      <c r="E5128" s="6" t="s">
        <v>86</v>
      </c>
      <c r="F5128" s="6" t="s">
        <v>54</v>
      </c>
      <c r="G5128" s="7">
        <v>49362.0809529337</v>
      </c>
      <c r="H5128" s="6">
        <v>309668.9013514835</v>
      </c>
      <c r="I5128" s="6" t="s">
        <v>180</v>
      </c>
      <c r="J5128" s="15">
        <v>9.05633937056912</v>
      </c>
    </row>
    <row r="5129" spans="1:10">
      <c r="A5129" s="6" t="s">
        <v>146</v>
      </c>
      <c r="B5129" s="6" t="s">
        <v>86</v>
      </c>
      <c r="C5129" s="6" t="s">
        <v>322</v>
      </c>
      <c r="D5129" s="6">
        <v>68.41391666666667</v>
      </c>
      <c r="E5129" s="6" t="s">
        <v>86</v>
      </c>
      <c r="F5129" s="6" t="s">
        <v>51</v>
      </c>
      <c r="G5129" s="7">
        <v>45195.78581875691</v>
      </c>
      <c r="H5129" s="6">
        <v>3092020.72468895</v>
      </c>
      <c r="I5129" s="6" t="s">
        <v>179</v>
      </c>
      <c r="J5129" s="15">
        <v>55</v>
      </c>
    </row>
    <row r="5130" spans="1:10">
      <c r="A5130" s="6" t="s">
        <v>146</v>
      </c>
      <c r="B5130" s="6" t="s">
        <v>86</v>
      </c>
      <c r="C5130" s="6" t="s">
        <v>323</v>
      </c>
      <c r="D5130" s="6">
        <v>50.30525</v>
      </c>
      <c r="E5130" s="6" t="s">
        <v>86</v>
      </c>
      <c r="F5130" s="6" t="s">
        <v>55</v>
      </c>
      <c r="G5130" s="7">
        <v>51933.23768987774</v>
      </c>
      <c r="H5130" s="6">
        <v>2612514.505298723</v>
      </c>
      <c r="I5130" s="6" t="s">
        <v>179</v>
      </c>
      <c r="J5130" s="15">
        <v>44.21666666666667</v>
      </c>
    </row>
    <row r="5131" spans="1:10">
      <c r="A5131" s="6" t="s">
        <v>146</v>
      </c>
      <c r="B5131" s="6" t="s">
        <v>86</v>
      </c>
      <c r="C5131" s="6" t="s">
        <v>324</v>
      </c>
      <c r="D5131" s="6">
        <v>134.8023333333333</v>
      </c>
      <c r="E5131" s="6" t="s">
        <v>86</v>
      </c>
      <c r="F5131" s="6" t="s">
        <v>51</v>
      </c>
      <c r="G5131" s="7">
        <v>65955.72298493661</v>
      </c>
      <c r="H5131" s="6">
        <v>8890985.35505642</v>
      </c>
      <c r="I5131" s="6" t="s">
        <v>179</v>
      </c>
      <c r="J5131" s="15">
        <v>47.5</v>
      </c>
    </row>
    <row r="5132" spans="1:10">
      <c r="A5132" s="6" t="s">
        <v>146</v>
      </c>
      <c r="B5132" s="6" t="s">
        <v>86</v>
      </c>
      <c r="C5132" s="6" t="s">
        <v>372</v>
      </c>
      <c r="D5132" s="6">
        <v>0.702</v>
      </c>
      <c r="E5132" s="6" t="s">
        <v>86</v>
      </c>
      <c r="F5132" s="6" t="s">
        <v>55</v>
      </c>
      <c r="G5132" s="7">
        <v>91947.22414896538</v>
      </c>
      <c r="H5132" s="6">
        <v>64546.95135257369</v>
      </c>
      <c r="I5132" s="6" t="s">
        <v>180</v>
      </c>
      <c r="J5132" s="15">
        <v>20.87103528218113</v>
      </c>
    </row>
    <row r="5133" spans="1:10">
      <c r="A5133" s="6" t="s">
        <v>146</v>
      </c>
      <c r="B5133" s="6" t="s">
        <v>90</v>
      </c>
      <c r="C5133" s="6" t="s">
        <v>325</v>
      </c>
      <c r="D5133" s="6">
        <v>0.496</v>
      </c>
      <c r="E5133" s="6" t="s">
        <v>86</v>
      </c>
      <c r="F5133" s="6" t="s">
        <v>53</v>
      </c>
      <c r="G5133" s="7">
        <v>27183.84720656899</v>
      </c>
      <c r="H5133" s="6">
        <v>13483.18821445822</v>
      </c>
      <c r="I5133" s="6" t="s">
        <v>179</v>
      </c>
      <c r="J5133" s="15">
        <v>16</v>
      </c>
    </row>
    <row r="5134" spans="1:10">
      <c r="A5134" s="6" t="s">
        <v>146</v>
      </c>
      <c r="B5134" s="6" t="s">
        <v>86</v>
      </c>
      <c r="C5134" s="6" t="s">
        <v>364</v>
      </c>
      <c r="D5134" s="6">
        <v>15.26966666666667</v>
      </c>
      <c r="E5134" s="6" t="s">
        <v>86</v>
      </c>
      <c r="F5134" s="6" t="s">
        <v>52</v>
      </c>
      <c r="G5134" s="7">
        <v>56618.13707440715</v>
      </c>
      <c r="H5134" s="6">
        <v>864540.080413839</v>
      </c>
      <c r="I5134" s="6" t="s">
        <v>179</v>
      </c>
      <c r="J5134" s="15">
        <v>40.41666666666667</v>
      </c>
    </row>
    <row r="5135" spans="1:10">
      <c r="A5135" s="6" t="s">
        <v>146</v>
      </c>
      <c r="B5135" s="6" t="s">
        <v>90</v>
      </c>
      <c r="C5135" s="6" t="s">
        <v>326</v>
      </c>
      <c r="D5135" s="6">
        <v>245.5696666666667</v>
      </c>
      <c r="E5135" s="6" t="s">
        <v>86</v>
      </c>
      <c r="F5135" s="6" t="s">
        <v>54</v>
      </c>
      <c r="G5135" s="7">
        <v>73204.69251441542</v>
      </c>
      <c r="H5135" s="6">
        <v>17976851.93920083</v>
      </c>
      <c r="I5135" s="6" t="s">
        <v>179</v>
      </c>
      <c r="J5135" s="15">
        <v>50.55</v>
      </c>
    </row>
    <row r="5136" spans="1:10">
      <c r="A5136" s="6" t="s">
        <v>146</v>
      </c>
      <c r="B5136" s="6" t="s">
        <v>86</v>
      </c>
      <c r="C5136" s="6" t="s">
        <v>373</v>
      </c>
      <c r="D5136" s="6">
        <v>0.3811666666666667</v>
      </c>
      <c r="E5136" s="6" t="s">
        <v>86</v>
      </c>
      <c r="F5136" s="6" t="s">
        <v>55</v>
      </c>
      <c r="G5136" s="7">
        <v>61336.46875046419</v>
      </c>
      <c r="H5136" s="6">
        <v>23379.4173387186</v>
      </c>
      <c r="I5136" s="6" t="s">
        <v>180</v>
      </c>
      <c r="J5136" s="15">
        <v>11.67206778111837</v>
      </c>
    </row>
    <row r="5137" spans="1:10">
      <c r="A5137" s="6" t="s">
        <v>146</v>
      </c>
      <c r="B5137" s="6" t="s">
        <v>86</v>
      </c>
      <c r="C5137" s="6" t="s">
        <v>374</v>
      </c>
      <c r="D5137" s="6">
        <v>0.17275</v>
      </c>
      <c r="E5137" s="6" t="s">
        <v>86</v>
      </c>
      <c r="F5137" s="6" t="s">
        <v>55</v>
      </c>
      <c r="G5137" s="7">
        <v>66583.71341381679</v>
      </c>
      <c r="H5137" s="6">
        <v>11502.33649223685</v>
      </c>
      <c r="I5137" s="6" t="s">
        <v>180</v>
      </c>
      <c r="J5137" s="15">
        <v>13.24893945579351</v>
      </c>
    </row>
    <row r="5138" spans="1:10">
      <c r="A5138" s="6" t="s">
        <v>146</v>
      </c>
      <c r="B5138" s="6" t="s">
        <v>86</v>
      </c>
      <c r="C5138" s="6" t="s">
        <v>327</v>
      </c>
      <c r="D5138" s="6">
        <v>81.568</v>
      </c>
      <c r="E5138" s="6" t="s">
        <v>86</v>
      </c>
      <c r="F5138" s="6" t="s">
        <v>57</v>
      </c>
      <c r="G5138" s="7">
        <v>42782.89879327323</v>
      </c>
      <c r="H5138" s="6">
        <v>3489715.488769711</v>
      </c>
      <c r="I5138" s="6" t="s">
        <v>179</v>
      </c>
      <c r="J5138" s="15">
        <v>30.675</v>
      </c>
    </row>
    <row r="5139" spans="1:10">
      <c r="A5139" s="6" t="s">
        <v>146</v>
      </c>
      <c r="B5139" s="6" t="s">
        <v>86</v>
      </c>
      <c r="C5139" s="6" t="s">
        <v>328</v>
      </c>
      <c r="D5139" s="6">
        <v>0.435</v>
      </c>
      <c r="E5139" s="6" t="s">
        <v>86</v>
      </c>
      <c r="F5139" s="6" t="s">
        <v>58</v>
      </c>
      <c r="G5139" s="7">
        <v>63344.38696068728</v>
      </c>
      <c r="H5139" s="6">
        <v>27554.80832789897</v>
      </c>
      <c r="I5139" s="6" t="s">
        <v>180</v>
      </c>
      <c r="J5139" s="15">
        <v>12.27547577024427</v>
      </c>
    </row>
    <row r="5140" spans="1:10">
      <c r="A5140" s="6" t="s">
        <v>146</v>
      </c>
      <c r="B5140" s="6" t="s">
        <v>90</v>
      </c>
      <c r="C5140" s="6" t="s">
        <v>329</v>
      </c>
      <c r="D5140" s="6">
        <v>226.82475</v>
      </c>
      <c r="E5140" s="6" t="s">
        <v>86</v>
      </c>
      <c r="F5140" s="6" t="s">
        <v>58</v>
      </c>
      <c r="G5140" s="7">
        <v>59375.40509749136</v>
      </c>
      <c r="H5140" s="6">
        <v>13467811.4173872</v>
      </c>
      <c r="I5140" s="6" t="s">
        <v>180</v>
      </c>
      <c r="J5140" s="15">
        <v>12.2648401583864</v>
      </c>
    </row>
    <row r="5141" spans="1:10">
      <c r="A5141" s="6" t="s">
        <v>146</v>
      </c>
      <c r="B5141" s="6" t="s">
        <v>86</v>
      </c>
      <c r="C5141" s="6" t="s">
        <v>330</v>
      </c>
      <c r="D5141" s="6">
        <v>20.93616666666667</v>
      </c>
      <c r="E5141" s="6" t="s">
        <v>86</v>
      </c>
      <c r="F5141" s="6" t="s">
        <v>52</v>
      </c>
      <c r="G5141" s="7">
        <v>68396.7450959322</v>
      </c>
      <c r="H5141" s="6">
        <v>1431965.654785953</v>
      </c>
      <c r="I5141" s="6" t="s">
        <v>179</v>
      </c>
      <c r="J5141" s="15">
        <v>71.97499999999999</v>
      </c>
    </row>
    <row r="5142" spans="1:10">
      <c r="A5142" s="6" t="s">
        <v>146</v>
      </c>
      <c r="B5142" s="6" t="s">
        <v>86</v>
      </c>
      <c r="C5142" s="6" t="s">
        <v>365</v>
      </c>
      <c r="D5142" s="6">
        <v>0.024</v>
      </c>
      <c r="E5142" s="6" t="s">
        <v>86</v>
      </c>
      <c r="F5142" s="6" t="s">
        <v>53</v>
      </c>
      <c r="G5142" s="7">
        <v>49907.27415437595</v>
      </c>
      <c r="H5142" s="6">
        <v>1197.774579705023</v>
      </c>
      <c r="I5142" s="6" t="s">
        <v>179</v>
      </c>
      <c r="J5142" s="15">
        <v>8</v>
      </c>
    </row>
    <row r="5143" spans="1:10">
      <c r="A5143" s="6" t="s">
        <v>146</v>
      </c>
      <c r="B5143" s="6" t="s">
        <v>90</v>
      </c>
      <c r="C5143" s="6" t="s">
        <v>331</v>
      </c>
      <c r="D5143" s="6">
        <v>68.20083333333334</v>
      </c>
      <c r="E5143" s="6" t="s">
        <v>86</v>
      </c>
      <c r="F5143" s="6" t="s">
        <v>58</v>
      </c>
      <c r="G5143" s="7">
        <v>62490.71047845359</v>
      </c>
      <c r="H5143" s="6">
        <v>4261918.5302226</v>
      </c>
      <c r="I5143" s="6" t="s">
        <v>180</v>
      </c>
      <c r="J5143" s="15">
        <v>13.26305609794943</v>
      </c>
    </row>
    <row r="5144" spans="1:10">
      <c r="A5144" s="6" t="s">
        <v>146</v>
      </c>
      <c r="B5144" s="6" t="s">
        <v>86</v>
      </c>
      <c r="C5144" s="6" t="s">
        <v>332</v>
      </c>
      <c r="D5144" s="6">
        <v>467.4395</v>
      </c>
      <c r="E5144" s="6" t="s">
        <v>86</v>
      </c>
      <c r="F5144" s="6" t="s">
        <v>55</v>
      </c>
      <c r="G5144" s="7">
        <v>52935.75827117996</v>
      </c>
      <c r="H5144" s="6">
        <v>24744264.37840122</v>
      </c>
      <c r="I5144" s="6" t="s">
        <v>179</v>
      </c>
      <c r="J5144" s="15">
        <v>39.75833333333333</v>
      </c>
    </row>
    <row r="5145" spans="1:10">
      <c r="A5145" s="6" t="s">
        <v>146</v>
      </c>
      <c r="B5145" s="6" t="s">
        <v>86</v>
      </c>
      <c r="C5145" s="6" t="s">
        <v>375</v>
      </c>
      <c r="D5145" s="6">
        <v>1.429</v>
      </c>
      <c r="E5145" s="6" t="s">
        <v>86</v>
      </c>
      <c r="F5145" s="6" t="s">
        <v>55</v>
      </c>
      <c r="G5145" s="7">
        <v>53013.0959774591</v>
      </c>
      <c r="H5145" s="6">
        <v>75755.71415178906</v>
      </c>
      <c r="I5145" s="6" t="s">
        <v>180</v>
      </c>
      <c r="J5145" s="15">
        <v>9.170775844956172</v>
      </c>
    </row>
    <row r="5146" spans="1:10">
      <c r="A5146" s="6" t="s">
        <v>146</v>
      </c>
      <c r="B5146" s="6" t="s">
        <v>86</v>
      </c>
      <c r="C5146" s="6" t="s">
        <v>333</v>
      </c>
      <c r="D5146" s="6">
        <v>53.00475000000001</v>
      </c>
      <c r="E5146" s="6" t="s">
        <v>86</v>
      </c>
      <c r="F5146" s="6" t="s">
        <v>51</v>
      </c>
      <c r="G5146" s="7">
        <v>51556.63499677741</v>
      </c>
      <c r="H5146" s="6">
        <v>2732746.548845438</v>
      </c>
      <c r="I5146" s="6" t="s">
        <v>180</v>
      </c>
      <c r="J5146" s="15">
        <v>8.73308859897227</v>
      </c>
    </row>
    <row r="5147" spans="1:10">
      <c r="A5147" s="6" t="s">
        <v>146</v>
      </c>
      <c r="B5147" s="6" t="s">
        <v>92</v>
      </c>
      <c r="C5147" s="6" t="s">
        <v>194</v>
      </c>
      <c r="D5147" s="6">
        <v>0.2043333333333333</v>
      </c>
      <c r="E5147" s="6" t="s">
        <v>88</v>
      </c>
      <c r="F5147" s="6" t="s">
        <v>58</v>
      </c>
      <c r="G5147" s="7">
        <v>50041.91995236529</v>
      </c>
      <c r="H5147" s="6">
        <v>10225.23231026664</v>
      </c>
      <c r="I5147" s="6" t="s">
        <v>180</v>
      </c>
      <c r="J5147" s="15">
        <v>11.97643504980967</v>
      </c>
    </row>
    <row r="5148" spans="1:10">
      <c r="A5148" s="6" t="s">
        <v>146</v>
      </c>
      <c r="B5148" s="6" t="s">
        <v>88</v>
      </c>
      <c r="C5148" s="6" t="s">
        <v>195</v>
      </c>
      <c r="D5148" s="6">
        <v>4.178569341485436</v>
      </c>
      <c r="E5148" s="6" t="s">
        <v>88</v>
      </c>
      <c r="F5148" s="6" t="s">
        <v>54</v>
      </c>
      <c r="G5148" s="7">
        <v>42234.92390540216</v>
      </c>
      <c r="H5148" s="6">
        <v>176481.5581710838</v>
      </c>
      <c r="I5148" s="6" t="s">
        <v>180</v>
      </c>
      <c r="J5148" s="15">
        <v>21.67396938950999</v>
      </c>
    </row>
    <row r="5149" spans="1:10">
      <c r="A5149" s="6" t="s">
        <v>146</v>
      </c>
      <c r="B5149" s="6" t="s">
        <v>92</v>
      </c>
      <c r="C5149" s="6" t="s">
        <v>195</v>
      </c>
      <c r="D5149" s="6">
        <v>8.926180658514564</v>
      </c>
      <c r="E5149" s="6" t="s">
        <v>88</v>
      </c>
      <c r="F5149" s="6" t="s">
        <v>54</v>
      </c>
      <c r="G5149" s="7">
        <v>74005.80825338791</v>
      </c>
      <c r="H5149" s="6">
        <v>660589.2142491286</v>
      </c>
      <c r="I5149" s="6" t="s">
        <v>180</v>
      </c>
      <c r="J5149" s="15">
        <v>20.94906742477332</v>
      </c>
    </row>
    <row r="5150" spans="1:10">
      <c r="A5150" s="6" t="s">
        <v>146</v>
      </c>
      <c r="B5150" s="6" t="s">
        <v>88</v>
      </c>
      <c r="C5150" s="6" t="s">
        <v>335</v>
      </c>
      <c r="D5150" s="6">
        <v>802.7560833333334</v>
      </c>
      <c r="E5150" s="6" t="s">
        <v>88</v>
      </c>
      <c r="F5150" s="6" t="s">
        <v>52</v>
      </c>
      <c r="G5150" s="7">
        <v>44280.88015614714</v>
      </c>
      <c r="H5150" s="6">
        <v>35546745.92070141</v>
      </c>
      <c r="I5150" s="6" t="s">
        <v>179</v>
      </c>
      <c r="J5150" s="15">
        <v>39</v>
      </c>
    </row>
    <row r="5151" spans="1:10">
      <c r="A5151" s="6" t="s">
        <v>146</v>
      </c>
      <c r="B5151" s="6" t="s">
        <v>92</v>
      </c>
      <c r="C5151" s="6" t="s">
        <v>197</v>
      </c>
      <c r="D5151" s="6">
        <v>53.09375</v>
      </c>
      <c r="E5151" s="6" t="s">
        <v>88</v>
      </c>
      <c r="F5151" s="6" t="s">
        <v>53</v>
      </c>
      <c r="G5151" s="7">
        <v>63461.32463788219</v>
      </c>
      <c r="H5151" s="6">
        <v>3369399.704992557</v>
      </c>
      <c r="I5151" s="6" t="s">
        <v>180</v>
      </c>
      <c r="J5151" s="15">
        <v>17.00096960870551</v>
      </c>
    </row>
    <row r="5152" spans="1:10">
      <c r="A5152" s="6" t="s">
        <v>146</v>
      </c>
      <c r="B5152" s="6" t="s">
        <v>88</v>
      </c>
      <c r="C5152" s="6" t="s">
        <v>198</v>
      </c>
      <c r="D5152" s="6">
        <v>15.88875</v>
      </c>
      <c r="E5152" s="6" t="s">
        <v>88</v>
      </c>
      <c r="F5152" s="6" t="s">
        <v>58</v>
      </c>
      <c r="G5152" s="7">
        <v>47148.15846411035</v>
      </c>
      <c r="H5152" s="6">
        <v>749125.3027966333</v>
      </c>
      <c r="I5152" s="6" t="s">
        <v>180</v>
      </c>
      <c r="J5152" s="15">
        <v>24.98177205229451</v>
      </c>
    </row>
    <row r="5153" spans="1:10">
      <c r="A5153" s="6" t="s">
        <v>146</v>
      </c>
      <c r="B5153" s="6" t="s">
        <v>92</v>
      </c>
      <c r="C5153" s="6" t="s">
        <v>199</v>
      </c>
      <c r="D5153" s="6">
        <v>47.27558333333333</v>
      </c>
      <c r="E5153" s="6" t="s">
        <v>88</v>
      </c>
      <c r="F5153" s="6" t="s">
        <v>57</v>
      </c>
      <c r="G5153" s="7">
        <v>45943.9020712533</v>
      </c>
      <c r="H5153" s="6">
        <v>2172024.771028041</v>
      </c>
      <c r="I5153" s="6" t="s">
        <v>179</v>
      </c>
      <c r="J5153" s="15">
        <v>30.95</v>
      </c>
    </row>
    <row r="5154" spans="1:10">
      <c r="A5154" s="6" t="s">
        <v>146</v>
      </c>
      <c r="B5154" s="6" t="s">
        <v>88</v>
      </c>
      <c r="C5154" s="6" t="s">
        <v>337</v>
      </c>
      <c r="D5154" s="6">
        <v>8.164250000000001</v>
      </c>
      <c r="E5154" s="6" t="s">
        <v>88</v>
      </c>
      <c r="F5154" s="6" t="s">
        <v>52</v>
      </c>
      <c r="G5154" s="7">
        <v>44335.59781697809</v>
      </c>
      <c r="H5154" s="6">
        <v>361966.9044772634</v>
      </c>
      <c r="I5154" s="6" t="s">
        <v>180</v>
      </c>
      <c r="J5154" s="15">
        <v>23.08823420331521</v>
      </c>
    </row>
    <row r="5155" spans="1:10">
      <c r="A5155" s="6" t="s">
        <v>146</v>
      </c>
      <c r="B5155" s="6" t="s">
        <v>88</v>
      </c>
      <c r="C5155" s="6" t="s">
        <v>200</v>
      </c>
      <c r="D5155" s="6">
        <v>140.3050833333333</v>
      </c>
      <c r="E5155" s="6" t="s">
        <v>88</v>
      </c>
      <c r="F5155" s="6" t="s">
        <v>52</v>
      </c>
      <c r="G5155" s="7">
        <v>32832.77265499769</v>
      </c>
      <c r="H5155" s="6">
        <v>4606604.903423839</v>
      </c>
      <c r="I5155" s="6" t="s">
        <v>179</v>
      </c>
      <c r="J5155" s="15">
        <v>28.025</v>
      </c>
    </row>
    <row r="5156" spans="1:10">
      <c r="A5156" s="6" t="s">
        <v>146</v>
      </c>
      <c r="B5156" s="6" t="s">
        <v>92</v>
      </c>
      <c r="C5156" s="6" t="s">
        <v>201</v>
      </c>
      <c r="D5156" s="6">
        <v>16.70283333333333</v>
      </c>
      <c r="E5156" s="6" t="s">
        <v>88</v>
      </c>
      <c r="F5156" s="6" t="s">
        <v>56</v>
      </c>
      <c r="G5156" s="7">
        <v>64076.14664886126</v>
      </c>
      <c r="H5156" s="6">
        <v>1070253.198118155</v>
      </c>
      <c r="I5156" s="6" t="s">
        <v>180</v>
      </c>
      <c r="J5156" s="15">
        <v>17.23117314709855</v>
      </c>
    </row>
    <row r="5157" spans="1:10">
      <c r="A5157" s="6" t="s">
        <v>146</v>
      </c>
      <c r="B5157" s="6" t="s">
        <v>88</v>
      </c>
      <c r="C5157" s="6" t="s">
        <v>202</v>
      </c>
      <c r="D5157" s="6">
        <v>1271.925166666667</v>
      </c>
      <c r="E5157" s="6" t="s">
        <v>88</v>
      </c>
      <c r="F5157" s="6" t="s">
        <v>54</v>
      </c>
      <c r="G5157" s="7">
        <v>52343.66061009689</v>
      </c>
      <c r="H5157" s="6">
        <v>66577219.24544092</v>
      </c>
      <c r="I5157" s="6" t="s">
        <v>180</v>
      </c>
      <c r="J5157" s="15">
        <v>28.47960950085214</v>
      </c>
    </row>
    <row r="5158" spans="1:10">
      <c r="A5158" s="6" t="s">
        <v>146</v>
      </c>
      <c r="B5158" s="6" t="s">
        <v>86</v>
      </c>
      <c r="C5158" s="6" t="s">
        <v>203</v>
      </c>
      <c r="D5158" s="6">
        <v>499.0579166666666</v>
      </c>
      <c r="E5158" s="6" t="s">
        <v>88</v>
      </c>
      <c r="F5158" s="6" t="s">
        <v>53</v>
      </c>
      <c r="G5158" s="7">
        <v>22045.15542894867</v>
      </c>
      <c r="H5158" s="6">
        <v>11001809.34096398</v>
      </c>
      <c r="I5158" s="6" t="s">
        <v>179</v>
      </c>
      <c r="J5158" s="15">
        <v>8</v>
      </c>
    </row>
    <row r="5159" spans="1:10">
      <c r="A5159" s="6" t="s">
        <v>146</v>
      </c>
      <c r="B5159" s="6" t="s">
        <v>92</v>
      </c>
      <c r="C5159" s="6" t="s">
        <v>204</v>
      </c>
      <c r="D5159" s="6">
        <v>2500.7715</v>
      </c>
      <c r="E5159" s="6" t="s">
        <v>88</v>
      </c>
      <c r="F5159" s="6" t="s">
        <v>51</v>
      </c>
      <c r="G5159" s="7">
        <v>45931.03732154475</v>
      </c>
      <c r="H5159" s="6">
        <v>114863029.0991555</v>
      </c>
      <c r="I5159" s="6" t="s">
        <v>179</v>
      </c>
      <c r="J5159" s="15">
        <v>41.54166666666667</v>
      </c>
    </row>
    <row r="5160" spans="1:10">
      <c r="A5160" s="6" t="s">
        <v>146</v>
      </c>
      <c r="B5160" s="6" t="s">
        <v>88</v>
      </c>
      <c r="C5160" s="6" t="s">
        <v>338</v>
      </c>
      <c r="D5160" s="6">
        <v>2.61025</v>
      </c>
      <c r="E5160" s="6" t="s">
        <v>88</v>
      </c>
      <c r="F5160" s="6" t="s">
        <v>52</v>
      </c>
      <c r="G5160" s="7">
        <v>44335.59781697809</v>
      </c>
      <c r="H5160" s="6">
        <v>115726.9942017671</v>
      </c>
      <c r="I5160" s="6" t="s">
        <v>180</v>
      </c>
      <c r="J5160" s="15">
        <v>23.08823420331521</v>
      </c>
    </row>
    <row r="5161" spans="1:10">
      <c r="A5161" s="6" t="s">
        <v>146</v>
      </c>
      <c r="B5161" s="6" t="s">
        <v>88</v>
      </c>
      <c r="C5161" s="6" t="s">
        <v>205</v>
      </c>
      <c r="D5161" s="6">
        <v>637.0635000000001</v>
      </c>
      <c r="E5161" s="6" t="s">
        <v>88</v>
      </c>
      <c r="F5161" s="6" t="s">
        <v>56</v>
      </c>
      <c r="G5161" s="7">
        <v>38874.1891890203</v>
      </c>
      <c r="H5161" s="6">
        <v>24765327.02441944</v>
      </c>
      <c r="I5161" s="6" t="s">
        <v>180</v>
      </c>
      <c r="J5161" s="15">
        <v>19.4113769748944</v>
      </c>
    </row>
    <row r="5162" spans="1:10">
      <c r="A5162" s="6" t="s">
        <v>146</v>
      </c>
      <c r="B5162" s="6" t="s">
        <v>92</v>
      </c>
      <c r="C5162" s="6" t="s">
        <v>206</v>
      </c>
      <c r="D5162" s="6">
        <v>6.860416666666667</v>
      </c>
      <c r="E5162" s="6" t="s">
        <v>88</v>
      </c>
      <c r="F5162" s="6" t="s">
        <v>55</v>
      </c>
      <c r="G5162" s="7">
        <v>31981.7567354776</v>
      </c>
      <c r="H5162" s="6">
        <v>219408.1769373495</v>
      </c>
      <c r="I5162" s="6" t="s">
        <v>179</v>
      </c>
      <c r="J5162" s="15">
        <v>16</v>
      </c>
    </row>
    <row r="5163" spans="1:10">
      <c r="A5163" s="6" t="s">
        <v>146</v>
      </c>
      <c r="B5163" s="6" t="s">
        <v>92</v>
      </c>
      <c r="C5163" s="6" t="s">
        <v>340</v>
      </c>
      <c r="D5163" s="6">
        <v>118.7876666666667</v>
      </c>
      <c r="E5163" s="6" t="s">
        <v>88</v>
      </c>
      <c r="F5163" s="6" t="s">
        <v>52</v>
      </c>
      <c r="G5163" s="7">
        <v>30591.57365130842</v>
      </c>
      <c r="H5163" s="6">
        <v>3633901.653700407</v>
      </c>
      <c r="I5163" s="6" t="s">
        <v>180</v>
      </c>
      <c r="J5163" s="15">
        <v>4.69377687961323</v>
      </c>
    </row>
    <row r="5164" spans="1:10">
      <c r="A5164" s="6" t="s">
        <v>146</v>
      </c>
      <c r="B5164" s="6" t="s">
        <v>92</v>
      </c>
      <c r="C5164" s="6" t="s">
        <v>207</v>
      </c>
      <c r="D5164" s="6">
        <v>0.2558333333333334</v>
      </c>
      <c r="E5164" s="6" t="s">
        <v>88</v>
      </c>
      <c r="F5164" s="6" t="s">
        <v>55</v>
      </c>
      <c r="G5164" s="7">
        <v>35193.17601920018</v>
      </c>
      <c r="H5164" s="6">
        <v>9003.587531578714</v>
      </c>
      <c r="I5164" s="6" t="s">
        <v>180</v>
      </c>
      <c r="J5164" s="15">
        <v>6.416722916759179</v>
      </c>
    </row>
    <row r="5165" spans="1:10">
      <c r="A5165" s="6" t="s">
        <v>146</v>
      </c>
      <c r="B5165" s="6" t="s">
        <v>92</v>
      </c>
      <c r="C5165" s="6" t="s">
        <v>208</v>
      </c>
      <c r="D5165" s="6">
        <v>2.200666666666667</v>
      </c>
      <c r="E5165" s="6" t="s">
        <v>88</v>
      </c>
      <c r="F5165" s="6" t="s">
        <v>51</v>
      </c>
      <c r="G5165" s="7">
        <v>50504.79293432883</v>
      </c>
      <c r="H5165" s="6">
        <v>111144.2143174797</v>
      </c>
      <c r="I5165" s="6" t="s">
        <v>180</v>
      </c>
      <c r="J5165" s="15">
        <v>12.14974536787207</v>
      </c>
    </row>
    <row r="5166" spans="1:10">
      <c r="A5166" s="6" t="s">
        <v>146</v>
      </c>
      <c r="B5166" s="6" t="s">
        <v>92</v>
      </c>
      <c r="C5166" s="6" t="s">
        <v>209</v>
      </c>
      <c r="D5166" s="6">
        <v>0.2256666666666667</v>
      </c>
      <c r="E5166" s="6" t="s">
        <v>88</v>
      </c>
      <c r="F5166" s="6" t="s">
        <v>57</v>
      </c>
      <c r="G5166" s="7">
        <v>37511.68520504731</v>
      </c>
      <c r="H5166" s="6">
        <v>8465.136961272343</v>
      </c>
      <c r="I5166" s="6" t="s">
        <v>180</v>
      </c>
      <c r="J5166" s="15">
        <v>7.284826219581484</v>
      </c>
    </row>
    <row r="5167" spans="1:10">
      <c r="A5167" s="6" t="s">
        <v>146</v>
      </c>
      <c r="B5167" s="6" t="s">
        <v>92</v>
      </c>
      <c r="C5167" s="6" t="s">
        <v>210</v>
      </c>
      <c r="D5167" s="6">
        <v>0.4045833333333334</v>
      </c>
      <c r="E5167" s="6" t="s">
        <v>88</v>
      </c>
      <c r="F5167" s="6" t="s">
        <v>53</v>
      </c>
      <c r="G5167" s="7">
        <v>49345.5773914262</v>
      </c>
      <c r="H5167" s="6">
        <v>19964.39818628119</v>
      </c>
      <c r="I5167" s="6" t="s">
        <v>180</v>
      </c>
      <c r="J5167" s="15">
        <v>11.71570833768923</v>
      </c>
    </row>
    <row r="5168" spans="1:10">
      <c r="A5168" s="6" t="s">
        <v>146</v>
      </c>
      <c r="B5168" s="6" t="s">
        <v>92</v>
      </c>
      <c r="C5168" s="6" t="s">
        <v>211</v>
      </c>
      <c r="D5168" s="6">
        <v>404.5624166666666</v>
      </c>
      <c r="E5168" s="6" t="s">
        <v>88</v>
      </c>
      <c r="F5168" s="6" t="s">
        <v>55</v>
      </c>
      <c r="G5168" s="7">
        <v>25336.04217074411</v>
      </c>
      <c r="H5168" s="6">
        <v>10250010.44936481</v>
      </c>
      <c r="I5168" s="6" t="s">
        <v>179</v>
      </c>
      <c r="J5168" s="15">
        <v>16</v>
      </c>
    </row>
    <row r="5169" spans="1:10">
      <c r="A5169" s="6" t="s">
        <v>146</v>
      </c>
      <c r="B5169" s="6" t="s">
        <v>92</v>
      </c>
      <c r="C5169" s="6" t="s">
        <v>377</v>
      </c>
      <c r="D5169" s="6">
        <v>4.25175</v>
      </c>
      <c r="E5169" s="6" t="s">
        <v>88</v>
      </c>
      <c r="F5169" s="6" t="s">
        <v>51</v>
      </c>
      <c r="G5169" s="7">
        <v>38568.74339775931</v>
      </c>
      <c r="H5169" s="6">
        <v>163984.6547414231</v>
      </c>
      <c r="I5169" s="6" t="s">
        <v>180</v>
      </c>
      <c r="J5169" s="15">
        <v>7.680613182156479</v>
      </c>
    </row>
    <row r="5170" spans="1:10">
      <c r="A5170" s="6" t="s">
        <v>146</v>
      </c>
      <c r="B5170" s="6" t="s">
        <v>92</v>
      </c>
      <c r="C5170" s="6" t="s">
        <v>212</v>
      </c>
      <c r="D5170" s="6">
        <v>25.90866666666667</v>
      </c>
      <c r="E5170" s="6" t="s">
        <v>88</v>
      </c>
      <c r="F5170" s="6" t="s">
        <v>55</v>
      </c>
      <c r="G5170" s="7">
        <v>23468.05749758728</v>
      </c>
      <c r="H5170" s="6">
        <v>608026.0790191562</v>
      </c>
      <c r="I5170" s="6" t="s">
        <v>179</v>
      </c>
      <c r="J5170" s="15">
        <v>15</v>
      </c>
    </row>
    <row r="5171" spans="1:10">
      <c r="A5171" s="6" t="s">
        <v>146</v>
      </c>
      <c r="B5171" s="6" t="s">
        <v>88</v>
      </c>
      <c r="C5171" s="6" t="s">
        <v>213</v>
      </c>
      <c r="D5171" s="6">
        <v>16.92391666666666</v>
      </c>
      <c r="E5171" s="6" t="s">
        <v>88</v>
      </c>
      <c r="F5171" s="6" t="s">
        <v>52</v>
      </c>
      <c r="G5171" s="7">
        <v>44335.59781697809</v>
      </c>
      <c r="H5171" s="6">
        <v>750331.9628213856</v>
      </c>
      <c r="I5171" s="6" t="s">
        <v>180</v>
      </c>
      <c r="J5171" s="15">
        <v>23.08823420331521</v>
      </c>
    </row>
    <row r="5172" spans="1:10">
      <c r="A5172" s="6" t="s">
        <v>146</v>
      </c>
      <c r="B5172" s="6" t="s">
        <v>92</v>
      </c>
      <c r="C5172" s="6" t="s">
        <v>214</v>
      </c>
      <c r="D5172" s="6">
        <v>0.3579166666666667</v>
      </c>
      <c r="E5172" s="6" t="s">
        <v>88</v>
      </c>
      <c r="F5172" s="6" t="s">
        <v>53</v>
      </c>
      <c r="G5172" s="7">
        <v>62422.24836497094</v>
      </c>
      <c r="H5172" s="6">
        <v>22341.96306062918</v>
      </c>
      <c r="I5172" s="6" t="s">
        <v>180</v>
      </c>
      <c r="J5172" s="15">
        <v>16.61191549155782</v>
      </c>
    </row>
    <row r="5173" spans="1:10">
      <c r="A5173" s="6" t="s">
        <v>146</v>
      </c>
      <c r="B5173" s="6" t="s">
        <v>88</v>
      </c>
      <c r="C5173" s="6" t="s">
        <v>215</v>
      </c>
      <c r="D5173" s="6">
        <v>199.4104166666667</v>
      </c>
      <c r="E5173" s="6" t="s">
        <v>88</v>
      </c>
      <c r="F5173" s="6" t="s">
        <v>54</v>
      </c>
      <c r="G5173" s="7">
        <v>49061.49876660256</v>
      </c>
      <c r="H5173" s="6">
        <v>9783373.911339369</v>
      </c>
      <c r="I5173" s="6" t="s">
        <v>180</v>
      </c>
      <c r="J5173" s="15">
        <v>26.26991575310344</v>
      </c>
    </row>
    <row r="5174" spans="1:10">
      <c r="A5174" s="6" t="s">
        <v>146</v>
      </c>
      <c r="B5174" s="6" t="s">
        <v>92</v>
      </c>
      <c r="C5174" s="6" t="s">
        <v>216</v>
      </c>
      <c r="D5174" s="6">
        <v>1.496333333333333</v>
      </c>
      <c r="E5174" s="6" t="s">
        <v>88</v>
      </c>
      <c r="F5174" s="6" t="s">
        <v>55</v>
      </c>
      <c r="G5174" s="7">
        <v>37794.08920614998</v>
      </c>
      <c r="H5174" s="6">
        <v>56552.55548213574</v>
      </c>
      <c r="I5174" s="6" t="s">
        <v>180</v>
      </c>
      <c r="J5174" s="15">
        <v>22.25</v>
      </c>
    </row>
    <row r="5175" spans="1:10">
      <c r="A5175" s="6" t="s">
        <v>146</v>
      </c>
      <c r="B5175" s="6" t="s">
        <v>88</v>
      </c>
      <c r="C5175" s="6" t="s">
        <v>341</v>
      </c>
      <c r="D5175" s="6">
        <v>11.00733333333333</v>
      </c>
      <c r="E5175" s="6" t="s">
        <v>88</v>
      </c>
      <c r="F5175" s="6" t="s">
        <v>52</v>
      </c>
      <c r="G5175" s="7">
        <v>44335.59781697809</v>
      </c>
      <c r="H5175" s="6">
        <v>488016.7037040835</v>
      </c>
      <c r="I5175" s="6" t="s">
        <v>180</v>
      </c>
      <c r="J5175" s="15">
        <v>23.08823420331521</v>
      </c>
    </row>
    <row r="5176" spans="1:10">
      <c r="A5176" s="6" t="s">
        <v>146</v>
      </c>
      <c r="B5176" s="6" t="s">
        <v>92</v>
      </c>
      <c r="C5176" s="6" t="s">
        <v>217</v>
      </c>
      <c r="D5176" s="6">
        <v>14.37508333333333</v>
      </c>
      <c r="E5176" s="6" t="s">
        <v>88</v>
      </c>
      <c r="F5176" s="6" t="s">
        <v>53</v>
      </c>
      <c r="G5176" s="7">
        <v>65939.82541874713</v>
      </c>
      <c r="H5176" s="6">
        <v>947890.4853799415</v>
      </c>
      <c r="I5176" s="6" t="s">
        <v>180</v>
      </c>
      <c r="J5176" s="15">
        <v>17.92897745402719</v>
      </c>
    </row>
    <row r="5177" spans="1:10">
      <c r="A5177" s="6" t="s">
        <v>146</v>
      </c>
      <c r="B5177" s="6" t="s">
        <v>92</v>
      </c>
      <c r="C5177" s="6" t="s">
        <v>218</v>
      </c>
      <c r="D5177" s="6">
        <v>0.2668333333333334</v>
      </c>
      <c r="E5177" s="6" t="s">
        <v>88</v>
      </c>
      <c r="F5177" s="6" t="s">
        <v>54</v>
      </c>
      <c r="G5177" s="7">
        <v>72528.9080341926</v>
      </c>
      <c r="H5177" s="6">
        <v>19353.1302937904</v>
      </c>
      <c r="I5177" s="6" t="s">
        <v>180</v>
      </c>
      <c r="J5177" s="15">
        <v>20.39608192613964</v>
      </c>
    </row>
    <row r="5178" spans="1:10">
      <c r="A5178" s="6" t="s">
        <v>146</v>
      </c>
      <c r="B5178" s="6" t="s">
        <v>92</v>
      </c>
      <c r="C5178" s="6" t="s">
        <v>219</v>
      </c>
      <c r="D5178" s="6">
        <v>7.749583333333334</v>
      </c>
      <c r="E5178" s="6" t="s">
        <v>88</v>
      </c>
      <c r="F5178" s="6" t="s">
        <v>51</v>
      </c>
      <c r="G5178" s="7">
        <v>50028.12386913064</v>
      </c>
      <c r="H5178" s="6">
        <v>387697.1149341503</v>
      </c>
      <c r="I5178" s="6" t="s">
        <v>180</v>
      </c>
      <c r="J5178" s="15">
        <v>11.97126947811596</v>
      </c>
    </row>
    <row r="5179" spans="1:10">
      <c r="A5179" s="6" t="s">
        <v>146</v>
      </c>
      <c r="B5179" s="6" t="s">
        <v>92</v>
      </c>
      <c r="C5179" s="6" t="s">
        <v>220</v>
      </c>
      <c r="D5179" s="6">
        <v>1.558333333333333</v>
      </c>
      <c r="E5179" s="6" t="s">
        <v>88</v>
      </c>
      <c r="F5179" s="6" t="s">
        <v>57</v>
      </c>
      <c r="G5179" s="7">
        <v>40832.06893400874</v>
      </c>
      <c r="H5179" s="6">
        <v>63629.97408883029</v>
      </c>
      <c r="I5179" s="6" t="s">
        <v>180</v>
      </c>
      <c r="J5179" s="15">
        <v>8.528054454062554</v>
      </c>
    </row>
    <row r="5180" spans="1:10">
      <c r="A5180" s="6" t="s">
        <v>146</v>
      </c>
      <c r="B5180" s="6" t="s">
        <v>92</v>
      </c>
      <c r="C5180" s="6" t="s">
        <v>221</v>
      </c>
      <c r="D5180" s="6">
        <v>38.65241666666667</v>
      </c>
      <c r="E5180" s="6" t="s">
        <v>88</v>
      </c>
      <c r="F5180" s="6" t="s">
        <v>51</v>
      </c>
      <c r="G5180" s="7">
        <v>44450.04061738423</v>
      </c>
      <c r="H5180" s="6">
        <v>1718101.490793393</v>
      </c>
      <c r="I5180" s="6" t="s">
        <v>179</v>
      </c>
      <c r="J5180" s="15">
        <v>39.525</v>
      </c>
    </row>
    <row r="5181" spans="1:10">
      <c r="A5181" s="6" t="s">
        <v>146</v>
      </c>
      <c r="B5181" s="6" t="s">
        <v>92</v>
      </c>
      <c r="C5181" s="6" t="s">
        <v>222</v>
      </c>
      <c r="D5181" s="6">
        <v>0.31175</v>
      </c>
      <c r="E5181" s="6" t="s">
        <v>88</v>
      </c>
      <c r="F5181" s="6" t="s">
        <v>57</v>
      </c>
      <c r="G5181" s="7">
        <v>38127.89574884072</v>
      </c>
      <c r="H5181" s="6">
        <v>11886.37149970109</v>
      </c>
      <c r="I5181" s="6" t="s">
        <v>180</v>
      </c>
      <c r="J5181" s="15">
        <v>7.515549656679076</v>
      </c>
    </row>
    <row r="5182" spans="1:10">
      <c r="A5182" s="6" t="s">
        <v>146</v>
      </c>
      <c r="B5182" s="6" t="s">
        <v>92</v>
      </c>
      <c r="C5182" s="6" t="s">
        <v>342</v>
      </c>
      <c r="D5182" s="6">
        <v>19.24808333333333</v>
      </c>
      <c r="E5182" s="6" t="s">
        <v>88</v>
      </c>
      <c r="F5182" s="6" t="s">
        <v>53</v>
      </c>
      <c r="G5182" s="7">
        <v>46480.71512957623</v>
      </c>
      <c r="H5182" s="6">
        <v>894664.6782070107</v>
      </c>
      <c r="I5182" s="6" t="s">
        <v>180</v>
      </c>
      <c r="J5182" s="15">
        <v>10.64303784458775</v>
      </c>
    </row>
    <row r="5183" spans="1:10">
      <c r="A5183" s="6" t="s">
        <v>146</v>
      </c>
      <c r="B5183" s="6" t="s">
        <v>92</v>
      </c>
      <c r="C5183" s="6" t="s">
        <v>223</v>
      </c>
      <c r="D5183" s="6">
        <v>49.886</v>
      </c>
      <c r="E5183" s="6" t="s">
        <v>88</v>
      </c>
      <c r="F5183" s="6" t="s">
        <v>53</v>
      </c>
      <c r="G5183" s="7">
        <v>48232.87547336299</v>
      </c>
      <c r="H5183" s="6">
        <v>2406145.225864186</v>
      </c>
      <c r="I5183" s="6" t="s">
        <v>179</v>
      </c>
      <c r="J5183" s="15">
        <v>53.5</v>
      </c>
    </row>
    <row r="5184" spans="1:10">
      <c r="A5184" s="6" t="s">
        <v>146</v>
      </c>
      <c r="B5184" s="6" t="s">
        <v>92</v>
      </c>
      <c r="C5184" s="6" t="s">
        <v>224</v>
      </c>
      <c r="D5184" s="6">
        <v>621.3332499999999</v>
      </c>
      <c r="E5184" s="6" t="s">
        <v>88</v>
      </c>
      <c r="F5184" s="6" t="s">
        <v>51</v>
      </c>
      <c r="G5184" s="7">
        <v>46793.10139429578</v>
      </c>
      <c r="H5184" s="6">
        <v>29074109.76689732</v>
      </c>
      <c r="I5184" s="6" t="s">
        <v>179</v>
      </c>
      <c r="J5184" s="15">
        <v>41.85</v>
      </c>
    </row>
    <row r="5185" spans="1:10">
      <c r="A5185" s="6" t="s">
        <v>146</v>
      </c>
      <c r="B5185" s="6" t="s">
        <v>88</v>
      </c>
      <c r="C5185" s="6" t="s">
        <v>225</v>
      </c>
      <c r="D5185" s="6">
        <v>0.004666666666666667</v>
      </c>
      <c r="E5185" s="6" t="s">
        <v>88</v>
      </c>
      <c r="F5185" s="6" t="s">
        <v>54</v>
      </c>
      <c r="G5185" s="7">
        <v>44268.94328669953</v>
      </c>
      <c r="H5185" s="6">
        <v>206.5884020045978</v>
      </c>
      <c r="I5185" s="6" t="s">
        <v>180</v>
      </c>
      <c r="J5185" s="15">
        <v>23.04335948176314</v>
      </c>
    </row>
    <row r="5186" spans="1:10">
      <c r="A5186" s="6" t="s">
        <v>146</v>
      </c>
      <c r="B5186" s="6" t="s">
        <v>88</v>
      </c>
      <c r="C5186" s="6" t="s">
        <v>226</v>
      </c>
      <c r="D5186" s="6">
        <v>230.1254166666667</v>
      </c>
      <c r="E5186" s="6" t="s">
        <v>88</v>
      </c>
      <c r="F5186" s="6" t="s">
        <v>56</v>
      </c>
      <c r="G5186" s="7">
        <v>43574.43033788576</v>
      </c>
      <c r="H5186" s="6">
        <v>10027583.9375186</v>
      </c>
      <c r="I5186" s="6" t="s">
        <v>180</v>
      </c>
      <c r="J5186" s="15">
        <v>22.57578323357593</v>
      </c>
    </row>
    <row r="5187" spans="1:10">
      <c r="A5187" s="6" t="s">
        <v>146</v>
      </c>
      <c r="B5187" s="6" t="s">
        <v>88</v>
      </c>
      <c r="C5187" s="6" t="s">
        <v>344</v>
      </c>
      <c r="D5187" s="6">
        <v>22.83183333333334</v>
      </c>
      <c r="E5187" s="6" t="s">
        <v>88</v>
      </c>
      <c r="F5187" s="6" t="s">
        <v>52</v>
      </c>
      <c r="G5187" s="7">
        <v>44335.59781697809</v>
      </c>
      <c r="H5187" s="6">
        <v>1012262.980090941</v>
      </c>
      <c r="I5187" s="6" t="s">
        <v>180</v>
      </c>
      <c r="J5187" s="15">
        <v>23.08823420331521</v>
      </c>
    </row>
    <row r="5188" spans="1:10">
      <c r="A5188" s="6" t="s">
        <v>146</v>
      </c>
      <c r="B5188" s="6" t="s">
        <v>92</v>
      </c>
      <c r="C5188" s="6" t="s">
        <v>345</v>
      </c>
      <c r="D5188" s="6">
        <v>16.05825</v>
      </c>
      <c r="E5188" s="6" t="s">
        <v>88</v>
      </c>
      <c r="F5188" s="6" t="s">
        <v>53</v>
      </c>
      <c r="G5188" s="7">
        <v>53287.30462003995</v>
      </c>
      <c r="H5188" s="6">
        <v>855700.8594147565</v>
      </c>
      <c r="I5188" s="6" t="s">
        <v>180</v>
      </c>
      <c r="J5188" s="15">
        <v>13.19158190630481</v>
      </c>
    </row>
    <row r="5189" spans="1:10">
      <c r="A5189" s="6" t="s">
        <v>146</v>
      </c>
      <c r="B5189" s="6" t="s">
        <v>92</v>
      </c>
      <c r="C5189" s="6" t="s">
        <v>227</v>
      </c>
      <c r="D5189" s="6">
        <v>28.6565</v>
      </c>
      <c r="E5189" s="6" t="s">
        <v>88</v>
      </c>
      <c r="F5189" s="6" t="s">
        <v>57</v>
      </c>
      <c r="G5189" s="7">
        <v>53193.31448576911</v>
      </c>
      <c r="H5189" s="6">
        <v>1524334.216561442</v>
      </c>
      <c r="I5189" s="6" t="s">
        <v>179</v>
      </c>
      <c r="J5189" s="15">
        <v>43</v>
      </c>
    </row>
    <row r="5190" spans="1:10">
      <c r="A5190" s="6" t="s">
        <v>146</v>
      </c>
      <c r="B5190" s="6" t="s">
        <v>92</v>
      </c>
      <c r="C5190" s="6" t="s">
        <v>228</v>
      </c>
      <c r="D5190" s="6">
        <v>45.89083333333333</v>
      </c>
      <c r="E5190" s="6" t="s">
        <v>88</v>
      </c>
      <c r="F5190" s="6" t="s">
        <v>51</v>
      </c>
      <c r="G5190" s="7">
        <v>40082.62252520998</v>
      </c>
      <c r="H5190" s="6">
        <v>1839424.949867324</v>
      </c>
      <c r="I5190" s="6" t="s">
        <v>179</v>
      </c>
      <c r="J5190" s="15">
        <v>26.025</v>
      </c>
    </row>
    <row r="5191" spans="1:10">
      <c r="A5191" s="6" t="s">
        <v>146</v>
      </c>
      <c r="B5191" s="6" t="s">
        <v>92</v>
      </c>
      <c r="C5191" s="6" t="s">
        <v>229</v>
      </c>
      <c r="D5191" s="6">
        <v>25.42741666666667</v>
      </c>
      <c r="E5191" s="6" t="s">
        <v>88</v>
      </c>
      <c r="F5191" s="6" t="s">
        <v>53</v>
      </c>
      <c r="G5191" s="7">
        <v>50225.07411158284</v>
      </c>
      <c r="H5191" s="6">
        <v>1277093.88654943</v>
      </c>
      <c r="I5191" s="6" t="s">
        <v>180</v>
      </c>
      <c r="J5191" s="15">
        <v>12.04501219046236</v>
      </c>
    </row>
    <row r="5192" spans="1:10">
      <c r="A5192" s="6" t="s">
        <v>146</v>
      </c>
      <c r="B5192" s="6" t="s">
        <v>92</v>
      </c>
      <c r="C5192" s="6" t="s">
        <v>367</v>
      </c>
      <c r="D5192" s="6">
        <v>0.9388333333333334</v>
      </c>
      <c r="E5192" s="6" t="s">
        <v>88</v>
      </c>
      <c r="F5192" s="6" t="s">
        <v>55</v>
      </c>
      <c r="G5192" s="7">
        <v>42283.6525693799</v>
      </c>
      <c r="H5192" s="6">
        <v>39697.30248721949</v>
      </c>
      <c r="I5192" s="6" t="s">
        <v>179</v>
      </c>
      <c r="J5192" s="15">
        <v>15</v>
      </c>
    </row>
    <row r="5193" spans="1:10">
      <c r="A5193" s="6" t="s">
        <v>146</v>
      </c>
      <c r="B5193" s="6" t="s">
        <v>92</v>
      </c>
      <c r="C5193" s="6" t="s">
        <v>230</v>
      </c>
      <c r="D5193" s="6">
        <v>90.47050000000002</v>
      </c>
      <c r="E5193" s="6" t="s">
        <v>88</v>
      </c>
      <c r="F5193" s="6" t="s">
        <v>53</v>
      </c>
      <c r="G5193" s="7">
        <v>50127.30283720783</v>
      </c>
      <c r="H5193" s="6">
        <v>4535042.151333611</v>
      </c>
      <c r="I5193" s="6" t="s">
        <v>180</v>
      </c>
      <c r="J5193" s="15">
        <v>42.83333333333334</v>
      </c>
    </row>
    <row r="5194" spans="1:10">
      <c r="A5194" s="6" t="s">
        <v>146</v>
      </c>
      <c r="B5194" s="6" t="s">
        <v>92</v>
      </c>
      <c r="C5194" s="6" t="s">
        <v>378</v>
      </c>
      <c r="D5194" s="6">
        <v>2.897416666666667</v>
      </c>
      <c r="E5194" s="6" t="s">
        <v>88</v>
      </c>
      <c r="F5194" s="6" t="s">
        <v>51</v>
      </c>
      <c r="G5194" s="7">
        <v>41089.89799783281</v>
      </c>
      <c r="H5194" s="6">
        <v>119054.5552905541</v>
      </c>
      <c r="I5194" s="6" t="s">
        <v>180</v>
      </c>
      <c r="J5194" s="15">
        <v>8.624591600965196</v>
      </c>
    </row>
    <row r="5195" spans="1:10">
      <c r="A5195" s="6" t="s">
        <v>146</v>
      </c>
      <c r="B5195" s="6" t="s">
        <v>88</v>
      </c>
      <c r="C5195" s="6" t="s">
        <v>231</v>
      </c>
      <c r="D5195" s="6">
        <v>1.936916666666667</v>
      </c>
      <c r="E5195" s="6" t="s">
        <v>88</v>
      </c>
      <c r="F5195" s="6" t="s">
        <v>52</v>
      </c>
      <c r="G5195" s="7">
        <v>44335.59781697809</v>
      </c>
      <c r="H5195" s="6">
        <v>85874.35833833515</v>
      </c>
      <c r="I5195" s="6" t="s">
        <v>180</v>
      </c>
      <c r="J5195" s="15">
        <v>23.08823420331521</v>
      </c>
    </row>
    <row r="5196" spans="1:10">
      <c r="A5196" s="6" t="s">
        <v>146</v>
      </c>
      <c r="B5196" s="6" t="s">
        <v>88</v>
      </c>
      <c r="C5196" s="6" t="s">
        <v>346</v>
      </c>
      <c r="D5196" s="6">
        <v>1.322916666666667</v>
      </c>
      <c r="E5196" s="6" t="s">
        <v>88</v>
      </c>
      <c r="F5196" s="6" t="s">
        <v>52</v>
      </c>
      <c r="G5196" s="7">
        <v>44335.59781697809</v>
      </c>
      <c r="H5196" s="6">
        <v>58652.3012787106</v>
      </c>
      <c r="I5196" s="6" t="s">
        <v>180</v>
      </c>
      <c r="J5196" s="15">
        <v>23.08823420331521</v>
      </c>
    </row>
    <row r="5197" spans="1:10">
      <c r="A5197" s="6" t="s">
        <v>146</v>
      </c>
      <c r="B5197" s="6" t="s">
        <v>92</v>
      </c>
      <c r="C5197" s="6" t="s">
        <v>232</v>
      </c>
      <c r="D5197" s="6">
        <v>12.86858333333333</v>
      </c>
      <c r="E5197" s="6" t="s">
        <v>88</v>
      </c>
      <c r="F5197" s="6" t="s">
        <v>51</v>
      </c>
      <c r="G5197" s="7">
        <v>47655.11283939263</v>
      </c>
      <c r="H5197" s="6">
        <v>613253.7908331273</v>
      </c>
      <c r="I5197" s="6" t="s">
        <v>180</v>
      </c>
      <c r="J5197" s="15">
        <v>11.08275942815615</v>
      </c>
    </row>
    <row r="5198" spans="1:10">
      <c r="A5198" s="6" t="s">
        <v>146</v>
      </c>
      <c r="B5198" s="6" t="s">
        <v>92</v>
      </c>
      <c r="C5198" s="6" t="s">
        <v>233</v>
      </c>
      <c r="D5198" s="6">
        <v>46.15808333333333</v>
      </c>
      <c r="E5198" s="6" t="s">
        <v>88</v>
      </c>
      <c r="F5198" s="6" t="s">
        <v>59</v>
      </c>
      <c r="G5198" s="7">
        <v>44232.39847084988</v>
      </c>
      <c r="H5198" s="6">
        <v>2041682.734650695</v>
      </c>
      <c r="I5198" s="6" t="s">
        <v>180</v>
      </c>
      <c r="J5198" s="15">
        <v>9.801216242523401</v>
      </c>
    </row>
    <row r="5199" spans="1:10">
      <c r="A5199" s="6" t="s">
        <v>146</v>
      </c>
      <c r="B5199" s="6" t="s">
        <v>88</v>
      </c>
      <c r="C5199" s="6" t="s">
        <v>234</v>
      </c>
      <c r="D5199" s="6">
        <v>142.3055833333333</v>
      </c>
      <c r="E5199" s="6" t="s">
        <v>88</v>
      </c>
      <c r="F5199" s="6" t="s">
        <v>56</v>
      </c>
      <c r="G5199" s="7">
        <v>38754.40855139481</v>
      </c>
      <c r="H5199" s="6">
        <v>5514968.715644559</v>
      </c>
      <c r="I5199" s="6" t="s">
        <v>180</v>
      </c>
      <c r="J5199" s="15">
        <v>19.33073545303068</v>
      </c>
    </row>
    <row r="5200" spans="1:10">
      <c r="A5200" s="6" t="s">
        <v>146</v>
      </c>
      <c r="B5200" s="6" t="s">
        <v>92</v>
      </c>
      <c r="C5200" s="6" t="s">
        <v>235</v>
      </c>
      <c r="D5200" s="6">
        <v>0.07575</v>
      </c>
      <c r="E5200" s="6" t="s">
        <v>88</v>
      </c>
      <c r="F5200" s="6" t="s">
        <v>53</v>
      </c>
      <c r="G5200" s="7">
        <v>47918.71656407737</v>
      </c>
      <c r="H5200" s="6">
        <v>3629.84277972886</v>
      </c>
      <c r="I5200" s="6" t="s">
        <v>180</v>
      </c>
      <c r="J5200" s="15">
        <v>11.18145874124577</v>
      </c>
    </row>
    <row r="5201" spans="1:10">
      <c r="A5201" s="6" t="s">
        <v>146</v>
      </c>
      <c r="B5201" s="6" t="s">
        <v>92</v>
      </c>
      <c r="C5201" s="6" t="s">
        <v>236</v>
      </c>
      <c r="D5201" s="6">
        <v>1182.403333333333</v>
      </c>
      <c r="E5201" s="6" t="s">
        <v>88</v>
      </c>
      <c r="F5201" s="6" t="s">
        <v>51</v>
      </c>
      <c r="G5201" s="7">
        <v>44660.20742498994</v>
      </c>
      <c r="H5201" s="6">
        <v>52806378.12666618</v>
      </c>
      <c r="I5201" s="6" t="s">
        <v>179</v>
      </c>
      <c r="J5201" s="15">
        <v>46.28333333333333</v>
      </c>
    </row>
    <row r="5202" spans="1:10">
      <c r="A5202" s="6" t="s">
        <v>146</v>
      </c>
      <c r="B5202" s="6" t="s">
        <v>92</v>
      </c>
      <c r="C5202" s="6" t="s">
        <v>237</v>
      </c>
      <c r="D5202" s="6">
        <v>19.15158333333333</v>
      </c>
      <c r="E5202" s="6" t="s">
        <v>88</v>
      </c>
      <c r="F5202" s="6" t="s">
        <v>51</v>
      </c>
      <c r="G5202" s="7">
        <v>45814.12048649801</v>
      </c>
      <c r="H5202" s="6">
        <v>877412.9463405405</v>
      </c>
      <c r="I5202" s="6" t="s">
        <v>180</v>
      </c>
      <c r="J5202" s="15">
        <v>10.39344943888626</v>
      </c>
    </row>
    <row r="5203" spans="1:10">
      <c r="A5203" s="6" t="s">
        <v>146</v>
      </c>
      <c r="B5203" s="6" t="s">
        <v>92</v>
      </c>
      <c r="C5203" s="6" t="s">
        <v>238</v>
      </c>
      <c r="D5203" s="6">
        <v>73.16891666666666</v>
      </c>
      <c r="E5203" s="6" t="s">
        <v>88</v>
      </c>
      <c r="F5203" s="6" t="s">
        <v>51</v>
      </c>
      <c r="G5203" s="7">
        <v>51984.33495522587</v>
      </c>
      <c r="H5203" s="6">
        <v>3803637.472311008</v>
      </c>
      <c r="I5203" s="6" t="s">
        <v>180</v>
      </c>
      <c r="J5203" s="15">
        <v>12.70372001798148</v>
      </c>
    </row>
    <row r="5204" spans="1:10">
      <c r="A5204" s="6" t="s">
        <v>146</v>
      </c>
      <c r="B5204" s="6" t="s">
        <v>88</v>
      </c>
      <c r="C5204" s="6" t="s">
        <v>239</v>
      </c>
      <c r="D5204" s="6">
        <v>117.7128333333333</v>
      </c>
      <c r="E5204" s="6" t="s">
        <v>88</v>
      </c>
      <c r="F5204" s="6" t="s">
        <v>54</v>
      </c>
      <c r="G5204" s="7">
        <v>51922.31915235746</v>
      </c>
      <c r="H5204" s="6">
        <v>6111923.300661595</v>
      </c>
      <c r="I5204" s="6" t="s">
        <v>180</v>
      </c>
      <c r="J5204" s="15">
        <v>28.19594415184457</v>
      </c>
    </row>
    <row r="5205" spans="1:10">
      <c r="A5205" s="6" t="s">
        <v>146</v>
      </c>
      <c r="B5205" s="6" t="s">
        <v>92</v>
      </c>
      <c r="C5205" s="6" t="s">
        <v>379</v>
      </c>
      <c r="D5205" s="6">
        <v>9.439</v>
      </c>
      <c r="E5205" s="6" t="s">
        <v>88</v>
      </c>
      <c r="F5205" s="6" t="s">
        <v>51</v>
      </c>
      <c r="G5205" s="7">
        <v>39736.55973566615</v>
      </c>
      <c r="H5205" s="6">
        <v>375073.3873449527</v>
      </c>
      <c r="I5205" s="6" t="s">
        <v>180</v>
      </c>
      <c r="J5205" s="15">
        <v>8.117870548318852</v>
      </c>
    </row>
    <row r="5206" spans="1:10">
      <c r="A5206" s="6" t="s">
        <v>146</v>
      </c>
      <c r="B5206" s="6" t="s">
        <v>92</v>
      </c>
      <c r="C5206" s="6" t="s">
        <v>368</v>
      </c>
      <c r="D5206" s="6">
        <v>0.3261666666666667</v>
      </c>
      <c r="E5206" s="6" t="s">
        <v>88</v>
      </c>
      <c r="F5206" s="6" t="s">
        <v>55</v>
      </c>
      <c r="G5206" s="7">
        <v>43717.6088593299</v>
      </c>
      <c r="H5206" s="6">
        <v>14259.22675628477</v>
      </c>
      <c r="I5206" s="6" t="s">
        <v>179</v>
      </c>
      <c r="J5206" s="15">
        <v>15</v>
      </c>
    </row>
    <row r="5207" spans="1:10">
      <c r="A5207" s="6" t="s">
        <v>146</v>
      </c>
      <c r="B5207" s="6" t="s">
        <v>92</v>
      </c>
      <c r="C5207" s="6" t="s">
        <v>240</v>
      </c>
      <c r="D5207" s="6">
        <v>2.63225</v>
      </c>
      <c r="E5207" s="6" t="s">
        <v>88</v>
      </c>
      <c r="F5207" s="6" t="s">
        <v>51</v>
      </c>
      <c r="G5207" s="7">
        <v>42218.72021108094</v>
      </c>
      <c r="H5207" s="6">
        <v>111130.2262756178</v>
      </c>
      <c r="I5207" s="6" t="s">
        <v>180</v>
      </c>
      <c r="J5207" s="15">
        <v>9.04724866767069</v>
      </c>
    </row>
    <row r="5208" spans="1:10">
      <c r="A5208" s="6" t="s">
        <v>146</v>
      </c>
      <c r="B5208" s="6" t="s">
        <v>92</v>
      </c>
      <c r="C5208" s="6" t="s">
        <v>241</v>
      </c>
      <c r="D5208" s="6">
        <v>31.65108333333334</v>
      </c>
      <c r="E5208" s="6" t="s">
        <v>88</v>
      </c>
      <c r="F5208" s="6" t="s">
        <v>53</v>
      </c>
      <c r="G5208" s="7">
        <v>52223.82604068523</v>
      </c>
      <c r="H5208" s="6">
        <v>1652940.669999232</v>
      </c>
      <c r="I5208" s="6" t="s">
        <v>180</v>
      </c>
      <c r="J5208" s="15">
        <v>12.79339100291993</v>
      </c>
    </row>
    <row r="5209" spans="1:10">
      <c r="A5209" s="6" t="s">
        <v>146</v>
      </c>
      <c r="B5209" s="6" t="s">
        <v>92</v>
      </c>
      <c r="C5209" s="6" t="s">
        <v>242</v>
      </c>
      <c r="D5209" s="6">
        <v>102.34575</v>
      </c>
      <c r="E5209" s="6" t="s">
        <v>88</v>
      </c>
      <c r="F5209" s="6" t="s">
        <v>56</v>
      </c>
      <c r="G5209" s="7">
        <v>67827.26265290676</v>
      </c>
      <c r="H5209" s="6">
        <v>6941832.066658732</v>
      </c>
      <c r="I5209" s="6" t="s">
        <v>180</v>
      </c>
      <c r="J5209" s="15">
        <v>18.63567747783801</v>
      </c>
    </row>
    <row r="5210" spans="1:10">
      <c r="A5210" s="6" t="s">
        <v>146</v>
      </c>
      <c r="B5210" s="6" t="s">
        <v>92</v>
      </c>
      <c r="C5210" s="6" t="s">
        <v>243</v>
      </c>
      <c r="D5210" s="6">
        <v>0.1345</v>
      </c>
      <c r="E5210" s="6" t="s">
        <v>88</v>
      </c>
      <c r="F5210" s="6" t="s">
        <v>58</v>
      </c>
      <c r="G5210" s="7">
        <v>50145.16283380362</v>
      </c>
      <c r="H5210" s="6">
        <v>6744.524401146587</v>
      </c>
      <c r="I5210" s="6" t="s">
        <v>180</v>
      </c>
      <c r="J5210" s="15">
        <v>12.01509156534846</v>
      </c>
    </row>
    <row r="5211" spans="1:10">
      <c r="A5211" s="6" t="s">
        <v>146</v>
      </c>
      <c r="B5211" s="6" t="s">
        <v>92</v>
      </c>
      <c r="C5211" s="6" t="s">
        <v>369</v>
      </c>
      <c r="D5211" s="6">
        <v>0.7195</v>
      </c>
      <c r="E5211" s="6" t="s">
        <v>88</v>
      </c>
      <c r="F5211" s="6" t="s">
        <v>55</v>
      </c>
      <c r="G5211" s="7">
        <v>40825.70263339478</v>
      </c>
      <c r="H5211" s="6">
        <v>29374.09304472755</v>
      </c>
      <c r="I5211" s="6" t="s">
        <v>179</v>
      </c>
      <c r="J5211" s="15">
        <v>15.5</v>
      </c>
    </row>
    <row r="5212" spans="1:10">
      <c r="A5212" s="6" t="s">
        <v>146</v>
      </c>
      <c r="B5212" s="6" t="s">
        <v>92</v>
      </c>
      <c r="C5212" s="6" t="s">
        <v>244</v>
      </c>
      <c r="D5212" s="6">
        <v>4.119083333333333</v>
      </c>
      <c r="E5212" s="6" t="s">
        <v>88</v>
      </c>
      <c r="F5212" s="6" t="s">
        <v>55</v>
      </c>
      <c r="G5212" s="7">
        <v>48892.00333862133</v>
      </c>
      <c r="H5212" s="6">
        <v>201390.2360853928</v>
      </c>
      <c r="I5212" s="6" t="s">
        <v>179</v>
      </c>
      <c r="J5212" s="15">
        <v>17</v>
      </c>
    </row>
    <row r="5213" spans="1:10">
      <c r="A5213" s="6" t="s">
        <v>146</v>
      </c>
      <c r="B5213" s="6" t="s">
        <v>90</v>
      </c>
      <c r="C5213" s="6" t="s">
        <v>245</v>
      </c>
      <c r="D5213" s="6">
        <v>109.08575</v>
      </c>
      <c r="E5213" s="6" t="s">
        <v>88</v>
      </c>
      <c r="F5213" s="6" t="s">
        <v>53</v>
      </c>
      <c r="G5213" s="7">
        <v>15981.96816829709</v>
      </c>
      <c r="H5213" s="6">
        <v>1743404.984114815</v>
      </c>
      <c r="I5213" s="6" t="s">
        <v>179</v>
      </c>
      <c r="J5213" s="15">
        <v>38</v>
      </c>
    </row>
    <row r="5214" spans="1:10">
      <c r="A5214" s="6" t="s">
        <v>146</v>
      </c>
      <c r="B5214" s="6" t="s">
        <v>92</v>
      </c>
      <c r="C5214" s="6" t="s">
        <v>246</v>
      </c>
      <c r="D5214" s="6">
        <v>0.06491666666666668</v>
      </c>
      <c r="E5214" s="6" t="s">
        <v>88</v>
      </c>
      <c r="F5214" s="6" t="s">
        <v>53</v>
      </c>
      <c r="G5214" s="7">
        <v>52060.28389589844</v>
      </c>
      <c r="H5214" s="6">
        <v>3379.580096242074</v>
      </c>
      <c r="I5214" s="6" t="s">
        <v>180</v>
      </c>
      <c r="J5214" s="15">
        <v>12.73215705271319</v>
      </c>
    </row>
    <row r="5215" spans="1:10">
      <c r="A5215" s="6" t="s">
        <v>146</v>
      </c>
      <c r="B5215" s="6" t="s">
        <v>88</v>
      </c>
      <c r="C5215" s="6" t="s">
        <v>348</v>
      </c>
      <c r="D5215" s="6">
        <v>46.96041666666667</v>
      </c>
      <c r="E5215" s="6" t="s">
        <v>88</v>
      </c>
      <c r="F5215" s="6" t="s">
        <v>52</v>
      </c>
      <c r="G5215" s="7">
        <v>44335.59781697809</v>
      </c>
      <c r="H5215" s="6">
        <v>2082018.146651048</v>
      </c>
      <c r="I5215" s="6" t="s">
        <v>180</v>
      </c>
      <c r="J5215" s="15">
        <v>23.08823420331521</v>
      </c>
    </row>
    <row r="5216" spans="1:10">
      <c r="A5216" s="6" t="s">
        <v>146</v>
      </c>
      <c r="B5216" s="6" t="s">
        <v>88</v>
      </c>
      <c r="C5216" s="6" t="s">
        <v>349</v>
      </c>
      <c r="D5216" s="6">
        <v>1.246333333333333</v>
      </c>
      <c r="E5216" s="6" t="s">
        <v>88</v>
      </c>
      <c r="F5216" s="6" t="s">
        <v>52</v>
      </c>
      <c r="G5216" s="7">
        <v>44335.59781697809</v>
      </c>
      <c r="H5216" s="6">
        <v>55256.93341256036</v>
      </c>
      <c r="I5216" s="6" t="s">
        <v>180</v>
      </c>
      <c r="J5216" s="15">
        <v>23.08823420331521</v>
      </c>
    </row>
    <row r="5217" spans="1:10">
      <c r="A5217" s="6" t="s">
        <v>146</v>
      </c>
      <c r="B5217" s="6" t="s">
        <v>92</v>
      </c>
      <c r="C5217" s="6" t="s">
        <v>247</v>
      </c>
      <c r="D5217" s="6">
        <v>234.6568333333333</v>
      </c>
      <c r="E5217" s="6" t="s">
        <v>88</v>
      </c>
      <c r="F5217" s="6" t="s">
        <v>51</v>
      </c>
      <c r="G5217" s="7">
        <v>46237.23227272295</v>
      </c>
      <c r="H5217" s="6">
        <v>10849882.50721497</v>
      </c>
      <c r="I5217" s="6" t="s">
        <v>179</v>
      </c>
      <c r="J5217" s="15">
        <v>29.3</v>
      </c>
    </row>
    <row r="5218" spans="1:10">
      <c r="A5218" s="6" t="s">
        <v>146</v>
      </c>
      <c r="B5218" s="6" t="s">
        <v>92</v>
      </c>
      <c r="C5218" s="6" t="s">
        <v>248</v>
      </c>
      <c r="D5218" s="6">
        <v>19.2925</v>
      </c>
      <c r="E5218" s="6" t="s">
        <v>88</v>
      </c>
      <c r="F5218" s="6" t="s">
        <v>55</v>
      </c>
      <c r="G5218" s="7">
        <v>58404.33083392808</v>
      </c>
      <c r="H5218" s="6">
        <v>1126765.552613558</v>
      </c>
      <c r="I5218" s="6" t="s">
        <v>179</v>
      </c>
      <c r="J5218" s="15">
        <v>49.38333333333333</v>
      </c>
    </row>
    <row r="5219" spans="1:10">
      <c r="A5219" s="6" t="s">
        <v>146</v>
      </c>
      <c r="B5219" s="6" t="s">
        <v>92</v>
      </c>
      <c r="C5219" s="6" t="s">
        <v>249</v>
      </c>
      <c r="D5219" s="6">
        <v>237.52175</v>
      </c>
      <c r="E5219" s="6" t="s">
        <v>88</v>
      </c>
      <c r="F5219" s="6" t="s">
        <v>53</v>
      </c>
      <c r="G5219" s="7">
        <v>38542.7817237839</v>
      </c>
      <c r="H5219" s="6">
        <v>9154748.964901168</v>
      </c>
      <c r="I5219" s="6" t="s">
        <v>179</v>
      </c>
      <c r="J5219" s="15">
        <v>47.575</v>
      </c>
    </row>
    <row r="5220" spans="1:10">
      <c r="A5220" s="6" t="s">
        <v>146</v>
      </c>
      <c r="B5220" s="6" t="s">
        <v>88</v>
      </c>
      <c r="C5220" s="6" t="s">
        <v>352</v>
      </c>
      <c r="D5220" s="6">
        <v>5.249666666666667</v>
      </c>
      <c r="E5220" s="6" t="s">
        <v>88</v>
      </c>
      <c r="F5220" s="6" t="s">
        <v>52</v>
      </c>
      <c r="G5220" s="7">
        <v>44335.59781697809</v>
      </c>
      <c r="H5220" s="6">
        <v>232747.1100065293</v>
      </c>
      <c r="I5220" s="6" t="s">
        <v>180</v>
      </c>
      <c r="J5220" s="15">
        <v>23.08823420331521</v>
      </c>
    </row>
    <row r="5221" spans="1:10">
      <c r="A5221" s="6" t="s">
        <v>146</v>
      </c>
      <c r="B5221" s="6" t="s">
        <v>92</v>
      </c>
      <c r="C5221" s="6" t="s">
        <v>250</v>
      </c>
      <c r="D5221" s="6">
        <v>2.650333333333333</v>
      </c>
      <c r="E5221" s="6" t="s">
        <v>88</v>
      </c>
      <c r="F5221" s="6" t="s">
        <v>55</v>
      </c>
      <c r="G5221" s="7">
        <v>37321.61329653078</v>
      </c>
      <c r="H5221" s="6">
        <v>98914.71577357207</v>
      </c>
      <c r="I5221" s="6" t="s">
        <v>179</v>
      </c>
      <c r="J5221" s="15">
        <v>15</v>
      </c>
    </row>
    <row r="5222" spans="1:10">
      <c r="A5222" s="6" t="s">
        <v>146</v>
      </c>
      <c r="B5222" s="6" t="s">
        <v>92</v>
      </c>
      <c r="C5222" s="6" t="s">
        <v>251</v>
      </c>
      <c r="D5222" s="6">
        <v>3.149583333333333</v>
      </c>
      <c r="E5222" s="6" t="s">
        <v>88</v>
      </c>
      <c r="F5222" s="6" t="s">
        <v>53</v>
      </c>
      <c r="G5222" s="7">
        <v>49502.3667901282</v>
      </c>
      <c r="H5222" s="6">
        <v>155911.8294027413</v>
      </c>
      <c r="I5222" s="6" t="s">
        <v>180</v>
      </c>
      <c r="J5222" s="15">
        <v>11.77441390404695</v>
      </c>
    </row>
    <row r="5223" spans="1:10">
      <c r="A5223" s="6" t="s">
        <v>146</v>
      </c>
      <c r="B5223" s="6" t="s">
        <v>92</v>
      </c>
      <c r="C5223" s="6" t="s">
        <v>252</v>
      </c>
      <c r="D5223" s="6">
        <v>20.45391666666667</v>
      </c>
      <c r="E5223" s="6" t="s">
        <v>88</v>
      </c>
      <c r="F5223" s="6" t="s">
        <v>57</v>
      </c>
      <c r="G5223" s="7">
        <v>48993.49682082658</v>
      </c>
      <c r="H5223" s="6">
        <v>1002108.901181785</v>
      </c>
      <c r="I5223" s="6" t="s">
        <v>180</v>
      </c>
      <c r="J5223" s="15">
        <v>11.58388125325807</v>
      </c>
    </row>
    <row r="5224" spans="1:10">
      <c r="A5224" s="6" t="s">
        <v>146</v>
      </c>
      <c r="B5224" s="6" t="s">
        <v>92</v>
      </c>
      <c r="C5224" s="6" t="s">
        <v>253</v>
      </c>
      <c r="D5224" s="6">
        <v>18.01516666666667</v>
      </c>
      <c r="E5224" s="6" t="s">
        <v>88</v>
      </c>
      <c r="F5224" s="6" t="s">
        <v>53</v>
      </c>
      <c r="G5224" s="7">
        <v>49900.32874056988</v>
      </c>
      <c r="H5224" s="6">
        <v>898962.7389828231</v>
      </c>
      <c r="I5224" s="6" t="s">
        <v>180</v>
      </c>
      <c r="J5224" s="15">
        <v>11.92342003509223</v>
      </c>
    </row>
    <row r="5225" spans="1:10">
      <c r="A5225" s="6" t="s">
        <v>146</v>
      </c>
      <c r="B5225" s="6" t="s">
        <v>86</v>
      </c>
      <c r="C5225" s="6" t="s">
        <v>353</v>
      </c>
      <c r="D5225" s="6">
        <v>1.652916666666667</v>
      </c>
      <c r="E5225" s="6" t="s">
        <v>88</v>
      </c>
      <c r="F5225" s="6" t="s">
        <v>62</v>
      </c>
      <c r="G5225" s="7">
        <v>81005.34654028571</v>
      </c>
      <c r="H5225" s="6">
        <v>133895.0873855473</v>
      </c>
      <c r="I5225" s="6" t="s">
        <v>179</v>
      </c>
      <c r="J5225" s="15">
        <v>102.3</v>
      </c>
    </row>
    <row r="5226" spans="1:10">
      <c r="A5226" s="6" t="s">
        <v>146</v>
      </c>
      <c r="B5226" s="6" t="s">
        <v>92</v>
      </c>
      <c r="C5226" s="6" t="s">
        <v>254</v>
      </c>
      <c r="D5226" s="6">
        <v>0.4851666666666667</v>
      </c>
      <c r="E5226" s="6" t="s">
        <v>88</v>
      </c>
      <c r="F5226" s="6" t="s">
        <v>51</v>
      </c>
      <c r="G5226" s="7">
        <v>46071.76246643075</v>
      </c>
      <c r="H5226" s="6">
        <v>22352.48342329665</v>
      </c>
      <c r="I5226" s="6" t="s">
        <v>180</v>
      </c>
      <c r="J5226" s="15">
        <v>10.48991653726593</v>
      </c>
    </row>
    <row r="5227" spans="1:10">
      <c r="A5227" s="6" t="s">
        <v>146</v>
      </c>
      <c r="B5227" s="6" t="s">
        <v>92</v>
      </c>
      <c r="C5227" s="6" t="s">
        <v>255</v>
      </c>
      <c r="D5227" s="6">
        <v>9.908416666666666</v>
      </c>
      <c r="E5227" s="6" t="s">
        <v>88</v>
      </c>
      <c r="F5227" s="6" t="s">
        <v>51</v>
      </c>
      <c r="G5227" s="7">
        <v>37181.66036935381</v>
      </c>
      <c r="H5227" s="6">
        <v>368411.3832980447</v>
      </c>
      <c r="I5227" s="6" t="s">
        <v>180</v>
      </c>
      <c r="J5227" s="15">
        <v>7.161257310893189</v>
      </c>
    </row>
    <row r="5228" spans="1:10">
      <c r="A5228" s="6" t="s">
        <v>146</v>
      </c>
      <c r="B5228" s="6" t="s">
        <v>92</v>
      </c>
      <c r="C5228" s="6" t="s">
        <v>256</v>
      </c>
      <c r="D5228" s="6">
        <v>0.1535</v>
      </c>
      <c r="E5228" s="6" t="s">
        <v>88</v>
      </c>
      <c r="F5228" s="6" t="s">
        <v>57</v>
      </c>
      <c r="G5228" s="7">
        <v>36188.63012585403</v>
      </c>
      <c r="H5228" s="6">
        <v>5554.954724318593</v>
      </c>
      <c r="I5228" s="6" t="s">
        <v>180</v>
      </c>
      <c r="J5228" s="15">
        <v>6.789443888955148</v>
      </c>
    </row>
    <row r="5229" spans="1:10">
      <c r="A5229" s="6" t="s">
        <v>146</v>
      </c>
      <c r="B5229" s="6" t="s">
        <v>88</v>
      </c>
      <c r="C5229" s="6" t="s">
        <v>257</v>
      </c>
      <c r="D5229" s="6">
        <v>3.505916666666667</v>
      </c>
      <c r="E5229" s="6" t="s">
        <v>88</v>
      </c>
      <c r="F5229" s="6" t="s">
        <v>52</v>
      </c>
      <c r="G5229" s="7">
        <v>44335.59781697809</v>
      </c>
      <c r="H5229" s="6">
        <v>155436.9113131738</v>
      </c>
      <c r="I5229" s="6" t="s">
        <v>180</v>
      </c>
      <c r="J5229" s="15">
        <v>23.08823420331521</v>
      </c>
    </row>
    <row r="5230" spans="1:10">
      <c r="A5230" s="6" t="s">
        <v>146</v>
      </c>
      <c r="B5230" s="6" t="s">
        <v>88</v>
      </c>
      <c r="C5230" s="6" t="s">
        <v>258</v>
      </c>
      <c r="D5230" s="6">
        <v>1.08975</v>
      </c>
      <c r="E5230" s="6" t="s">
        <v>88</v>
      </c>
      <c r="F5230" s="6" t="s">
        <v>52</v>
      </c>
      <c r="G5230" s="7">
        <v>44335.59781697809</v>
      </c>
      <c r="H5230" s="6">
        <v>48314.71772105187</v>
      </c>
      <c r="I5230" s="6" t="s">
        <v>180</v>
      </c>
      <c r="J5230" s="15">
        <v>23.08823420331521</v>
      </c>
    </row>
    <row r="5231" spans="1:10">
      <c r="A5231" s="6" t="s">
        <v>146</v>
      </c>
      <c r="B5231" s="6" t="s">
        <v>88</v>
      </c>
      <c r="C5231" s="6" t="s">
        <v>259</v>
      </c>
      <c r="D5231" s="6">
        <v>112.1245</v>
      </c>
      <c r="E5231" s="6" t="s">
        <v>88</v>
      </c>
      <c r="F5231" s="6" t="s">
        <v>56</v>
      </c>
      <c r="G5231" s="7">
        <v>38535.39804217755</v>
      </c>
      <c r="H5231" s="6">
        <v>4320762.237780136</v>
      </c>
      <c r="I5231" s="6" t="s">
        <v>180</v>
      </c>
      <c r="J5231" s="15">
        <v>19.18328807658034</v>
      </c>
    </row>
    <row r="5232" spans="1:10">
      <c r="A5232" s="6" t="s">
        <v>146</v>
      </c>
      <c r="B5232" s="6" t="s">
        <v>88</v>
      </c>
      <c r="C5232" s="6" t="s">
        <v>260</v>
      </c>
      <c r="D5232" s="6">
        <v>2059.23925</v>
      </c>
      <c r="E5232" s="6" t="s">
        <v>88</v>
      </c>
      <c r="F5232" s="6" t="s">
        <v>52</v>
      </c>
      <c r="G5232" s="7">
        <v>32200.609517864</v>
      </c>
      <c r="H5232" s="6">
        <v>66308758.99310911</v>
      </c>
      <c r="I5232" s="6" t="s">
        <v>179</v>
      </c>
      <c r="J5232" s="15">
        <v>31.95</v>
      </c>
    </row>
    <row r="5233" spans="1:10">
      <c r="A5233" s="6" t="s">
        <v>146</v>
      </c>
      <c r="B5233" s="6" t="s">
        <v>88</v>
      </c>
      <c r="C5233" s="6" t="s">
        <v>261</v>
      </c>
      <c r="D5233" s="6">
        <v>0.3685833333333334</v>
      </c>
      <c r="E5233" s="6" t="s">
        <v>88</v>
      </c>
      <c r="F5233" s="6" t="s">
        <v>54</v>
      </c>
      <c r="G5233" s="7">
        <v>43413.20480753685</v>
      </c>
      <c r="H5233" s="6">
        <v>16001.38373864463</v>
      </c>
      <c r="I5233" s="6" t="s">
        <v>180</v>
      </c>
      <c r="J5233" s="15">
        <v>22.46723921186792</v>
      </c>
    </row>
    <row r="5234" spans="1:10">
      <c r="A5234" s="6" t="s">
        <v>146</v>
      </c>
      <c r="B5234" s="6" t="s">
        <v>92</v>
      </c>
      <c r="C5234" s="6" t="s">
        <v>262</v>
      </c>
      <c r="D5234" s="6">
        <v>42.91933333333333</v>
      </c>
      <c r="E5234" s="6" t="s">
        <v>88</v>
      </c>
      <c r="F5234" s="6" t="s">
        <v>51</v>
      </c>
      <c r="G5234" s="7">
        <v>47917.77818891367</v>
      </c>
      <c r="H5234" s="6">
        <v>2056599.094682715</v>
      </c>
      <c r="I5234" s="6" t="s">
        <v>180</v>
      </c>
      <c r="J5234" s="15">
        <v>11.18110739194603</v>
      </c>
    </row>
    <row r="5235" spans="1:10">
      <c r="A5235" s="6" t="s">
        <v>146</v>
      </c>
      <c r="B5235" s="6" t="s">
        <v>88</v>
      </c>
      <c r="C5235" s="6" t="s">
        <v>263</v>
      </c>
      <c r="D5235" s="6">
        <v>6.920583333333333</v>
      </c>
      <c r="E5235" s="6" t="s">
        <v>88</v>
      </c>
      <c r="F5235" s="6" t="s">
        <v>54</v>
      </c>
      <c r="G5235" s="7">
        <v>44354.09550833685</v>
      </c>
      <c r="H5235" s="6">
        <v>306956.2141400708</v>
      </c>
      <c r="I5235" s="6" t="s">
        <v>180</v>
      </c>
      <c r="J5235" s="15">
        <v>23.10068765164966</v>
      </c>
    </row>
    <row r="5236" spans="1:10">
      <c r="A5236" s="6" t="s">
        <v>146</v>
      </c>
      <c r="B5236" s="6" t="s">
        <v>88</v>
      </c>
      <c r="C5236" s="6" t="s">
        <v>264</v>
      </c>
      <c r="D5236" s="6">
        <v>12.32333333333333</v>
      </c>
      <c r="E5236" s="6" t="s">
        <v>88</v>
      </c>
      <c r="F5236" s="6" t="s">
        <v>54</v>
      </c>
      <c r="G5236" s="7">
        <v>58216.48799252068</v>
      </c>
      <c r="H5236" s="6">
        <v>717421.1870278299</v>
      </c>
      <c r="I5236" s="6" t="s">
        <v>180</v>
      </c>
      <c r="J5236" s="15">
        <v>32.43345168394607</v>
      </c>
    </row>
    <row r="5237" spans="1:10">
      <c r="A5237" s="6" t="s">
        <v>146</v>
      </c>
      <c r="B5237" s="6" t="s">
        <v>88</v>
      </c>
      <c r="C5237" s="6" t="s">
        <v>265</v>
      </c>
      <c r="D5237" s="6">
        <v>107.28575</v>
      </c>
      <c r="E5237" s="6" t="s">
        <v>88</v>
      </c>
      <c r="F5237" s="6" t="s">
        <v>54</v>
      </c>
      <c r="G5237" s="7">
        <v>51838.86171354609</v>
      </c>
      <c r="H5237" s="6">
        <v>5561571.158084078</v>
      </c>
      <c r="I5237" s="6" t="s">
        <v>180</v>
      </c>
      <c r="J5237" s="15">
        <v>28.13975698328366</v>
      </c>
    </row>
    <row r="5238" spans="1:10">
      <c r="A5238" s="6" t="s">
        <v>146</v>
      </c>
      <c r="B5238" s="6" t="s">
        <v>88</v>
      </c>
      <c r="C5238" s="6" t="s">
        <v>266</v>
      </c>
      <c r="D5238" s="6">
        <v>9.835666666666667</v>
      </c>
      <c r="E5238" s="6" t="s">
        <v>88</v>
      </c>
      <c r="F5238" s="6" t="s">
        <v>57</v>
      </c>
      <c r="G5238" s="7">
        <v>24366.26087614369</v>
      </c>
      <c r="H5238" s="6">
        <v>239658.4198907907</v>
      </c>
      <c r="I5238" s="6" t="s">
        <v>180</v>
      </c>
      <c r="J5238" s="15">
        <v>9.644010216520485</v>
      </c>
    </row>
    <row r="5239" spans="1:10">
      <c r="A5239" s="6" t="s">
        <v>146</v>
      </c>
      <c r="B5239" s="6" t="s">
        <v>92</v>
      </c>
      <c r="C5239" s="6" t="s">
        <v>354</v>
      </c>
      <c r="D5239" s="6">
        <v>0.05883333333333333</v>
      </c>
      <c r="E5239" s="6" t="s">
        <v>88</v>
      </c>
      <c r="F5239" s="6" t="s">
        <v>51</v>
      </c>
      <c r="G5239" s="7">
        <v>46093.87409211043</v>
      </c>
      <c r="H5239" s="6">
        <v>2711.85625908583</v>
      </c>
      <c r="I5239" s="6" t="s">
        <v>180</v>
      </c>
      <c r="J5239" s="15">
        <v>10.49819563980323</v>
      </c>
    </row>
    <row r="5240" spans="1:10">
      <c r="A5240" s="6" t="s">
        <v>146</v>
      </c>
      <c r="B5240" s="6" t="s">
        <v>88</v>
      </c>
      <c r="C5240" s="6" t="s">
        <v>355</v>
      </c>
      <c r="D5240" s="6">
        <v>1.147333333333333</v>
      </c>
      <c r="E5240" s="6" t="s">
        <v>88</v>
      </c>
      <c r="F5240" s="6" t="s">
        <v>52</v>
      </c>
      <c r="G5240" s="7">
        <v>44335.59781697809</v>
      </c>
      <c r="H5240" s="6">
        <v>50867.70922867952</v>
      </c>
      <c r="I5240" s="6" t="s">
        <v>180</v>
      </c>
      <c r="J5240" s="15">
        <v>23.08823420331521</v>
      </c>
    </row>
    <row r="5241" spans="1:10">
      <c r="A5241" s="6" t="s">
        <v>146</v>
      </c>
      <c r="B5241" s="6" t="s">
        <v>92</v>
      </c>
      <c r="C5241" s="6" t="s">
        <v>267</v>
      </c>
      <c r="D5241" s="6">
        <v>396.14725</v>
      </c>
      <c r="E5241" s="6" t="s">
        <v>88</v>
      </c>
      <c r="F5241" s="6" t="s">
        <v>53</v>
      </c>
      <c r="G5241" s="7">
        <v>48956.37381074637</v>
      </c>
      <c r="H5241" s="6">
        <v>19393932.85509919</v>
      </c>
      <c r="I5241" s="6" t="s">
        <v>179</v>
      </c>
      <c r="J5241" s="15">
        <v>31.05</v>
      </c>
    </row>
    <row r="5242" spans="1:10">
      <c r="A5242" s="6" t="s">
        <v>146</v>
      </c>
      <c r="B5242" s="6" t="s">
        <v>92</v>
      </c>
      <c r="C5242" s="6" t="s">
        <v>268</v>
      </c>
      <c r="D5242" s="6">
        <v>0.4505</v>
      </c>
      <c r="E5242" s="6" t="s">
        <v>88</v>
      </c>
      <c r="F5242" s="6" t="s">
        <v>51</v>
      </c>
      <c r="G5242" s="7">
        <v>43172.09311535833</v>
      </c>
      <c r="H5242" s="6">
        <v>19449.02794846893</v>
      </c>
      <c r="I5242" s="6" t="s">
        <v>180</v>
      </c>
      <c r="J5242" s="15">
        <v>9.404213467325818</v>
      </c>
    </row>
    <row r="5243" spans="1:10">
      <c r="A5243" s="6" t="s">
        <v>146</v>
      </c>
      <c r="B5243" s="6" t="s">
        <v>88</v>
      </c>
      <c r="C5243" s="6" t="s">
        <v>269</v>
      </c>
      <c r="D5243" s="6">
        <v>4.08025</v>
      </c>
      <c r="E5243" s="6" t="s">
        <v>88</v>
      </c>
      <c r="F5243" s="6" t="s">
        <v>52</v>
      </c>
      <c r="G5243" s="7">
        <v>44335.59781697809</v>
      </c>
      <c r="H5243" s="6">
        <v>180900.3229927249</v>
      </c>
      <c r="I5243" s="6" t="s">
        <v>180</v>
      </c>
      <c r="J5243" s="15">
        <v>23.08823420331521</v>
      </c>
    </row>
    <row r="5244" spans="1:10">
      <c r="A5244" s="6" t="s">
        <v>146</v>
      </c>
      <c r="B5244" s="6" t="s">
        <v>92</v>
      </c>
      <c r="C5244" s="6" t="s">
        <v>270</v>
      </c>
      <c r="D5244" s="6">
        <v>18.5845</v>
      </c>
      <c r="E5244" s="6" t="s">
        <v>88</v>
      </c>
      <c r="F5244" s="6" t="s">
        <v>59</v>
      </c>
      <c r="G5244" s="7">
        <v>46459.09667024752</v>
      </c>
      <c r="H5244" s="6">
        <v>863419.082068215</v>
      </c>
      <c r="I5244" s="6" t="s">
        <v>180</v>
      </c>
      <c r="J5244" s="15">
        <v>10.63494339490442</v>
      </c>
    </row>
    <row r="5245" spans="1:10">
      <c r="A5245" s="6" t="s">
        <v>146</v>
      </c>
      <c r="B5245" s="6" t="s">
        <v>88</v>
      </c>
      <c r="C5245" s="6" t="s">
        <v>271</v>
      </c>
      <c r="D5245" s="6">
        <v>249.9280833333333</v>
      </c>
      <c r="E5245" s="6" t="s">
        <v>88</v>
      </c>
      <c r="F5245" s="6" t="s">
        <v>54</v>
      </c>
      <c r="G5245" s="7">
        <v>41071.74894263604</v>
      </c>
      <c r="H5245" s="6">
        <v>10264983.49238089</v>
      </c>
      <c r="I5245" s="6" t="s">
        <v>180</v>
      </c>
      <c r="J5245" s="15">
        <v>20.89086954089749</v>
      </c>
    </row>
    <row r="5246" spans="1:10">
      <c r="A5246" s="6" t="s">
        <v>146</v>
      </c>
      <c r="B5246" s="6" t="s">
        <v>92</v>
      </c>
      <c r="C5246" s="6" t="s">
        <v>272</v>
      </c>
      <c r="D5246" s="6">
        <v>10.09383333333333</v>
      </c>
      <c r="E5246" s="6" t="s">
        <v>88</v>
      </c>
      <c r="F5246" s="6" t="s">
        <v>51</v>
      </c>
      <c r="G5246" s="7">
        <v>48140.33007987355</v>
      </c>
      <c r="H5246" s="6">
        <v>485920.468437897</v>
      </c>
      <c r="I5246" s="6" t="s">
        <v>180</v>
      </c>
      <c r="J5246" s="15">
        <v>11.26443595185468</v>
      </c>
    </row>
    <row r="5247" spans="1:10">
      <c r="A5247" s="6" t="s">
        <v>146</v>
      </c>
      <c r="B5247" s="6" t="s">
        <v>92</v>
      </c>
      <c r="C5247" s="6" t="s">
        <v>273</v>
      </c>
      <c r="D5247" s="6">
        <v>465.2955000000001</v>
      </c>
      <c r="E5247" s="6" t="s">
        <v>88</v>
      </c>
      <c r="F5247" s="6" t="s">
        <v>51</v>
      </c>
      <c r="G5247" s="7">
        <v>39415.32644745876</v>
      </c>
      <c r="H5247" s="6">
        <v>18339774.02703355</v>
      </c>
      <c r="I5247" s="6" t="s">
        <v>179</v>
      </c>
      <c r="J5247" s="15">
        <v>27</v>
      </c>
    </row>
    <row r="5248" spans="1:10">
      <c r="A5248" s="6" t="s">
        <v>146</v>
      </c>
      <c r="B5248" s="6" t="s">
        <v>88</v>
      </c>
      <c r="C5248" s="6" t="s">
        <v>274</v>
      </c>
      <c r="D5248" s="6">
        <v>9.778666666666666</v>
      </c>
      <c r="E5248" s="6" t="s">
        <v>88</v>
      </c>
      <c r="F5248" s="6" t="s">
        <v>56</v>
      </c>
      <c r="G5248" s="7">
        <v>42560.66367428353</v>
      </c>
      <c r="H5248" s="6">
        <v>416186.5431829271</v>
      </c>
      <c r="I5248" s="6" t="s">
        <v>180</v>
      </c>
      <c r="J5248" s="15">
        <v>21.89327153395389</v>
      </c>
    </row>
    <row r="5249" spans="1:10">
      <c r="A5249" s="6" t="s">
        <v>146</v>
      </c>
      <c r="B5249" s="6" t="s">
        <v>92</v>
      </c>
      <c r="C5249" s="6" t="s">
        <v>275</v>
      </c>
      <c r="D5249" s="6">
        <v>0.6556666666666666</v>
      </c>
      <c r="E5249" s="6" t="s">
        <v>88</v>
      </c>
      <c r="F5249" s="6" t="s">
        <v>51</v>
      </c>
      <c r="G5249" s="7">
        <v>60987.13615097924</v>
      </c>
      <c r="H5249" s="6">
        <v>39987.23226965872</v>
      </c>
      <c r="I5249" s="6" t="s">
        <v>180</v>
      </c>
      <c r="J5249" s="15">
        <v>16.0745763856825</v>
      </c>
    </row>
    <row r="5250" spans="1:10">
      <c r="A5250" s="6" t="s">
        <v>146</v>
      </c>
      <c r="B5250" s="6" t="s">
        <v>92</v>
      </c>
      <c r="C5250" s="6" t="s">
        <v>276</v>
      </c>
      <c r="D5250" s="6">
        <v>14.35008333333333</v>
      </c>
      <c r="E5250" s="6" t="s">
        <v>88</v>
      </c>
      <c r="F5250" s="6" t="s">
        <v>51</v>
      </c>
      <c r="G5250" s="7">
        <v>36785.44810286325</v>
      </c>
      <c r="H5250" s="6">
        <v>527874.2457300962</v>
      </c>
      <c r="I5250" s="6" t="s">
        <v>180</v>
      </c>
      <c r="J5250" s="15">
        <v>7.012906301866028</v>
      </c>
    </row>
    <row r="5251" spans="1:10">
      <c r="A5251" s="6" t="s">
        <v>146</v>
      </c>
      <c r="B5251" s="6" t="s">
        <v>92</v>
      </c>
      <c r="C5251" s="6" t="s">
        <v>277</v>
      </c>
      <c r="D5251" s="6">
        <v>0.12675</v>
      </c>
      <c r="E5251" s="6" t="s">
        <v>88</v>
      </c>
      <c r="F5251" s="6" t="s">
        <v>57</v>
      </c>
      <c r="G5251" s="7">
        <v>41020.02489344452</v>
      </c>
      <c r="H5251" s="6">
        <v>5199.288155244091</v>
      </c>
      <c r="I5251" s="6" t="s">
        <v>180</v>
      </c>
      <c r="J5251" s="15">
        <v>8.598429499444013</v>
      </c>
    </row>
    <row r="5252" spans="1:10">
      <c r="A5252" s="6" t="s">
        <v>146</v>
      </c>
      <c r="B5252" s="6" t="s">
        <v>92</v>
      </c>
      <c r="C5252" s="6" t="s">
        <v>278</v>
      </c>
      <c r="D5252" s="6">
        <v>394.68225</v>
      </c>
      <c r="E5252" s="6" t="s">
        <v>88</v>
      </c>
      <c r="F5252" s="6" t="s">
        <v>55</v>
      </c>
      <c r="G5252" s="7">
        <v>30336.77880022909</v>
      </c>
      <c r="H5252" s="6">
        <v>11973388.11462672</v>
      </c>
      <c r="I5252" s="6" t="s">
        <v>179</v>
      </c>
      <c r="J5252" s="15">
        <v>14</v>
      </c>
    </row>
    <row r="5253" spans="1:10">
      <c r="A5253" s="6" t="s">
        <v>146</v>
      </c>
      <c r="B5253" s="6" t="s">
        <v>88</v>
      </c>
      <c r="C5253" s="6" t="s">
        <v>280</v>
      </c>
      <c r="D5253" s="6">
        <v>105.9163333333333</v>
      </c>
      <c r="E5253" s="6" t="s">
        <v>88</v>
      </c>
      <c r="F5253" s="6" t="s">
        <v>55</v>
      </c>
      <c r="G5253" s="7">
        <v>24869.46250635056</v>
      </c>
      <c r="H5253" s="6">
        <v>2634082.280643461</v>
      </c>
      <c r="I5253" s="6" t="s">
        <v>180</v>
      </c>
      <c r="J5253" s="15">
        <v>9.982787385089743</v>
      </c>
    </row>
    <row r="5254" spans="1:10">
      <c r="A5254" s="6" t="s">
        <v>146</v>
      </c>
      <c r="B5254" s="6" t="s">
        <v>92</v>
      </c>
      <c r="C5254" s="6" t="s">
        <v>281</v>
      </c>
      <c r="D5254" s="6">
        <v>717.1550833333333</v>
      </c>
      <c r="E5254" s="6" t="s">
        <v>88</v>
      </c>
      <c r="F5254" s="6" t="s">
        <v>57</v>
      </c>
      <c r="G5254" s="7">
        <v>47725.16793448776</v>
      </c>
      <c r="H5254" s="6">
        <v>34226346.7871549</v>
      </c>
      <c r="I5254" s="6" t="s">
        <v>179</v>
      </c>
      <c r="J5254" s="15">
        <v>36</v>
      </c>
    </row>
    <row r="5255" spans="1:10">
      <c r="A5255" s="6" t="s">
        <v>146</v>
      </c>
      <c r="B5255" s="6" t="s">
        <v>92</v>
      </c>
      <c r="C5255" s="6" t="s">
        <v>282</v>
      </c>
      <c r="D5255" s="6">
        <v>0.2808333333333333</v>
      </c>
      <c r="E5255" s="6" t="s">
        <v>88</v>
      </c>
      <c r="F5255" s="6" t="s">
        <v>56</v>
      </c>
      <c r="G5255" s="7">
        <v>68040.22841453915</v>
      </c>
      <c r="H5255" s="6">
        <v>19107.96414641641</v>
      </c>
      <c r="I5255" s="6" t="s">
        <v>180</v>
      </c>
      <c r="J5255" s="15">
        <v>18.71541676987519</v>
      </c>
    </row>
    <row r="5256" spans="1:10">
      <c r="A5256" s="6" t="s">
        <v>146</v>
      </c>
      <c r="B5256" s="6" t="s">
        <v>92</v>
      </c>
      <c r="C5256" s="6" t="s">
        <v>283</v>
      </c>
      <c r="D5256" s="6">
        <v>137.3395</v>
      </c>
      <c r="E5256" s="6" t="s">
        <v>88</v>
      </c>
      <c r="F5256" s="6" t="s">
        <v>51</v>
      </c>
      <c r="G5256" s="7">
        <v>40169.43882543561</v>
      </c>
      <c r="H5256" s="6">
        <v>5516850.643565914</v>
      </c>
      <c r="I5256" s="6" t="s">
        <v>179</v>
      </c>
      <c r="J5256" s="15">
        <v>27.40833333333333</v>
      </c>
    </row>
    <row r="5257" spans="1:10">
      <c r="A5257" s="6" t="s">
        <v>146</v>
      </c>
      <c r="B5257" s="6" t="s">
        <v>92</v>
      </c>
      <c r="C5257" s="6" t="s">
        <v>284</v>
      </c>
      <c r="D5257" s="6">
        <v>46.54083333333333</v>
      </c>
      <c r="E5257" s="6" t="s">
        <v>88</v>
      </c>
      <c r="F5257" s="6" t="s">
        <v>55</v>
      </c>
      <c r="G5257" s="7">
        <v>36138.38846146646</v>
      </c>
      <c r="H5257" s="6">
        <v>1681910.714320367</v>
      </c>
      <c r="I5257" s="6" t="s">
        <v>179</v>
      </c>
      <c r="J5257" s="15">
        <v>40.2</v>
      </c>
    </row>
    <row r="5258" spans="1:10">
      <c r="A5258" s="6" t="s">
        <v>146</v>
      </c>
      <c r="B5258" s="6" t="s">
        <v>92</v>
      </c>
      <c r="C5258" s="6" t="s">
        <v>286</v>
      </c>
      <c r="D5258" s="6">
        <v>8.121666666666666</v>
      </c>
      <c r="E5258" s="6" t="s">
        <v>88</v>
      </c>
      <c r="F5258" s="6" t="s">
        <v>59</v>
      </c>
      <c r="G5258" s="7">
        <v>51919.2206470298</v>
      </c>
      <c r="H5258" s="6">
        <v>421670.6036882937</v>
      </c>
      <c r="I5258" s="6" t="s">
        <v>180</v>
      </c>
      <c r="J5258" s="15">
        <v>12.67933971949008</v>
      </c>
    </row>
    <row r="5259" spans="1:10">
      <c r="A5259" s="6" t="s">
        <v>146</v>
      </c>
      <c r="B5259" s="6" t="s">
        <v>92</v>
      </c>
      <c r="C5259" s="6" t="s">
        <v>287</v>
      </c>
      <c r="D5259" s="6">
        <v>0.3740000000000001</v>
      </c>
      <c r="E5259" s="6" t="s">
        <v>88</v>
      </c>
      <c r="F5259" s="6" t="s">
        <v>53</v>
      </c>
      <c r="G5259" s="7">
        <v>57298.25349141887</v>
      </c>
      <c r="H5259" s="6">
        <v>21429.54680579066</v>
      </c>
      <c r="I5259" s="6" t="s">
        <v>180</v>
      </c>
      <c r="J5259" s="15">
        <v>14.69337365418751</v>
      </c>
    </row>
    <row r="5260" spans="1:10">
      <c r="A5260" s="6" t="s">
        <v>146</v>
      </c>
      <c r="B5260" s="6" t="s">
        <v>88</v>
      </c>
      <c r="C5260" s="6" t="s">
        <v>376</v>
      </c>
      <c r="D5260" s="6">
        <v>0.2081666666666667</v>
      </c>
      <c r="E5260" s="6" t="s">
        <v>88</v>
      </c>
      <c r="F5260" s="6" t="s">
        <v>54</v>
      </c>
      <c r="G5260" s="7">
        <v>52281.20456964882</v>
      </c>
      <c r="H5260" s="6">
        <v>10883.2040845819</v>
      </c>
      <c r="I5260" s="6" t="s">
        <v>180</v>
      </c>
      <c r="J5260" s="15">
        <v>28.43756138480302</v>
      </c>
    </row>
    <row r="5261" spans="1:10">
      <c r="A5261" s="6" t="s">
        <v>146</v>
      </c>
      <c r="B5261" s="6" t="s">
        <v>92</v>
      </c>
      <c r="C5261" s="6" t="s">
        <v>288</v>
      </c>
      <c r="D5261" s="6">
        <v>0.197</v>
      </c>
      <c r="E5261" s="6" t="s">
        <v>88</v>
      </c>
      <c r="F5261" s="6" t="s">
        <v>58</v>
      </c>
      <c r="G5261" s="7">
        <v>64645.17061643103</v>
      </c>
      <c r="H5261" s="6">
        <v>12735.09861143691</v>
      </c>
      <c r="I5261" s="6" t="s">
        <v>180</v>
      </c>
      <c r="J5261" s="15">
        <v>17.44422884195959</v>
      </c>
    </row>
    <row r="5262" spans="1:10">
      <c r="A5262" s="6" t="s">
        <v>146</v>
      </c>
      <c r="B5262" s="6" t="s">
        <v>88</v>
      </c>
      <c r="C5262" s="6" t="s">
        <v>370</v>
      </c>
      <c r="D5262" s="6">
        <v>0.2088333333333333</v>
      </c>
      <c r="E5262" s="6" t="s">
        <v>88</v>
      </c>
      <c r="F5262" s="6" t="s">
        <v>55</v>
      </c>
      <c r="G5262" s="7">
        <v>14611.98013674237</v>
      </c>
      <c r="H5262" s="6">
        <v>3051.468518556365</v>
      </c>
      <c r="I5262" s="6" t="s">
        <v>180</v>
      </c>
      <c r="J5262" s="15">
        <v>3.077005238882525</v>
      </c>
    </row>
    <row r="5263" spans="1:10">
      <c r="A5263" s="6" t="s">
        <v>146</v>
      </c>
      <c r="B5263" s="6" t="s">
        <v>92</v>
      </c>
      <c r="C5263" s="6" t="s">
        <v>359</v>
      </c>
      <c r="D5263" s="6">
        <v>4.2075</v>
      </c>
      <c r="E5263" s="6" t="s">
        <v>88</v>
      </c>
      <c r="F5263" s="6" t="s">
        <v>60</v>
      </c>
      <c r="G5263" s="7">
        <v>44697.22384667303</v>
      </c>
      <c r="H5263" s="6">
        <v>188063.5693348768</v>
      </c>
      <c r="I5263" s="6" t="s">
        <v>180</v>
      </c>
      <c r="J5263" s="15">
        <v>9.975257581868043</v>
      </c>
    </row>
    <row r="5264" spans="1:10">
      <c r="A5264" s="6" t="s">
        <v>146</v>
      </c>
      <c r="B5264" s="6" t="s">
        <v>88</v>
      </c>
      <c r="C5264" s="6" t="s">
        <v>289</v>
      </c>
      <c r="D5264" s="6">
        <v>1584.21425</v>
      </c>
      <c r="E5264" s="6" t="s">
        <v>88</v>
      </c>
      <c r="F5264" s="6" t="s">
        <v>52</v>
      </c>
      <c r="G5264" s="7">
        <v>34757.37314593359</v>
      </c>
      <c r="H5264" s="6">
        <v>55063125.83035532</v>
      </c>
      <c r="I5264" s="6" t="s">
        <v>179</v>
      </c>
      <c r="J5264" s="15">
        <v>49</v>
      </c>
    </row>
    <row r="5265" spans="1:10">
      <c r="A5265" s="6" t="s">
        <v>146</v>
      </c>
      <c r="B5265" s="6" t="s">
        <v>92</v>
      </c>
      <c r="C5265" s="6" t="s">
        <v>290</v>
      </c>
      <c r="D5265" s="6">
        <v>0.01525</v>
      </c>
      <c r="E5265" s="6" t="s">
        <v>88</v>
      </c>
      <c r="F5265" s="6" t="s">
        <v>53</v>
      </c>
      <c r="G5265" s="7">
        <v>49488.52827244454</v>
      </c>
      <c r="H5265" s="6">
        <v>754.7000561547792</v>
      </c>
      <c r="I5265" s="6" t="s">
        <v>180</v>
      </c>
      <c r="J5265" s="15">
        <v>11.76923244391702</v>
      </c>
    </row>
    <row r="5266" spans="1:10">
      <c r="A5266" s="6" t="s">
        <v>146</v>
      </c>
      <c r="B5266" s="6" t="s">
        <v>92</v>
      </c>
      <c r="C5266" s="6" t="s">
        <v>291</v>
      </c>
      <c r="D5266" s="6">
        <v>0.003416666666666667</v>
      </c>
      <c r="E5266" s="6" t="s">
        <v>88</v>
      </c>
      <c r="F5266" s="6" t="s">
        <v>51</v>
      </c>
      <c r="G5266" s="7">
        <v>42426.84693805363</v>
      </c>
      <c r="H5266" s="6">
        <v>144.9583937050166</v>
      </c>
      <c r="I5266" s="6" t="s">
        <v>180</v>
      </c>
      <c r="J5266" s="15">
        <v>9.125176113545601</v>
      </c>
    </row>
    <row r="5267" spans="1:10">
      <c r="A5267" s="6" t="s">
        <v>146</v>
      </c>
      <c r="B5267" s="6" t="s">
        <v>88</v>
      </c>
      <c r="C5267" s="6" t="s">
        <v>292</v>
      </c>
      <c r="D5267" s="6">
        <v>13.08775</v>
      </c>
      <c r="E5267" s="6" t="s">
        <v>88</v>
      </c>
      <c r="F5267" s="6" t="s">
        <v>54</v>
      </c>
      <c r="G5267" s="7">
        <v>57587.50593880366</v>
      </c>
      <c r="H5267" s="6">
        <v>753690.8808505776</v>
      </c>
      <c r="I5267" s="6" t="s">
        <v>180</v>
      </c>
      <c r="J5267" s="15">
        <v>32.00999367735827</v>
      </c>
    </row>
    <row r="5268" spans="1:10">
      <c r="A5268" s="6" t="s">
        <v>146</v>
      </c>
      <c r="B5268" s="6" t="s">
        <v>88</v>
      </c>
      <c r="C5268" s="6" t="s">
        <v>293</v>
      </c>
      <c r="D5268" s="6">
        <v>174.7410833333333</v>
      </c>
      <c r="E5268" s="6" t="s">
        <v>88</v>
      </c>
      <c r="F5268" s="6" t="s">
        <v>53</v>
      </c>
      <c r="G5268" s="7">
        <v>29405.08722093612</v>
      </c>
      <c r="H5268" s="6">
        <v>5138276.796497533</v>
      </c>
      <c r="I5268" s="6" t="s">
        <v>180</v>
      </c>
      <c r="J5268" s="15">
        <v>13.0363667184245</v>
      </c>
    </row>
    <row r="5269" spans="1:10">
      <c r="A5269" s="6" t="s">
        <v>146</v>
      </c>
      <c r="B5269" s="6" t="s">
        <v>88</v>
      </c>
      <c r="C5269" s="6" t="s">
        <v>371</v>
      </c>
      <c r="D5269" s="6">
        <v>0.41775</v>
      </c>
      <c r="E5269" s="6" t="s">
        <v>88</v>
      </c>
      <c r="F5269" s="6" t="s">
        <v>55</v>
      </c>
      <c r="G5269" s="7">
        <v>20381.74878536983</v>
      </c>
      <c r="H5269" s="6">
        <v>8514.475555088247</v>
      </c>
      <c r="I5269" s="6" t="s">
        <v>180</v>
      </c>
      <c r="J5269" s="15">
        <v>6.961463811240732</v>
      </c>
    </row>
    <row r="5270" spans="1:10">
      <c r="A5270" s="6" t="s">
        <v>146</v>
      </c>
      <c r="B5270" s="6" t="s">
        <v>88</v>
      </c>
      <c r="C5270" s="6" t="s">
        <v>294</v>
      </c>
      <c r="D5270" s="6">
        <v>0.2556666666666667</v>
      </c>
      <c r="E5270" s="6" t="s">
        <v>88</v>
      </c>
      <c r="F5270" s="6" t="s">
        <v>54</v>
      </c>
      <c r="G5270" s="7">
        <v>50619.94402359961</v>
      </c>
      <c r="H5270" s="6">
        <v>12941.83235536697</v>
      </c>
      <c r="I5270" s="6" t="s">
        <v>180</v>
      </c>
      <c r="J5270" s="15">
        <v>27.31912871236711</v>
      </c>
    </row>
    <row r="5271" spans="1:10">
      <c r="A5271" s="6" t="s">
        <v>146</v>
      </c>
      <c r="B5271" s="6" t="s">
        <v>92</v>
      </c>
      <c r="C5271" s="6" t="s">
        <v>295</v>
      </c>
      <c r="D5271" s="6">
        <v>44.90033333333334</v>
      </c>
      <c r="E5271" s="6" t="s">
        <v>88</v>
      </c>
      <c r="F5271" s="6" t="s">
        <v>53</v>
      </c>
      <c r="G5271" s="7">
        <v>43665.47276142767</v>
      </c>
      <c r="H5271" s="6">
        <v>1960594.28214569</v>
      </c>
      <c r="I5271" s="6" t="s">
        <v>179</v>
      </c>
      <c r="J5271" s="15">
        <v>37</v>
      </c>
    </row>
    <row r="5272" spans="1:10">
      <c r="A5272" s="6" t="s">
        <v>146</v>
      </c>
      <c r="B5272" s="6" t="s">
        <v>92</v>
      </c>
      <c r="C5272" s="6" t="s">
        <v>296</v>
      </c>
      <c r="D5272" s="6">
        <v>37.49591666666667</v>
      </c>
      <c r="E5272" s="6" t="s">
        <v>88</v>
      </c>
      <c r="F5272" s="6" t="s">
        <v>61</v>
      </c>
      <c r="G5272" s="7">
        <v>53088.58925206317</v>
      </c>
      <c r="H5272" s="6">
        <v>1990605.318546256</v>
      </c>
      <c r="I5272" s="6" t="s">
        <v>179</v>
      </c>
      <c r="J5272" s="15">
        <v>21</v>
      </c>
    </row>
    <row r="5273" spans="1:10">
      <c r="A5273" s="6" t="s">
        <v>146</v>
      </c>
      <c r="B5273" s="6" t="s">
        <v>88</v>
      </c>
      <c r="C5273" s="6" t="s">
        <v>297</v>
      </c>
      <c r="D5273" s="6">
        <v>0.9535</v>
      </c>
      <c r="E5273" s="6" t="s">
        <v>88</v>
      </c>
      <c r="F5273" s="6" t="s">
        <v>52</v>
      </c>
      <c r="G5273" s="7">
        <v>44335.59781697809</v>
      </c>
      <c r="H5273" s="6">
        <v>42273.99251848861</v>
      </c>
      <c r="I5273" s="6" t="s">
        <v>180</v>
      </c>
      <c r="J5273" s="15">
        <v>23.08823420331521</v>
      </c>
    </row>
    <row r="5274" spans="1:10">
      <c r="A5274" s="6" t="s">
        <v>146</v>
      </c>
      <c r="B5274" s="6" t="s">
        <v>92</v>
      </c>
      <c r="C5274" s="6" t="s">
        <v>298</v>
      </c>
      <c r="D5274" s="6">
        <v>24.49525</v>
      </c>
      <c r="E5274" s="6" t="s">
        <v>88</v>
      </c>
      <c r="F5274" s="6" t="s">
        <v>56</v>
      </c>
      <c r="G5274" s="7">
        <v>64956.33439155623</v>
      </c>
      <c r="H5274" s="6">
        <v>1591121.650004768</v>
      </c>
      <c r="I5274" s="6" t="s">
        <v>180</v>
      </c>
      <c r="J5274" s="15">
        <v>17.56073573464467</v>
      </c>
    </row>
    <row r="5275" spans="1:10">
      <c r="A5275" s="6" t="s">
        <v>146</v>
      </c>
      <c r="B5275" s="6" t="s">
        <v>92</v>
      </c>
      <c r="C5275" s="6" t="s">
        <v>299</v>
      </c>
      <c r="D5275" s="6">
        <v>0.486</v>
      </c>
      <c r="E5275" s="6" t="s">
        <v>88</v>
      </c>
      <c r="F5275" s="6" t="s">
        <v>53</v>
      </c>
      <c r="G5275" s="7">
        <v>52009.60071301651</v>
      </c>
      <c r="H5275" s="6">
        <v>25276.66594652602</v>
      </c>
      <c r="I5275" s="6" t="s">
        <v>180</v>
      </c>
      <c r="J5275" s="15">
        <v>12.7131801003138</v>
      </c>
    </row>
    <row r="5276" spans="1:10">
      <c r="A5276" s="6" t="s">
        <v>146</v>
      </c>
      <c r="B5276" s="6" t="s">
        <v>92</v>
      </c>
      <c r="C5276" s="6" t="s">
        <v>301</v>
      </c>
      <c r="D5276" s="6">
        <v>5.4905</v>
      </c>
      <c r="E5276" s="6" t="s">
        <v>88</v>
      </c>
      <c r="F5276" s="6" t="s">
        <v>59</v>
      </c>
      <c r="G5276" s="7">
        <v>60287.5334728343</v>
      </c>
      <c r="H5276" s="6">
        <v>331008.7025325967</v>
      </c>
      <c r="I5276" s="6" t="s">
        <v>180</v>
      </c>
      <c r="J5276" s="15">
        <v>15.81262901050354</v>
      </c>
    </row>
    <row r="5277" spans="1:10">
      <c r="A5277" s="6" t="s">
        <v>146</v>
      </c>
      <c r="B5277" s="6" t="s">
        <v>88</v>
      </c>
      <c r="C5277" s="6" t="s">
        <v>302</v>
      </c>
      <c r="D5277" s="6">
        <v>1068.670833333333</v>
      </c>
      <c r="E5277" s="6" t="s">
        <v>88</v>
      </c>
      <c r="F5277" s="6" t="s">
        <v>52</v>
      </c>
      <c r="G5277" s="7">
        <v>33240.74338740388</v>
      </c>
      <c r="H5277" s="6">
        <v>35523412.93643639</v>
      </c>
      <c r="I5277" s="6" t="s">
        <v>179</v>
      </c>
      <c r="J5277" s="15">
        <v>34</v>
      </c>
    </row>
    <row r="5278" spans="1:10">
      <c r="A5278" s="6" t="s">
        <v>146</v>
      </c>
      <c r="B5278" s="6" t="s">
        <v>92</v>
      </c>
      <c r="C5278" s="6" t="s">
        <v>303</v>
      </c>
      <c r="D5278" s="6">
        <v>0.18575</v>
      </c>
      <c r="E5278" s="6" t="s">
        <v>88</v>
      </c>
      <c r="F5278" s="6" t="s">
        <v>53</v>
      </c>
      <c r="G5278" s="7">
        <v>52579.50648328198</v>
      </c>
      <c r="H5278" s="6">
        <v>9766.643329269627</v>
      </c>
      <c r="I5278" s="6" t="s">
        <v>180</v>
      </c>
      <c r="J5278" s="15">
        <v>12.92656596243804</v>
      </c>
    </row>
    <row r="5279" spans="1:10">
      <c r="A5279" s="6" t="s">
        <v>146</v>
      </c>
      <c r="B5279" s="6" t="s">
        <v>88</v>
      </c>
      <c r="C5279" s="6" t="s">
        <v>361</v>
      </c>
      <c r="D5279" s="6">
        <v>59.64275</v>
      </c>
      <c r="E5279" s="6" t="s">
        <v>88</v>
      </c>
      <c r="F5279" s="6" t="s">
        <v>52</v>
      </c>
      <c r="G5279" s="7">
        <v>41929.97821752574</v>
      </c>
      <c r="H5279" s="6">
        <v>2500819.208333333</v>
      </c>
      <c r="I5279" s="6" t="s">
        <v>179</v>
      </c>
      <c r="J5279" s="15">
        <v>39.98333333333333</v>
      </c>
    </row>
    <row r="5280" spans="1:10">
      <c r="A5280" s="6" t="s">
        <v>146</v>
      </c>
      <c r="B5280" s="6" t="s">
        <v>88</v>
      </c>
      <c r="C5280" s="6" t="s">
        <v>305</v>
      </c>
      <c r="D5280" s="6">
        <v>35.40958333333334</v>
      </c>
      <c r="E5280" s="6" t="s">
        <v>88</v>
      </c>
      <c r="F5280" s="6" t="s">
        <v>54</v>
      </c>
      <c r="G5280" s="7">
        <v>54240.54060127008</v>
      </c>
      <c r="H5280" s="6">
        <v>1920634.942465723</v>
      </c>
      <c r="I5280" s="6" t="s">
        <v>180</v>
      </c>
      <c r="J5280" s="15">
        <v>29.75667140595994</v>
      </c>
    </row>
    <row r="5281" spans="1:10">
      <c r="A5281" s="6" t="s">
        <v>146</v>
      </c>
      <c r="B5281" s="6" t="s">
        <v>92</v>
      </c>
      <c r="C5281" s="6" t="s">
        <v>306</v>
      </c>
      <c r="D5281" s="6">
        <v>5.902083333333334</v>
      </c>
      <c r="E5281" s="6" t="s">
        <v>88</v>
      </c>
      <c r="F5281" s="6" t="s">
        <v>57</v>
      </c>
      <c r="G5281" s="7">
        <v>39936.89263645957</v>
      </c>
      <c r="H5281" s="6">
        <v>235710.8684147708</v>
      </c>
      <c r="I5281" s="6" t="s">
        <v>180</v>
      </c>
      <c r="J5281" s="15">
        <v>8.192879805950582</v>
      </c>
    </row>
    <row r="5282" spans="1:10">
      <c r="A5282" s="6" t="s">
        <v>146</v>
      </c>
      <c r="B5282" s="6" t="s">
        <v>92</v>
      </c>
      <c r="C5282" s="6" t="s">
        <v>307</v>
      </c>
      <c r="D5282" s="6">
        <v>0.09766666666666667</v>
      </c>
      <c r="E5282" s="6" t="s">
        <v>88</v>
      </c>
      <c r="F5282" s="6" t="s">
        <v>53</v>
      </c>
      <c r="G5282" s="7">
        <v>52756.89179587198</v>
      </c>
      <c r="H5282" s="6">
        <v>5152.58976539683</v>
      </c>
      <c r="I5282" s="6" t="s">
        <v>180</v>
      </c>
      <c r="J5282" s="15">
        <v>12.99298311388671</v>
      </c>
    </row>
    <row r="5283" spans="1:10">
      <c r="A5283" s="6" t="s">
        <v>146</v>
      </c>
      <c r="B5283" s="6" t="s">
        <v>88</v>
      </c>
      <c r="C5283" s="6" t="s">
        <v>362</v>
      </c>
      <c r="D5283" s="6">
        <v>181.7543333333333</v>
      </c>
      <c r="E5283" s="6" t="s">
        <v>88</v>
      </c>
      <c r="F5283" s="6" t="s">
        <v>52</v>
      </c>
      <c r="G5283" s="7">
        <v>36106.29405129155</v>
      </c>
      <c r="H5283" s="6">
        <v>6562475.404429795</v>
      </c>
      <c r="I5283" s="6" t="s">
        <v>179</v>
      </c>
      <c r="J5283" s="15">
        <v>34.25</v>
      </c>
    </row>
    <row r="5284" spans="1:10">
      <c r="A5284" s="6" t="s">
        <v>146</v>
      </c>
      <c r="B5284" s="6" t="s">
        <v>88</v>
      </c>
      <c r="C5284" s="6" t="s">
        <v>308</v>
      </c>
      <c r="D5284" s="6">
        <v>0.2456666666666667</v>
      </c>
      <c r="E5284" s="6" t="s">
        <v>88</v>
      </c>
      <c r="F5284" s="6" t="s">
        <v>54</v>
      </c>
      <c r="G5284" s="7">
        <v>44901.76692934829</v>
      </c>
      <c r="H5284" s="6">
        <v>11030.86740897656</v>
      </c>
      <c r="I5284" s="6" t="s">
        <v>180</v>
      </c>
      <c r="J5284" s="15">
        <v>23.46940381268491</v>
      </c>
    </row>
    <row r="5285" spans="1:10">
      <c r="A5285" s="6" t="s">
        <v>146</v>
      </c>
      <c r="B5285" s="6" t="s">
        <v>88</v>
      </c>
      <c r="C5285" s="6" t="s">
        <v>309</v>
      </c>
      <c r="D5285" s="6">
        <v>360.7226666666667</v>
      </c>
      <c r="E5285" s="6" t="s">
        <v>88</v>
      </c>
      <c r="F5285" s="6" t="s">
        <v>52</v>
      </c>
      <c r="G5285" s="7">
        <v>43401.39202919273</v>
      </c>
      <c r="H5285" s="6">
        <v>15655865.86981581</v>
      </c>
      <c r="I5285" s="6" t="s">
        <v>179</v>
      </c>
      <c r="J5285" s="15">
        <v>37.5</v>
      </c>
    </row>
    <row r="5286" spans="1:10">
      <c r="A5286" s="6" t="s">
        <v>146</v>
      </c>
      <c r="B5286" s="6" t="s">
        <v>92</v>
      </c>
      <c r="C5286" s="6" t="s">
        <v>310</v>
      </c>
      <c r="D5286" s="6">
        <v>35.30658333333333</v>
      </c>
      <c r="E5286" s="6" t="s">
        <v>88</v>
      </c>
      <c r="F5286" s="6" t="s">
        <v>52</v>
      </c>
      <c r="G5286" s="7">
        <v>77318.80490856594</v>
      </c>
      <c r="H5286" s="6">
        <v>2729862.828738025</v>
      </c>
      <c r="I5286" s="6" t="s">
        <v>180</v>
      </c>
      <c r="J5286" s="15">
        <v>22.18952976848772</v>
      </c>
    </row>
    <row r="5287" spans="1:10">
      <c r="A5287" s="6" t="s">
        <v>146</v>
      </c>
      <c r="B5287" s="6" t="s">
        <v>92</v>
      </c>
      <c r="C5287" s="6" t="s">
        <v>311</v>
      </c>
      <c r="D5287" s="6">
        <v>222.953</v>
      </c>
      <c r="E5287" s="6" t="s">
        <v>88</v>
      </c>
      <c r="F5287" s="6" t="s">
        <v>51</v>
      </c>
      <c r="G5287" s="7">
        <v>47093.06261970591</v>
      </c>
      <c r="H5287" s="6">
        <v>10499539.59025129</v>
      </c>
      <c r="I5287" s="6" t="s">
        <v>179</v>
      </c>
      <c r="J5287" s="15">
        <v>49.65833333333333</v>
      </c>
    </row>
    <row r="5288" spans="1:10">
      <c r="A5288" s="6" t="s">
        <v>146</v>
      </c>
      <c r="B5288" s="6" t="s">
        <v>88</v>
      </c>
      <c r="C5288" s="6" t="s">
        <v>312</v>
      </c>
      <c r="D5288" s="6">
        <v>54.05091666666667</v>
      </c>
      <c r="E5288" s="6" t="s">
        <v>88</v>
      </c>
      <c r="F5288" s="6" t="s">
        <v>54</v>
      </c>
      <c r="G5288" s="7">
        <v>43974.2296302894</v>
      </c>
      <c r="H5288" s="6">
        <v>2376847.421227636</v>
      </c>
      <c r="I5288" s="6" t="s">
        <v>180</v>
      </c>
      <c r="J5288" s="15">
        <v>22.84494546228496</v>
      </c>
    </row>
    <row r="5289" spans="1:10">
      <c r="A5289" s="6" t="s">
        <v>146</v>
      </c>
      <c r="B5289" s="6" t="s">
        <v>92</v>
      </c>
      <c r="C5289" s="6" t="s">
        <v>313</v>
      </c>
      <c r="D5289" s="6">
        <v>7.997000000000001</v>
      </c>
      <c r="E5289" s="6" t="s">
        <v>88</v>
      </c>
      <c r="F5289" s="6" t="s">
        <v>51</v>
      </c>
      <c r="G5289" s="7">
        <v>47731.50326829251</v>
      </c>
      <c r="H5289" s="6">
        <v>381708.8316365352</v>
      </c>
      <c r="I5289" s="6" t="s">
        <v>180</v>
      </c>
      <c r="J5289" s="15">
        <v>11.11136176626066</v>
      </c>
    </row>
    <row r="5290" spans="1:10">
      <c r="A5290" s="6" t="s">
        <v>146</v>
      </c>
      <c r="B5290" s="6" t="s">
        <v>92</v>
      </c>
      <c r="C5290" s="6" t="s">
        <v>314</v>
      </c>
      <c r="D5290" s="6">
        <v>2.293416666666666</v>
      </c>
      <c r="E5290" s="6" t="s">
        <v>88</v>
      </c>
      <c r="F5290" s="6" t="s">
        <v>51</v>
      </c>
      <c r="G5290" s="7">
        <v>66764.46796773297</v>
      </c>
      <c r="H5290" s="6">
        <v>153118.7435783316</v>
      </c>
      <c r="I5290" s="6" t="s">
        <v>180</v>
      </c>
      <c r="J5290" s="15">
        <v>18.23774264020472</v>
      </c>
    </row>
    <row r="5291" spans="1:10">
      <c r="A5291" s="6" t="s">
        <v>146</v>
      </c>
      <c r="B5291" s="6" t="s">
        <v>92</v>
      </c>
      <c r="C5291" s="6" t="s">
        <v>315</v>
      </c>
      <c r="D5291" s="6">
        <v>37.0025</v>
      </c>
      <c r="E5291" s="6" t="s">
        <v>88</v>
      </c>
      <c r="F5291" s="6" t="s">
        <v>51</v>
      </c>
      <c r="G5291" s="7">
        <v>36977.7141649833</v>
      </c>
      <c r="H5291" s="6">
        <v>1368267.868389794</v>
      </c>
      <c r="I5291" s="6" t="s">
        <v>179</v>
      </c>
      <c r="J5291" s="15">
        <v>20.63333333333333</v>
      </c>
    </row>
    <row r="5292" spans="1:10">
      <c r="A5292" s="6" t="s">
        <v>146</v>
      </c>
      <c r="B5292" s="6" t="s">
        <v>88</v>
      </c>
      <c r="C5292" s="6" t="s">
        <v>316</v>
      </c>
      <c r="D5292" s="6">
        <v>2.109166666666667</v>
      </c>
      <c r="E5292" s="6" t="s">
        <v>88</v>
      </c>
      <c r="F5292" s="6" t="s">
        <v>54</v>
      </c>
      <c r="G5292" s="7">
        <v>52119.57953683602</v>
      </c>
      <c r="H5292" s="6">
        <v>109928.8798397767</v>
      </c>
      <c r="I5292" s="6" t="s">
        <v>180</v>
      </c>
      <c r="J5292" s="15">
        <v>28.32874840070413</v>
      </c>
    </row>
    <row r="5293" spans="1:10">
      <c r="A5293" s="6" t="s">
        <v>146</v>
      </c>
      <c r="B5293" s="6" t="s">
        <v>92</v>
      </c>
      <c r="C5293" s="6" t="s">
        <v>317</v>
      </c>
      <c r="D5293" s="6">
        <v>0.3051666666666667</v>
      </c>
      <c r="E5293" s="6" t="s">
        <v>88</v>
      </c>
      <c r="F5293" s="6" t="s">
        <v>51</v>
      </c>
      <c r="G5293" s="7">
        <v>51135.75391883078</v>
      </c>
      <c r="H5293" s="6">
        <v>15604.92757089653</v>
      </c>
      <c r="I5293" s="6" t="s">
        <v>180</v>
      </c>
      <c r="J5293" s="15">
        <v>12.38599171010859</v>
      </c>
    </row>
    <row r="5294" spans="1:10">
      <c r="A5294" s="6" t="s">
        <v>146</v>
      </c>
      <c r="B5294" s="6" t="s">
        <v>88</v>
      </c>
      <c r="C5294" s="6" t="s">
        <v>319</v>
      </c>
      <c r="D5294" s="6">
        <v>4.120083333333334</v>
      </c>
      <c r="E5294" s="6" t="s">
        <v>88</v>
      </c>
      <c r="F5294" s="6" t="s">
        <v>52</v>
      </c>
      <c r="G5294" s="7">
        <v>44335.59781697809</v>
      </c>
      <c r="H5294" s="6">
        <v>182666.3576391011</v>
      </c>
      <c r="I5294" s="6" t="s">
        <v>180</v>
      </c>
      <c r="J5294" s="15">
        <v>23.08823420331521</v>
      </c>
    </row>
    <row r="5295" spans="1:10">
      <c r="A5295" s="6" t="s">
        <v>146</v>
      </c>
      <c r="B5295" s="6" t="s">
        <v>92</v>
      </c>
      <c r="C5295" s="6" t="s">
        <v>320</v>
      </c>
      <c r="D5295" s="6">
        <v>413.5562499999999</v>
      </c>
      <c r="E5295" s="6" t="s">
        <v>88</v>
      </c>
      <c r="F5295" s="6" t="s">
        <v>51</v>
      </c>
      <c r="G5295" s="7">
        <v>42399.1324717879</v>
      </c>
      <c r="H5295" s="6">
        <v>17534426.22828583</v>
      </c>
      <c r="I5295" s="6" t="s">
        <v>179</v>
      </c>
      <c r="J5295" s="15">
        <v>45</v>
      </c>
    </row>
    <row r="5296" spans="1:10">
      <c r="A5296" s="6" t="s">
        <v>146</v>
      </c>
      <c r="B5296" s="6" t="s">
        <v>92</v>
      </c>
      <c r="C5296" s="6" t="s">
        <v>321</v>
      </c>
      <c r="D5296" s="6">
        <v>0.1015833333333333</v>
      </c>
      <c r="E5296" s="6" t="s">
        <v>88</v>
      </c>
      <c r="F5296" s="6" t="s">
        <v>54</v>
      </c>
      <c r="G5296" s="7">
        <v>66126.21911984179</v>
      </c>
      <c r="H5296" s="6">
        <v>6717.321758923928</v>
      </c>
      <c r="I5296" s="6" t="s">
        <v>180</v>
      </c>
      <c r="J5296" s="15">
        <v>17.99876755386086</v>
      </c>
    </row>
    <row r="5297" spans="1:10">
      <c r="A5297" s="6" t="s">
        <v>146</v>
      </c>
      <c r="B5297" s="6" t="s">
        <v>92</v>
      </c>
      <c r="C5297" s="6" t="s">
        <v>322</v>
      </c>
      <c r="D5297" s="6">
        <v>85.50508333333333</v>
      </c>
      <c r="E5297" s="6" t="s">
        <v>88</v>
      </c>
      <c r="F5297" s="6" t="s">
        <v>51</v>
      </c>
      <c r="G5297" s="7">
        <v>51594.95855690809</v>
      </c>
      <c r="H5297" s="6">
        <v>4411631.230988306</v>
      </c>
      <c r="I5297" s="6" t="s">
        <v>180</v>
      </c>
      <c r="J5297" s="15">
        <v>12.55792851562985</v>
      </c>
    </row>
    <row r="5298" spans="1:10">
      <c r="A5298" s="6" t="s">
        <v>146</v>
      </c>
      <c r="B5298" s="6" t="s">
        <v>92</v>
      </c>
      <c r="C5298" s="6" t="s">
        <v>323</v>
      </c>
      <c r="D5298" s="6">
        <v>23.45583333333333</v>
      </c>
      <c r="E5298" s="6" t="s">
        <v>88</v>
      </c>
      <c r="F5298" s="6" t="s">
        <v>55</v>
      </c>
      <c r="G5298" s="7">
        <v>37901.84707720344</v>
      </c>
      <c r="H5298" s="6">
        <v>889019.4080683711</v>
      </c>
      <c r="I5298" s="6" t="s">
        <v>179</v>
      </c>
      <c r="J5298" s="15">
        <v>17</v>
      </c>
    </row>
    <row r="5299" spans="1:10">
      <c r="A5299" s="6" t="s">
        <v>146</v>
      </c>
      <c r="B5299" s="6" t="s">
        <v>92</v>
      </c>
      <c r="C5299" s="6" t="s">
        <v>324</v>
      </c>
      <c r="D5299" s="6">
        <v>237.2449166666667</v>
      </c>
      <c r="E5299" s="6" t="s">
        <v>88</v>
      </c>
      <c r="F5299" s="6" t="s">
        <v>51</v>
      </c>
      <c r="G5299" s="7">
        <v>59286.87997138536</v>
      </c>
      <c r="H5299" s="6">
        <v>14065510.89823799</v>
      </c>
      <c r="I5299" s="6" t="s">
        <v>179</v>
      </c>
      <c r="J5299" s="15">
        <v>44</v>
      </c>
    </row>
    <row r="5300" spans="1:10">
      <c r="A5300" s="6" t="s">
        <v>146</v>
      </c>
      <c r="B5300" s="6" t="s">
        <v>88</v>
      </c>
      <c r="C5300" s="6" t="s">
        <v>372</v>
      </c>
      <c r="D5300" s="6">
        <v>1.7615</v>
      </c>
      <c r="E5300" s="6" t="s">
        <v>88</v>
      </c>
      <c r="F5300" s="6" t="s">
        <v>55</v>
      </c>
      <c r="G5300" s="7">
        <v>26107.48186832325</v>
      </c>
      <c r="H5300" s="6">
        <v>45988.32931105141</v>
      </c>
      <c r="I5300" s="6" t="s">
        <v>180</v>
      </c>
      <c r="J5300" s="15">
        <v>10.81627573032942</v>
      </c>
    </row>
    <row r="5301" spans="1:10">
      <c r="A5301" s="6" t="s">
        <v>146</v>
      </c>
      <c r="B5301" s="6" t="s">
        <v>92</v>
      </c>
      <c r="C5301" s="6" t="s">
        <v>325</v>
      </c>
      <c r="D5301" s="6">
        <v>0.5835833333333333</v>
      </c>
      <c r="E5301" s="6" t="s">
        <v>88</v>
      </c>
      <c r="F5301" s="6" t="s">
        <v>53</v>
      </c>
      <c r="G5301" s="7">
        <v>65311.40887625943</v>
      </c>
      <c r="H5301" s="6">
        <v>38114.64969670373</v>
      </c>
      <c r="I5301" s="6" t="s">
        <v>180</v>
      </c>
      <c r="J5301" s="15">
        <v>17.69368380955434</v>
      </c>
    </row>
    <row r="5302" spans="1:10">
      <c r="A5302" s="6" t="s">
        <v>146</v>
      </c>
      <c r="B5302" s="6" t="s">
        <v>88</v>
      </c>
      <c r="C5302" s="6" t="s">
        <v>364</v>
      </c>
      <c r="D5302" s="6">
        <v>4.807583333333334</v>
      </c>
      <c r="E5302" s="6" t="s">
        <v>88</v>
      </c>
      <c r="F5302" s="6" t="s">
        <v>52</v>
      </c>
      <c r="G5302" s="7">
        <v>44335.59781697809</v>
      </c>
      <c r="H5302" s="6">
        <v>213147.0811382736</v>
      </c>
      <c r="I5302" s="6" t="s">
        <v>180</v>
      </c>
      <c r="J5302" s="15">
        <v>23.08823420331521</v>
      </c>
    </row>
    <row r="5303" spans="1:10">
      <c r="A5303" s="6" t="s">
        <v>146</v>
      </c>
      <c r="B5303" s="6" t="s">
        <v>88</v>
      </c>
      <c r="C5303" s="6" t="s">
        <v>326</v>
      </c>
      <c r="D5303" s="6">
        <v>288.858</v>
      </c>
      <c r="E5303" s="6" t="s">
        <v>88</v>
      </c>
      <c r="F5303" s="6" t="s">
        <v>54</v>
      </c>
      <c r="G5303" s="7">
        <v>52218.3360663061</v>
      </c>
      <c r="H5303" s="6">
        <v>15083684.11944105</v>
      </c>
      <c r="I5303" s="6" t="s">
        <v>180</v>
      </c>
      <c r="J5303" s="15">
        <v>28.39523558083876</v>
      </c>
    </row>
    <row r="5304" spans="1:10">
      <c r="A5304" s="6" t="s">
        <v>146</v>
      </c>
      <c r="B5304" s="6" t="s">
        <v>88</v>
      </c>
      <c r="C5304" s="6" t="s">
        <v>373</v>
      </c>
      <c r="D5304" s="6">
        <v>0.2316666666666667</v>
      </c>
      <c r="E5304" s="6" t="s">
        <v>88</v>
      </c>
      <c r="F5304" s="6" t="s">
        <v>55</v>
      </c>
      <c r="G5304" s="7">
        <v>16856.45138564954</v>
      </c>
      <c r="H5304" s="6">
        <v>3905.077904342143</v>
      </c>
      <c r="I5304" s="6" t="s">
        <v>180</v>
      </c>
      <c r="J5304" s="15">
        <v>4.588080658744115</v>
      </c>
    </row>
    <row r="5305" spans="1:10">
      <c r="A5305" s="6" t="s">
        <v>146</v>
      </c>
      <c r="B5305" s="6" t="s">
        <v>92</v>
      </c>
      <c r="C5305" s="6" t="s">
        <v>374</v>
      </c>
      <c r="D5305" s="6">
        <v>0.05691666666666666</v>
      </c>
      <c r="E5305" s="6" t="s">
        <v>88</v>
      </c>
      <c r="F5305" s="6" t="s">
        <v>55</v>
      </c>
      <c r="G5305" s="7">
        <v>29054.37866544401</v>
      </c>
      <c r="H5305" s="6">
        <v>1653.678385708188</v>
      </c>
      <c r="I5305" s="6" t="s">
        <v>180</v>
      </c>
      <c r="J5305" s="15">
        <v>15.81666666666667</v>
      </c>
    </row>
    <row r="5306" spans="1:10">
      <c r="A5306" s="6" t="s">
        <v>146</v>
      </c>
      <c r="B5306" s="6" t="s">
        <v>88</v>
      </c>
      <c r="C5306" s="6" t="s">
        <v>327</v>
      </c>
      <c r="D5306" s="6">
        <v>49.30216666666666</v>
      </c>
      <c r="E5306" s="6" t="s">
        <v>88</v>
      </c>
      <c r="F5306" s="6" t="s">
        <v>57</v>
      </c>
      <c r="G5306" s="7">
        <v>24260.20233969063</v>
      </c>
      <c r="H5306" s="6">
        <v>1196080.539118484</v>
      </c>
      <c r="I5306" s="6" t="s">
        <v>180</v>
      </c>
      <c r="J5306" s="15">
        <v>9.572607008491534</v>
      </c>
    </row>
    <row r="5307" spans="1:10">
      <c r="A5307" s="6" t="s">
        <v>146</v>
      </c>
      <c r="B5307" s="6" t="s">
        <v>92</v>
      </c>
      <c r="C5307" s="6" t="s">
        <v>328</v>
      </c>
      <c r="D5307" s="6">
        <v>0.1481666666666667</v>
      </c>
      <c r="E5307" s="6" t="s">
        <v>88</v>
      </c>
      <c r="F5307" s="6" t="s">
        <v>58</v>
      </c>
      <c r="G5307" s="7">
        <v>58185.92729035135</v>
      </c>
      <c r="H5307" s="6">
        <v>8621.214893520391</v>
      </c>
      <c r="I5307" s="6" t="s">
        <v>180</v>
      </c>
      <c r="J5307" s="15">
        <v>15.02573919381359</v>
      </c>
    </row>
    <row r="5308" spans="1:10">
      <c r="A5308" s="6" t="s">
        <v>146</v>
      </c>
      <c r="B5308" s="6" t="s">
        <v>88</v>
      </c>
      <c r="C5308" s="6" t="s">
        <v>329</v>
      </c>
      <c r="D5308" s="6">
        <v>192.4203333333333</v>
      </c>
      <c r="E5308" s="6" t="s">
        <v>88</v>
      </c>
      <c r="F5308" s="6" t="s">
        <v>58</v>
      </c>
      <c r="G5308" s="7">
        <v>28500.44322961068</v>
      </c>
      <c r="H5308" s="6">
        <v>5484064.786389429</v>
      </c>
      <c r="I5308" s="6" t="s">
        <v>180</v>
      </c>
      <c r="J5308" s="15">
        <v>12.42732113600372</v>
      </c>
    </row>
    <row r="5309" spans="1:10">
      <c r="A5309" s="6" t="s">
        <v>146</v>
      </c>
      <c r="B5309" s="6" t="s">
        <v>88</v>
      </c>
      <c r="C5309" s="6" t="s">
        <v>330</v>
      </c>
      <c r="D5309" s="6">
        <v>5.259333333333333</v>
      </c>
      <c r="E5309" s="6" t="s">
        <v>88</v>
      </c>
      <c r="F5309" s="6" t="s">
        <v>52</v>
      </c>
      <c r="G5309" s="7">
        <v>44335.59781697809</v>
      </c>
      <c r="H5309" s="6">
        <v>233175.6874520934</v>
      </c>
      <c r="I5309" s="6" t="s">
        <v>180</v>
      </c>
      <c r="J5309" s="15">
        <v>23.08823420331521</v>
      </c>
    </row>
    <row r="5310" spans="1:10">
      <c r="A5310" s="6" t="s">
        <v>146</v>
      </c>
      <c r="B5310" s="6" t="s">
        <v>92</v>
      </c>
      <c r="C5310" s="6" t="s">
        <v>331</v>
      </c>
      <c r="D5310" s="6">
        <v>52.29525</v>
      </c>
      <c r="E5310" s="6" t="s">
        <v>88</v>
      </c>
      <c r="F5310" s="6" t="s">
        <v>58</v>
      </c>
      <c r="G5310" s="7">
        <v>52490.82308035896</v>
      </c>
      <c r="H5310" s="6">
        <v>2745020.715693142</v>
      </c>
      <c r="I5310" s="6" t="s">
        <v>179</v>
      </c>
      <c r="J5310" s="15">
        <v>17.40719355741339</v>
      </c>
    </row>
    <row r="5311" spans="1:10">
      <c r="A5311" s="6" t="s">
        <v>146</v>
      </c>
      <c r="B5311" s="6" t="s">
        <v>92</v>
      </c>
      <c r="C5311" s="6" t="s">
        <v>332</v>
      </c>
      <c r="D5311" s="6">
        <v>807.2191666666666</v>
      </c>
      <c r="E5311" s="6" t="s">
        <v>88</v>
      </c>
      <c r="F5311" s="6" t="s">
        <v>55</v>
      </c>
      <c r="G5311" s="7">
        <v>18935.91078298569</v>
      </c>
      <c r="H5311" s="6">
        <v>15285430.12231605</v>
      </c>
      <c r="I5311" s="6" t="s">
        <v>179</v>
      </c>
      <c r="J5311" s="15">
        <v>13</v>
      </c>
    </row>
    <row r="5312" spans="1:10">
      <c r="A5312" s="6" t="s">
        <v>146</v>
      </c>
      <c r="B5312" s="6" t="s">
        <v>88</v>
      </c>
      <c r="C5312" s="6" t="s">
        <v>375</v>
      </c>
      <c r="D5312" s="6">
        <v>0.4240833333333333</v>
      </c>
      <c r="E5312" s="6" t="s">
        <v>88</v>
      </c>
      <c r="F5312" s="6" t="s">
        <v>55</v>
      </c>
      <c r="G5312" s="7">
        <v>20384.26846005159</v>
      </c>
      <c r="H5312" s="6">
        <v>8644.628516100212</v>
      </c>
      <c r="I5312" s="6" t="s">
        <v>180</v>
      </c>
      <c r="J5312" s="15">
        <v>6.963160165551133</v>
      </c>
    </row>
    <row r="5313" spans="1:10">
      <c r="A5313" s="6" t="s">
        <v>146</v>
      </c>
      <c r="B5313" s="6" t="s">
        <v>92</v>
      </c>
      <c r="C5313" s="6" t="s">
        <v>333</v>
      </c>
      <c r="D5313" s="6">
        <v>27.81408333333333</v>
      </c>
      <c r="E5313" s="6" t="s">
        <v>88</v>
      </c>
      <c r="F5313" s="6" t="s">
        <v>51</v>
      </c>
      <c r="G5313" s="7">
        <v>51151.59012928524</v>
      </c>
      <c r="H5313" s="6">
        <v>1422734.59048845</v>
      </c>
      <c r="I5313" s="6" t="s">
        <v>180</v>
      </c>
      <c r="J5313" s="15">
        <v>12.39192115247769</v>
      </c>
    </row>
    <row r="5314" spans="1:10">
      <c r="A5314" s="6" t="s">
        <v>146</v>
      </c>
      <c r="B5314" s="6" t="s">
        <v>90</v>
      </c>
      <c r="C5314" s="6" t="s">
        <v>194</v>
      </c>
      <c r="D5314" s="6">
        <v>0.2404166666666667</v>
      </c>
      <c r="E5314" s="6" t="s">
        <v>90</v>
      </c>
      <c r="F5314" s="6" t="s">
        <v>58</v>
      </c>
      <c r="G5314" s="7">
        <v>59839.94997846646</v>
      </c>
      <c r="H5314" s="6">
        <v>14386.52130732298</v>
      </c>
      <c r="I5314" s="6" t="s">
        <v>180</v>
      </c>
      <c r="J5314" s="15">
        <v>69.98333333333333</v>
      </c>
    </row>
    <row r="5315" spans="1:10">
      <c r="A5315" s="6" t="s">
        <v>146</v>
      </c>
      <c r="B5315" s="6" t="s">
        <v>90</v>
      </c>
      <c r="C5315" s="6" t="s">
        <v>195</v>
      </c>
      <c r="D5315" s="6">
        <v>20.51325</v>
      </c>
      <c r="E5315" s="6" t="s">
        <v>90</v>
      </c>
      <c r="F5315" s="6" t="s">
        <v>54</v>
      </c>
      <c r="G5315" s="7">
        <v>56976.27849226169</v>
      </c>
      <c r="H5315" s="6">
        <v>1168768.644781387</v>
      </c>
      <c r="I5315" s="6" t="s">
        <v>180</v>
      </c>
      <c r="J5315" s="15">
        <v>11.49610447263148</v>
      </c>
    </row>
    <row r="5316" spans="1:10">
      <c r="A5316" s="6" t="s">
        <v>146</v>
      </c>
      <c r="B5316" s="6" t="s">
        <v>90</v>
      </c>
      <c r="C5316" s="6" t="s">
        <v>334</v>
      </c>
      <c r="D5316" s="6">
        <v>0.003333333333333334</v>
      </c>
      <c r="E5316" s="6" t="s">
        <v>90</v>
      </c>
      <c r="F5316" s="6" t="s">
        <v>54</v>
      </c>
      <c r="G5316" s="7">
        <v>73156.13365961002</v>
      </c>
      <c r="H5316" s="6">
        <v>243.8537788653667</v>
      </c>
      <c r="I5316" s="6" t="s">
        <v>180</v>
      </c>
      <c r="J5316" s="15">
        <v>16.68050450820028</v>
      </c>
    </row>
    <row r="5317" spans="1:10">
      <c r="A5317" s="6" t="s">
        <v>146</v>
      </c>
      <c r="B5317" s="6" t="s">
        <v>90</v>
      </c>
      <c r="C5317" s="6" t="s">
        <v>335</v>
      </c>
      <c r="D5317" s="6">
        <v>295.1966666666667</v>
      </c>
      <c r="E5317" s="6" t="s">
        <v>90</v>
      </c>
      <c r="F5317" s="6" t="s">
        <v>52</v>
      </c>
      <c r="G5317" s="7">
        <v>95698.07693963528</v>
      </c>
      <c r="H5317" s="6">
        <v>28249753.31899054</v>
      </c>
      <c r="I5317" s="6" t="s">
        <v>179</v>
      </c>
      <c r="J5317" s="15">
        <v>62.25</v>
      </c>
    </row>
    <row r="5318" spans="1:10">
      <c r="A5318" s="6" t="s">
        <v>146</v>
      </c>
      <c r="B5318" s="6" t="s">
        <v>90</v>
      </c>
      <c r="C5318" s="6" t="s">
        <v>197</v>
      </c>
      <c r="D5318" s="6">
        <v>12.18166666666667</v>
      </c>
      <c r="E5318" s="6" t="s">
        <v>90</v>
      </c>
      <c r="F5318" s="6" t="s">
        <v>53</v>
      </c>
      <c r="G5318" s="7">
        <v>24873.23941462196</v>
      </c>
      <c r="H5318" s="6">
        <v>302997.5114691198</v>
      </c>
      <c r="I5318" s="6" t="s">
        <v>179</v>
      </c>
      <c r="J5318" s="15">
        <v>27</v>
      </c>
    </row>
    <row r="5319" spans="1:10">
      <c r="A5319" s="6" t="s">
        <v>146</v>
      </c>
      <c r="B5319" s="6" t="s">
        <v>90</v>
      </c>
      <c r="C5319" s="6" t="s">
        <v>198</v>
      </c>
      <c r="D5319" s="6">
        <v>9.533250000000001</v>
      </c>
      <c r="E5319" s="6" t="s">
        <v>90</v>
      </c>
      <c r="F5319" s="6" t="s">
        <v>58</v>
      </c>
      <c r="G5319" s="7">
        <v>77672.91374469569</v>
      </c>
      <c r="H5319" s="6">
        <v>740475.3049566202</v>
      </c>
      <c r="I5319" s="6" t="s">
        <v>180</v>
      </c>
      <c r="J5319" s="15">
        <v>18.12778537638943</v>
      </c>
    </row>
    <row r="5320" spans="1:10">
      <c r="A5320" s="6" t="s">
        <v>146</v>
      </c>
      <c r="B5320" s="6" t="s">
        <v>90</v>
      </c>
      <c r="C5320" s="6" t="s">
        <v>199</v>
      </c>
      <c r="D5320" s="6">
        <v>29.24225</v>
      </c>
      <c r="E5320" s="6" t="s">
        <v>90</v>
      </c>
      <c r="F5320" s="6" t="s">
        <v>57</v>
      </c>
      <c r="G5320" s="7">
        <v>56186.72410453543</v>
      </c>
      <c r="H5320" s="6">
        <v>1643026.232945851</v>
      </c>
      <c r="I5320" s="6" t="s">
        <v>179</v>
      </c>
      <c r="J5320" s="15">
        <v>8.999964910367698</v>
      </c>
    </row>
    <row r="5321" spans="1:10">
      <c r="A5321" s="6" t="s">
        <v>146</v>
      </c>
      <c r="B5321" s="6" t="s">
        <v>90</v>
      </c>
      <c r="C5321" s="6" t="s">
        <v>337</v>
      </c>
      <c r="D5321" s="6">
        <v>7.947416666666666</v>
      </c>
      <c r="E5321" s="6" t="s">
        <v>90</v>
      </c>
      <c r="F5321" s="6" t="s">
        <v>52</v>
      </c>
      <c r="G5321" s="7">
        <v>59918.03179942394</v>
      </c>
      <c r="H5321" s="6">
        <v>476193.5645566051</v>
      </c>
      <c r="I5321" s="6" t="s">
        <v>180</v>
      </c>
      <c r="J5321" s="15">
        <v>12.43871031134531</v>
      </c>
    </row>
    <row r="5322" spans="1:10">
      <c r="A5322" s="6" t="s">
        <v>146</v>
      </c>
      <c r="B5322" s="6" t="s">
        <v>90</v>
      </c>
      <c r="C5322" s="6" t="s">
        <v>200</v>
      </c>
      <c r="D5322" s="6">
        <v>4.313666666666667</v>
      </c>
      <c r="E5322" s="6" t="s">
        <v>90</v>
      </c>
      <c r="F5322" s="6" t="s">
        <v>52</v>
      </c>
      <c r="G5322" s="7">
        <v>59918.03179942394</v>
      </c>
      <c r="H5322" s="6">
        <v>258466.4165054484</v>
      </c>
      <c r="I5322" s="6" t="s">
        <v>180</v>
      </c>
      <c r="J5322" s="15">
        <v>12.43871031134531</v>
      </c>
    </row>
    <row r="5323" spans="1:10">
      <c r="A5323" s="6" t="s">
        <v>146</v>
      </c>
      <c r="B5323" s="6" t="s">
        <v>90</v>
      </c>
      <c r="C5323" s="6" t="s">
        <v>201</v>
      </c>
      <c r="D5323" s="6">
        <v>22.69891666666667</v>
      </c>
      <c r="E5323" s="6" t="s">
        <v>90</v>
      </c>
      <c r="F5323" s="6" t="s">
        <v>56</v>
      </c>
      <c r="G5323" s="7">
        <v>47784.13759688608</v>
      </c>
      <c r="H5323" s="6">
        <v>1084648.157300251</v>
      </c>
      <c r="I5323" s="6" t="s">
        <v>180</v>
      </c>
      <c r="J5323" s="15">
        <v>8.550729801966316</v>
      </c>
    </row>
    <row r="5324" spans="1:10">
      <c r="A5324" s="6" t="s">
        <v>146</v>
      </c>
      <c r="B5324" s="6" t="s">
        <v>90</v>
      </c>
      <c r="C5324" s="6" t="s">
        <v>202</v>
      </c>
      <c r="D5324" s="6">
        <v>247.3185833333333</v>
      </c>
      <c r="E5324" s="6" t="s">
        <v>90</v>
      </c>
      <c r="F5324" s="6" t="s">
        <v>54</v>
      </c>
      <c r="G5324" s="7">
        <v>97561.06954083586</v>
      </c>
      <c r="H5324" s="6">
        <v>24128665.50732434</v>
      </c>
      <c r="I5324" s="6" t="s">
        <v>179</v>
      </c>
      <c r="J5324" s="15">
        <v>17.88099969416268</v>
      </c>
    </row>
    <row r="5325" spans="1:10">
      <c r="A5325" s="6" t="s">
        <v>146</v>
      </c>
      <c r="B5325" s="6" t="s">
        <v>90</v>
      </c>
      <c r="C5325" s="6" t="s">
        <v>203</v>
      </c>
      <c r="D5325" s="6">
        <v>164.3901666666667</v>
      </c>
      <c r="E5325" s="6" t="s">
        <v>90</v>
      </c>
      <c r="F5325" s="6" t="s">
        <v>53</v>
      </c>
      <c r="G5325" s="7">
        <v>17844.00974373058</v>
      </c>
      <c r="H5325" s="6">
        <v>2933379.735773494</v>
      </c>
      <c r="I5325" s="6" t="s">
        <v>179</v>
      </c>
      <c r="J5325" s="15">
        <v>12</v>
      </c>
    </row>
    <row r="5326" spans="1:10">
      <c r="A5326" s="6" t="s">
        <v>146</v>
      </c>
      <c r="B5326" s="6" t="s">
        <v>90</v>
      </c>
      <c r="C5326" s="6" t="s">
        <v>204</v>
      </c>
      <c r="D5326" s="6">
        <v>807.5968333333334</v>
      </c>
      <c r="E5326" s="6" t="s">
        <v>90</v>
      </c>
      <c r="F5326" s="6" t="s">
        <v>51</v>
      </c>
      <c r="G5326" s="7">
        <v>48521.48309148364</v>
      </c>
      <c r="H5326" s="6">
        <v>39185796.09331907</v>
      </c>
      <c r="I5326" s="6" t="s">
        <v>179</v>
      </c>
      <c r="J5326" s="15">
        <v>44.48333333333333</v>
      </c>
    </row>
    <row r="5327" spans="1:10">
      <c r="A5327" s="6" t="s">
        <v>146</v>
      </c>
      <c r="B5327" s="6" t="s">
        <v>90</v>
      </c>
      <c r="C5327" s="6" t="s">
        <v>338</v>
      </c>
      <c r="D5327" s="6">
        <v>0.0795</v>
      </c>
      <c r="E5327" s="6" t="s">
        <v>90</v>
      </c>
      <c r="F5327" s="6" t="s">
        <v>52</v>
      </c>
      <c r="G5327" s="7">
        <v>59918.03179942394</v>
      </c>
      <c r="H5327" s="6">
        <v>4763.483528054203</v>
      </c>
      <c r="I5327" s="6" t="s">
        <v>180</v>
      </c>
      <c r="J5327" s="15">
        <v>12.43871031134531</v>
      </c>
    </row>
    <row r="5328" spans="1:10">
      <c r="A5328" s="6" t="s">
        <v>146</v>
      </c>
      <c r="B5328" s="6" t="s">
        <v>90</v>
      </c>
      <c r="C5328" s="6" t="s">
        <v>339</v>
      </c>
      <c r="D5328" s="6">
        <v>0.057</v>
      </c>
      <c r="E5328" s="6" t="s">
        <v>90</v>
      </c>
      <c r="F5328" s="6" t="s">
        <v>52</v>
      </c>
      <c r="G5328" s="7">
        <v>59918.03179942394</v>
      </c>
      <c r="H5328" s="6">
        <v>3415.327812567164</v>
      </c>
      <c r="I5328" s="6" t="s">
        <v>180</v>
      </c>
      <c r="J5328" s="15">
        <v>12.43871031134531</v>
      </c>
    </row>
    <row r="5329" spans="1:10">
      <c r="A5329" s="6" t="s">
        <v>146</v>
      </c>
      <c r="B5329" s="6" t="s">
        <v>90</v>
      </c>
      <c r="C5329" s="6" t="s">
        <v>205</v>
      </c>
      <c r="D5329" s="6">
        <v>56.71291666666667</v>
      </c>
      <c r="E5329" s="6" t="s">
        <v>90</v>
      </c>
      <c r="F5329" s="6" t="s">
        <v>56</v>
      </c>
      <c r="G5329" s="7">
        <v>54785.63728382858</v>
      </c>
      <c r="H5329" s="6">
        <v>3107053.281807997</v>
      </c>
      <c r="I5329" s="6" t="s">
        <v>180</v>
      </c>
      <c r="J5329" s="15">
        <v>10.79417233285323</v>
      </c>
    </row>
    <row r="5330" spans="1:10">
      <c r="A5330" s="6" t="s">
        <v>146</v>
      </c>
      <c r="B5330" s="6" t="s">
        <v>90</v>
      </c>
      <c r="C5330" s="6" t="s">
        <v>206</v>
      </c>
      <c r="D5330" s="6">
        <v>6.849416666666666</v>
      </c>
      <c r="E5330" s="6" t="s">
        <v>90</v>
      </c>
      <c r="F5330" s="6" t="s">
        <v>55</v>
      </c>
      <c r="G5330" s="7">
        <v>60123.96801866899</v>
      </c>
      <c r="H5330" s="6">
        <v>411814.108613205</v>
      </c>
      <c r="I5330" s="6" t="s">
        <v>180</v>
      </c>
      <c r="J5330" s="15">
        <v>12.5046970418405</v>
      </c>
    </row>
    <row r="5331" spans="1:10">
      <c r="A5331" s="6" t="s">
        <v>146</v>
      </c>
      <c r="B5331" s="6" t="s">
        <v>92</v>
      </c>
      <c r="C5331" s="6" t="s">
        <v>340</v>
      </c>
      <c r="D5331" s="6">
        <v>24.34158333333333</v>
      </c>
      <c r="E5331" s="6" t="s">
        <v>90</v>
      </c>
      <c r="F5331" s="6" t="s">
        <v>52</v>
      </c>
      <c r="G5331" s="7">
        <v>30591.57365130842</v>
      </c>
      <c r="H5331" s="6">
        <v>744647.3393311281</v>
      </c>
      <c r="I5331" s="6" t="s">
        <v>180</v>
      </c>
      <c r="J5331" s="15">
        <v>4.69377687961323</v>
      </c>
    </row>
    <row r="5332" spans="1:10">
      <c r="A5332" s="6" t="s">
        <v>146</v>
      </c>
      <c r="B5332" s="6" t="s">
        <v>90</v>
      </c>
      <c r="C5332" s="6" t="s">
        <v>207</v>
      </c>
      <c r="D5332" s="6">
        <v>0.2111666666666667</v>
      </c>
      <c r="E5332" s="6" t="s">
        <v>90</v>
      </c>
      <c r="F5332" s="6" t="s">
        <v>55</v>
      </c>
      <c r="G5332" s="7">
        <v>51379.92992151718</v>
      </c>
      <c r="H5332" s="6">
        <v>10849.72853509371</v>
      </c>
      <c r="I5332" s="6" t="s">
        <v>180</v>
      </c>
      <c r="J5332" s="15">
        <v>46</v>
      </c>
    </row>
    <row r="5333" spans="1:10">
      <c r="A5333" s="6" t="s">
        <v>146</v>
      </c>
      <c r="B5333" s="6" t="s">
        <v>90</v>
      </c>
      <c r="C5333" s="6" t="s">
        <v>208</v>
      </c>
      <c r="D5333" s="6">
        <v>3.447083333333333</v>
      </c>
      <c r="E5333" s="6" t="s">
        <v>90</v>
      </c>
      <c r="F5333" s="6" t="s">
        <v>51</v>
      </c>
      <c r="G5333" s="7">
        <v>50863.64364522683</v>
      </c>
      <c r="H5333" s="6">
        <v>175331.2182820673</v>
      </c>
      <c r="I5333" s="6" t="s">
        <v>180</v>
      </c>
      <c r="J5333" s="15">
        <v>49.81666666666667</v>
      </c>
    </row>
    <row r="5334" spans="1:10">
      <c r="A5334" s="6" t="s">
        <v>146</v>
      </c>
      <c r="B5334" s="6" t="s">
        <v>90</v>
      </c>
      <c r="C5334" s="6" t="s">
        <v>209</v>
      </c>
      <c r="D5334" s="6">
        <v>0.2245833333333333</v>
      </c>
      <c r="E5334" s="6" t="s">
        <v>90</v>
      </c>
      <c r="F5334" s="6" t="s">
        <v>57</v>
      </c>
      <c r="G5334" s="7">
        <v>49159.54940532756</v>
      </c>
      <c r="H5334" s="6">
        <v>11040.41547061315</v>
      </c>
      <c r="I5334" s="6" t="s">
        <v>180</v>
      </c>
      <c r="J5334" s="15">
        <v>8.991443575659162</v>
      </c>
    </row>
    <row r="5335" spans="1:10">
      <c r="A5335" s="6" t="s">
        <v>146</v>
      </c>
      <c r="B5335" s="6" t="s">
        <v>90</v>
      </c>
      <c r="C5335" s="6" t="s">
        <v>210</v>
      </c>
      <c r="D5335" s="6">
        <v>0.1821666666666667</v>
      </c>
      <c r="E5335" s="6" t="s">
        <v>90</v>
      </c>
      <c r="F5335" s="6" t="s">
        <v>53</v>
      </c>
      <c r="G5335" s="7">
        <v>33962.09735450833</v>
      </c>
      <c r="H5335" s="6">
        <v>6186.762068079602</v>
      </c>
      <c r="I5335" s="6" t="s">
        <v>180</v>
      </c>
      <c r="J5335" s="15">
        <v>12</v>
      </c>
    </row>
    <row r="5336" spans="1:10">
      <c r="A5336" s="6" t="s">
        <v>146</v>
      </c>
      <c r="B5336" s="6" t="s">
        <v>90</v>
      </c>
      <c r="C5336" s="6" t="s">
        <v>211</v>
      </c>
      <c r="D5336" s="6">
        <v>216.113</v>
      </c>
      <c r="E5336" s="6" t="s">
        <v>90</v>
      </c>
      <c r="F5336" s="6" t="s">
        <v>55</v>
      </c>
      <c r="G5336" s="7">
        <v>46692.76242695332</v>
      </c>
      <c r="H5336" s="6">
        <v>10090912.96637616</v>
      </c>
      <c r="I5336" s="6" t="s">
        <v>179</v>
      </c>
      <c r="J5336" s="15">
        <v>27.95</v>
      </c>
    </row>
    <row r="5337" spans="1:10">
      <c r="A5337" s="6" t="s">
        <v>146</v>
      </c>
      <c r="B5337" s="6" t="s">
        <v>90</v>
      </c>
      <c r="C5337" s="6" t="s">
        <v>212</v>
      </c>
      <c r="D5337" s="6">
        <v>28.14533333333333</v>
      </c>
      <c r="E5337" s="6" t="s">
        <v>90</v>
      </c>
      <c r="F5337" s="6" t="s">
        <v>55</v>
      </c>
      <c r="G5337" s="7">
        <v>50564.67204652241</v>
      </c>
      <c r="H5337" s="6">
        <v>1423159.549640055</v>
      </c>
      <c r="I5337" s="6" t="s">
        <v>179</v>
      </c>
      <c r="J5337" s="15">
        <v>30.11666666666667</v>
      </c>
    </row>
    <row r="5338" spans="1:10">
      <c r="A5338" s="6" t="s">
        <v>146</v>
      </c>
      <c r="B5338" s="6" t="s">
        <v>90</v>
      </c>
      <c r="C5338" s="6" t="s">
        <v>213</v>
      </c>
      <c r="D5338" s="6">
        <v>1.30775</v>
      </c>
      <c r="E5338" s="6" t="s">
        <v>90</v>
      </c>
      <c r="F5338" s="6" t="s">
        <v>52</v>
      </c>
      <c r="G5338" s="7">
        <v>87922.06742521108</v>
      </c>
      <c r="H5338" s="6">
        <v>114980.0836753198</v>
      </c>
      <c r="I5338" s="6" t="s">
        <v>179</v>
      </c>
      <c r="J5338" s="15">
        <v>49.5</v>
      </c>
    </row>
    <row r="5339" spans="1:10">
      <c r="A5339" s="6" t="s">
        <v>146</v>
      </c>
      <c r="B5339" s="6" t="s">
        <v>90</v>
      </c>
      <c r="C5339" s="6" t="s">
        <v>214</v>
      </c>
      <c r="D5339" s="6">
        <v>0.4549166666666666</v>
      </c>
      <c r="E5339" s="6" t="s">
        <v>90</v>
      </c>
      <c r="F5339" s="6" t="s">
        <v>53</v>
      </c>
      <c r="G5339" s="7">
        <v>29230.07315219457</v>
      </c>
      <c r="H5339" s="6">
        <v>13297.24744481918</v>
      </c>
      <c r="I5339" s="6" t="s">
        <v>179</v>
      </c>
      <c r="J5339" s="15">
        <v>27</v>
      </c>
    </row>
    <row r="5340" spans="1:10">
      <c r="A5340" s="6" t="s">
        <v>146</v>
      </c>
      <c r="B5340" s="6" t="s">
        <v>90</v>
      </c>
      <c r="C5340" s="6" t="s">
        <v>215</v>
      </c>
      <c r="D5340" s="6">
        <v>91.66666666666666</v>
      </c>
      <c r="E5340" s="6" t="s">
        <v>90</v>
      </c>
      <c r="F5340" s="6" t="s">
        <v>54</v>
      </c>
      <c r="G5340" s="7">
        <v>98451.26614065717</v>
      </c>
      <c r="H5340" s="6">
        <v>9024699.396226907</v>
      </c>
      <c r="I5340" s="6" t="s">
        <v>179</v>
      </c>
      <c r="J5340" s="15">
        <v>57.11666666666667</v>
      </c>
    </row>
    <row r="5341" spans="1:10">
      <c r="A5341" s="6" t="s">
        <v>146</v>
      </c>
      <c r="B5341" s="6" t="s">
        <v>90</v>
      </c>
      <c r="C5341" s="6" t="s">
        <v>216</v>
      </c>
      <c r="D5341" s="6">
        <v>1.65375</v>
      </c>
      <c r="E5341" s="6" t="s">
        <v>90</v>
      </c>
      <c r="F5341" s="6" t="s">
        <v>55</v>
      </c>
      <c r="G5341" s="7">
        <v>59347.09149684771</v>
      </c>
      <c r="H5341" s="6">
        <v>98145.2525629119</v>
      </c>
      <c r="I5341" s="6" t="s">
        <v>179</v>
      </c>
      <c r="J5341" s="15">
        <v>8.461003645555749</v>
      </c>
    </row>
    <row r="5342" spans="1:10">
      <c r="A5342" s="6" t="s">
        <v>146</v>
      </c>
      <c r="B5342" s="6" t="s">
        <v>90</v>
      </c>
      <c r="C5342" s="6" t="s">
        <v>341</v>
      </c>
      <c r="D5342" s="6">
        <v>0.271</v>
      </c>
      <c r="E5342" s="6" t="s">
        <v>90</v>
      </c>
      <c r="F5342" s="6" t="s">
        <v>52</v>
      </c>
      <c r="G5342" s="7">
        <v>59918.03179942394</v>
      </c>
      <c r="H5342" s="6">
        <v>16237.78661764389</v>
      </c>
      <c r="I5342" s="6" t="s">
        <v>180</v>
      </c>
      <c r="J5342" s="15">
        <v>12.43871031134531</v>
      </c>
    </row>
    <row r="5343" spans="1:10">
      <c r="A5343" s="6" t="s">
        <v>146</v>
      </c>
      <c r="B5343" s="6" t="s">
        <v>90</v>
      </c>
      <c r="C5343" s="6" t="s">
        <v>217</v>
      </c>
      <c r="D5343" s="6">
        <v>16.21591666666667</v>
      </c>
      <c r="E5343" s="6" t="s">
        <v>90</v>
      </c>
      <c r="F5343" s="6" t="s">
        <v>53</v>
      </c>
      <c r="G5343" s="7">
        <v>29595.99008532836</v>
      </c>
      <c r="H5343" s="6">
        <v>479926.1088911776</v>
      </c>
      <c r="I5343" s="6" t="s">
        <v>179</v>
      </c>
      <c r="J5343" s="15">
        <v>15</v>
      </c>
    </row>
    <row r="5344" spans="1:10">
      <c r="A5344" s="6" t="s">
        <v>146</v>
      </c>
      <c r="B5344" s="6" t="s">
        <v>90</v>
      </c>
      <c r="C5344" s="6" t="s">
        <v>218</v>
      </c>
      <c r="D5344" s="6">
        <v>0.4558333333333334</v>
      </c>
      <c r="E5344" s="6" t="s">
        <v>90</v>
      </c>
      <c r="F5344" s="6" t="s">
        <v>54</v>
      </c>
      <c r="G5344" s="7">
        <v>55803.8509311504</v>
      </c>
      <c r="H5344" s="6">
        <v>25437.25538278273</v>
      </c>
      <c r="I5344" s="6" t="s">
        <v>180</v>
      </c>
      <c r="J5344" s="15">
        <v>11.12043154931672</v>
      </c>
    </row>
    <row r="5345" spans="1:10">
      <c r="A5345" s="6" t="s">
        <v>146</v>
      </c>
      <c r="B5345" s="6" t="s">
        <v>90</v>
      </c>
      <c r="C5345" s="6" t="s">
        <v>219</v>
      </c>
      <c r="D5345" s="6">
        <v>43.862</v>
      </c>
      <c r="E5345" s="6" t="s">
        <v>90</v>
      </c>
      <c r="F5345" s="6" t="s">
        <v>51</v>
      </c>
      <c r="G5345" s="7">
        <v>51094.03428788485</v>
      </c>
      <c r="H5345" s="6">
        <v>2241086.531935205</v>
      </c>
      <c r="I5345" s="6" t="s">
        <v>180</v>
      </c>
      <c r="J5345" s="15">
        <v>34</v>
      </c>
    </row>
    <row r="5346" spans="1:10">
      <c r="A5346" s="6" t="s">
        <v>146</v>
      </c>
      <c r="B5346" s="6" t="s">
        <v>90</v>
      </c>
      <c r="C5346" s="6" t="s">
        <v>220</v>
      </c>
      <c r="D5346" s="6">
        <v>1.19925</v>
      </c>
      <c r="E5346" s="6" t="s">
        <v>90</v>
      </c>
      <c r="F5346" s="6" t="s">
        <v>57</v>
      </c>
      <c r="G5346" s="7">
        <v>53924.04503825644</v>
      </c>
      <c r="H5346" s="6">
        <v>64668.41101212903</v>
      </c>
      <c r="I5346" s="6" t="s">
        <v>179</v>
      </c>
      <c r="J5346" s="15">
        <v>7.538540506713255</v>
      </c>
    </row>
    <row r="5347" spans="1:10">
      <c r="A5347" s="6" t="s">
        <v>146</v>
      </c>
      <c r="B5347" s="6" t="s">
        <v>90</v>
      </c>
      <c r="C5347" s="6" t="s">
        <v>221</v>
      </c>
      <c r="D5347" s="6">
        <v>13.44641666666667</v>
      </c>
      <c r="E5347" s="6" t="s">
        <v>90</v>
      </c>
      <c r="F5347" s="6" t="s">
        <v>51</v>
      </c>
      <c r="G5347" s="7">
        <v>48425.8383555996</v>
      </c>
      <c r="H5347" s="6">
        <v>651153.9999620403</v>
      </c>
      <c r="I5347" s="6" t="s">
        <v>180</v>
      </c>
      <c r="J5347" s="15">
        <v>8.756345575524822</v>
      </c>
    </row>
    <row r="5348" spans="1:10">
      <c r="A5348" s="6" t="s">
        <v>146</v>
      </c>
      <c r="B5348" s="6" t="s">
        <v>90</v>
      </c>
      <c r="C5348" s="6" t="s">
        <v>222</v>
      </c>
      <c r="D5348" s="6">
        <v>0.1701666666666667</v>
      </c>
      <c r="E5348" s="6" t="s">
        <v>90</v>
      </c>
      <c r="F5348" s="6" t="s">
        <v>57</v>
      </c>
      <c r="G5348" s="7">
        <v>48262.84075043558</v>
      </c>
      <c r="H5348" s="6">
        <v>8212.726734365788</v>
      </c>
      <c r="I5348" s="6" t="s">
        <v>180</v>
      </c>
      <c r="J5348" s="15">
        <v>8.704117370681843</v>
      </c>
    </row>
    <row r="5349" spans="1:10">
      <c r="A5349" s="6" t="s">
        <v>146</v>
      </c>
      <c r="B5349" s="6" t="s">
        <v>90</v>
      </c>
      <c r="C5349" s="6" t="s">
        <v>342</v>
      </c>
      <c r="D5349" s="6">
        <v>9.646749999999999</v>
      </c>
      <c r="E5349" s="6" t="s">
        <v>90</v>
      </c>
      <c r="F5349" s="6" t="s">
        <v>53</v>
      </c>
      <c r="G5349" s="7">
        <v>31674.534542392</v>
      </c>
      <c r="H5349" s="6">
        <v>305556.3160968201</v>
      </c>
      <c r="I5349" s="6" t="s">
        <v>179</v>
      </c>
      <c r="J5349" s="15">
        <v>16</v>
      </c>
    </row>
    <row r="5350" spans="1:10">
      <c r="A5350" s="6" t="s">
        <v>146</v>
      </c>
      <c r="B5350" s="6" t="s">
        <v>90</v>
      </c>
      <c r="C5350" s="6" t="s">
        <v>223</v>
      </c>
      <c r="D5350" s="6">
        <v>35.832</v>
      </c>
      <c r="E5350" s="6" t="s">
        <v>90</v>
      </c>
      <c r="F5350" s="6" t="s">
        <v>53</v>
      </c>
      <c r="G5350" s="7">
        <v>25083.95562381905</v>
      </c>
      <c r="H5350" s="6">
        <v>898808.2979126842</v>
      </c>
      <c r="I5350" s="6" t="s">
        <v>179</v>
      </c>
      <c r="J5350" s="15">
        <v>13.5</v>
      </c>
    </row>
    <row r="5351" spans="1:10">
      <c r="A5351" s="6" t="s">
        <v>146</v>
      </c>
      <c r="B5351" s="6" t="s">
        <v>90</v>
      </c>
      <c r="C5351" s="6" t="s">
        <v>224</v>
      </c>
      <c r="D5351" s="6">
        <v>214.5294166666667</v>
      </c>
      <c r="E5351" s="6" t="s">
        <v>90</v>
      </c>
      <c r="F5351" s="6" t="s">
        <v>51</v>
      </c>
      <c r="G5351" s="7">
        <v>42799.40931898241</v>
      </c>
      <c r="H5351" s="6">
        <v>9181732.314879194</v>
      </c>
      <c r="I5351" s="6" t="s">
        <v>179</v>
      </c>
      <c r="J5351" s="15">
        <v>35.01666666666667</v>
      </c>
    </row>
    <row r="5352" spans="1:10">
      <c r="A5352" s="6" t="s">
        <v>146</v>
      </c>
      <c r="B5352" s="6" t="s">
        <v>90</v>
      </c>
      <c r="C5352" s="6" t="s">
        <v>225</v>
      </c>
      <c r="D5352" s="6">
        <v>0.0025</v>
      </c>
      <c r="E5352" s="6" t="s">
        <v>90</v>
      </c>
      <c r="F5352" s="6" t="s">
        <v>54</v>
      </c>
      <c r="G5352" s="7">
        <v>60801.11682439398</v>
      </c>
      <c r="H5352" s="6">
        <v>152.002792060985</v>
      </c>
      <c r="I5352" s="6" t="s">
        <v>180</v>
      </c>
      <c r="J5352" s="15">
        <v>12.72167119001276</v>
      </c>
    </row>
    <row r="5353" spans="1:10">
      <c r="A5353" s="6" t="s">
        <v>146</v>
      </c>
      <c r="B5353" s="6" t="s">
        <v>90</v>
      </c>
      <c r="C5353" s="6" t="s">
        <v>226</v>
      </c>
      <c r="D5353" s="6">
        <v>77.57266666666666</v>
      </c>
      <c r="E5353" s="6" t="s">
        <v>90</v>
      </c>
      <c r="F5353" s="6" t="s">
        <v>56</v>
      </c>
      <c r="G5353" s="7">
        <v>63445.86444387945</v>
      </c>
      <c r="H5353" s="6">
        <v>4921664.893883579</v>
      </c>
      <c r="I5353" s="6" t="s">
        <v>180</v>
      </c>
      <c r="J5353" s="15">
        <v>13.56910953298392</v>
      </c>
    </row>
    <row r="5354" spans="1:10">
      <c r="A5354" s="6" t="s">
        <v>146</v>
      </c>
      <c r="B5354" s="6" t="s">
        <v>90</v>
      </c>
      <c r="C5354" s="6" t="s">
        <v>344</v>
      </c>
      <c r="D5354" s="6">
        <v>2.162166666666667</v>
      </c>
      <c r="E5354" s="6" t="s">
        <v>90</v>
      </c>
      <c r="F5354" s="6" t="s">
        <v>52</v>
      </c>
      <c r="G5354" s="7">
        <v>59918.03179942394</v>
      </c>
      <c r="H5354" s="6">
        <v>129552.7710889878</v>
      </c>
      <c r="I5354" s="6" t="s">
        <v>180</v>
      </c>
      <c r="J5354" s="15">
        <v>12.43871031134531</v>
      </c>
    </row>
    <row r="5355" spans="1:10">
      <c r="A5355" s="6" t="s">
        <v>146</v>
      </c>
      <c r="B5355" s="6" t="s">
        <v>90</v>
      </c>
      <c r="C5355" s="6" t="s">
        <v>345</v>
      </c>
      <c r="D5355" s="6">
        <v>8.835416666666665</v>
      </c>
      <c r="E5355" s="6" t="s">
        <v>90</v>
      </c>
      <c r="F5355" s="6" t="s">
        <v>53</v>
      </c>
      <c r="G5355" s="7">
        <v>31666.61853090228</v>
      </c>
      <c r="H5355" s="6">
        <v>279787.7691449095</v>
      </c>
      <c r="I5355" s="6" t="s">
        <v>180</v>
      </c>
      <c r="J5355" s="15">
        <v>3.386303695878892</v>
      </c>
    </row>
    <row r="5356" spans="1:10">
      <c r="A5356" s="6" t="s">
        <v>146</v>
      </c>
      <c r="B5356" s="6" t="s">
        <v>90</v>
      </c>
      <c r="C5356" s="6" t="s">
        <v>227</v>
      </c>
      <c r="D5356" s="6">
        <v>19.96566666666666</v>
      </c>
      <c r="E5356" s="6" t="s">
        <v>90</v>
      </c>
      <c r="F5356" s="6" t="s">
        <v>57</v>
      </c>
      <c r="G5356" s="7">
        <v>55105.68966338142</v>
      </c>
      <c r="H5356" s="6">
        <v>1100221.831255852</v>
      </c>
      <c r="I5356" s="6" t="s">
        <v>179</v>
      </c>
      <c r="J5356" s="15">
        <v>105.6833333333333</v>
      </c>
    </row>
    <row r="5357" spans="1:10">
      <c r="A5357" s="6" t="s">
        <v>146</v>
      </c>
      <c r="B5357" s="6" t="s">
        <v>90</v>
      </c>
      <c r="C5357" s="6" t="s">
        <v>228</v>
      </c>
      <c r="D5357" s="6">
        <v>25.45341666666667</v>
      </c>
      <c r="E5357" s="6" t="s">
        <v>90</v>
      </c>
      <c r="F5357" s="6" t="s">
        <v>51</v>
      </c>
      <c r="G5357" s="7">
        <v>55221.41986499156</v>
      </c>
      <c r="H5357" s="6">
        <v>1405573.808748574</v>
      </c>
      <c r="I5357" s="6" t="s">
        <v>180</v>
      </c>
      <c r="J5357" s="15">
        <v>10.933807156893</v>
      </c>
    </row>
    <row r="5358" spans="1:10">
      <c r="A5358" s="6" t="s">
        <v>146</v>
      </c>
      <c r="B5358" s="6" t="s">
        <v>90</v>
      </c>
      <c r="C5358" s="6" t="s">
        <v>229</v>
      </c>
      <c r="D5358" s="6">
        <v>11.99041666666667</v>
      </c>
      <c r="E5358" s="6" t="s">
        <v>90</v>
      </c>
      <c r="F5358" s="6" t="s">
        <v>53</v>
      </c>
      <c r="G5358" s="7">
        <v>33699.99337319762</v>
      </c>
      <c r="H5358" s="6">
        <v>404076.962208545</v>
      </c>
      <c r="I5358" s="6" t="s">
        <v>180</v>
      </c>
      <c r="J5358" s="15">
        <v>4.037844052432551</v>
      </c>
    </row>
    <row r="5359" spans="1:10">
      <c r="A5359" s="6" t="s">
        <v>146</v>
      </c>
      <c r="B5359" s="6" t="s">
        <v>90</v>
      </c>
      <c r="C5359" s="6" t="s">
        <v>367</v>
      </c>
      <c r="D5359" s="6">
        <v>1.402083333333333</v>
      </c>
      <c r="E5359" s="6" t="s">
        <v>90</v>
      </c>
      <c r="F5359" s="6" t="s">
        <v>55</v>
      </c>
      <c r="G5359" s="7">
        <v>58813.07473894906</v>
      </c>
      <c r="H5359" s="6">
        <v>82460.83187356817</v>
      </c>
      <c r="I5359" s="6" t="s">
        <v>180</v>
      </c>
      <c r="J5359" s="15">
        <v>12.08465649786073</v>
      </c>
    </row>
    <row r="5360" spans="1:10">
      <c r="A5360" s="6" t="s">
        <v>146</v>
      </c>
      <c r="B5360" s="6" t="s">
        <v>90</v>
      </c>
      <c r="C5360" s="6" t="s">
        <v>230</v>
      </c>
      <c r="D5360" s="6">
        <v>27.72475</v>
      </c>
      <c r="E5360" s="6" t="s">
        <v>90</v>
      </c>
      <c r="F5360" s="6" t="s">
        <v>53</v>
      </c>
      <c r="G5360" s="7">
        <v>26357.64880300622</v>
      </c>
      <c r="H5360" s="6">
        <v>730759.2236511466</v>
      </c>
      <c r="I5360" s="6" t="s">
        <v>179</v>
      </c>
      <c r="J5360" s="15">
        <v>20</v>
      </c>
    </row>
    <row r="5361" spans="1:10">
      <c r="A5361" s="6" t="s">
        <v>146</v>
      </c>
      <c r="B5361" s="6" t="s">
        <v>90</v>
      </c>
      <c r="C5361" s="6" t="s">
        <v>378</v>
      </c>
      <c r="D5361" s="6">
        <v>2.450333333333333</v>
      </c>
      <c r="E5361" s="6" t="s">
        <v>90</v>
      </c>
      <c r="F5361" s="6" t="s">
        <v>51</v>
      </c>
      <c r="G5361" s="7">
        <v>53573.36913713455</v>
      </c>
      <c r="H5361" s="6">
        <v>131272.612175692</v>
      </c>
      <c r="I5361" s="6" t="s">
        <v>180</v>
      </c>
      <c r="J5361" s="15">
        <v>10.40573356391279</v>
      </c>
    </row>
    <row r="5362" spans="1:10">
      <c r="A5362" s="6" t="s">
        <v>146</v>
      </c>
      <c r="B5362" s="6" t="s">
        <v>90</v>
      </c>
      <c r="C5362" s="6" t="s">
        <v>231</v>
      </c>
      <c r="D5362" s="6">
        <v>0.07516666666666667</v>
      </c>
      <c r="E5362" s="6" t="s">
        <v>90</v>
      </c>
      <c r="F5362" s="6" t="s">
        <v>52</v>
      </c>
      <c r="G5362" s="7">
        <v>82232.89172108902</v>
      </c>
      <c r="H5362" s="6">
        <v>6181.172361035192</v>
      </c>
      <c r="I5362" s="6" t="s">
        <v>179</v>
      </c>
      <c r="J5362" s="15">
        <v>52</v>
      </c>
    </row>
    <row r="5363" spans="1:10">
      <c r="A5363" s="6" t="s">
        <v>146</v>
      </c>
      <c r="B5363" s="6" t="s">
        <v>90</v>
      </c>
      <c r="C5363" s="6" t="s">
        <v>346</v>
      </c>
      <c r="D5363" s="6">
        <v>0.08033333333333333</v>
      </c>
      <c r="E5363" s="6" t="s">
        <v>90</v>
      </c>
      <c r="F5363" s="6" t="s">
        <v>52</v>
      </c>
      <c r="G5363" s="7">
        <v>91163.5527628312</v>
      </c>
      <c r="H5363" s="6">
        <v>7323.472071947439</v>
      </c>
      <c r="I5363" s="6" t="s">
        <v>179</v>
      </c>
      <c r="J5363" s="15">
        <v>48.5</v>
      </c>
    </row>
    <row r="5364" spans="1:10">
      <c r="A5364" s="6" t="s">
        <v>146</v>
      </c>
      <c r="B5364" s="6" t="s">
        <v>90</v>
      </c>
      <c r="C5364" s="6" t="s">
        <v>232</v>
      </c>
      <c r="D5364" s="6">
        <v>5.913</v>
      </c>
      <c r="E5364" s="6" t="s">
        <v>90</v>
      </c>
      <c r="F5364" s="6" t="s">
        <v>51</v>
      </c>
      <c r="G5364" s="7">
        <v>49666.97485574454</v>
      </c>
      <c r="H5364" s="6">
        <v>293680.8223220175</v>
      </c>
      <c r="I5364" s="6" t="s">
        <v>180</v>
      </c>
      <c r="J5364" s="15">
        <v>9.154034432992617</v>
      </c>
    </row>
    <row r="5365" spans="1:10">
      <c r="A5365" s="6" t="s">
        <v>146</v>
      </c>
      <c r="B5365" s="6" t="s">
        <v>90</v>
      </c>
      <c r="C5365" s="6" t="s">
        <v>233</v>
      </c>
      <c r="D5365" s="6">
        <v>15.01383333333333</v>
      </c>
      <c r="E5365" s="6" t="s">
        <v>90</v>
      </c>
      <c r="F5365" s="6" t="s">
        <v>59</v>
      </c>
      <c r="G5365" s="7">
        <v>45010.3800065543</v>
      </c>
      <c r="H5365" s="6">
        <v>675778.3436884051</v>
      </c>
      <c r="I5365" s="6" t="s">
        <v>179</v>
      </c>
      <c r="J5365" s="15">
        <v>30.75</v>
      </c>
    </row>
    <row r="5366" spans="1:10">
      <c r="A5366" s="6" t="s">
        <v>146</v>
      </c>
      <c r="B5366" s="6" t="s">
        <v>86</v>
      </c>
      <c r="C5366" s="6" t="s">
        <v>234</v>
      </c>
      <c r="D5366" s="6">
        <v>64.4825</v>
      </c>
      <c r="E5366" s="6" t="s">
        <v>90</v>
      </c>
      <c r="F5366" s="6" t="s">
        <v>56</v>
      </c>
      <c r="G5366" s="7">
        <v>61798.18645536575</v>
      </c>
      <c r="H5366" s="6">
        <v>3984901.558108122</v>
      </c>
      <c r="I5366" s="6" t="s">
        <v>179</v>
      </c>
      <c r="J5366" s="15">
        <v>49</v>
      </c>
    </row>
    <row r="5367" spans="1:10">
      <c r="A5367" s="6" t="s">
        <v>146</v>
      </c>
      <c r="B5367" s="6" t="s">
        <v>90</v>
      </c>
      <c r="C5367" s="6" t="s">
        <v>235</v>
      </c>
      <c r="D5367" s="6">
        <v>0.08866666666666669</v>
      </c>
      <c r="E5367" s="6" t="s">
        <v>90</v>
      </c>
      <c r="F5367" s="6" t="s">
        <v>53</v>
      </c>
      <c r="G5367" s="7">
        <v>35566.8159439669</v>
      </c>
      <c r="H5367" s="6">
        <v>3153.591013698399</v>
      </c>
      <c r="I5367" s="6" t="s">
        <v>180</v>
      </c>
      <c r="J5367" s="15">
        <v>38</v>
      </c>
    </row>
    <row r="5368" spans="1:10">
      <c r="A5368" s="6" t="s">
        <v>146</v>
      </c>
      <c r="B5368" s="6" t="s">
        <v>90</v>
      </c>
      <c r="C5368" s="6" t="s">
        <v>236</v>
      </c>
      <c r="D5368" s="6">
        <v>187.33075</v>
      </c>
      <c r="E5368" s="6" t="s">
        <v>90</v>
      </c>
      <c r="F5368" s="6" t="s">
        <v>51</v>
      </c>
      <c r="G5368" s="7">
        <v>47804.16828302459</v>
      </c>
      <c r="H5368" s="6">
        <v>8955190.69758521</v>
      </c>
      <c r="I5368" s="6" t="s">
        <v>179</v>
      </c>
      <c r="J5368" s="15">
        <v>46.93333333333333</v>
      </c>
    </row>
    <row r="5369" spans="1:10">
      <c r="A5369" s="6" t="s">
        <v>146</v>
      </c>
      <c r="B5369" s="6" t="s">
        <v>90</v>
      </c>
      <c r="C5369" s="6" t="s">
        <v>237</v>
      </c>
      <c r="D5369" s="6">
        <v>10.8365</v>
      </c>
      <c r="E5369" s="6" t="s">
        <v>90</v>
      </c>
      <c r="F5369" s="6" t="s">
        <v>51</v>
      </c>
      <c r="G5369" s="7">
        <v>53666.69833269802</v>
      </c>
      <c r="H5369" s="6">
        <v>581559.176482282</v>
      </c>
      <c r="I5369" s="6" t="s">
        <v>180</v>
      </c>
      <c r="J5369" s="15">
        <v>10.43563839802869</v>
      </c>
    </row>
    <row r="5370" spans="1:10">
      <c r="A5370" s="6" t="s">
        <v>146</v>
      </c>
      <c r="B5370" s="6" t="s">
        <v>90</v>
      </c>
      <c r="C5370" s="6" t="s">
        <v>238</v>
      </c>
      <c r="D5370" s="6">
        <v>10.2735</v>
      </c>
      <c r="E5370" s="6" t="s">
        <v>90</v>
      </c>
      <c r="F5370" s="6" t="s">
        <v>51</v>
      </c>
      <c r="G5370" s="7">
        <v>51511.99694495334</v>
      </c>
      <c r="H5370" s="6">
        <v>529208.500613978</v>
      </c>
      <c r="I5370" s="6" t="s">
        <v>180</v>
      </c>
      <c r="J5370" s="15">
        <v>9.745222208531091</v>
      </c>
    </row>
    <row r="5371" spans="1:10">
      <c r="A5371" s="6" t="s">
        <v>146</v>
      </c>
      <c r="B5371" s="6" t="s">
        <v>90</v>
      </c>
      <c r="C5371" s="6" t="s">
        <v>239</v>
      </c>
      <c r="D5371" s="6">
        <v>31.68366666666666</v>
      </c>
      <c r="E5371" s="6" t="s">
        <v>90</v>
      </c>
      <c r="F5371" s="6" t="s">
        <v>54</v>
      </c>
      <c r="G5371" s="7">
        <v>77876.19751626256</v>
      </c>
      <c r="H5371" s="6">
        <v>2467403.483372757</v>
      </c>
      <c r="I5371" s="6" t="s">
        <v>179</v>
      </c>
      <c r="J5371" s="15">
        <v>17.61605692581799</v>
      </c>
    </row>
    <row r="5372" spans="1:10">
      <c r="A5372" s="6" t="s">
        <v>146</v>
      </c>
      <c r="B5372" s="6" t="s">
        <v>90</v>
      </c>
      <c r="C5372" s="6" t="s">
        <v>379</v>
      </c>
      <c r="D5372" s="6">
        <v>0.5156666666666667</v>
      </c>
      <c r="E5372" s="6" t="s">
        <v>90</v>
      </c>
      <c r="F5372" s="6" t="s">
        <v>51</v>
      </c>
      <c r="G5372" s="7">
        <v>72453.65556637621</v>
      </c>
      <c r="H5372" s="6">
        <v>37361.935053728</v>
      </c>
      <c r="I5372" s="6" t="s">
        <v>180</v>
      </c>
      <c r="J5372" s="15">
        <v>16.45541427013083</v>
      </c>
    </row>
    <row r="5373" spans="1:10">
      <c r="A5373" s="6" t="s">
        <v>146</v>
      </c>
      <c r="B5373" s="6" t="s">
        <v>90</v>
      </c>
      <c r="C5373" s="6" t="s">
        <v>368</v>
      </c>
      <c r="D5373" s="6">
        <v>0.39225</v>
      </c>
      <c r="E5373" s="6" t="s">
        <v>90</v>
      </c>
      <c r="F5373" s="6" t="s">
        <v>55</v>
      </c>
      <c r="G5373" s="7">
        <v>58353.01421955921</v>
      </c>
      <c r="H5373" s="6">
        <v>22888.9698276221</v>
      </c>
      <c r="I5373" s="6" t="s">
        <v>180</v>
      </c>
      <c r="J5373" s="15">
        <v>11.93724246056441</v>
      </c>
    </row>
    <row r="5374" spans="1:10">
      <c r="A5374" s="6" t="s">
        <v>146</v>
      </c>
      <c r="B5374" s="6" t="s">
        <v>90</v>
      </c>
      <c r="C5374" s="6" t="s">
        <v>240</v>
      </c>
      <c r="D5374" s="6">
        <v>2.793166666666667</v>
      </c>
      <c r="E5374" s="6" t="s">
        <v>90</v>
      </c>
      <c r="F5374" s="6" t="s">
        <v>51</v>
      </c>
      <c r="G5374" s="7">
        <v>52330.78471449605</v>
      </c>
      <c r="H5374" s="6">
        <v>146168.6035050399</v>
      </c>
      <c r="I5374" s="6" t="s">
        <v>180</v>
      </c>
      <c r="J5374" s="15">
        <v>42</v>
      </c>
    </row>
    <row r="5375" spans="1:10">
      <c r="A5375" s="6" t="s">
        <v>146</v>
      </c>
      <c r="B5375" s="6" t="s">
        <v>90</v>
      </c>
      <c r="C5375" s="6" t="s">
        <v>241</v>
      </c>
      <c r="D5375" s="6">
        <v>8.33075</v>
      </c>
      <c r="E5375" s="6" t="s">
        <v>90</v>
      </c>
      <c r="F5375" s="6" t="s">
        <v>53</v>
      </c>
      <c r="G5375" s="7">
        <v>26388.49277067184</v>
      </c>
      <c r="H5375" s="6">
        <v>219835.9361492744</v>
      </c>
      <c r="I5375" s="6" t="s">
        <v>179</v>
      </c>
      <c r="J5375" s="15">
        <v>14.36666666666667</v>
      </c>
    </row>
    <row r="5376" spans="1:10">
      <c r="A5376" s="6" t="s">
        <v>146</v>
      </c>
      <c r="B5376" s="6" t="s">
        <v>90</v>
      </c>
      <c r="C5376" s="6" t="s">
        <v>242</v>
      </c>
      <c r="D5376" s="6">
        <v>89.46600000000001</v>
      </c>
      <c r="E5376" s="6" t="s">
        <v>90</v>
      </c>
      <c r="F5376" s="6" t="s">
        <v>56</v>
      </c>
      <c r="G5376" s="7">
        <v>48613.69532428356</v>
      </c>
      <c r="H5376" s="6">
        <v>4349272.865882353</v>
      </c>
      <c r="I5376" s="6" t="s">
        <v>179</v>
      </c>
      <c r="J5376" s="15">
        <v>6.75</v>
      </c>
    </row>
    <row r="5377" spans="1:10">
      <c r="A5377" s="6" t="s">
        <v>146</v>
      </c>
      <c r="B5377" s="6" t="s">
        <v>90</v>
      </c>
      <c r="C5377" s="6" t="s">
        <v>243</v>
      </c>
      <c r="D5377" s="6">
        <v>0.12825</v>
      </c>
      <c r="E5377" s="6" t="s">
        <v>90</v>
      </c>
      <c r="F5377" s="6" t="s">
        <v>58</v>
      </c>
      <c r="G5377" s="7">
        <v>63812.70248767162</v>
      </c>
      <c r="H5377" s="6">
        <v>8183.979094043886</v>
      </c>
      <c r="I5377" s="6" t="s">
        <v>180</v>
      </c>
      <c r="J5377" s="15">
        <v>13.68665293171113</v>
      </c>
    </row>
    <row r="5378" spans="1:10">
      <c r="A5378" s="6" t="s">
        <v>146</v>
      </c>
      <c r="B5378" s="6" t="s">
        <v>90</v>
      </c>
      <c r="C5378" s="6" t="s">
        <v>369</v>
      </c>
      <c r="D5378" s="6">
        <v>0.8271666666666667</v>
      </c>
      <c r="E5378" s="6" t="s">
        <v>90</v>
      </c>
      <c r="F5378" s="6" t="s">
        <v>55</v>
      </c>
      <c r="G5378" s="7">
        <v>58207.75837622919</v>
      </c>
      <c r="H5378" s="6">
        <v>48147.51747020425</v>
      </c>
      <c r="I5378" s="6" t="s">
        <v>180</v>
      </c>
      <c r="J5378" s="15">
        <v>11.89069912679919</v>
      </c>
    </row>
    <row r="5379" spans="1:10">
      <c r="A5379" s="6" t="s">
        <v>146</v>
      </c>
      <c r="B5379" s="6" t="s">
        <v>90</v>
      </c>
      <c r="C5379" s="6" t="s">
        <v>244</v>
      </c>
      <c r="D5379" s="6">
        <v>4.35575</v>
      </c>
      <c r="E5379" s="6" t="s">
        <v>90</v>
      </c>
      <c r="F5379" s="6" t="s">
        <v>55</v>
      </c>
      <c r="G5379" s="7">
        <v>56778.78135882129</v>
      </c>
      <c r="H5379" s="6">
        <v>247314.1769036858</v>
      </c>
      <c r="I5379" s="6" t="s">
        <v>180</v>
      </c>
      <c r="J5379" s="15">
        <v>11.43282182052843</v>
      </c>
    </row>
    <row r="5380" spans="1:10">
      <c r="A5380" s="6" t="s">
        <v>146</v>
      </c>
      <c r="B5380" s="6" t="s">
        <v>90</v>
      </c>
      <c r="C5380" s="6" t="s">
        <v>245</v>
      </c>
      <c r="D5380" s="6">
        <v>3.313</v>
      </c>
      <c r="E5380" s="6" t="s">
        <v>90</v>
      </c>
      <c r="F5380" s="6" t="s">
        <v>53</v>
      </c>
      <c r="G5380" s="7">
        <v>15981.96816829709</v>
      </c>
      <c r="H5380" s="6">
        <v>52948.26054156827</v>
      </c>
      <c r="I5380" s="6" t="s">
        <v>179</v>
      </c>
      <c r="J5380" s="15">
        <v>38</v>
      </c>
    </row>
    <row r="5381" spans="1:10">
      <c r="A5381" s="6" t="s">
        <v>146</v>
      </c>
      <c r="B5381" s="6" t="s">
        <v>90</v>
      </c>
      <c r="C5381" s="6" t="s">
        <v>246</v>
      </c>
      <c r="D5381" s="6">
        <v>0.05258333333333334</v>
      </c>
      <c r="E5381" s="6" t="s">
        <v>90</v>
      </c>
      <c r="F5381" s="6" t="s">
        <v>53</v>
      </c>
      <c r="G5381" s="7">
        <v>33731.16398827116</v>
      </c>
      <c r="H5381" s="6">
        <v>1773.697039716592</v>
      </c>
      <c r="I5381" s="6" t="s">
        <v>180</v>
      </c>
      <c r="J5381" s="15">
        <v>34.44166666666666</v>
      </c>
    </row>
    <row r="5382" spans="1:10">
      <c r="A5382" s="6" t="s">
        <v>146</v>
      </c>
      <c r="B5382" s="6" t="s">
        <v>90</v>
      </c>
      <c r="C5382" s="6" t="s">
        <v>348</v>
      </c>
      <c r="D5382" s="6">
        <v>11.79933333333333</v>
      </c>
      <c r="E5382" s="6" t="s">
        <v>90</v>
      </c>
      <c r="F5382" s="6" t="s">
        <v>52</v>
      </c>
      <c r="G5382" s="7">
        <v>84173.86100654831</v>
      </c>
      <c r="H5382" s="6">
        <v>993195.4439699324</v>
      </c>
      <c r="I5382" s="6" t="s">
        <v>179</v>
      </c>
      <c r="J5382" s="15">
        <v>51</v>
      </c>
    </row>
    <row r="5383" spans="1:10">
      <c r="A5383" s="6" t="s">
        <v>146</v>
      </c>
      <c r="B5383" s="6" t="s">
        <v>90</v>
      </c>
      <c r="C5383" s="6" t="s">
        <v>247</v>
      </c>
      <c r="D5383" s="6">
        <v>66.07166666666666</v>
      </c>
      <c r="E5383" s="6" t="s">
        <v>90</v>
      </c>
      <c r="F5383" s="6" t="s">
        <v>51</v>
      </c>
      <c r="G5383" s="7">
        <v>47607.91710069619</v>
      </c>
      <c r="H5383" s="6">
        <v>3145534.429371498</v>
      </c>
      <c r="I5383" s="6" t="s">
        <v>179</v>
      </c>
      <c r="J5383" s="15">
        <v>22.81666666666667</v>
      </c>
    </row>
    <row r="5384" spans="1:10">
      <c r="A5384" s="6" t="s">
        <v>146</v>
      </c>
      <c r="B5384" s="6" t="s">
        <v>90</v>
      </c>
      <c r="C5384" s="6" t="s">
        <v>248</v>
      </c>
      <c r="D5384" s="6">
        <v>15.5335</v>
      </c>
      <c r="E5384" s="6" t="s">
        <v>90</v>
      </c>
      <c r="F5384" s="6" t="s">
        <v>55</v>
      </c>
      <c r="G5384" s="7">
        <v>105730.4534899073</v>
      </c>
      <c r="H5384" s="6">
        <v>1642363.999285476</v>
      </c>
      <c r="I5384" s="6" t="s">
        <v>179</v>
      </c>
      <c r="J5384" s="15">
        <v>62</v>
      </c>
    </row>
    <row r="5385" spans="1:10">
      <c r="A5385" s="6" t="s">
        <v>146</v>
      </c>
      <c r="B5385" s="6" t="s">
        <v>90</v>
      </c>
      <c r="C5385" s="6" t="s">
        <v>249</v>
      </c>
      <c r="D5385" s="6">
        <v>42.2025</v>
      </c>
      <c r="E5385" s="6" t="s">
        <v>90</v>
      </c>
      <c r="F5385" s="6" t="s">
        <v>53</v>
      </c>
      <c r="G5385" s="7">
        <v>24606.21147932586</v>
      </c>
      <c r="H5385" s="6">
        <v>1038443.63995625</v>
      </c>
      <c r="I5385" s="6" t="s">
        <v>179</v>
      </c>
      <c r="J5385" s="15">
        <v>18</v>
      </c>
    </row>
    <row r="5386" spans="1:10">
      <c r="A5386" s="6" t="s">
        <v>146</v>
      </c>
      <c r="B5386" s="6" t="s">
        <v>90</v>
      </c>
      <c r="C5386" s="6" t="s">
        <v>351</v>
      </c>
      <c r="D5386" s="6">
        <v>1.561166666666667</v>
      </c>
      <c r="E5386" s="6" t="s">
        <v>90</v>
      </c>
      <c r="F5386" s="6" t="s">
        <v>53</v>
      </c>
      <c r="G5386" s="7">
        <v>38920.81072942021</v>
      </c>
      <c r="H5386" s="6">
        <v>60761.87235041318</v>
      </c>
      <c r="I5386" s="6" t="s">
        <v>180</v>
      </c>
      <c r="J5386" s="15">
        <v>57</v>
      </c>
    </row>
    <row r="5387" spans="1:10">
      <c r="A5387" s="6" t="s">
        <v>146</v>
      </c>
      <c r="B5387" s="6" t="s">
        <v>90</v>
      </c>
      <c r="C5387" s="6" t="s">
        <v>352</v>
      </c>
      <c r="D5387" s="6">
        <v>6.905833333333334</v>
      </c>
      <c r="E5387" s="6" t="s">
        <v>90</v>
      </c>
      <c r="F5387" s="6" t="s">
        <v>52</v>
      </c>
      <c r="G5387" s="7">
        <v>59918.03179942394</v>
      </c>
      <c r="H5387" s="6">
        <v>413783.9412681885</v>
      </c>
      <c r="I5387" s="6" t="s">
        <v>180</v>
      </c>
      <c r="J5387" s="15">
        <v>12.43871031134531</v>
      </c>
    </row>
    <row r="5388" spans="1:10">
      <c r="A5388" s="6" t="s">
        <v>146</v>
      </c>
      <c r="B5388" s="6" t="s">
        <v>90</v>
      </c>
      <c r="C5388" s="6" t="s">
        <v>250</v>
      </c>
      <c r="D5388" s="6">
        <v>3.101333333333333</v>
      </c>
      <c r="E5388" s="6" t="s">
        <v>90</v>
      </c>
      <c r="F5388" s="6" t="s">
        <v>55</v>
      </c>
      <c r="G5388" s="7">
        <v>63627.67337809179</v>
      </c>
      <c r="H5388" s="6">
        <v>197330.624369922</v>
      </c>
      <c r="I5388" s="6" t="s">
        <v>180</v>
      </c>
      <c r="J5388" s="15">
        <v>13.62736532299243</v>
      </c>
    </row>
    <row r="5389" spans="1:10">
      <c r="A5389" s="6" t="s">
        <v>146</v>
      </c>
      <c r="B5389" s="6" t="s">
        <v>90</v>
      </c>
      <c r="C5389" s="6" t="s">
        <v>251</v>
      </c>
      <c r="D5389" s="6">
        <v>1.002666666666667</v>
      </c>
      <c r="E5389" s="6" t="s">
        <v>90</v>
      </c>
      <c r="F5389" s="6" t="s">
        <v>53</v>
      </c>
      <c r="G5389" s="7">
        <v>23642.19568206914</v>
      </c>
      <c r="H5389" s="6">
        <v>23705.24153722133</v>
      </c>
      <c r="I5389" s="6" t="s">
        <v>179</v>
      </c>
      <c r="J5389" s="15">
        <v>18.675</v>
      </c>
    </row>
    <row r="5390" spans="1:10">
      <c r="A5390" s="6" t="s">
        <v>146</v>
      </c>
      <c r="B5390" s="6" t="s">
        <v>90</v>
      </c>
      <c r="C5390" s="6" t="s">
        <v>252</v>
      </c>
      <c r="D5390" s="6">
        <v>8.4575</v>
      </c>
      <c r="E5390" s="6" t="s">
        <v>90</v>
      </c>
      <c r="F5390" s="6" t="s">
        <v>57</v>
      </c>
      <c r="G5390" s="7">
        <v>42694.47301830137</v>
      </c>
      <c r="H5390" s="6">
        <v>361088.5055522838</v>
      </c>
      <c r="I5390" s="6" t="s">
        <v>180</v>
      </c>
      <c r="J5390" s="15">
        <v>6.919883484163813</v>
      </c>
    </row>
    <row r="5391" spans="1:10">
      <c r="A5391" s="6" t="s">
        <v>146</v>
      </c>
      <c r="B5391" s="6" t="s">
        <v>90</v>
      </c>
      <c r="C5391" s="6" t="s">
        <v>253</v>
      </c>
      <c r="D5391" s="6">
        <v>16.84533333333333</v>
      </c>
      <c r="E5391" s="6" t="s">
        <v>90</v>
      </c>
      <c r="F5391" s="6" t="s">
        <v>53</v>
      </c>
      <c r="G5391" s="7">
        <v>32446.79249986879</v>
      </c>
      <c r="H5391" s="6">
        <v>546577.0352577897</v>
      </c>
      <c r="I5391" s="6" t="s">
        <v>179</v>
      </c>
      <c r="J5391" s="15">
        <v>16</v>
      </c>
    </row>
    <row r="5392" spans="1:10">
      <c r="A5392" s="6" t="s">
        <v>146</v>
      </c>
      <c r="B5392" s="6" t="s">
        <v>86</v>
      </c>
      <c r="C5392" s="6" t="s">
        <v>353</v>
      </c>
      <c r="D5392" s="6">
        <v>0.0495</v>
      </c>
      <c r="E5392" s="6" t="s">
        <v>90</v>
      </c>
      <c r="F5392" s="6" t="s">
        <v>62</v>
      </c>
      <c r="G5392" s="7">
        <v>81005.34654028571</v>
      </c>
      <c r="H5392" s="6">
        <v>4009.764653744142</v>
      </c>
      <c r="I5392" s="6" t="s">
        <v>179</v>
      </c>
      <c r="J5392" s="15">
        <v>102.3</v>
      </c>
    </row>
    <row r="5393" spans="1:10">
      <c r="A5393" s="6" t="s">
        <v>146</v>
      </c>
      <c r="B5393" s="6" t="s">
        <v>90</v>
      </c>
      <c r="C5393" s="6" t="s">
        <v>254</v>
      </c>
      <c r="D5393" s="6">
        <v>0.4480833333333334</v>
      </c>
      <c r="E5393" s="6" t="s">
        <v>90</v>
      </c>
      <c r="F5393" s="6" t="s">
        <v>51</v>
      </c>
      <c r="G5393" s="7">
        <v>50623.2876601551</v>
      </c>
      <c r="H5393" s="6">
        <v>22683.4514790545</v>
      </c>
      <c r="I5393" s="6" t="s">
        <v>180</v>
      </c>
      <c r="J5393" s="15">
        <v>9.460459186856067</v>
      </c>
    </row>
    <row r="5394" spans="1:10">
      <c r="A5394" s="6" t="s">
        <v>146</v>
      </c>
      <c r="B5394" s="6" t="s">
        <v>90</v>
      </c>
      <c r="C5394" s="6" t="s">
        <v>255</v>
      </c>
      <c r="D5394" s="6">
        <v>1.785916666666667</v>
      </c>
      <c r="E5394" s="6" t="s">
        <v>90</v>
      </c>
      <c r="F5394" s="6" t="s">
        <v>51</v>
      </c>
      <c r="G5394" s="7">
        <v>70751.8805274951</v>
      </c>
      <c r="H5394" s="6">
        <v>126356.9626320623</v>
      </c>
      <c r="I5394" s="6" t="s">
        <v>180</v>
      </c>
      <c r="J5394" s="15">
        <v>15.91012616459143</v>
      </c>
    </row>
    <row r="5395" spans="1:10">
      <c r="A5395" s="6" t="s">
        <v>146</v>
      </c>
      <c r="B5395" s="6" t="s">
        <v>90</v>
      </c>
      <c r="C5395" s="6" t="s">
        <v>256</v>
      </c>
      <c r="D5395" s="6">
        <v>0.1334166666666667</v>
      </c>
      <c r="E5395" s="6" t="s">
        <v>90</v>
      </c>
      <c r="F5395" s="6" t="s">
        <v>57</v>
      </c>
      <c r="G5395" s="7">
        <v>50139.25135563286</v>
      </c>
      <c r="H5395" s="6">
        <v>6689.411785030686</v>
      </c>
      <c r="I5395" s="6" t="s">
        <v>180</v>
      </c>
      <c r="J5395" s="15">
        <v>64</v>
      </c>
    </row>
    <row r="5396" spans="1:10">
      <c r="A5396" s="6" t="s">
        <v>146</v>
      </c>
      <c r="B5396" s="6" t="s">
        <v>90</v>
      </c>
      <c r="C5396" s="6" t="s">
        <v>257</v>
      </c>
      <c r="D5396" s="6">
        <v>0.1805833333333333</v>
      </c>
      <c r="E5396" s="6" t="s">
        <v>90</v>
      </c>
      <c r="F5396" s="6" t="s">
        <v>52</v>
      </c>
      <c r="G5396" s="7">
        <v>85265.7273803006</v>
      </c>
      <c r="H5396" s="6">
        <v>15397.56926942595</v>
      </c>
      <c r="I5396" s="6" t="s">
        <v>179</v>
      </c>
      <c r="J5396" s="15">
        <v>44</v>
      </c>
    </row>
    <row r="5397" spans="1:10">
      <c r="A5397" s="6" t="s">
        <v>146</v>
      </c>
      <c r="B5397" s="6" t="s">
        <v>90</v>
      </c>
      <c r="C5397" s="6" t="s">
        <v>258</v>
      </c>
      <c r="D5397" s="6">
        <v>0.08266666666666667</v>
      </c>
      <c r="E5397" s="6" t="s">
        <v>90</v>
      </c>
      <c r="F5397" s="6" t="s">
        <v>52</v>
      </c>
      <c r="G5397" s="7">
        <v>82626.29734022004</v>
      </c>
      <c r="H5397" s="6">
        <v>6830.440580124857</v>
      </c>
      <c r="I5397" s="6" t="s">
        <v>179</v>
      </c>
      <c r="J5397" s="15">
        <v>47</v>
      </c>
    </row>
    <row r="5398" spans="1:10">
      <c r="A5398" s="6" t="s">
        <v>146</v>
      </c>
      <c r="B5398" s="6" t="s">
        <v>90</v>
      </c>
      <c r="C5398" s="6" t="s">
        <v>259</v>
      </c>
      <c r="D5398" s="6">
        <v>0.8616666666666667</v>
      </c>
      <c r="E5398" s="6" t="s">
        <v>90</v>
      </c>
      <c r="F5398" s="6" t="s">
        <v>56</v>
      </c>
      <c r="G5398" s="7">
        <v>53809.54610454979</v>
      </c>
      <c r="H5398" s="6">
        <v>46365.89222675374</v>
      </c>
      <c r="I5398" s="6" t="s">
        <v>180</v>
      </c>
      <c r="J5398" s="15">
        <v>10.48141012996383</v>
      </c>
    </row>
    <row r="5399" spans="1:10">
      <c r="A5399" s="6" t="s">
        <v>146</v>
      </c>
      <c r="B5399" s="6" t="s">
        <v>90</v>
      </c>
      <c r="C5399" s="6" t="s">
        <v>260</v>
      </c>
      <c r="D5399" s="6">
        <v>344.8609166666667</v>
      </c>
      <c r="E5399" s="6" t="s">
        <v>90</v>
      </c>
      <c r="F5399" s="6" t="s">
        <v>52</v>
      </c>
      <c r="G5399" s="7">
        <v>55804.87767627013</v>
      </c>
      <c r="H5399" s="6">
        <v>19244921.26990972</v>
      </c>
      <c r="I5399" s="6" t="s">
        <v>179</v>
      </c>
      <c r="J5399" s="15">
        <v>64.03333333333333</v>
      </c>
    </row>
    <row r="5400" spans="1:10">
      <c r="A5400" s="6" t="s">
        <v>146</v>
      </c>
      <c r="B5400" s="6" t="s">
        <v>90</v>
      </c>
      <c r="C5400" s="6" t="s">
        <v>261</v>
      </c>
      <c r="D5400" s="6">
        <v>0.3043333333333333</v>
      </c>
      <c r="E5400" s="6" t="s">
        <v>90</v>
      </c>
      <c r="F5400" s="6" t="s">
        <v>54</v>
      </c>
      <c r="G5400" s="7">
        <v>59278.32258850268</v>
      </c>
      <c r="H5400" s="6">
        <v>18040.36950776765</v>
      </c>
      <c r="I5400" s="6" t="s">
        <v>180</v>
      </c>
      <c r="J5400" s="15">
        <v>12.23373267578856</v>
      </c>
    </row>
    <row r="5401" spans="1:10">
      <c r="A5401" s="6" t="s">
        <v>146</v>
      </c>
      <c r="B5401" s="6" t="s">
        <v>90</v>
      </c>
      <c r="C5401" s="6" t="s">
        <v>262</v>
      </c>
      <c r="D5401" s="6">
        <v>23.44041666666667</v>
      </c>
      <c r="E5401" s="6" t="s">
        <v>90</v>
      </c>
      <c r="F5401" s="6" t="s">
        <v>51</v>
      </c>
      <c r="G5401" s="7">
        <v>50796.40449219351</v>
      </c>
      <c r="H5401" s="6">
        <v>1190688.886465554</v>
      </c>
      <c r="I5401" s="6" t="s">
        <v>180</v>
      </c>
      <c r="J5401" s="15">
        <v>9.515929826172339</v>
      </c>
    </row>
    <row r="5402" spans="1:10">
      <c r="A5402" s="6" t="s">
        <v>146</v>
      </c>
      <c r="B5402" s="6" t="s">
        <v>90</v>
      </c>
      <c r="C5402" s="6" t="s">
        <v>263</v>
      </c>
      <c r="D5402" s="6">
        <v>15.20475</v>
      </c>
      <c r="E5402" s="6" t="s">
        <v>90</v>
      </c>
      <c r="F5402" s="6" t="s">
        <v>54</v>
      </c>
      <c r="G5402" s="7">
        <v>65896.61824279206</v>
      </c>
      <c r="H5402" s="6">
        <v>1001941.606227092</v>
      </c>
      <c r="I5402" s="6" t="s">
        <v>179</v>
      </c>
      <c r="J5402" s="15">
        <v>46.91666666666666</v>
      </c>
    </row>
    <row r="5403" spans="1:10">
      <c r="A5403" s="6" t="s">
        <v>146</v>
      </c>
      <c r="B5403" s="6" t="s">
        <v>90</v>
      </c>
      <c r="C5403" s="6" t="s">
        <v>264</v>
      </c>
      <c r="D5403" s="6">
        <v>5.5245</v>
      </c>
      <c r="E5403" s="6" t="s">
        <v>90</v>
      </c>
      <c r="F5403" s="6" t="s">
        <v>54</v>
      </c>
      <c r="G5403" s="7">
        <v>89766.53686395117</v>
      </c>
      <c r="H5403" s="6">
        <v>495915.2329048982</v>
      </c>
      <c r="I5403" s="6" t="s">
        <v>180</v>
      </c>
      <c r="J5403" s="15">
        <v>22.00286209871706</v>
      </c>
    </row>
    <row r="5404" spans="1:10">
      <c r="A5404" s="6" t="s">
        <v>146</v>
      </c>
      <c r="B5404" s="6" t="s">
        <v>90</v>
      </c>
      <c r="C5404" s="6" t="s">
        <v>265</v>
      </c>
      <c r="D5404" s="6">
        <v>51.68733333333333</v>
      </c>
      <c r="E5404" s="6" t="s">
        <v>90</v>
      </c>
      <c r="F5404" s="6" t="s">
        <v>54</v>
      </c>
      <c r="G5404" s="7">
        <v>88348.04007123776</v>
      </c>
      <c r="H5404" s="6">
        <v>4566474.596508756</v>
      </c>
      <c r="I5404" s="6" t="s">
        <v>179</v>
      </c>
      <c r="J5404" s="15">
        <v>17.53537223567039</v>
      </c>
    </row>
    <row r="5405" spans="1:10">
      <c r="A5405" s="6" t="s">
        <v>146</v>
      </c>
      <c r="B5405" s="6" t="s">
        <v>90</v>
      </c>
      <c r="C5405" s="6" t="s">
        <v>266</v>
      </c>
      <c r="D5405" s="6">
        <v>12.08091666666667</v>
      </c>
      <c r="E5405" s="6" t="s">
        <v>90</v>
      </c>
      <c r="F5405" s="6" t="s">
        <v>57</v>
      </c>
      <c r="G5405" s="7">
        <v>59085.91288749369</v>
      </c>
      <c r="H5405" s="6">
        <v>713811.9897677373</v>
      </c>
      <c r="I5405" s="6" t="s">
        <v>179</v>
      </c>
      <c r="J5405" s="15">
        <v>7.229441618985901</v>
      </c>
    </row>
    <row r="5406" spans="1:10">
      <c r="A5406" s="6" t="s">
        <v>146</v>
      </c>
      <c r="B5406" s="6" t="s">
        <v>90</v>
      </c>
      <c r="C5406" s="6" t="s">
        <v>354</v>
      </c>
      <c r="D5406" s="6">
        <v>0.003416666666666666</v>
      </c>
      <c r="E5406" s="6" t="s">
        <v>90</v>
      </c>
      <c r="F5406" s="6" t="s">
        <v>51</v>
      </c>
      <c r="G5406" s="7">
        <v>43580.99560846043</v>
      </c>
      <c r="H5406" s="6">
        <v>148.9017349955732</v>
      </c>
      <c r="I5406" s="6" t="s">
        <v>180</v>
      </c>
      <c r="J5406" s="15">
        <v>7.203945838271181</v>
      </c>
    </row>
    <row r="5407" spans="1:10">
      <c r="A5407" s="6" t="s">
        <v>146</v>
      </c>
      <c r="B5407" s="6" t="s">
        <v>90</v>
      </c>
      <c r="C5407" s="6" t="s">
        <v>355</v>
      </c>
      <c r="D5407" s="6">
        <v>0.0275</v>
      </c>
      <c r="E5407" s="6" t="s">
        <v>90</v>
      </c>
      <c r="F5407" s="6" t="s">
        <v>52</v>
      </c>
      <c r="G5407" s="7">
        <v>59918.03179942394</v>
      </c>
      <c r="H5407" s="6">
        <v>1647.745874484158</v>
      </c>
      <c r="I5407" s="6" t="s">
        <v>180</v>
      </c>
      <c r="J5407" s="15">
        <v>12.43871031134531</v>
      </c>
    </row>
    <row r="5408" spans="1:10">
      <c r="A5408" s="6" t="s">
        <v>146</v>
      </c>
      <c r="B5408" s="6" t="s">
        <v>90</v>
      </c>
      <c r="C5408" s="6" t="s">
        <v>267</v>
      </c>
      <c r="D5408" s="6">
        <v>229.4101666666667</v>
      </c>
      <c r="E5408" s="6" t="s">
        <v>90</v>
      </c>
      <c r="F5408" s="6" t="s">
        <v>53</v>
      </c>
      <c r="G5408" s="7">
        <v>28187.4549918804</v>
      </c>
      <c r="H5408" s="6">
        <v>6466488.747596449</v>
      </c>
      <c r="I5408" s="6" t="s">
        <v>179</v>
      </c>
      <c r="J5408" s="15">
        <v>17</v>
      </c>
    </row>
    <row r="5409" spans="1:10">
      <c r="A5409" s="6" t="s">
        <v>146</v>
      </c>
      <c r="B5409" s="6" t="s">
        <v>90</v>
      </c>
      <c r="C5409" s="6" t="s">
        <v>366</v>
      </c>
      <c r="D5409" s="6">
        <v>22.40266666666666</v>
      </c>
      <c r="E5409" s="6" t="s">
        <v>90</v>
      </c>
      <c r="F5409" s="6" t="s">
        <v>52</v>
      </c>
      <c r="G5409" s="7">
        <v>78732.78292762766</v>
      </c>
      <c r="H5409" s="6">
        <v>1763824.291666667</v>
      </c>
      <c r="I5409" s="6" t="s">
        <v>179</v>
      </c>
      <c r="J5409" s="15">
        <v>56.95</v>
      </c>
    </row>
    <row r="5410" spans="1:10">
      <c r="A5410" s="6" t="s">
        <v>146</v>
      </c>
      <c r="B5410" s="6" t="s">
        <v>90</v>
      </c>
      <c r="C5410" s="6" t="s">
        <v>268</v>
      </c>
      <c r="D5410" s="6">
        <v>0.3211666666666667</v>
      </c>
      <c r="E5410" s="6" t="s">
        <v>90</v>
      </c>
      <c r="F5410" s="6" t="s">
        <v>51</v>
      </c>
      <c r="G5410" s="7">
        <v>53756.28752738577</v>
      </c>
      <c r="H5410" s="6">
        <v>17264.7276775454</v>
      </c>
      <c r="I5410" s="6" t="s">
        <v>180</v>
      </c>
      <c r="J5410" s="15">
        <v>10.46434484931158</v>
      </c>
    </row>
    <row r="5411" spans="1:10">
      <c r="A5411" s="6" t="s">
        <v>146</v>
      </c>
      <c r="B5411" s="6" t="s">
        <v>90</v>
      </c>
      <c r="C5411" s="6" t="s">
        <v>269</v>
      </c>
      <c r="D5411" s="6">
        <v>0.1063333333333333</v>
      </c>
      <c r="E5411" s="6" t="s">
        <v>90</v>
      </c>
      <c r="F5411" s="6" t="s">
        <v>52</v>
      </c>
      <c r="G5411" s="7">
        <v>84417.47941334113</v>
      </c>
      <c r="H5411" s="6">
        <v>8976.391977618607</v>
      </c>
      <c r="I5411" s="6" t="s">
        <v>179</v>
      </c>
      <c r="J5411" s="15">
        <v>68</v>
      </c>
    </row>
    <row r="5412" spans="1:10">
      <c r="A5412" s="6" t="s">
        <v>146</v>
      </c>
      <c r="B5412" s="6" t="s">
        <v>90</v>
      </c>
      <c r="C5412" s="6" t="s">
        <v>270</v>
      </c>
      <c r="D5412" s="6">
        <v>5.706416666666667</v>
      </c>
      <c r="E5412" s="6" t="s">
        <v>90</v>
      </c>
      <c r="F5412" s="6" t="s">
        <v>59</v>
      </c>
      <c r="G5412" s="7">
        <v>54632.02416918429</v>
      </c>
      <c r="H5412" s="6">
        <v>311753.0932527694</v>
      </c>
      <c r="I5412" s="6" t="s">
        <v>179</v>
      </c>
      <c r="J5412" s="15">
        <v>20.25074634581768</v>
      </c>
    </row>
    <row r="5413" spans="1:10">
      <c r="A5413" s="6" t="s">
        <v>146</v>
      </c>
      <c r="B5413" s="6" t="s">
        <v>86</v>
      </c>
      <c r="C5413" s="6" t="s">
        <v>271</v>
      </c>
      <c r="D5413" s="6">
        <v>61.12525</v>
      </c>
      <c r="E5413" s="6" t="s">
        <v>90</v>
      </c>
      <c r="F5413" s="6" t="s">
        <v>54</v>
      </c>
      <c r="G5413" s="7">
        <v>81091.15446449892</v>
      </c>
      <c r="H5413" s="6">
        <v>4956717.089431113</v>
      </c>
      <c r="I5413" s="6" t="s">
        <v>179</v>
      </c>
      <c r="J5413" s="15">
        <v>47.58333333333334</v>
      </c>
    </row>
    <row r="5414" spans="1:10">
      <c r="A5414" s="6" t="s">
        <v>146</v>
      </c>
      <c r="B5414" s="6" t="s">
        <v>90</v>
      </c>
      <c r="C5414" s="6" t="s">
        <v>272</v>
      </c>
      <c r="D5414" s="6">
        <v>9.432416666666667</v>
      </c>
      <c r="E5414" s="6" t="s">
        <v>90</v>
      </c>
      <c r="F5414" s="6" t="s">
        <v>51</v>
      </c>
      <c r="G5414" s="7">
        <v>51191.96394899175</v>
      </c>
      <c r="H5414" s="6">
        <v>482863.933951869</v>
      </c>
      <c r="I5414" s="6" t="s">
        <v>180</v>
      </c>
      <c r="J5414" s="15">
        <v>9.642676230307826</v>
      </c>
    </row>
    <row r="5415" spans="1:10">
      <c r="A5415" s="6" t="s">
        <v>146</v>
      </c>
      <c r="B5415" s="6" t="s">
        <v>90</v>
      </c>
      <c r="C5415" s="6" t="s">
        <v>273</v>
      </c>
      <c r="D5415" s="6">
        <v>49.266</v>
      </c>
      <c r="E5415" s="6" t="s">
        <v>90</v>
      </c>
      <c r="F5415" s="6" t="s">
        <v>51</v>
      </c>
      <c r="G5415" s="7">
        <v>68796.23409337111</v>
      </c>
      <c r="H5415" s="6">
        <v>3389315.268844021</v>
      </c>
      <c r="I5415" s="6" t="s">
        <v>179</v>
      </c>
      <c r="J5415" s="15">
        <v>27</v>
      </c>
    </row>
    <row r="5416" spans="1:10">
      <c r="A5416" s="6" t="s">
        <v>146</v>
      </c>
      <c r="B5416" s="6" t="s">
        <v>90</v>
      </c>
      <c r="C5416" s="6" t="s">
        <v>274</v>
      </c>
      <c r="D5416" s="6">
        <v>8.7685</v>
      </c>
      <c r="E5416" s="6" t="s">
        <v>90</v>
      </c>
      <c r="F5416" s="6" t="s">
        <v>56</v>
      </c>
      <c r="G5416" s="7">
        <v>58346.71964656267</v>
      </c>
      <c r="H5416" s="6">
        <v>511613.2112208848</v>
      </c>
      <c r="I5416" s="6" t="s">
        <v>180</v>
      </c>
      <c r="J5416" s="15">
        <v>11.93522553370507</v>
      </c>
    </row>
    <row r="5417" spans="1:10">
      <c r="A5417" s="6" t="s">
        <v>146</v>
      </c>
      <c r="B5417" s="6" t="s">
        <v>90</v>
      </c>
      <c r="C5417" s="6" t="s">
        <v>275</v>
      </c>
      <c r="D5417" s="6">
        <v>0.9153333333333334</v>
      </c>
      <c r="E5417" s="6" t="s">
        <v>90</v>
      </c>
      <c r="F5417" s="6" t="s">
        <v>51</v>
      </c>
      <c r="G5417" s="7">
        <v>54453.54162987976</v>
      </c>
      <c r="H5417" s="6">
        <v>49843.14177188327</v>
      </c>
      <c r="I5417" s="6" t="s">
        <v>180</v>
      </c>
      <c r="J5417" s="15">
        <v>10.68776119985255</v>
      </c>
    </row>
    <row r="5418" spans="1:10">
      <c r="A5418" s="6" t="s">
        <v>146</v>
      </c>
      <c r="B5418" s="6" t="s">
        <v>90</v>
      </c>
      <c r="C5418" s="6" t="s">
        <v>276</v>
      </c>
      <c r="D5418" s="6">
        <v>8.119</v>
      </c>
      <c r="E5418" s="6" t="s">
        <v>90</v>
      </c>
      <c r="F5418" s="6" t="s">
        <v>51</v>
      </c>
      <c r="G5418" s="7">
        <v>63381.90932521886</v>
      </c>
      <c r="H5418" s="6">
        <v>514597.7218114519</v>
      </c>
      <c r="I5418" s="6" t="s">
        <v>179</v>
      </c>
      <c r="J5418" s="15">
        <v>57.28333333333333</v>
      </c>
    </row>
    <row r="5419" spans="1:10">
      <c r="A5419" s="6" t="s">
        <v>146</v>
      </c>
      <c r="B5419" s="6" t="s">
        <v>90</v>
      </c>
      <c r="C5419" s="6" t="s">
        <v>277</v>
      </c>
      <c r="D5419" s="6">
        <v>0.1289166666666667</v>
      </c>
      <c r="E5419" s="6" t="s">
        <v>90</v>
      </c>
      <c r="F5419" s="6" t="s">
        <v>57</v>
      </c>
      <c r="G5419" s="7">
        <v>44258.82186038292</v>
      </c>
      <c r="H5419" s="6">
        <v>5705.699784834365</v>
      </c>
      <c r="I5419" s="6" t="s">
        <v>180</v>
      </c>
      <c r="J5419" s="15">
        <v>7.421137055882822</v>
      </c>
    </row>
    <row r="5420" spans="1:10">
      <c r="A5420" s="6" t="s">
        <v>146</v>
      </c>
      <c r="B5420" s="6" t="s">
        <v>90</v>
      </c>
      <c r="C5420" s="6" t="s">
        <v>278</v>
      </c>
      <c r="D5420" s="6">
        <v>70.86924999999999</v>
      </c>
      <c r="E5420" s="6" t="s">
        <v>90</v>
      </c>
      <c r="F5420" s="6" t="s">
        <v>55</v>
      </c>
      <c r="G5420" s="7">
        <v>46621.33394129809</v>
      </c>
      <c r="H5420" s="6">
        <v>3304018.970419339</v>
      </c>
      <c r="I5420" s="6" t="s">
        <v>179</v>
      </c>
      <c r="J5420" s="15">
        <v>47.06666666666667</v>
      </c>
    </row>
    <row r="5421" spans="1:10">
      <c r="A5421" s="6" t="s">
        <v>146</v>
      </c>
      <c r="B5421" s="6" t="s">
        <v>90</v>
      </c>
      <c r="C5421" s="6" t="s">
        <v>280</v>
      </c>
      <c r="D5421" s="6">
        <v>61.20041666666667</v>
      </c>
      <c r="E5421" s="6" t="s">
        <v>90</v>
      </c>
      <c r="F5421" s="6" t="s">
        <v>55</v>
      </c>
      <c r="G5421" s="7">
        <v>88199.71827653726</v>
      </c>
      <c r="H5421" s="6">
        <v>5397859.508406696</v>
      </c>
      <c r="I5421" s="6" t="s">
        <v>179</v>
      </c>
      <c r="J5421" s="15">
        <v>61</v>
      </c>
    </row>
    <row r="5422" spans="1:10">
      <c r="A5422" s="6" t="s">
        <v>146</v>
      </c>
      <c r="B5422" s="6" t="s">
        <v>90</v>
      </c>
      <c r="C5422" s="6" t="s">
        <v>281</v>
      </c>
      <c r="D5422" s="6">
        <v>126.751</v>
      </c>
      <c r="E5422" s="6" t="s">
        <v>90</v>
      </c>
      <c r="F5422" s="6" t="s">
        <v>57</v>
      </c>
      <c r="G5422" s="7">
        <v>70375.78171760954</v>
      </c>
      <c r="H5422" s="6">
        <v>8920200.708488727</v>
      </c>
      <c r="I5422" s="6" t="s">
        <v>179</v>
      </c>
      <c r="J5422" s="15">
        <v>25</v>
      </c>
    </row>
    <row r="5423" spans="1:10">
      <c r="A5423" s="6" t="s">
        <v>146</v>
      </c>
      <c r="B5423" s="6" t="s">
        <v>90</v>
      </c>
      <c r="C5423" s="6" t="s">
        <v>282</v>
      </c>
      <c r="D5423" s="6">
        <v>0.228</v>
      </c>
      <c r="E5423" s="6" t="s">
        <v>90</v>
      </c>
      <c r="F5423" s="6" t="s">
        <v>56</v>
      </c>
      <c r="G5423" s="7">
        <v>55102.56172936118</v>
      </c>
      <c r="H5423" s="6">
        <v>12563.38407429435</v>
      </c>
      <c r="I5423" s="6" t="s">
        <v>180</v>
      </c>
      <c r="J5423" s="15">
        <v>10.89572225957987</v>
      </c>
    </row>
    <row r="5424" spans="1:10">
      <c r="A5424" s="6" t="s">
        <v>146</v>
      </c>
      <c r="B5424" s="6" t="s">
        <v>90</v>
      </c>
      <c r="C5424" s="6" t="s">
        <v>283</v>
      </c>
      <c r="D5424" s="6">
        <v>29.07399999999999</v>
      </c>
      <c r="E5424" s="6" t="s">
        <v>90</v>
      </c>
      <c r="F5424" s="6" t="s">
        <v>51</v>
      </c>
      <c r="G5424" s="7">
        <v>41673.53339700109</v>
      </c>
      <c r="H5424" s="6">
        <v>1211616.309984409</v>
      </c>
      <c r="I5424" s="6" t="s">
        <v>179</v>
      </c>
      <c r="J5424" s="15">
        <v>26.5</v>
      </c>
    </row>
    <row r="5425" spans="1:10">
      <c r="A5425" s="6" t="s">
        <v>146</v>
      </c>
      <c r="B5425" s="6" t="s">
        <v>90</v>
      </c>
      <c r="C5425" s="6" t="s">
        <v>284</v>
      </c>
      <c r="D5425" s="6">
        <v>23.773</v>
      </c>
      <c r="E5425" s="6" t="s">
        <v>90</v>
      </c>
      <c r="F5425" s="6" t="s">
        <v>55</v>
      </c>
      <c r="G5425" s="7">
        <v>71665.2692915682</v>
      </c>
      <c r="H5425" s="6">
        <v>1703698.446868451</v>
      </c>
      <c r="I5425" s="6" t="s">
        <v>180</v>
      </c>
      <c r="J5425" s="15">
        <v>16.20279706256738</v>
      </c>
    </row>
    <row r="5426" spans="1:10">
      <c r="A5426" s="6" t="s">
        <v>146</v>
      </c>
      <c r="B5426" s="6" t="s">
        <v>86</v>
      </c>
      <c r="C5426" s="6" t="s">
        <v>285</v>
      </c>
      <c r="D5426" s="6">
        <v>0.3499999999999999</v>
      </c>
      <c r="E5426" s="6" t="s">
        <v>90</v>
      </c>
      <c r="F5426" s="6" t="s">
        <v>52</v>
      </c>
      <c r="G5426" s="7">
        <v>124592.4363366081</v>
      </c>
      <c r="H5426" s="6">
        <v>43607.35271781282</v>
      </c>
      <c r="I5426" s="6" t="s">
        <v>179</v>
      </c>
      <c r="J5426" s="15">
        <v>102.5583333333333</v>
      </c>
    </row>
    <row r="5427" spans="1:10">
      <c r="A5427" s="6" t="s">
        <v>146</v>
      </c>
      <c r="B5427" s="6" t="s">
        <v>90</v>
      </c>
      <c r="C5427" s="6" t="s">
        <v>286</v>
      </c>
      <c r="D5427" s="6">
        <v>3.237166666666667</v>
      </c>
      <c r="E5427" s="6" t="s">
        <v>90</v>
      </c>
      <c r="F5427" s="6" t="s">
        <v>59</v>
      </c>
      <c r="G5427" s="7">
        <v>90288.54517641803</v>
      </c>
      <c r="H5427" s="6">
        <v>292279.0688269279</v>
      </c>
      <c r="I5427" s="6" t="s">
        <v>180</v>
      </c>
      <c r="J5427" s="15">
        <v>22.17012564253306</v>
      </c>
    </row>
    <row r="5428" spans="1:10">
      <c r="A5428" s="6" t="s">
        <v>146</v>
      </c>
      <c r="B5428" s="6" t="s">
        <v>90</v>
      </c>
      <c r="C5428" s="6" t="s">
        <v>287</v>
      </c>
      <c r="D5428" s="6">
        <v>0.3564166666666667</v>
      </c>
      <c r="E5428" s="6" t="s">
        <v>90</v>
      </c>
      <c r="F5428" s="6" t="s">
        <v>53</v>
      </c>
      <c r="G5428" s="7">
        <v>25443.86066146324</v>
      </c>
      <c r="H5428" s="6">
        <v>9068.616004089856</v>
      </c>
      <c r="I5428" s="6" t="s">
        <v>179</v>
      </c>
      <c r="J5428" s="15">
        <v>16</v>
      </c>
    </row>
    <row r="5429" spans="1:10">
      <c r="A5429" s="6" t="s">
        <v>146</v>
      </c>
      <c r="B5429" s="6" t="s">
        <v>90</v>
      </c>
      <c r="C5429" s="6" t="s">
        <v>376</v>
      </c>
      <c r="D5429" s="6">
        <v>0.2325</v>
      </c>
      <c r="E5429" s="6" t="s">
        <v>90</v>
      </c>
      <c r="F5429" s="6" t="s">
        <v>54</v>
      </c>
      <c r="G5429" s="7">
        <v>76892.37004653887</v>
      </c>
      <c r="H5429" s="6">
        <v>17877.47603582029</v>
      </c>
      <c r="I5429" s="6" t="s">
        <v>180</v>
      </c>
      <c r="J5429" s="15">
        <v>17.87768111188072</v>
      </c>
    </row>
    <row r="5430" spans="1:10">
      <c r="A5430" s="6" t="s">
        <v>146</v>
      </c>
      <c r="B5430" s="6" t="s">
        <v>90</v>
      </c>
      <c r="C5430" s="6" t="s">
        <v>357</v>
      </c>
      <c r="D5430" s="6">
        <v>11.031</v>
      </c>
      <c r="E5430" s="6" t="s">
        <v>90</v>
      </c>
      <c r="F5430" s="6" t="s">
        <v>52</v>
      </c>
      <c r="G5430" s="7">
        <v>59918.03179942394</v>
      </c>
      <c r="H5430" s="6">
        <v>660955.8087794454</v>
      </c>
      <c r="I5430" s="6" t="s">
        <v>180</v>
      </c>
      <c r="J5430" s="15">
        <v>27</v>
      </c>
    </row>
    <row r="5431" spans="1:10">
      <c r="A5431" s="6" t="s">
        <v>146</v>
      </c>
      <c r="B5431" s="6" t="s">
        <v>90</v>
      </c>
      <c r="C5431" s="6" t="s">
        <v>288</v>
      </c>
      <c r="D5431" s="6">
        <v>0.15025</v>
      </c>
      <c r="E5431" s="6" t="s">
        <v>90</v>
      </c>
      <c r="F5431" s="6" t="s">
        <v>58</v>
      </c>
      <c r="G5431" s="7">
        <v>69966.42569413477</v>
      </c>
      <c r="H5431" s="6">
        <v>10512.45546054375</v>
      </c>
      <c r="I5431" s="6" t="s">
        <v>180</v>
      </c>
      <c r="J5431" s="15">
        <v>15.65844825870828</v>
      </c>
    </row>
    <row r="5432" spans="1:10">
      <c r="A5432" s="6" t="s">
        <v>146</v>
      </c>
      <c r="B5432" s="6" t="s">
        <v>90</v>
      </c>
      <c r="C5432" s="6" t="s">
        <v>370</v>
      </c>
      <c r="D5432" s="6">
        <v>0.4484166666666666</v>
      </c>
      <c r="E5432" s="6" t="s">
        <v>90</v>
      </c>
      <c r="F5432" s="6" t="s">
        <v>55</v>
      </c>
      <c r="G5432" s="7">
        <v>63543.31246850626</v>
      </c>
      <c r="H5432" s="6">
        <v>28493.88036608601</v>
      </c>
      <c r="I5432" s="6" t="s">
        <v>180</v>
      </c>
      <c r="J5432" s="15">
        <v>13.60033413525112</v>
      </c>
    </row>
    <row r="5433" spans="1:10">
      <c r="A5433" s="6" t="s">
        <v>146</v>
      </c>
      <c r="B5433" s="6" t="s">
        <v>90</v>
      </c>
      <c r="C5433" s="6" t="s">
        <v>359</v>
      </c>
      <c r="D5433" s="6">
        <v>3.961416666666666</v>
      </c>
      <c r="E5433" s="6" t="s">
        <v>90</v>
      </c>
      <c r="F5433" s="6" t="s">
        <v>60</v>
      </c>
      <c r="G5433" s="7">
        <v>44402.32112778664</v>
      </c>
      <c r="H5433" s="6">
        <v>175896.0949542994</v>
      </c>
      <c r="I5433" s="6" t="s">
        <v>180</v>
      </c>
      <c r="J5433" s="15">
        <v>7.467117542069946</v>
      </c>
    </row>
    <row r="5434" spans="1:10">
      <c r="A5434" s="6" t="s">
        <v>146</v>
      </c>
      <c r="B5434" s="6" t="s">
        <v>90</v>
      </c>
      <c r="C5434" s="6" t="s">
        <v>289</v>
      </c>
      <c r="D5434" s="6">
        <v>96.7175</v>
      </c>
      <c r="E5434" s="6" t="s">
        <v>90</v>
      </c>
      <c r="F5434" s="6" t="s">
        <v>52</v>
      </c>
      <c r="G5434" s="7">
        <v>67135.49298692077</v>
      </c>
      <c r="H5434" s="6">
        <v>6493177.042962509</v>
      </c>
      <c r="I5434" s="6" t="s">
        <v>179</v>
      </c>
      <c r="J5434" s="15">
        <v>64</v>
      </c>
    </row>
    <row r="5435" spans="1:10">
      <c r="A5435" s="6" t="s">
        <v>146</v>
      </c>
      <c r="B5435" s="6" t="s">
        <v>90</v>
      </c>
      <c r="C5435" s="6" t="s">
        <v>290</v>
      </c>
      <c r="D5435" s="6">
        <v>0.006833333333333333</v>
      </c>
      <c r="E5435" s="6" t="s">
        <v>90</v>
      </c>
      <c r="F5435" s="6" t="s">
        <v>53</v>
      </c>
      <c r="G5435" s="7">
        <v>33776.0793312915</v>
      </c>
      <c r="H5435" s="6">
        <v>230.8032087638253</v>
      </c>
      <c r="I5435" s="6" t="s">
        <v>180</v>
      </c>
      <c r="J5435" s="15">
        <v>4.062223754214076</v>
      </c>
    </row>
    <row r="5436" spans="1:10">
      <c r="A5436" s="6" t="s">
        <v>146</v>
      </c>
      <c r="B5436" s="6" t="s">
        <v>90</v>
      </c>
      <c r="C5436" s="6" t="s">
        <v>291</v>
      </c>
      <c r="D5436" s="6">
        <v>0.004333333333333333</v>
      </c>
      <c r="E5436" s="6" t="s">
        <v>90</v>
      </c>
      <c r="F5436" s="6" t="s">
        <v>51</v>
      </c>
      <c r="G5436" s="7">
        <v>52631.38079889913</v>
      </c>
      <c r="H5436" s="6">
        <v>228.0693167952296</v>
      </c>
      <c r="I5436" s="6" t="s">
        <v>180</v>
      </c>
      <c r="J5436" s="15">
        <v>10.10389870051373</v>
      </c>
    </row>
    <row r="5437" spans="1:10">
      <c r="A5437" s="6" t="s">
        <v>146</v>
      </c>
      <c r="B5437" s="6" t="s">
        <v>90</v>
      </c>
      <c r="C5437" s="6" t="s">
        <v>292</v>
      </c>
      <c r="D5437" s="6">
        <v>14.54716666666667</v>
      </c>
      <c r="E5437" s="6" t="s">
        <v>90</v>
      </c>
      <c r="F5437" s="6" t="s">
        <v>54</v>
      </c>
      <c r="G5437" s="7">
        <v>102155.1088842532</v>
      </c>
      <c r="H5437" s="6">
        <v>1486067.394790712</v>
      </c>
      <c r="I5437" s="6" t="s">
        <v>179</v>
      </c>
      <c r="J5437" s="15">
        <v>55</v>
      </c>
    </row>
    <row r="5438" spans="1:10">
      <c r="A5438" s="6" t="s">
        <v>146</v>
      </c>
      <c r="B5438" s="6" t="s">
        <v>90</v>
      </c>
      <c r="C5438" s="6" t="s">
        <v>293</v>
      </c>
      <c r="D5438" s="6">
        <v>430.333</v>
      </c>
      <c r="E5438" s="6" t="s">
        <v>90</v>
      </c>
      <c r="F5438" s="6" t="s">
        <v>53</v>
      </c>
      <c r="G5438" s="7">
        <v>41041.87189365314</v>
      </c>
      <c r="H5438" s="6">
        <v>17661671.85761144</v>
      </c>
      <c r="I5438" s="6" t="s">
        <v>179</v>
      </c>
      <c r="J5438" s="15">
        <v>18</v>
      </c>
    </row>
    <row r="5439" spans="1:10">
      <c r="A5439" s="6" t="s">
        <v>146</v>
      </c>
      <c r="B5439" s="6" t="s">
        <v>90</v>
      </c>
      <c r="C5439" s="6" t="s">
        <v>371</v>
      </c>
      <c r="D5439" s="6">
        <v>0.4140833333333334</v>
      </c>
      <c r="E5439" s="6" t="s">
        <v>90</v>
      </c>
      <c r="F5439" s="6" t="s">
        <v>55</v>
      </c>
      <c r="G5439" s="7">
        <v>51459.79003816719</v>
      </c>
      <c r="H5439" s="6">
        <v>21308.64139163773</v>
      </c>
      <c r="I5439" s="6" t="s">
        <v>180</v>
      </c>
      <c r="J5439" s="15">
        <v>9.72849390740604</v>
      </c>
    </row>
    <row r="5440" spans="1:10">
      <c r="A5440" s="6" t="s">
        <v>146</v>
      </c>
      <c r="B5440" s="6" t="s">
        <v>90</v>
      </c>
      <c r="C5440" s="6" t="s">
        <v>294</v>
      </c>
      <c r="D5440" s="6">
        <v>0.21075</v>
      </c>
      <c r="E5440" s="6" t="s">
        <v>90</v>
      </c>
      <c r="F5440" s="6" t="s">
        <v>54</v>
      </c>
      <c r="G5440" s="7">
        <v>73336.4313640656</v>
      </c>
      <c r="H5440" s="6">
        <v>15455.65290997682</v>
      </c>
      <c r="I5440" s="6" t="s">
        <v>180</v>
      </c>
      <c r="J5440" s="15">
        <v>16.73827606522132</v>
      </c>
    </row>
    <row r="5441" spans="1:10">
      <c r="A5441" s="6" t="s">
        <v>146</v>
      </c>
      <c r="B5441" s="6" t="s">
        <v>90</v>
      </c>
      <c r="C5441" s="6" t="s">
        <v>295</v>
      </c>
      <c r="D5441" s="6">
        <v>7.973166666666666</v>
      </c>
      <c r="E5441" s="6" t="s">
        <v>90</v>
      </c>
      <c r="F5441" s="6" t="s">
        <v>53</v>
      </c>
      <c r="G5441" s="7">
        <v>29529.16394109224</v>
      </c>
      <c r="H5441" s="6">
        <v>235440.9456296519</v>
      </c>
      <c r="I5441" s="6" t="s">
        <v>179</v>
      </c>
      <c r="J5441" s="15">
        <v>15</v>
      </c>
    </row>
    <row r="5442" spans="1:10">
      <c r="A5442" s="6" t="s">
        <v>146</v>
      </c>
      <c r="B5442" s="6" t="s">
        <v>90</v>
      </c>
      <c r="C5442" s="6" t="s">
        <v>296</v>
      </c>
      <c r="D5442" s="6">
        <v>49.07875</v>
      </c>
      <c r="E5442" s="6" t="s">
        <v>90</v>
      </c>
      <c r="F5442" s="6" t="s">
        <v>61</v>
      </c>
      <c r="G5442" s="7">
        <v>58003.92647416519</v>
      </c>
      <c r="H5442" s="6">
        <v>2846760.206443935</v>
      </c>
      <c r="I5442" s="6" t="s">
        <v>179</v>
      </c>
      <c r="J5442" s="15">
        <v>13</v>
      </c>
    </row>
    <row r="5443" spans="1:10">
      <c r="A5443" s="6" t="s">
        <v>146</v>
      </c>
      <c r="B5443" s="6" t="s">
        <v>90</v>
      </c>
      <c r="C5443" s="6" t="s">
        <v>297</v>
      </c>
      <c r="D5443" s="6">
        <v>0.04833333333333334</v>
      </c>
      <c r="E5443" s="6" t="s">
        <v>90</v>
      </c>
      <c r="F5443" s="6" t="s">
        <v>52</v>
      </c>
      <c r="G5443" s="7">
        <v>86676.57256067361</v>
      </c>
      <c r="H5443" s="6">
        <v>4189.367673765892</v>
      </c>
      <c r="I5443" s="6" t="s">
        <v>179</v>
      </c>
      <c r="J5443" s="15">
        <v>50</v>
      </c>
    </row>
    <row r="5444" spans="1:10">
      <c r="A5444" s="6" t="s">
        <v>146</v>
      </c>
      <c r="B5444" s="6" t="s">
        <v>90</v>
      </c>
      <c r="C5444" s="6" t="s">
        <v>298</v>
      </c>
      <c r="D5444" s="6">
        <v>14.96525</v>
      </c>
      <c r="E5444" s="6" t="s">
        <v>90</v>
      </c>
      <c r="F5444" s="6" t="s">
        <v>56</v>
      </c>
      <c r="G5444" s="7">
        <v>48595.16583801468</v>
      </c>
      <c r="H5444" s="6">
        <v>727238.8055573492</v>
      </c>
      <c r="I5444" s="6" t="s">
        <v>179</v>
      </c>
      <c r="J5444" s="15">
        <v>63.75</v>
      </c>
    </row>
    <row r="5445" spans="1:10">
      <c r="A5445" s="6" t="s">
        <v>146</v>
      </c>
      <c r="B5445" s="6" t="s">
        <v>90</v>
      </c>
      <c r="C5445" s="6" t="s">
        <v>299</v>
      </c>
      <c r="D5445" s="6">
        <v>0.3615</v>
      </c>
      <c r="E5445" s="6" t="s">
        <v>90</v>
      </c>
      <c r="F5445" s="6" t="s">
        <v>53</v>
      </c>
      <c r="G5445" s="7">
        <v>25973.79370043561</v>
      </c>
      <c r="H5445" s="6">
        <v>9389.526422707475</v>
      </c>
      <c r="I5445" s="6" t="s">
        <v>179</v>
      </c>
      <c r="J5445" s="15">
        <v>14</v>
      </c>
    </row>
    <row r="5446" spans="1:10">
      <c r="A5446" s="6" t="s">
        <v>146</v>
      </c>
      <c r="B5446" s="6" t="s">
        <v>90</v>
      </c>
      <c r="C5446" s="6" t="s">
        <v>301</v>
      </c>
      <c r="D5446" s="6">
        <v>2.359833333333333</v>
      </c>
      <c r="E5446" s="6" t="s">
        <v>90</v>
      </c>
      <c r="F5446" s="6" t="s">
        <v>59</v>
      </c>
      <c r="G5446" s="7">
        <v>77898.61399430037</v>
      </c>
      <c r="H5446" s="6">
        <v>183827.7459242165</v>
      </c>
      <c r="I5446" s="6" t="s">
        <v>180</v>
      </c>
      <c r="J5446" s="15">
        <v>18.20010495959805</v>
      </c>
    </row>
    <row r="5447" spans="1:10">
      <c r="A5447" s="6" t="s">
        <v>146</v>
      </c>
      <c r="B5447" s="6" t="s">
        <v>90</v>
      </c>
      <c r="C5447" s="6" t="s">
        <v>302</v>
      </c>
      <c r="D5447" s="6">
        <v>106.7463333333333</v>
      </c>
      <c r="E5447" s="6" t="s">
        <v>90</v>
      </c>
      <c r="F5447" s="6" t="s">
        <v>52</v>
      </c>
      <c r="G5447" s="7">
        <v>75366.35678233257</v>
      </c>
      <c r="H5447" s="6">
        <v>8045082.2432058</v>
      </c>
      <c r="I5447" s="6" t="s">
        <v>179</v>
      </c>
      <c r="J5447" s="15">
        <v>59.01666666666667</v>
      </c>
    </row>
    <row r="5448" spans="1:10">
      <c r="A5448" s="6" t="s">
        <v>146</v>
      </c>
      <c r="B5448" s="6" t="s">
        <v>90</v>
      </c>
      <c r="C5448" s="6" t="s">
        <v>303</v>
      </c>
      <c r="D5448" s="6">
        <v>0.172</v>
      </c>
      <c r="E5448" s="6" t="s">
        <v>90</v>
      </c>
      <c r="F5448" s="6" t="s">
        <v>53</v>
      </c>
      <c r="G5448" s="7">
        <v>31792.00581425614</v>
      </c>
      <c r="H5448" s="6">
        <v>5468.225000052056</v>
      </c>
      <c r="I5448" s="6" t="s">
        <v>180</v>
      </c>
      <c r="J5448" s="15">
        <v>14</v>
      </c>
    </row>
    <row r="5449" spans="1:10">
      <c r="A5449" s="6" t="s">
        <v>146</v>
      </c>
      <c r="B5449" s="6" t="s">
        <v>90</v>
      </c>
      <c r="C5449" s="6" t="s">
        <v>361</v>
      </c>
      <c r="D5449" s="6">
        <v>4.722</v>
      </c>
      <c r="E5449" s="6" t="s">
        <v>90</v>
      </c>
      <c r="F5449" s="6" t="s">
        <v>52</v>
      </c>
      <c r="G5449" s="7">
        <v>77309.29947361469</v>
      </c>
      <c r="H5449" s="6">
        <v>365054.5121144086</v>
      </c>
      <c r="I5449" s="6" t="s">
        <v>179</v>
      </c>
      <c r="J5449" s="15">
        <v>52</v>
      </c>
    </row>
    <row r="5450" spans="1:10">
      <c r="A5450" s="6" t="s">
        <v>146</v>
      </c>
      <c r="B5450" s="6" t="s">
        <v>90</v>
      </c>
      <c r="C5450" s="6" t="s">
        <v>305</v>
      </c>
      <c r="D5450" s="6">
        <v>67.97133333333335</v>
      </c>
      <c r="E5450" s="6" t="s">
        <v>90</v>
      </c>
      <c r="F5450" s="6" t="s">
        <v>54</v>
      </c>
      <c r="G5450" s="7">
        <v>98512.45602947168</v>
      </c>
      <c r="H5450" s="6">
        <v>6696022.986264564</v>
      </c>
      <c r="I5450" s="6" t="s">
        <v>179</v>
      </c>
      <c r="J5450" s="15">
        <v>67</v>
      </c>
    </row>
    <row r="5451" spans="1:10">
      <c r="A5451" s="6" t="s">
        <v>146</v>
      </c>
      <c r="B5451" s="6" t="s">
        <v>90</v>
      </c>
      <c r="C5451" s="6" t="s">
        <v>306</v>
      </c>
      <c r="D5451" s="6">
        <v>2.177333333333333</v>
      </c>
      <c r="E5451" s="6" t="s">
        <v>90</v>
      </c>
      <c r="F5451" s="6" t="s">
        <v>57</v>
      </c>
      <c r="G5451" s="7">
        <v>50865.11911120607</v>
      </c>
      <c r="H5451" s="6">
        <v>110750.3193447994</v>
      </c>
      <c r="I5451" s="6" t="s">
        <v>179</v>
      </c>
      <c r="J5451" s="15">
        <v>39</v>
      </c>
    </row>
    <row r="5452" spans="1:10">
      <c r="A5452" s="6" t="s">
        <v>146</v>
      </c>
      <c r="B5452" s="6" t="s">
        <v>90</v>
      </c>
      <c r="C5452" s="6" t="s">
        <v>307</v>
      </c>
      <c r="D5452" s="6">
        <v>0.09833333333333333</v>
      </c>
      <c r="E5452" s="6" t="s">
        <v>90</v>
      </c>
      <c r="F5452" s="6" t="s">
        <v>53</v>
      </c>
      <c r="G5452" s="7">
        <v>34610.3479059413</v>
      </c>
      <c r="H5452" s="6">
        <v>3403.350877417561</v>
      </c>
      <c r="I5452" s="6" t="s">
        <v>180</v>
      </c>
      <c r="J5452" s="15">
        <v>13.5</v>
      </c>
    </row>
    <row r="5453" spans="1:10">
      <c r="A5453" s="6" t="s">
        <v>146</v>
      </c>
      <c r="B5453" s="6" t="s">
        <v>90</v>
      </c>
      <c r="C5453" s="6" t="s">
        <v>362</v>
      </c>
      <c r="D5453" s="6">
        <v>139.13325</v>
      </c>
      <c r="E5453" s="6" t="s">
        <v>90</v>
      </c>
      <c r="F5453" s="6" t="s">
        <v>52</v>
      </c>
      <c r="G5453" s="7">
        <v>56852.15728722059</v>
      </c>
      <c r="H5453" s="6">
        <v>7910025.412882185</v>
      </c>
      <c r="I5453" s="6" t="s">
        <v>179</v>
      </c>
      <c r="J5453" s="15">
        <v>69</v>
      </c>
    </row>
    <row r="5454" spans="1:10">
      <c r="A5454" s="6" t="s">
        <v>146</v>
      </c>
      <c r="B5454" s="6" t="s">
        <v>90</v>
      </c>
      <c r="C5454" s="6" t="s">
        <v>308</v>
      </c>
      <c r="D5454" s="6">
        <v>0.1401666666666667</v>
      </c>
      <c r="E5454" s="6" t="s">
        <v>90</v>
      </c>
      <c r="F5454" s="6" t="s">
        <v>54</v>
      </c>
      <c r="G5454" s="7">
        <v>61958.4525384317</v>
      </c>
      <c r="H5454" s="6">
        <v>8684.509764136843</v>
      </c>
      <c r="I5454" s="6" t="s">
        <v>180</v>
      </c>
      <c r="J5454" s="15">
        <v>13.09250833626427</v>
      </c>
    </row>
    <row r="5455" spans="1:10">
      <c r="A5455" s="6" t="s">
        <v>146</v>
      </c>
      <c r="B5455" s="6" t="s">
        <v>90</v>
      </c>
      <c r="C5455" s="6" t="s">
        <v>309</v>
      </c>
      <c r="D5455" s="6">
        <v>322.4103333333333</v>
      </c>
      <c r="E5455" s="6" t="s">
        <v>90</v>
      </c>
      <c r="F5455" s="6" t="s">
        <v>52</v>
      </c>
      <c r="G5455" s="7">
        <v>73075.41331885532</v>
      </c>
      <c r="H5455" s="6">
        <v>23560268.36660325</v>
      </c>
      <c r="I5455" s="6" t="s">
        <v>179</v>
      </c>
      <c r="J5455" s="15">
        <v>52</v>
      </c>
    </row>
    <row r="5456" spans="1:10">
      <c r="A5456" s="6" t="s">
        <v>146</v>
      </c>
      <c r="B5456" s="6" t="s">
        <v>90</v>
      </c>
      <c r="C5456" s="6" t="s">
        <v>310</v>
      </c>
      <c r="D5456" s="6">
        <v>18.93475</v>
      </c>
      <c r="E5456" s="6" t="s">
        <v>90</v>
      </c>
      <c r="F5456" s="6" t="s">
        <v>52</v>
      </c>
      <c r="G5456" s="7">
        <v>72589.43692380768</v>
      </c>
      <c r="H5456" s="6">
        <v>1374462.840793067</v>
      </c>
      <c r="I5456" s="6" t="s">
        <v>179</v>
      </c>
      <c r="J5456" s="15">
        <v>75.54166666666666</v>
      </c>
    </row>
    <row r="5457" spans="1:10">
      <c r="A5457" s="6" t="s">
        <v>146</v>
      </c>
      <c r="B5457" s="6" t="s">
        <v>90</v>
      </c>
      <c r="C5457" s="6" t="s">
        <v>311</v>
      </c>
      <c r="D5457" s="6">
        <v>2.588916666666667</v>
      </c>
      <c r="E5457" s="6" t="s">
        <v>90</v>
      </c>
      <c r="F5457" s="6" t="s">
        <v>51</v>
      </c>
      <c r="G5457" s="7">
        <v>52856.52992243581</v>
      </c>
      <c r="H5457" s="6">
        <v>136841.1512583594</v>
      </c>
      <c r="I5457" s="6" t="s">
        <v>180</v>
      </c>
      <c r="J5457" s="15">
        <v>10.1760416901758</v>
      </c>
    </row>
    <row r="5458" spans="1:10">
      <c r="A5458" s="6" t="s">
        <v>146</v>
      </c>
      <c r="B5458" s="6" t="s">
        <v>90</v>
      </c>
      <c r="C5458" s="6" t="s">
        <v>312</v>
      </c>
      <c r="D5458" s="6">
        <v>36.98800000000001</v>
      </c>
      <c r="E5458" s="6" t="s">
        <v>90</v>
      </c>
      <c r="F5458" s="6" t="s">
        <v>54</v>
      </c>
      <c r="G5458" s="7">
        <v>98038.89341868946</v>
      </c>
      <c r="H5458" s="6">
        <v>3626262.589770487</v>
      </c>
      <c r="I5458" s="6" t="s">
        <v>179</v>
      </c>
      <c r="J5458" s="15">
        <v>97.98333333333333</v>
      </c>
    </row>
    <row r="5459" spans="1:10">
      <c r="A5459" s="6" t="s">
        <v>146</v>
      </c>
      <c r="B5459" s="6" t="s">
        <v>90</v>
      </c>
      <c r="C5459" s="6" t="s">
        <v>313</v>
      </c>
      <c r="D5459" s="6">
        <v>24.502</v>
      </c>
      <c r="E5459" s="6" t="s">
        <v>90</v>
      </c>
      <c r="F5459" s="6" t="s">
        <v>51</v>
      </c>
      <c r="G5459" s="7">
        <v>52321.25291717758</v>
      </c>
      <c r="H5459" s="6">
        <v>1281975.338976685</v>
      </c>
      <c r="I5459" s="6" t="s">
        <v>180</v>
      </c>
      <c r="J5459" s="15">
        <v>10.00452655012064</v>
      </c>
    </row>
    <row r="5460" spans="1:10">
      <c r="A5460" s="6" t="s">
        <v>146</v>
      </c>
      <c r="B5460" s="6" t="s">
        <v>90</v>
      </c>
      <c r="C5460" s="6" t="s">
        <v>314</v>
      </c>
      <c r="D5460" s="6">
        <v>1.538583333333333</v>
      </c>
      <c r="E5460" s="6" t="s">
        <v>90</v>
      </c>
      <c r="F5460" s="6" t="s">
        <v>51</v>
      </c>
      <c r="G5460" s="7">
        <v>58052.11180989485</v>
      </c>
      <c r="H5460" s="6">
        <v>89318.01169550738</v>
      </c>
      <c r="I5460" s="6" t="s">
        <v>180</v>
      </c>
      <c r="J5460" s="15">
        <v>11.84082636491759</v>
      </c>
    </row>
    <row r="5461" spans="1:10">
      <c r="A5461" s="6" t="s">
        <v>146</v>
      </c>
      <c r="B5461" s="6" t="s">
        <v>90</v>
      </c>
      <c r="C5461" s="6" t="s">
        <v>315</v>
      </c>
      <c r="D5461" s="6">
        <v>3.810416666666667</v>
      </c>
      <c r="E5461" s="6" t="s">
        <v>90</v>
      </c>
      <c r="F5461" s="6" t="s">
        <v>51</v>
      </c>
      <c r="G5461" s="7">
        <v>56453.56097958141</v>
      </c>
      <c r="H5461" s="6">
        <v>215111.58964928</v>
      </c>
      <c r="I5461" s="6" t="s">
        <v>180</v>
      </c>
      <c r="J5461" s="15">
        <v>11.32861368465454</v>
      </c>
    </row>
    <row r="5462" spans="1:10">
      <c r="A5462" s="6" t="s">
        <v>146</v>
      </c>
      <c r="B5462" s="6" t="s">
        <v>86</v>
      </c>
      <c r="C5462" s="6" t="s">
        <v>316</v>
      </c>
      <c r="D5462" s="6">
        <v>1.882916666666667</v>
      </c>
      <c r="E5462" s="6" t="s">
        <v>90</v>
      </c>
      <c r="F5462" s="6" t="s">
        <v>54</v>
      </c>
      <c r="G5462" s="7">
        <v>83552.76780903985</v>
      </c>
      <c r="H5462" s="6">
        <v>157322.8990537713</v>
      </c>
      <c r="I5462" s="6" t="s">
        <v>180</v>
      </c>
      <c r="J5462" s="15">
        <v>18.34838172284276</v>
      </c>
    </row>
    <row r="5463" spans="1:10">
      <c r="A5463" s="6" t="s">
        <v>146</v>
      </c>
      <c r="B5463" s="6" t="s">
        <v>90</v>
      </c>
      <c r="C5463" s="6" t="s">
        <v>317</v>
      </c>
      <c r="D5463" s="6">
        <v>0.227</v>
      </c>
      <c r="E5463" s="6" t="s">
        <v>90</v>
      </c>
      <c r="F5463" s="6" t="s">
        <v>51</v>
      </c>
      <c r="G5463" s="7">
        <v>51588.11271374751</v>
      </c>
      <c r="H5463" s="6">
        <v>11710.50158602069</v>
      </c>
      <c r="I5463" s="6" t="s">
        <v>180</v>
      </c>
      <c r="J5463" s="15">
        <v>9.769611462350877</v>
      </c>
    </row>
    <row r="5464" spans="1:10">
      <c r="A5464" s="6" t="s">
        <v>146</v>
      </c>
      <c r="B5464" s="6" t="s">
        <v>90</v>
      </c>
      <c r="C5464" s="6" t="s">
        <v>319</v>
      </c>
      <c r="D5464" s="6">
        <v>19.55266666666667</v>
      </c>
      <c r="E5464" s="6" t="s">
        <v>90</v>
      </c>
      <c r="F5464" s="6" t="s">
        <v>52</v>
      </c>
      <c r="G5464" s="7">
        <v>59918.03179942394</v>
      </c>
      <c r="H5464" s="6">
        <v>1171557.30309687</v>
      </c>
      <c r="I5464" s="6" t="s">
        <v>180</v>
      </c>
      <c r="J5464" s="15">
        <v>12.43871031134531</v>
      </c>
    </row>
    <row r="5465" spans="1:10">
      <c r="A5465" s="6" t="s">
        <v>146</v>
      </c>
      <c r="B5465" s="6" t="s">
        <v>90</v>
      </c>
      <c r="C5465" s="6" t="s">
        <v>320</v>
      </c>
      <c r="D5465" s="6">
        <v>30.7435</v>
      </c>
      <c r="E5465" s="6" t="s">
        <v>90</v>
      </c>
      <c r="F5465" s="6" t="s">
        <v>51</v>
      </c>
      <c r="G5465" s="7">
        <v>50478.21140108545</v>
      </c>
      <c r="H5465" s="6">
        <v>1551876.89220927</v>
      </c>
      <c r="I5465" s="6" t="s">
        <v>180</v>
      </c>
      <c r="J5465" s="15">
        <v>9.413973396043877</v>
      </c>
    </row>
    <row r="5466" spans="1:10">
      <c r="A5466" s="6" t="s">
        <v>146</v>
      </c>
      <c r="B5466" s="6" t="s">
        <v>90</v>
      </c>
      <c r="C5466" s="6" t="s">
        <v>321</v>
      </c>
      <c r="D5466" s="6">
        <v>0.2525</v>
      </c>
      <c r="E5466" s="6" t="s">
        <v>90</v>
      </c>
      <c r="F5466" s="6" t="s">
        <v>54</v>
      </c>
      <c r="G5466" s="7">
        <v>49362.0809529337</v>
      </c>
      <c r="H5466" s="6">
        <v>12463.92544061576</v>
      </c>
      <c r="I5466" s="6" t="s">
        <v>180</v>
      </c>
      <c r="J5466" s="15">
        <v>9.05633937056912</v>
      </c>
    </row>
    <row r="5467" spans="1:10">
      <c r="A5467" s="6" t="s">
        <v>146</v>
      </c>
      <c r="B5467" s="6" t="s">
        <v>90</v>
      </c>
      <c r="C5467" s="6" t="s">
        <v>322</v>
      </c>
      <c r="D5467" s="6">
        <v>1.595166666666667</v>
      </c>
      <c r="E5467" s="6" t="s">
        <v>90</v>
      </c>
      <c r="F5467" s="6" t="s">
        <v>51</v>
      </c>
      <c r="G5467" s="7">
        <v>51362.83162893766</v>
      </c>
      <c r="H5467" s="6">
        <v>81932.27692009373</v>
      </c>
      <c r="I5467" s="6" t="s">
        <v>180</v>
      </c>
      <c r="J5467" s="15">
        <v>9.697426189242986</v>
      </c>
    </row>
    <row r="5468" spans="1:10">
      <c r="A5468" s="6" t="s">
        <v>146</v>
      </c>
      <c r="B5468" s="6" t="s">
        <v>90</v>
      </c>
      <c r="C5468" s="6" t="s">
        <v>323</v>
      </c>
      <c r="D5468" s="6">
        <v>24.05325</v>
      </c>
      <c r="E5468" s="6" t="s">
        <v>90</v>
      </c>
      <c r="F5468" s="6" t="s">
        <v>55</v>
      </c>
      <c r="G5468" s="7">
        <v>54663.87536141942</v>
      </c>
      <c r="H5468" s="6">
        <v>1314843.860037062</v>
      </c>
      <c r="I5468" s="6" t="s">
        <v>180</v>
      </c>
      <c r="J5468" s="15">
        <v>20.61666666666667</v>
      </c>
    </row>
    <row r="5469" spans="1:10">
      <c r="A5469" s="6" t="s">
        <v>146</v>
      </c>
      <c r="B5469" s="6" t="s">
        <v>90</v>
      </c>
      <c r="C5469" s="6" t="s">
        <v>324</v>
      </c>
      <c r="D5469" s="6">
        <v>26.03916666666667</v>
      </c>
      <c r="E5469" s="6" t="s">
        <v>90</v>
      </c>
      <c r="F5469" s="6" t="s">
        <v>51</v>
      </c>
      <c r="G5469" s="7">
        <v>52939.45685818696</v>
      </c>
      <c r="H5469" s="6">
        <v>1378499.34037314</v>
      </c>
      <c r="I5469" s="6" t="s">
        <v>180</v>
      </c>
      <c r="J5469" s="15">
        <v>10.20261339951505</v>
      </c>
    </row>
    <row r="5470" spans="1:10">
      <c r="A5470" s="6" t="s">
        <v>146</v>
      </c>
      <c r="B5470" s="6" t="s">
        <v>90</v>
      </c>
      <c r="C5470" s="6" t="s">
        <v>372</v>
      </c>
      <c r="D5470" s="6">
        <v>2.02625</v>
      </c>
      <c r="E5470" s="6" t="s">
        <v>90</v>
      </c>
      <c r="F5470" s="6" t="s">
        <v>55</v>
      </c>
      <c r="G5470" s="7">
        <v>87811.98275494319</v>
      </c>
      <c r="H5470" s="6">
        <v>177929.0300572037</v>
      </c>
      <c r="I5470" s="6" t="s">
        <v>180</v>
      </c>
      <c r="J5470" s="15">
        <v>21.37657772920605</v>
      </c>
    </row>
    <row r="5471" spans="1:10">
      <c r="A5471" s="6" t="s">
        <v>146</v>
      </c>
      <c r="B5471" s="6" t="s">
        <v>90</v>
      </c>
      <c r="C5471" s="6" t="s">
        <v>325</v>
      </c>
      <c r="D5471" s="6">
        <v>0.3846666666666667</v>
      </c>
      <c r="E5471" s="6" t="s">
        <v>90</v>
      </c>
      <c r="F5471" s="6" t="s">
        <v>53</v>
      </c>
      <c r="G5471" s="7">
        <v>27183.84720656899</v>
      </c>
      <c r="H5471" s="6">
        <v>10456.71989212687</v>
      </c>
      <c r="I5471" s="6" t="s">
        <v>179</v>
      </c>
      <c r="J5471" s="15">
        <v>16</v>
      </c>
    </row>
    <row r="5472" spans="1:10">
      <c r="A5472" s="6" t="s">
        <v>146</v>
      </c>
      <c r="B5472" s="6" t="s">
        <v>90</v>
      </c>
      <c r="C5472" s="6" t="s">
        <v>364</v>
      </c>
      <c r="D5472" s="6">
        <v>4.36225</v>
      </c>
      <c r="E5472" s="6" t="s">
        <v>90</v>
      </c>
      <c r="F5472" s="6" t="s">
        <v>52</v>
      </c>
      <c r="G5472" s="7">
        <v>51274.29567237874</v>
      </c>
      <c r="H5472" s="6">
        <v>223671.2962968342</v>
      </c>
      <c r="I5472" s="6" t="s">
        <v>179</v>
      </c>
      <c r="J5472" s="15">
        <v>65</v>
      </c>
    </row>
    <row r="5473" spans="1:10">
      <c r="A5473" s="6" t="s">
        <v>146</v>
      </c>
      <c r="B5473" s="6" t="s">
        <v>90</v>
      </c>
      <c r="C5473" s="6" t="s">
        <v>326</v>
      </c>
      <c r="D5473" s="6">
        <v>80.4315</v>
      </c>
      <c r="E5473" s="6" t="s">
        <v>90</v>
      </c>
      <c r="F5473" s="6" t="s">
        <v>54</v>
      </c>
      <c r="G5473" s="7">
        <v>73204.69251441542</v>
      </c>
      <c r="H5473" s="6">
        <v>5887963.225973204</v>
      </c>
      <c r="I5473" s="6" t="s">
        <v>179</v>
      </c>
      <c r="J5473" s="15">
        <v>50.55</v>
      </c>
    </row>
    <row r="5474" spans="1:10">
      <c r="A5474" s="6" t="s">
        <v>146</v>
      </c>
      <c r="B5474" s="6" t="s">
        <v>90</v>
      </c>
      <c r="C5474" s="6" t="s">
        <v>373</v>
      </c>
      <c r="D5474" s="6">
        <v>0.2753333333333334</v>
      </c>
      <c r="E5474" s="6" t="s">
        <v>90</v>
      </c>
      <c r="F5474" s="6" t="s">
        <v>55</v>
      </c>
      <c r="G5474" s="7">
        <v>59139.33667023354</v>
      </c>
      <c r="H5474" s="6">
        <v>16283.03069653764</v>
      </c>
      <c r="I5474" s="6" t="s">
        <v>180</v>
      </c>
      <c r="J5474" s="15">
        <v>12.18919837111368</v>
      </c>
    </row>
    <row r="5475" spans="1:10">
      <c r="A5475" s="6" t="s">
        <v>146</v>
      </c>
      <c r="B5475" s="6" t="s">
        <v>90</v>
      </c>
      <c r="C5475" s="6" t="s">
        <v>374</v>
      </c>
      <c r="D5475" s="6">
        <v>0.0575</v>
      </c>
      <c r="E5475" s="6" t="s">
        <v>90</v>
      </c>
      <c r="F5475" s="6" t="s">
        <v>55</v>
      </c>
      <c r="G5475" s="7">
        <v>64140.6251115471</v>
      </c>
      <c r="H5475" s="6">
        <v>3688.085943913958</v>
      </c>
      <c r="I5475" s="6" t="s">
        <v>180</v>
      </c>
      <c r="J5475" s="15">
        <v>13.79172692930257</v>
      </c>
    </row>
    <row r="5476" spans="1:10">
      <c r="A5476" s="6" t="s">
        <v>146</v>
      </c>
      <c r="B5476" s="6" t="s">
        <v>90</v>
      </c>
      <c r="C5476" s="6" t="s">
        <v>327</v>
      </c>
      <c r="D5476" s="6">
        <v>21.34533333333334</v>
      </c>
      <c r="E5476" s="6" t="s">
        <v>90</v>
      </c>
      <c r="F5476" s="6" t="s">
        <v>57</v>
      </c>
      <c r="G5476" s="7">
        <v>43941.25100916271</v>
      </c>
      <c r="H5476" s="6">
        <v>937940.649874248</v>
      </c>
      <c r="I5476" s="6" t="s">
        <v>180</v>
      </c>
      <c r="J5476" s="15">
        <v>7.319380005814523</v>
      </c>
    </row>
    <row r="5477" spans="1:10">
      <c r="A5477" s="6" t="s">
        <v>146</v>
      </c>
      <c r="B5477" s="6" t="s">
        <v>90</v>
      </c>
      <c r="C5477" s="6" t="s">
        <v>328</v>
      </c>
      <c r="D5477" s="6">
        <v>0.3508333333333333</v>
      </c>
      <c r="E5477" s="6" t="s">
        <v>90</v>
      </c>
      <c r="F5477" s="6" t="s">
        <v>58</v>
      </c>
      <c r="G5477" s="7">
        <v>61261.16637247237</v>
      </c>
      <c r="H5477" s="6">
        <v>21492.45920234239</v>
      </c>
      <c r="I5477" s="6" t="s">
        <v>180</v>
      </c>
      <c r="J5477" s="15">
        <v>12.86908171184699</v>
      </c>
    </row>
    <row r="5478" spans="1:10">
      <c r="A5478" s="6" t="s">
        <v>146</v>
      </c>
      <c r="B5478" s="6" t="s">
        <v>90</v>
      </c>
      <c r="C5478" s="6" t="s">
        <v>329</v>
      </c>
      <c r="D5478" s="6">
        <v>76.01233333333334</v>
      </c>
      <c r="E5478" s="6" t="s">
        <v>90</v>
      </c>
      <c r="F5478" s="6" t="s">
        <v>58</v>
      </c>
      <c r="G5478" s="7">
        <v>59375.40509749136</v>
      </c>
      <c r="H5478" s="6">
        <v>4513263.084072214</v>
      </c>
      <c r="I5478" s="6" t="s">
        <v>180</v>
      </c>
      <c r="J5478" s="15">
        <v>12.2648401583864</v>
      </c>
    </row>
    <row r="5479" spans="1:10">
      <c r="A5479" s="6" t="s">
        <v>146</v>
      </c>
      <c r="B5479" s="6" t="s">
        <v>90</v>
      </c>
      <c r="C5479" s="6" t="s">
        <v>330</v>
      </c>
      <c r="D5479" s="6">
        <v>1.315083333333333</v>
      </c>
      <c r="E5479" s="6" t="s">
        <v>90</v>
      </c>
      <c r="F5479" s="6" t="s">
        <v>52</v>
      </c>
      <c r="G5479" s="7">
        <v>59918.03179942394</v>
      </c>
      <c r="H5479" s="6">
        <v>78797.20498555909</v>
      </c>
      <c r="I5479" s="6" t="s">
        <v>180</v>
      </c>
      <c r="J5479" s="15">
        <v>47.43333333333333</v>
      </c>
    </row>
    <row r="5480" spans="1:10">
      <c r="A5480" s="6" t="s">
        <v>146</v>
      </c>
      <c r="B5480" s="6" t="s">
        <v>90</v>
      </c>
      <c r="C5480" s="6" t="s">
        <v>365</v>
      </c>
      <c r="D5480" s="6">
        <v>0.872</v>
      </c>
      <c r="E5480" s="6" t="s">
        <v>90</v>
      </c>
      <c r="F5480" s="6" t="s">
        <v>53</v>
      </c>
      <c r="G5480" s="7">
        <v>52809.46858302614</v>
      </c>
      <c r="H5480" s="6">
        <v>46049.85660439879</v>
      </c>
      <c r="I5480" s="6" t="s">
        <v>179</v>
      </c>
      <c r="J5480" s="15">
        <v>21.15</v>
      </c>
    </row>
    <row r="5481" spans="1:10">
      <c r="A5481" s="6" t="s">
        <v>146</v>
      </c>
      <c r="B5481" s="6" t="s">
        <v>90</v>
      </c>
      <c r="C5481" s="6" t="s">
        <v>331</v>
      </c>
      <c r="D5481" s="6">
        <v>22.69158333333333</v>
      </c>
      <c r="E5481" s="6" t="s">
        <v>90</v>
      </c>
      <c r="F5481" s="6" t="s">
        <v>58</v>
      </c>
      <c r="G5481" s="7">
        <v>62490.71047845359</v>
      </c>
      <c r="H5481" s="6">
        <v>1418013.164381036</v>
      </c>
      <c r="I5481" s="6" t="s">
        <v>180</v>
      </c>
      <c r="J5481" s="15">
        <v>13.26305609794943</v>
      </c>
    </row>
    <row r="5482" spans="1:10">
      <c r="A5482" s="6" t="s">
        <v>146</v>
      </c>
      <c r="B5482" s="6" t="s">
        <v>90</v>
      </c>
      <c r="C5482" s="6" t="s">
        <v>332</v>
      </c>
      <c r="D5482" s="6">
        <v>89.12649999999999</v>
      </c>
      <c r="E5482" s="6" t="s">
        <v>90</v>
      </c>
      <c r="F5482" s="6" t="s">
        <v>55</v>
      </c>
      <c r="G5482" s="7">
        <v>51480.939560739</v>
      </c>
      <c r="H5482" s="6">
        <v>4588315.959760204</v>
      </c>
      <c r="I5482" s="6" t="s">
        <v>179</v>
      </c>
      <c r="J5482" s="15">
        <v>30.66666666666666</v>
      </c>
    </row>
    <row r="5483" spans="1:10">
      <c r="A5483" s="6" t="s">
        <v>146</v>
      </c>
      <c r="B5483" s="6" t="s">
        <v>90</v>
      </c>
      <c r="C5483" s="6" t="s">
        <v>375</v>
      </c>
      <c r="D5483" s="6">
        <v>0.39725</v>
      </c>
      <c r="E5483" s="6" t="s">
        <v>90</v>
      </c>
      <c r="F5483" s="6" t="s">
        <v>55</v>
      </c>
      <c r="G5483" s="7">
        <v>51398.76773903722</v>
      </c>
      <c r="H5483" s="6">
        <v>20418.16048433253</v>
      </c>
      <c r="I5483" s="6" t="s">
        <v>180</v>
      </c>
      <c r="J5483" s="15">
        <v>9.708940950565097</v>
      </c>
    </row>
    <row r="5484" spans="1:10">
      <c r="A5484" s="6" t="s">
        <v>146</v>
      </c>
      <c r="B5484" s="6" t="s">
        <v>90</v>
      </c>
      <c r="C5484" s="6" t="s">
        <v>333</v>
      </c>
      <c r="D5484" s="6">
        <v>18.96441666666667</v>
      </c>
      <c r="E5484" s="6" t="s">
        <v>90</v>
      </c>
      <c r="F5484" s="6" t="s">
        <v>51</v>
      </c>
      <c r="G5484" s="7">
        <v>50361.75765821278</v>
      </c>
      <c r="H5484" s="6">
        <v>955081.3562960381</v>
      </c>
      <c r="I5484" s="6" t="s">
        <v>180</v>
      </c>
      <c r="J5484" s="15">
        <v>9.376658921813627</v>
      </c>
    </row>
    <row r="5485" spans="1:10">
      <c r="A5485" s="6" t="s">
        <v>146</v>
      </c>
      <c r="B5485" s="6" t="s">
        <v>92</v>
      </c>
      <c r="C5485" s="6" t="s">
        <v>195</v>
      </c>
      <c r="D5485" s="6">
        <v>0.042</v>
      </c>
      <c r="E5485" s="6" t="s">
        <v>92</v>
      </c>
      <c r="F5485" s="6" t="s">
        <v>54</v>
      </c>
      <c r="G5485" s="7">
        <v>74005.80825338791</v>
      </c>
      <c r="H5485" s="6">
        <v>3108.243946642292</v>
      </c>
      <c r="I5485" s="6" t="s">
        <v>180</v>
      </c>
      <c r="J5485" s="15">
        <v>20.94906742477332</v>
      </c>
    </row>
    <row r="5486" spans="1:10">
      <c r="A5486" s="6" t="s">
        <v>146</v>
      </c>
      <c r="B5486" s="6" t="s">
        <v>92</v>
      </c>
      <c r="C5486" s="6" t="s">
        <v>197</v>
      </c>
      <c r="D5486" s="6">
        <v>0.213</v>
      </c>
      <c r="E5486" s="6" t="s">
        <v>92</v>
      </c>
      <c r="F5486" s="6" t="s">
        <v>53</v>
      </c>
      <c r="G5486" s="7">
        <v>63461.32463788219</v>
      </c>
      <c r="H5486" s="6">
        <v>13517.26214786891</v>
      </c>
      <c r="I5486" s="6" t="s">
        <v>180</v>
      </c>
      <c r="J5486" s="15">
        <v>17.00096960870551</v>
      </c>
    </row>
    <row r="5487" spans="1:10">
      <c r="A5487" s="6" t="s">
        <v>146</v>
      </c>
      <c r="B5487" s="6" t="s">
        <v>92</v>
      </c>
      <c r="C5487" s="6" t="s">
        <v>199</v>
      </c>
      <c r="D5487" s="6">
        <v>0.1983333333333333</v>
      </c>
      <c r="E5487" s="6" t="s">
        <v>92</v>
      </c>
      <c r="F5487" s="6" t="s">
        <v>57</v>
      </c>
      <c r="G5487" s="7">
        <v>45943.9020712533</v>
      </c>
      <c r="H5487" s="6">
        <v>9112.207244131905</v>
      </c>
      <c r="I5487" s="6" t="s">
        <v>179</v>
      </c>
      <c r="J5487" s="15">
        <v>30.95</v>
      </c>
    </row>
    <row r="5488" spans="1:10">
      <c r="A5488" s="6" t="s">
        <v>146</v>
      </c>
      <c r="B5488" s="6" t="s">
        <v>92</v>
      </c>
      <c r="C5488" s="6" t="s">
        <v>200</v>
      </c>
      <c r="D5488" s="6">
        <v>0.426</v>
      </c>
      <c r="E5488" s="6" t="s">
        <v>92</v>
      </c>
      <c r="F5488" s="6" t="s">
        <v>52</v>
      </c>
      <c r="G5488" s="7">
        <v>77318.80490856594</v>
      </c>
      <c r="H5488" s="6">
        <v>32937.81089104909</v>
      </c>
      <c r="I5488" s="6" t="s">
        <v>180</v>
      </c>
      <c r="J5488" s="15">
        <v>22.18952976848772</v>
      </c>
    </row>
    <row r="5489" spans="1:10">
      <c r="A5489" s="6" t="s">
        <v>146</v>
      </c>
      <c r="B5489" s="6" t="s">
        <v>92</v>
      </c>
      <c r="C5489" s="6" t="s">
        <v>201</v>
      </c>
      <c r="D5489" s="6">
        <v>0.01</v>
      </c>
      <c r="E5489" s="6" t="s">
        <v>92</v>
      </c>
      <c r="F5489" s="6" t="s">
        <v>56</v>
      </c>
      <c r="G5489" s="7">
        <v>64076.14664886126</v>
      </c>
      <c r="H5489" s="6">
        <v>640.7614664886125</v>
      </c>
      <c r="I5489" s="6" t="s">
        <v>180</v>
      </c>
      <c r="J5489" s="15">
        <v>17.23117314709855</v>
      </c>
    </row>
    <row r="5490" spans="1:10">
      <c r="A5490" s="6" t="s">
        <v>146</v>
      </c>
      <c r="B5490" s="6" t="s">
        <v>88</v>
      </c>
      <c r="C5490" s="6" t="s">
        <v>202</v>
      </c>
      <c r="D5490" s="6">
        <v>1.297083333333333</v>
      </c>
      <c r="E5490" s="6" t="s">
        <v>92</v>
      </c>
      <c r="F5490" s="6" t="s">
        <v>54</v>
      </c>
      <c r="G5490" s="7">
        <v>52343.66061009689</v>
      </c>
      <c r="H5490" s="6">
        <v>67894.08978301319</v>
      </c>
      <c r="I5490" s="6" t="s">
        <v>180</v>
      </c>
      <c r="J5490" s="15">
        <v>28.47960950085214</v>
      </c>
    </row>
    <row r="5491" spans="1:10">
      <c r="A5491" s="6" t="s">
        <v>146</v>
      </c>
      <c r="B5491" s="6" t="s">
        <v>92</v>
      </c>
      <c r="C5491" s="6" t="s">
        <v>203</v>
      </c>
      <c r="D5491" s="6">
        <v>0.04533333333333334</v>
      </c>
      <c r="E5491" s="6" t="s">
        <v>92</v>
      </c>
      <c r="F5491" s="6" t="s">
        <v>53</v>
      </c>
      <c r="G5491" s="7">
        <v>53637.98510318315</v>
      </c>
      <c r="H5491" s="6">
        <v>2431.58865801097</v>
      </c>
      <c r="I5491" s="6" t="s">
        <v>179</v>
      </c>
      <c r="J5491" s="15">
        <v>51.68333333333333</v>
      </c>
    </row>
    <row r="5492" spans="1:10">
      <c r="A5492" s="6" t="s">
        <v>146</v>
      </c>
      <c r="B5492" s="6" t="s">
        <v>92</v>
      </c>
      <c r="C5492" s="6" t="s">
        <v>204</v>
      </c>
      <c r="D5492" s="6">
        <v>5.982416666666666</v>
      </c>
      <c r="E5492" s="6" t="s">
        <v>92</v>
      </c>
      <c r="F5492" s="6" t="s">
        <v>51</v>
      </c>
      <c r="G5492" s="7">
        <v>45931.03732154475</v>
      </c>
      <c r="H5492" s="6">
        <v>274778.603189698</v>
      </c>
      <c r="I5492" s="6" t="s">
        <v>179</v>
      </c>
      <c r="J5492" s="15">
        <v>41.54166666666667</v>
      </c>
    </row>
    <row r="5493" spans="1:10">
      <c r="A5493" s="6" t="s">
        <v>146</v>
      </c>
      <c r="B5493" s="6" t="s">
        <v>92</v>
      </c>
      <c r="C5493" s="6" t="s">
        <v>338</v>
      </c>
      <c r="D5493" s="6">
        <v>0.112</v>
      </c>
      <c r="E5493" s="6" t="s">
        <v>92</v>
      </c>
      <c r="F5493" s="6" t="s">
        <v>52</v>
      </c>
      <c r="G5493" s="7">
        <v>77318.80490856594</v>
      </c>
      <c r="H5493" s="6">
        <v>8659.706149759386</v>
      </c>
      <c r="I5493" s="6" t="s">
        <v>180</v>
      </c>
      <c r="J5493" s="15">
        <v>22.18952976848772</v>
      </c>
    </row>
    <row r="5494" spans="1:10">
      <c r="A5494" s="6" t="s">
        <v>146</v>
      </c>
      <c r="B5494" s="6" t="s">
        <v>92</v>
      </c>
      <c r="C5494" s="6" t="s">
        <v>205</v>
      </c>
      <c r="D5494" s="6">
        <v>1.111333333333333</v>
      </c>
      <c r="E5494" s="6" t="s">
        <v>92</v>
      </c>
      <c r="F5494" s="6" t="s">
        <v>56</v>
      </c>
      <c r="G5494" s="7">
        <v>74010.38875195781</v>
      </c>
      <c r="H5494" s="6">
        <v>82250.21203300911</v>
      </c>
      <c r="I5494" s="6" t="s">
        <v>179</v>
      </c>
      <c r="J5494" s="15">
        <v>55</v>
      </c>
    </row>
    <row r="5495" spans="1:10">
      <c r="A5495" s="6" t="s">
        <v>146</v>
      </c>
      <c r="B5495" s="6" t="s">
        <v>92</v>
      </c>
      <c r="C5495" s="6" t="s">
        <v>211</v>
      </c>
      <c r="D5495" s="6">
        <v>10.25733333333333</v>
      </c>
      <c r="E5495" s="6" t="s">
        <v>92</v>
      </c>
      <c r="F5495" s="6" t="s">
        <v>55</v>
      </c>
      <c r="G5495" s="7">
        <v>25336.04217074411</v>
      </c>
      <c r="H5495" s="6">
        <v>259880.2298927126</v>
      </c>
      <c r="I5495" s="6" t="s">
        <v>179</v>
      </c>
      <c r="J5495" s="15">
        <v>16</v>
      </c>
    </row>
    <row r="5496" spans="1:10">
      <c r="A5496" s="6" t="s">
        <v>146</v>
      </c>
      <c r="B5496" s="6" t="s">
        <v>92</v>
      </c>
      <c r="C5496" s="6" t="s">
        <v>215</v>
      </c>
      <c r="D5496" s="6">
        <v>0.3561666666666667</v>
      </c>
      <c r="E5496" s="6" t="s">
        <v>92</v>
      </c>
      <c r="F5496" s="6" t="s">
        <v>54</v>
      </c>
      <c r="G5496" s="7">
        <v>85640.90773693185</v>
      </c>
      <c r="H5496" s="6">
        <v>30502.43663897056</v>
      </c>
      <c r="I5496" s="6" t="s">
        <v>180</v>
      </c>
      <c r="J5496" s="15">
        <v>25.30551697088117</v>
      </c>
    </row>
    <row r="5497" spans="1:10">
      <c r="A5497" s="6" t="s">
        <v>146</v>
      </c>
      <c r="B5497" s="6" t="s">
        <v>92</v>
      </c>
      <c r="C5497" s="6" t="s">
        <v>217</v>
      </c>
      <c r="D5497" s="6">
        <v>0.09458333333333334</v>
      </c>
      <c r="E5497" s="6" t="s">
        <v>92</v>
      </c>
      <c r="F5497" s="6" t="s">
        <v>53</v>
      </c>
      <c r="G5497" s="7">
        <v>65939.82541874713</v>
      </c>
      <c r="H5497" s="6">
        <v>6236.808487523166</v>
      </c>
      <c r="I5497" s="6" t="s">
        <v>180</v>
      </c>
      <c r="J5497" s="15">
        <v>17.92897745402719</v>
      </c>
    </row>
    <row r="5498" spans="1:10">
      <c r="A5498" s="6" t="s">
        <v>146</v>
      </c>
      <c r="B5498" s="6" t="s">
        <v>92</v>
      </c>
      <c r="C5498" s="6" t="s">
        <v>221</v>
      </c>
      <c r="D5498" s="6">
        <v>0.03316666666666667</v>
      </c>
      <c r="E5498" s="6" t="s">
        <v>92</v>
      </c>
      <c r="F5498" s="6" t="s">
        <v>51</v>
      </c>
      <c r="G5498" s="7">
        <v>44450.04061738423</v>
      </c>
      <c r="H5498" s="6">
        <v>1474.259680476577</v>
      </c>
      <c r="I5498" s="6" t="s">
        <v>179</v>
      </c>
      <c r="J5498" s="15">
        <v>39.525</v>
      </c>
    </row>
    <row r="5499" spans="1:10">
      <c r="A5499" s="6" t="s">
        <v>146</v>
      </c>
      <c r="B5499" s="6" t="s">
        <v>92</v>
      </c>
      <c r="C5499" s="6" t="s">
        <v>342</v>
      </c>
      <c r="D5499" s="6">
        <v>0.2923333333333333</v>
      </c>
      <c r="E5499" s="6" t="s">
        <v>92</v>
      </c>
      <c r="F5499" s="6" t="s">
        <v>53</v>
      </c>
      <c r="G5499" s="7">
        <v>46480.71512957623</v>
      </c>
      <c r="H5499" s="6">
        <v>13587.86238954612</v>
      </c>
      <c r="I5499" s="6" t="s">
        <v>180</v>
      </c>
      <c r="J5499" s="15">
        <v>10.64303784458775</v>
      </c>
    </row>
    <row r="5500" spans="1:10">
      <c r="A5500" s="6" t="s">
        <v>146</v>
      </c>
      <c r="B5500" s="6" t="s">
        <v>92</v>
      </c>
      <c r="C5500" s="6" t="s">
        <v>223</v>
      </c>
      <c r="D5500" s="6">
        <v>1.0745</v>
      </c>
      <c r="E5500" s="6" t="s">
        <v>92</v>
      </c>
      <c r="F5500" s="6" t="s">
        <v>53</v>
      </c>
      <c r="G5500" s="7">
        <v>48232.87547336299</v>
      </c>
      <c r="H5500" s="6">
        <v>51826.22469612853</v>
      </c>
      <c r="I5500" s="6" t="s">
        <v>179</v>
      </c>
      <c r="J5500" s="15">
        <v>53.5</v>
      </c>
    </row>
    <row r="5501" spans="1:10">
      <c r="A5501" s="6" t="s">
        <v>146</v>
      </c>
      <c r="B5501" s="6" t="s">
        <v>92</v>
      </c>
      <c r="C5501" s="6" t="s">
        <v>224</v>
      </c>
      <c r="D5501" s="6">
        <v>2.665</v>
      </c>
      <c r="E5501" s="6" t="s">
        <v>92</v>
      </c>
      <c r="F5501" s="6" t="s">
        <v>51</v>
      </c>
      <c r="G5501" s="7">
        <v>46793.10139429578</v>
      </c>
      <c r="H5501" s="6">
        <v>124703.6152157983</v>
      </c>
      <c r="I5501" s="6" t="s">
        <v>179</v>
      </c>
      <c r="J5501" s="15">
        <v>41.85</v>
      </c>
    </row>
    <row r="5502" spans="1:10">
      <c r="A5502" s="6" t="s">
        <v>146</v>
      </c>
      <c r="B5502" s="6" t="s">
        <v>88</v>
      </c>
      <c r="C5502" s="6" t="s">
        <v>226</v>
      </c>
      <c r="D5502" s="6">
        <v>1.0315</v>
      </c>
      <c r="E5502" s="6" t="s">
        <v>92</v>
      </c>
      <c r="F5502" s="6" t="s">
        <v>56</v>
      </c>
      <c r="G5502" s="7">
        <v>43574.43033788576</v>
      </c>
      <c r="H5502" s="6">
        <v>44947.02489352916</v>
      </c>
      <c r="I5502" s="6" t="s">
        <v>180</v>
      </c>
      <c r="J5502" s="15">
        <v>22.57578323357593</v>
      </c>
    </row>
    <row r="5503" spans="1:10">
      <c r="A5503" s="6" t="s">
        <v>146</v>
      </c>
      <c r="B5503" s="6" t="s">
        <v>92</v>
      </c>
      <c r="C5503" s="6" t="s">
        <v>227</v>
      </c>
      <c r="D5503" s="6">
        <v>0.5519999999999999</v>
      </c>
      <c r="E5503" s="6" t="s">
        <v>92</v>
      </c>
      <c r="F5503" s="6" t="s">
        <v>57</v>
      </c>
      <c r="G5503" s="7">
        <v>53193.31448576911</v>
      </c>
      <c r="H5503" s="6">
        <v>29362.70959614455</v>
      </c>
      <c r="I5503" s="6" t="s">
        <v>179</v>
      </c>
      <c r="J5503" s="15">
        <v>43</v>
      </c>
    </row>
    <row r="5504" spans="1:10">
      <c r="A5504" s="6" t="s">
        <v>146</v>
      </c>
      <c r="B5504" s="6" t="s">
        <v>92</v>
      </c>
      <c r="C5504" s="6" t="s">
        <v>229</v>
      </c>
      <c r="D5504" s="6">
        <v>0.08266666666666667</v>
      </c>
      <c r="E5504" s="6" t="s">
        <v>92</v>
      </c>
      <c r="F5504" s="6" t="s">
        <v>53</v>
      </c>
      <c r="G5504" s="7">
        <v>50225.07411158284</v>
      </c>
      <c r="H5504" s="6">
        <v>4151.939459890848</v>
      </c>
      <c r="I5504" s="6" t="s">
        <v>180</v>
      </c>
      <c r="J5504" s="15">
        <v>12.04501219046236</v>
      </c>
    </row>
    <row r="5505" spans="1:10">
      <c r="A5505" s="6" t="s">
        <v>146</v>
      </c>
      <c r="B5505" s="6" t="s">
        <v>92</v>
      </c>
      <c r="C5505" s="6" t="s">
        <v>230</v>
      </c>
      <c r="D5505" s="6">
        <v>0.003</v>
      </c>
      <c r="E5505" s="6" t="s">
        <v>92</v>
      </c>
      <c r="F5505" s="6" t="s">
        <v>53</v>
      </c>
      <c r="G5505" s="7">
        <v>50127.30283720783</v>
      </c>
      <c r="H5505" s="6">
        <v>150.3819085116235</v>
      </c>
      <c r="I5505" s="6" t="s">
        <v>180</v>
      </c>
      <c r="J5505" s="15">
        <v>42.83333333333334</v>
      </c>
    </row>
    <row r="5506" spans="1:10">
      <c r="A5506" s="6" t="s">
        <v>146</v>
      </c>
      <c r="B5506" s="6" t="s">
        <v>92</v>
      </c>
      <c r="C5506" s="6" t="s">
        <v>236</v>
      </c>
      <c r="D5506" s="6">
        <v>2.0955</v>
      </c>
      <c r="E5506" s="6" t="s">
        <v>92</v>
      </c>
      <c r="F5506" s="6" t="s">
        <v>51</v>
      </c>
      <c r="G5506" s="7">
        <v>44660.20742498994</v>
      </c>
      <c r="H5506" s="6">
        <v>93585.46465906641</v>
      </c>
      <c r="I5506" s="6" t="s">
        <v>179</v>
      </c>
      <c r="J5506" s="15">
        <v>46.28333333333333</v>
      </c>
    </row>
    <row r="5507" spans="1:10">
      <c r="A5507" s="6" t="s">
        <v>146</v>
      </c>
      <c r="B5507" s="6" t="s">
        <v>92</v>
      </c>
      <c r="C5507" s="6" t="s">
        <v>237</v>
      </c>
      <c r="D5507" s="6">
        <v>0.06</v>
      </c>
      <c r="E5507" s="6" t="s">
        <v>92</v>
      </c>
      <c r="F5507" s="6" t="s">
        <v>51</v>
      </c>
      <c r="G5507" s="7">
        <v>45814.12048649801</v>
      </c>
      <c r="H5507" s="6">
        <v>2748.847229189881</v>
      </c>
      <c r="I5507" s="6" t="s">
        <v>180</v>
      </c>
      <c r="J5507" s="15">
        <v>10.39344943888626</v>
      </c>
    </row>
    <row r="5508" spans="1:10">
      <c r="A5508" s="6" t="s">
        <v>146</v>
      </c>
      <c r="B5508" s="6" t="s">
        <v>92</v>
      </c>
      <c r="C5508" s="6" t="s">
        <v>245</v>
      </c>
      <c r="D5508" s="6">
        <v>0.1956666666666667</v>
      </c>
      <c r="E5508" s="6" t="s">
        <v>92</v>
      </c>
      <c r="F5508" s="6" t="s">
        <v>53</v>
      </c>
      <c r="G5508" s="7">
        <v>55652.01866398296</v>
      </c>
      <c r="H5508" s="6">
        <v>10889.24498525267</v>
      </c>
      <c r="I5508" s="6" t="s">
        <v>179</v>
      </c>
      <c r="J5508" s="15">
        <v>39</v>
      </c>
    </row>
    <row r="5509" spans="1:10">
      <c r="A5509" s="6" t="s">
        <v>146</v>
      </c>
      <c r="B5509" s="6" t="s">
        <v>92</v>
      </c>
      <c r="C5509" s="6" t="s">
        <v>247</v>
      </c>
      <c r="D5509" s="6">
        <v>0.1738333333333334</v>
      </c>
      <c r="E5509" s="6" t="s">
        <v>92</v>
      </c>
      <c r="F5509" s="6" t="s">
        <v>51</v>
      </c>
      <c r="G5509" s="7">
        <v>46237.23227272295</v>
      </c>
      <c r="H5509" s="6">
        <v>8037.572210075007</v>
      </c>
      <c r="I5509" s="6" t="s">
        <v>179</v>
      </c>
      <c r="J5509" s="15">
        <v>29.3</v>
      </c>
    </row>
    <row r="5510" spans="1:10">
      <c r="A5510" s="6" t="s">
        <v>146</v>
      </c>
      <c r="B5510" s="6" t="s">
        <v>92</v>
      </c>
      <c r="C5510" s="6" t="s">
        <v>249</v>
      </c>
      <c r="D5510" s="6">
        <v>1.7325</v>
      </c>
      <c r="E5510" s="6" t="s">
        <v>92</v>
      </c>
      <c r="F5510" s="6" t="s">
        <v>53</v>
      </c>
      <c r="G5510" s="7">
        <v>38542.7817237839</v>
      </c>
      <c r="H5510" s="6">
        <v>66775.36933645559</v>
      </c>
      <c r="I5510" s="6" t="s">
        <v>179</v>
      </c>
      <c r="J5510" s="15">
        <v>47.575</v>
      </c>
    </row>
    <row r="5511" spans="1:10">
      <c r="A5511" s="6" t="s">
        <v>146</v>
      </c>
      <c r="B5511" s="6" t="s">
        <v>92</v>
      </c>
      <c r="C5511" s="6" t="s">
        <v>253</v>
      </c>
      <c r="D5511" s="6">
        <v>0.04266666666666667</v>
      </c>
      <c r="E5511" s="6" t="s">
        <v>92</v>
      </c>
      <c r="F5511" s="6" t="s">
        <v>53</v>
      </c>
      <c r="G5511" s="7">
        <v>49900.32874056988</v>
      </c>
      <c r="H5511" s="6">
        <v>2129.080692930982</v>
      </c>
      <c r="I5511" s="6" t="s">
        <v>180</v>
      </c>
      <c r="J5511" s="15">
        <v>11.92342003509223</v>
      </c>
    </row>
    <row r="5512" spans="1:10">
      <c r="A5512" s="6" t="s">
        <v>146</v>
      </c>
      <c r="B5512" s="6" t="s">
        <v>92</v>
      </c>
      <c r="C5512" s="6" t="s">
        <v>260</v>
      </c>
      <c r="D5512" s="6">
        <v>7.769833333333334</v>
      </c>
      <c r="E5512" s="6" t="s">
        <v>92</v>
      </c>
      <c r="F5512" s="6" t="s">
        <v>52</v>
      </c>
      <c r="G5512" s="7">
        <v>77318.80490856594</v>
      </c>
      <c r="H5512" s="6">
        <v>600754.2276720726</v>
      </c>
      <c r="I5512" s="6" t="s">
        <v>180</v>
      </c>
      <c r="J5512" s="15">
        <v>22.18952976848772</v>
      </c>
    </row>
    <row r="5513" spans="1:10">
      <c r="A5513" s="6" t="s">
        <v>146</v>
      </c>
      <c r="B5513" s="6" t="s">
        <v>92</v>
      </c>
      <c r="C5513" s="6" t="s">
        <v>266</v>
      </c>
      <c r="D5513" s="6">
        <v>0.2189166666666666</v>
      </c>
      <c r="E5513" s="6" t="s">
        <v>92</v>
      </c>
      <c r="F5513" s="6" t="s">
        <v>57</v>
      </c>
      <c r="G5513" s="7">
        <v>66010.94055680964</v>
      </c>
      <c r="H5513" s="6">
        <v>14450.89507022824</v>
      </c>
      <c r="I5513" s="6" t="s">
        <v>179</v>
      </c>
      <c r="J5513" s="15">
        <v>90.49166666666667</v>
      </c>
    </row>
    <row r="5514" spans="1:10">
      <c r="A5514" s="6" t="s">
        <v>146</v>
      </c>
      <c r="B5514" s="6" t="s">
        <v>92</v>
      </c>
      <c r="C5514" s="6" t="s">
        <v>267</v>
      </c>
      <c r="D5514" s="6">
        <v>0.2386666666666667</v>
      </c>
      <c r="E5514" s="6" t="s">
        <v>92</v>
      </c>
      <c r="F5514" s="6" t="s">
        <v>53</v>
      </c>
      <c r="G5514" s="7">
        <v>48956.37381074637</v>
      </c>
      <c r="H5514" s="6">
        <v>11684.25454949814</v>
      </c>
      <c r="I5514" s="6" t="s">
        <v>179</v>
      </c>
      <c r="J5514" s="15">
        <v>31.05</v>
      </c>
    </row>
    <row r="5515" spans="1:10">
      <c r="A5515" s="6" t="s">
        <v>146</v>
      </c>
      <c r="B5515" s="6" t="s">
        <v>88</v>
      </c>
      <c r="C5515" s="6" t="s">
        <v>271</v>
      </c>
      <c r="D5515" s="6">
        <v>0.3376666666666666</v>
      </c>
      <c r="E5515" s="6" t="s">
        <v>92</v>
      </c>
      <c r="F5515" s="6" t="s">
        <v>54</v>
      </c>
      <c r="G5515" s="7">
        <v>41071.74894263604</v>
      </c>
      <c r="H5515" s="6">
        <v>13868.5605596301</v>
      </c>
      <c r="I5515" s="6" t="s">
        <v>180</v>
      </c>
      <c r="J5515" s="15">
        <v>20.89086954089749</v>
      </c>
    </row>
    <row r="5516" spans="1:10">
      <c r="A5516" s="6" t="s">
        <v>146</v>
      </c>
      <c r="B5516" s="6" t="s">
        <v>92</v>
      </c>
      <c r="C5516" s="6" t="s">
        <v>273</v>
      </c>
      <c r="D5516" s="6">
        <v>1.252333333333333</v>
      </c>
      <c r="E5516" s="6" t="s">
        <v>92</v>
      </c>
      <c r="F5516" s="6" t="s">
        <v>51</v>
      </c>
      <c r="G5516" s="7">
        <v>39415.32644745876</v>
      </c>
      <c r="H5516" s="6">
        <v>49361.12715436752</v>
      </c>
      <c r="I5516" s="6" t="s">
        <v>179</v>
      </c>
      <c r="J5516" s="15">
        <v>27</v>
      </c>
    </row>
    <row r="5517" spans="1:10">
      <c r="A5517" s="6" t="s">
        <v>146</v>
      </c>
      <c r="B5517" s="6" t="s">
        <v>92</v>
      </c>
      <c r="C5517" s="6" t="s">
        <v>280</v>
      </c>
      <c r="D5517" s="6">
        <v>0.7324999999999999</v>
      </c>
      <c r="E5517" s="6" t="s">
        <v>92</v>
      </c>
      <c r="F5517" s="6" t="s">
        <v>55</v>
      </c>
      <c r="G5517" s="7">
        <v>58368.69681371454</v>
      </c>
      <c r="H5517" s="6">
        <v>42755.0704160459</v>
      </c>
      <c r="I5517" s="6" t="s">
        <v>179</v>
      </c>
      <c r="J5517" s="15">
        <v>52.875</v>
      </c>
    </row>
    <row r="5518" spans="1:10">
      <c r="A5518" s="6" t="s">
        <v>146</v>
      </c>
      <c r="B5518" s="6" t="s">
        <v>92</v>
      </c>
      <c r="C5518" s="6" t="s">
        <v>281</v>
      </c>
      <c r="D5518" s="6">
        <v>0.1154166666666667</v>
      </c>
      <c r="E5518" s="6" t="s">
        <v>92</v>
      </c>
      <c r="F5518" s="6" t="s">
        <v>57</v>
      </c>
      <c r="G5518" s="7">
        <v>47725.16793448776</v>
      </c>
      <c r="H5518" s="6">
        <v>5508.279799105463</v>
      </c>
      <c r="I5518" s="6" t="s">
        <v>179</v>
      </c>
      <c r="J5518" s="15">
        <v>36</v>
      </c>
    </row>
    <row r="5519" spans="1:10">
      <c r="A5519" s="6" t="s">
        <v>146</v>
      </c>
      <c r="B5519" s="6" t="s">
        <v>92</v>
      </c>
      <c r="C5519" s="6" t="s">
        <v>284</v>
      </c>
      <c r="D5519" s="6">
        <v>1.217416666666667</v>
      </c>
      <c r="E5519" s="6" t="s">
        <v>92</v>
      </c>
      <c r="F5519" s="6" t="s">
        <v>55</v>
      </c>
      <c r="G5519" s="7">
        <v>36138.38846146646</v>
      </c>
      <c r="H5519" s="6">
        <v>43995.47641946364</v>
      </c>
      <c r="I5519" s="6" t="s">
        <v>179</v>
      </c>
      <c r="J5519" s="15">
        <v>40.2</v>
      </c>
    </row>
    <row r="5520" spans="1:10">
      <c r="A5520" s="6" t="s">
        <v>146</v>
      </c>
      <c r="B5520" s="6" t="s">
        <v>92</v>
      </c>
      <c r="C5520" s="6" t="s">
        <v>289</v>
      </c>
      <c r="D5520" s="6">
        <v>19.85166666666667</v>
      </c>
      <c r="E5520" s="6" t="s">
        <v>92</v>
      </c>
      <c r="F5520" s="6" t="s">
        <v>52</v>
      </c>
      <c r="G5520" s="7">
        <v>77318.80490856594</v>
      </c>
      <c r="H5520" s="6">
        <v>1534907.142109882</v>
      </c>
      <c r="I5520" s="6" t="s">
        <v>180</v>
      </c>
      <c r="J5520" s="15">
        <v>22.18952976848772</v>
      </c>
    </row>
    <row r="5521" spans="1:10">
      <c r="A5521" s="6" t="s">
        <v>146</v>
      </c>
      <c r="B5521" s="6" t="s">
        <v>92</v>
      </c>
      <c r="C5521" s="6" t="s">
        <v>293</v>
      </c>
      <c r="D5521" s="6">
        <v>0.01916666666666667</v>
      </c>
      <c r="E5521" s="6" t="s">
        <v>92</v>
      </c>
      <c r="F5521" s="6" t="s">
        <v>53</v>
      </c>
      <c r="G5521" s="7">
        <v>67567.57931334202</v>
      </c>
      <c r="H5521" s="6">
        <v>1295.045270172389</v>
      </c>
      <c r="I5521" s="6" t="s">
        <v>179</v>
      </c>
      <c r="J5521" s="15">
        <v>26.71666666666667</v>
      </c>
    </row>
    <row r="5522" spans="1:10">
      <c r="A5522" s="6" t="s">
        <v>146</v>
      </c>
      <c r="B5522" s="6" t="s">
        <v>92</v>
      </c>
      <c r="C5522" s="6" t="s">
        <v>295</v>
      </c>
      <c r="D5522" s="6">
        <v>0.2248333333333333</v>
      </c>
      <c r="E5522" s="6" t="s">
        <v>92</v>
      </c>
      <c r="F5522" s="6" t="s">
        <v>53</v>
      </c>
      <c r="G5522" s="7">
        <v>43665.47276142767</v>
      </c>
      <c r="H5522" s="6">
        <v>9817.453792527655</v>
      </c>
      <c r="I5522" s="6" t="s">
        <v>179</v>
      </c>
      <c r="J5522" s="15">
        <v>37</v>
      </c>
    </row>
    <row r="5523" spans="1:10">
      <c r="A5523" s="6" t="s">
        <v>146</v>
      </c>
      <c r="B5523" s="6" t="s">
        <v>92</v>
      </c>
      <c r="C5523" s="6" t="s">
        <v>296</v>
      </c>
      <c r="D5523" s="6">
        <v>15.75533333333333</v>
      </c>
      <c r="E5523" s="6" t="s">
        <v>92</v>
      </c>
      <c r="F5523" s="6" t="s">
        <v>61</v>
      </c>
      <c r="G5523" s="7">
        <v>53088.58925206317</v>
      </c>
      <c r="H5523" s="6">
        <v>836428.4198626726</v>
      </c>
      <c r="I5523" s="6" t="s">
        <v>179</v>
      </c>
      <c r="J5523" s="15">
        <v>21</v>
      </c>
    </row>
    <row r="5524" spans="1:10">
      <c r="A5524" s="6" t="s">
        <v>146</v>
      </c>
      <c r="B5524" s="6" t="s">
        <v>92</v>
      </c>
      <c r="C5524" s="6" t="s">
        <v>298</v>
      </c>
      <c r="D5524" s="6">
        <v>0.02333333333333333</v>
      </c>
      <c r="E5524" s="6" t="s">
        <v>92</v>
      </c>
      <c r="F5524" s="6" t="s">
        <v>56</v>
      </c>
      <c r="G5524" s="7">
        <v>64956.33439155623</v>
      </c>
      <c r="H5524" s="6">
        <v>1515.647802469646</v>
      </c>
      <c r="I5524" s="6" t="s">
        <v>180</v>
      </c>
      <c r="J5524" s="15">
        <v>17.56073573464467</v>
      </c>
    </row>
    <row r="5525" spans="1:10">
      <c r="A5525" s="6" t="s">
        <v>146</v>
      </c>
      <c r="B5525" s="6" t="s">
        <v>92</v>
      </c>
      <c r="C5525" s="6" t="s">
        <v>361</v>
      </c>
      <c r="D5525" s="6">
        <v>0.021</v>
      </c>
      <c r="E5525" s="6" t="s">
        <v>92</v>
      </c>
      <c r="F5525" s="6" t="s">
        <v>52</v>
      </c>
      <c r="G5525" s="7">
        <v>77318.80490856594</v>
      </c>
      <c r="H5525" s="6">
        <v>1623.694903079885</v>
      </c>
      <c r="I5525" s="6" t="s">
        <v>180</v>
      </c>
      <c r="J5525" s="15">
        <v>22.18952976848772</v>
      </c>
    </row>
    <row r="5526" spans="1:10">
      <c r="A5526" s="6" t="s">
        <v>146</v>
      </c>
      <c r="B5526" s="6" t="s">
        <v>92</v>
      </c>
      <c r="C5526" s="6" t="s">
        <v>305</v>
      </c>
      <c r="D5526" s="6">
        <v>0.1513333333333333</v>
      </c>
      <c r="E5526" s="6" t="s">
        <v>92</v>
      </c>
      <c r="F5526" s="6" t="s">
        <v>54</v>
      </c>
      <c r="G5526" s="7">
        <v>95146.87757960078</v>
      </c>
      <c r="H5526" s="6">
        <v>14398.89414037958</v>
      </c>
      <c r="I5526" s="6" t="s">
        <v>180</v>
      </c>
      <c r="J5526" s="15">
        <v>28.86477128280014</v>
      </c>
    </row>
    <row r="5527" spans="1:10">
      <c r="A5527" s="6" t="s">
        <v>146</v>
      </c>
      <c r="B5527" s="6" t="s">
        <v>92</v>
      </c>
      <c r="C5527" s="6" t="s">
        <v>362</v>
      </c>
      <c r="D5527" s="6">
        <v>0.4080000000000001</v>
      </c>
      <c r="E5527" s="6" t="s">
        <v>92</v>
      </c>
      <c r="F5527" s="6" t="s">
        <v>52</v>
      </c>
      <c r="G5527" s="7">
        <v>77318.80490856594</v>
      </c>
      <c r="H5527" s="6">
        <v>31546.07240269491</v>
      </c>
      <c r="I5527" s="6" t="s">
        <v>180</v>
      </c>
      <c r="J5527" s="15">
        <v>22.18952976848772</v>
      </c>
    </row>
    <row r="5528" spans="1:10">
      <c r="A5528" s="6" t="s">
        <v>146</v>
      </c>
      <c r="B5528" s="6" t="s">
        <v>92</v>
      </c>
      <c r="C5528" s="6" t="s">
        <v>309</v>
      </c>
      <c r="D5528" s="6">
        <v>8.154</v>
      </c>
      <c r="E5528" s="6" t="s">
        <v>92</v>
      </c>
      <c r="F5528" s="6" t="s">
        <v>52</v>
      </c>
      <c r="G5528" s="7">
        <v>77318.80490856594</v>
      </c>
      <c r="H5528" s="6">
        <v>630457.5352244467</v>
      </c>
      <c r="I5528" s="6" t="s">
        <v>180</v>
      </c>
      <c r="J5528" s="15">
        <v>22.18952976848772</v>
      </c>
    </row>
    <row r="5529" spans="1:10">
      <c r="A5529" s="6" t="s">
        <v>146</v>
      </c>
      <c r="B5529" s="6" t="s">
        <v>92</v>
      </c>
      <c r="C5529" s="6" t="s">
        <v>312</v>
      </c>
      <c r="D5529" s="6">
        <v>0.2688333333333333</v>
      </c>
      <c r="E5529" s="6" t="s">
        <v>92</v>
      </c>
      <c r="F5529" s="6" t="s">
        <v>54</v>
      </c>
      <c r="G5529" s="7">
        <v>76542.49786788689</v>
      </c>
      <c r="H5529" s="6">
        <v>20577.17484348359</v>
      </c>
      <c r="I5529" s="6" t="s">
        <v>180</v>
      </c>
      <c r="J5529" s="15">
        <v>21.89886251121246</v>
      </c>
    </row>
    <row r="5530" spans="1:10">
      <c r="A5530" s="6" t="s">
        <v>146</v>
      </c>
      <c r="B5530" s="6" t="s">
        <v>92</v>
      </c>
      <c r="C5530" s="6" t="s">
        <v>318</v>
      </c>
      <c r="D5530" s="6">
        <v>0.1245</v>
      </c>
      <c r="E5530" s="6" t="s">
        <v>92</v>
      </c>
      <c r="F5530" s="6" t="s">
        <v>52</v>
      </c>
      <c r="G5530" s="7">
        <v>77318.80490856594</v>
      </c>
      <c r="H5530" s="6">
        <v>9626.19121111646</v>
      </c>
      <c r="I5530" s="6" t="s">
        <v>180</v>
      </c>
      <c r="J5530" s="15">
        <v>22.18952976848772</v>
      </c>
    </row>
    <row r="5531" spans="1:10">
      <c r="A5531" s="6" t="s">
        <v>146</v>
      </c>
      <c r="B5531" s="6" t="s">
        <v>92</v>
      </c>
      <c r="C5531" s="6" t="s">
        <v>319</v>
      </c>
      <c r="D5531" s="6">
        <v>0.5333333333333333</v>
      </c>
      <c r="E5531" s="6" t="s">
        <v>92</v>
      </c>
      <c r="F5531" s="6" t="s">
        <v>52</v>
      </c>
      <c r="G5531" s="7">
        <v>77318.80490856594</v>
      </c>
      <c r="H5531" s="6">
        <v>41236.69595123517</v>
      </c>
      <c r="I5531" s="6" t="s">
        <v>180</v>
      </c>
      <c r="J5531" s="15">
        <v>22.18952976848772</v>
      </c>
    </row>
    <row r="5532" spans="1:10">
      <c r="A5532" s="6" t="s">
        <v>146</v>
      </c>
      <c r="B5532" s="6" t="s">
        <v>92</v>
      </c>
      <c r="C5532" s="6" t="s">
        <v>320</v>
      </c>
      <c r="D5532" s="6">
        <v>0.6767500000000001</v>
      </c>
      <c r="E5532" s="6" t="s">
        <v>92</v>
      </c>
      <c r="F5532" s="6" t="s">
        <v>51</v>
      </c>
      <c r="G5532" s="7">
        <v>42399.1324717879</v>
      </c>
      <c r="H5532" s="6">
        <v>28693.61290028247</v>
      </c>
      <c r="I5532" s="6" t="s">
        <v>179</v>
      </c>
      <c r="J5532" s="15">
        <v>45</v>
      </c>
    </row>
    <row r="5533" spans="1:10">
      <c r="A5533" s="6" t="s">
        <v>146</v>
      </c>
      <c r="B5533" s="6" t="s">
        <v>92</v>
      </c>
      <c r="C5533" s="6" t="s">
        <v>323</v>
      </c>
      <c r="D5533" s="6">
        <v>0.7031666666666667</v>
      </c>
      <c r="E5533" s="6" t="s">
        <v>92</v>
      </c>
      <c r="F5533" s="6" t="s">
        <v>55</v>
      </c>
      <c r="G5533" s="7">
        <v>37901.84707720344</v>
      </c>
      <c r="H5533" s="6">
        <v>26651.31546978689</v>
      </c>
      <c r="I5533" s="6" t="s">
        <v>179</v>
      </c>
      <c r="J5533" s="15">
        <v>17</v>
      </c>
    </row>
    <row r="5534" spans="1:10">
      <c r="A5534" s="6" t="s">
        <v>146</v>
      </c>
      <c r="B5534" s="6" t="s">
        <v>92</v>
      </c>
      <c r="C5534" s="6" t="s">
        <v>324</v>
      </c>
      <c r="D5534" s="6">
        <v>0.2281666666666667</v>
      </c>
      <c r="E5534" s="6" t="s">
        <v>92</v>
      </c>
      <c r="F5534" s="6" t="s">
        <v>51</v>
      </c>
      <c r="G5534" s="7">
        <v>59286.87997138536</v>
      </c>
      <c r="H5534" s="6">
        <v>13527.28978013776</v>
      </c>
      <c r="I5534" s="6" t="s">
        <v>179</v>
      </c>
      <c r="J5534" s="15">
        <v>44</v>
      </c>
    </row>
    <row r="5535" spans="1:10">
      <c r="A5535" s="6" t="s">
        <v>146</v>
      </c>
      <c r="B5535" s="6" t="s">
        <v>92</v>
      </c>
      <c r="C5535" s="6" t="s">
        <v>326</v>
      </c>
      <c r="D5535" s="6">
        <v>0.1458333333333333</v>
      </c>
      <c r="E5535" s="6" t="s">
        <v>92</v>
      </c>
      <c r="F5535" s="6" t="s">
        <v>54</v>
      </c>
      <c r="G5535" s="7">
        <v>91760.91506579834</v>
      </c>
      <c r="H5535" s="6">
        <v>13381.80011376226</v>
      </c>
      <c r="I5535" s="6" t="s">
        <v>180</v>
      </c>
      <c r="J5535" s="15">
        <v>27.59698883906121</v>
      </c>
    </row>
    <row r="5536" spans="1:10">
      <c r="A5536" s="6" t="s">
        <v>146</v>
      </c>
      <c r="B5536" s="6" t="s">
        <v>92</v>
      </c>
      <c r="C5536" s="6" t="s">
        <v>329</v>
      </c>
      <c r="D5536" s="6">
        <v>0.5755</v>
      </c>
      <c r="E5536" s="6" t="s">
        <v>92</v>
      </c>
      <c r="F5536" s="6" t="s">
        <v>58</v>
      </c>
      <c r="G5536" s="7">
        <v>67115.81850755938</v>
      </c>
      <c r="H5536" s="6">
        <v>38625.15355110043</v>
      </c>
      <c r="I5536" s="6" t="s">
        <v>179</v>
      </c>
      <c r="J5536" s="15">
        <v>43.45833333333333</v>
      </c>
    </row>
    <row r="5537" spans="1:10">
      <c r="A5537" s="6" t="s">
        <v>146</v>
      </c>
      <c r="B5537" s="6" t="s">
        <v>92</v>
      </c>
      <c r="C5537" s="6" t="s">
        <v>330</v>
      </c>
      <c r="D5537" s="6">
        <v>0.0375</v>
      </c>
      <c r="E5537" s="6" t="s">
        <v>92</v>
      </c>
      <c r="F5537" s="6" t="s">
        <v>52</v>
      </c>
      <c r="G5537" s="7">
        <v>77318.80490856594</v>
      </c>
      <c r="H5537" s="6">
        <v>2899.455184071223</v>
      </c>
      <c r="I5537" s="6" t="s">
        <v>180</v>
      </c>
      <c r="J5537" s="15">
        <v>22.18952976848772</v>
      </c>
    </row>
    <row r="5538" spans="1:10">
      <c r="A5538" s="6" t="s">
        <v>146</v>
      </c>
      <c r="B5538" s="6" t="s">
        <v>92</v>
      </c>
      <c r="C5538" s="6" t="s">
        <v>331</v>
      </c>
      <c r="D5538" s="6">
        <v>0.56225</v>
      </c>
      <c r="E5538" s="6" t="s">
        <v>92</v>
      </c>
      <c r="F5538" s="6" t="s">
        <v>58</v>
      </c>
      <c r="G5538" s="7">
        <v>52490.82308035896</v>
      </c>
      <c r="H5538" s="6">
        <v>29512.96527693183</v>
      </c>
      <c r="I5538" s="6" t="s">
        <v>179</v>
      </c>
      <c r="J5538" s="15">
        <v>17.40719355741339</v>
      </c>
    </row>
    <row r="5539" spans="1:10">
      <c r="A5539" s="6" t="s">
        <v>146</v>
      </c>
      <c r="B5539" s="6" t="s">
        <v>92</v>
      </c>
      <c r="C5539" s="6" t="s">
        <v>332</v>
      </c>
      <c r="D5539" s="6">
        <v>1.032916666666667</v>
      </c>
      <c r="E5539" s="6" t="s">
        <v>92</v>
      </c>
      <c r="F5539" s="6" t="s">
        <v>55</v>
      </c>
      <c r="G5539" s="7">
        <v>18935.91078298569</v>
      </c>
      <c r="H5539" s="6">
        <v>19559.21784625897</v>
      </c>
      <c r="I5539" s="6" t="s">
        <v>179</v>
      </c>
      <c r="J5539" s="15">
        <v>13</v>
      </c>
    </row>
    <row r="5540" spans="1:10">
      <c r="A5540" s="6" t="s">
        <v>146</v>
      </c>
      <c r="B5540" s="6" t="s">
        <v>92</v>
      </c>
      <c r="C5540" s="6" t="s">
        <v>333</v>
      </c>
      <c r="D5540" s="6">
        <v>0.3538333333333334</v>
      </c>
      <c r="E5540" s="6" t="s">
        <v>92</v>
      </c>
      <c r="F5540" s="6" t="s">
        <v>51</v>
      </c>
      <c r="G5540" s="7">
        <v>51151.59012928524</v>
      </c>
      <c r="H5540" s="6">
        <v>18099.13764074543</v>
      </c>
      <c r="I5540" s="6" t="s">
        <v>180</v>
      </c>
      <c r="J5540" s="15">
        <v>12.39192115247769</v>
      </c>
    </row>
    <row r="5541" spans="1:10">
      <c r="A5541" s="6" t="s">
        <v>148</v>
      </c>
      <c r="B5541" s="6" t="s">
        <v>92</v>
      </c>
      <c r="C5541" s="6" t="s">
        <v>194</v>
      </c>
      <c r="D5541" s="6">
        <v>0.1411666666666667</v>
      </c>
      <c r="E5541" s="6" t="s">
        <v>181</v>
      </c>
      <c r="F5541" s="6" t="s">
        <v>58</v>
      </c>
      <c r="G5541" s="7">
        <v>50041.91995236529</v>
      </c>
      <c r="H5541" s="6">
        <v>7064.251033275566</v>
      </c>
      <c r="I5541" s="6" t="s">
        <v>180</v>
      </c>
      <c r="J5541" s="15">
        <v>11.97643504980967</v>
      </c>
    </row>
    <row r="5542" spans="1:10">
      <c r="A5542" s="6" t="s">
        <v>148</v>
      </c>
      <c r="B5542" s="6" t="s">
        <v>90</v>
      </c>
      <c r="C5542" s="6" t="s">
        <v>195</v>
      </c>
      <c r="D5542" s="6">
        <v>8.17075</v>
      </c>
      <c r="E5542" s="6" t="s">
        <v>181</v>
      </c>
      <c r="F5542" s="6" t="s">
        <v>54</v>
      </c>
      <c r="G5542" s="7">
        <v>56976.27849226169</v>
      </c>
      <c r="H5542" s="6">
        <v>465538.9274906472</v>
      </c>
      <c r="I5542" s="6" t="s">
        <v>180</v>
      </c>
      <c r="J5542" s="15">
        <v>11.49610447263148</v>
      </c>
    </row>
    <row r="5543" spans="1:10">
      <c r="A5543" s="6" t="s">
        <v>148</v>
      </c>
      <c r="B5543" s="6" t="s">
        <v>90</v>
      </c>
      <c r="C5543" s="6" t="s">
        <v>197</v>
      </c>
      <c r="D5543" s="6">
        <v>10.35458333333333</v>
      </c>
      <c r="E5543" s="6" t="s">
        <v>181</v>
      </c>
      <c r="F5543" s="6" t="s">
        <v>53</v>
      </c>
      <c r="G5543" s="7">
        <v>24873.23941462196</v>
      </c>
      <c r="H5543" s="6">
        <v>257552.0302886543</v>
      </c>
      <c r="I5543" s="6" t="s">
        <v>179</v>
      </c>
      <c r="J5543" s="15">
        <v>27</v>
      </c>
    </row>
    <row r="5544" spans="1:10">
      <c r="A5544" s="6" t="s">
        <v>148</v>
      </c>
      <c r="B5544" s="6" t="s">
        <v>90</v>
      </c>
      <c r="C5544" s="6" t="s">
        <v>198</v>
      </c>
      <c r="D5544" s="6">
        <v>12.59425</v>
      </c>
      <c r="E5544" s="6" t="s">
        <v>181</v>
      </c>
      <c r="F5544" s="6" t="s">
        <v>58</v>
      </c>
      <c r="G5544" s="7">
        <v>77672.91374469569</v>
      </c>
      <c r="H5544" s="6">
        <v>978232.0939291337</v>
      </c>
      <c r="I5544" s="6" t="s">
        <v>180</v>
      </c>
      <c r="J5544" s="15">
        <v>18.12778537638943</v>
      </c>
    </row>
    <row r="5545" spans="1:10">
      <c r="A5545" s="6" t="s">
        <v>148</v>
      </c>
      <c r="B5545" s="6" t="s">
        <v>92</v>
      </c>
      <c r="C5545" s="6" t="s">
        <v>199</v>
      </c>
      <c r="D5545" s="6">
        <v>28.32941666666667</v>
      </c>
      <c r="E5545" s="6" t="s">
        <v>181</v>
      </c>
      <c r="F5545" s="6" t="s">
        <v>57</v>
      </c>
      <c r="G5545" s="7">
        <v>45943.9020712533</v>
      </c>
      <c r="H5545" s="6">
        <v>1301563.945069064</v>
      </c>
      <c r="I5545" s="6" t="s">
        <v>179</v>
      </c>
      <c r="J5545" s="15">
        <v>30.95</v>
      </c>
    </row>
    <row r="5546" spans="1:10">
      <c r="A5546" s="6" t="s">
        <v>148</v>
      </c>
      <c r="B5546" s="6" t="s">
        <v>90</v>
      </c>
      <c r="C5546" s="6" t="s">
        <v>337</v>
      </c>
      <c r="D5546" s="6">
        <v>6.873166666666667</v>
      </c>
      <c r="E5546" s="6" t="s">
        <v>181</v>
      </c>
      <c r="F5546" s="6" t="s">
        <v>52</v>
      </c>
      <c r="G5546" s="7">
        <v>59918.03179942394</v>
      </c>
      <c r="H5546" s="6">
        <v>411826.618896074</v>
      </c>
      <c r="I5546" s="6" t="s">
        <v>180</v>
      </c>
      <c r="J5546" s="15">
        <v>12.43871031134531</v>
      </c>
    </row>
    <row r="5547" spans="1:10">
      <c r="A5547" s="6" t="s">
        <v>148</v>
      </c>
      <c r="B5547" s="6" t="s">
        <v>90</v>
      </c>
      <c r="C5547" s="6" t="s">
        <v>200</v>
      </c>
      <c r="D5547" s="6">
        <v>1.172416666666667</v>
      </c>
      <c r="E5547" s="6" t="s">
        <v>181</v>
      </c>
      <c r="F5547" s="6" t="s">
        <v>52</v>
      </c>
      <c r="G5547" s="7">
        <v>59918.03179942394</v>
      </c>
      <c r="H5547" s="6">
        <v>70248.89911550794</v>
      </c>
      <c r="I5547" s="6" t="s">
        <v>180</v>
      </c>
      <c r="J5547" s="15">
        <v>12.43871031134531</v>
      </c>
    </row>
    <row r="5548" spans="1:10">
      <c r="A5548" s="6" t="s">
        <v>148</v>
      </c>
      <c r="B5548" s="6" t="s">
        <v>90</v>
      </c>
      <c r="C5548" s="6" t="s">
        <v>201</v>
      </c>
      <c r="D5548" s="6">
        <v>13.4405</v>
      </c>
      <c r="E5548" s="6" t="s">
        <v>181</v>
      </c>
      <c r="F5548" s="6" t="s">
        <v>56</v>
      </c>
      <c r="G5548" s="7">
        <v>47784.13759688608</v>
      </c>
      <c r="H5548" s="6">
        <v>642242.7013709473</v>
      </c>
      <c r="I5548" s="6" t="s">
        <v>180</v>
      </c>
      <c r="J5548" s="15">
        <v>8.550729801966316</v>
      </c>
    </row>
    <row r="5549" spans="1:10">
      <c r="A5549" s="6" t="s">
        <v>148</v>
      </c>
      <c r="B5549" s="6" t="s">
        <v>88</v>
      </c>
      <c r="C5549" s="6" t="s">
        <v>202</v>
      </c>
      <c r="D5549" s="6">
        <v>86.53816666666667</v>
      </c>
      <c r="E5549" s="6" t="s">
        <v>181</v>
      </c>
      <c r="F5549" s="6" t="s">
        <v>54</v>
      </c>
      <c r="G5549" s="7">
        <v>52343.66061009689</v>
      </c>
      <c r="H5549" s="6">
        <v>4529724.42582</v>
      </c>
      <c r="I5549" s="6" t="s">
        <v>180</v>
      </c>
      <c r="J5549" s="15">
        <v>28.47960950085214</v>
      </c>
    </row>
    <row r="5550" spans="1:10">
      <c r="A5550" s="6" t="s">
        <v>148</v>
      </c>
      <c r="B5550" s="6" t="s">
        <v>90</v>
      </c>
      <c r="C5550" s="6" t="s">
        <v>203</v>
      </c>
      <c r="D5550" s="6">
        <v>159.5816666666666</v>
      </c>
      <c r="E5550" s="6" t="s">
        <v>181</v>
      </c>
      <c r="F5550" s="6" t="s">
        <v>53</v>
      </c>
      <c r="G5550" s="7">
        <v>17844.00974373058</v>
      </c>
      <c r="H5550" s="6">
        <v>2847576.814920765</v>
      </c>
      <c r="I5550" s="6" t="s">
        <v>179</v>
      </c>
      <c r="J5550" s="15">
        <v>12</v>
      </c>
    </row>
    <row r="5551" spans="1:10">
      <c r="A5551" s="6" t="s">
        <v>148</v>
      </c>
      <c r="B5551" s="6" t="s">
        <v>90</v>
      </c>
      <c r="C5551" s="6" t="s">
        <v>204</v>
      </c>
      <c r="D5551" s="6">
        <v>559.36025</v>
      </c>
      <c r="E5551" s="6" t="s">
        <v>181</v>
      </c>
      <c r="F5551" s="6" t="s">
        <v>51</v>
      </c>
      <c r="G5551" s="7">
        <v>48521.48309148364</v>
      </c>
      <c r="H5551" s="6">
        <v>27140988.91242306</v>
      </c>
      <c r="I5551" s="6" t="s">
        <v>179</v>
      </c>
      <c r="J5551" s="15">
        <v>44.48333333333333</v>
      </c>
    </row>
    <row r="5552" spans="1:10">
      <c r="A5552" s="6" t="s">
        <v>148</v>
      </c>
      <c r="B5552" s="6" t="s">
        <v>90</v>
      </c>
      <c r="C5552" s="6" t="s">
        <v>338</v>
      </c>
      <c r="D5552" s="6">
        <v>2.31325</v>
      </c>
      <c r="E5552" s="6" t="s">
        <v>181</v>
      </c>
      <c r="F5552" s="6" t="s">
        <v>52</v>
      </c>
      <c r="G5552" s="7">
        <v>59918.03179942394</v>
      </c>
      <c r="H5552" s="6">
        <v>138605.3870600174</v>
      </c>
      <c r="I5552" s="6" t="s">
        <v>180</v>
      </c>
      <c r="J5552" s="15">
        <v>12.43871031134531</v>
      </c>
    </row>
    <row r="5553" spans="1:10">
      <c r="A5553" s="6" t="s">
        <v>148</v>
      </c>
      <c r="B5553" s="6" t="s">
        <v>90</v>
      </c>
      <c r="C5553" s="6" t="s">
        <v>205</v>
      </c>
      <c r="D5553" s="6">
        <v>41.6985</v>
      </c>
      <c r="E5553" s="6" t="s">
        <v>181</v>
      </c>
      <c r="F5553" s="6" t="s">
        <v>56</v>
      </c>
      <c r="G5553" s="7">
        <v>54785.63728382858</v>
      </c>
      <c r="H5553" s="6">
        <v>2284478.896279726</v>
      </c>
      <c r="I5553" s="6" t="s">
        <v>180</v>
      </c>
      <c r="J5553" s="15">
        <v>10.79417233285323</v>
      </c>
    </row>
    <row r="5554" spans="1:10">
      <c r="A5554" s="6" t="s">
        <v>148</v>
      </c>
      <c r="B5554" s="6" t="s">
        <v>92</v>
      </c>
      <c r="C5554" s="6" t="s">
        <v>206</v>
      </c>
      <c r="D5554" s="6">
        <v>3.748083333333333</v>
      </c>
      <c r="E5554" s="6" t="s">
        <v>181</v>
      </c>
      <c r="F5554" s="6" t="s">
        <v>55</v>
      </c>
      <c r="G5554" s="7">
        <v>31981.7567354776</v>
      </c>
      <c r="H5554" s="6">
        <v>119870.2893909647</v>
      </c>
      <c r="I5554" s="6" t="s">
        <v>179</v>
      </c>
      <c r="J5554" s="15">
        <v>16</v>
      </c>
    </row>
    <row r="5555" spans="1:10">
      <c r="A5555" s="6" t="s">
        <v>148</v>
      </c>
      <c r="B5555" s="6" t="s">
        <v>92</v>
      </c>
      <c r="C5555" s="6" t="s">
        <v>207</v>
      </c>
      <c r="D5555" s="6">
        <v>0.2043333333333333</v>
      </c>
      <c r="E5555" s="6" t="s">
        <v>181</v>
      </c>
      <c r="F5555" s="6" t="s">
        <v>55</v>
      </c>
      <c r="G5555" s="7">
        <v>35193.17601920018</v>
      </c>
      <c r="H5555" s="6">
        <v>7191.138966589904</v>
      </c>
      <c r="I5555" s="6" t="s">
        <v>180</v>
      </c>
      <c r="J5555" s="15">
        <v>6.416722916759179</v>
      </c>
    </row>
    <row r="5556" spans="1:10">
      <c r="A5556" s="6" t="s">
        <v>148</v>
      </c>
      <c r="B5556" s="6" t="s">
        <v>90</v>
      </c>
      <c r="C5556" s="6" t="s">
        <v>208</v>
      </c>
      <c r="D5556" s="6">
        <v>1.271833333333333</v>
      </c>
      <c r="E5556" s="6" t="s">
        <v>181</v>
      </c>
      <c r="F5556" s="6" t="s">
        <v>51</v>
      </c>
      <c r="G5556" s="7">
        <v>50863.64364522683</v>
      </c>
      <c r="H5556" s="6">
        <v>64690.07744278766</v>
      </c>
      <c r="I5556" s="6" t="s">
        <v>180</v>
      </c>
      <c r="J5556" s="15">
        <v>49.81666666666667</v>
      </c>
    </row>
    <row r="5557" spans="1:10">
      <c r="A5557" s="6" t="s">
        <v>148</v>
      </c>
      <c r="B5557" s="6" t="s">
        <v>92</v>
      </c>
      <c r="C5557" s="6" t="s">
        <v>209</v>
      </c>
      <c r="D5557" s="6">
        <v>0.1636666666666667</v>
      </c>
      <c r="E5557" s="6" t="s">
        <v>181</v>
      </c>
      <c r="F5557" s="6" t="s">
        <v>57</v>
      </c>
      <c r="G5557" s="7">
        <v>37511.68520504731</v>
      </c>
      <c r="H5557" s="6">
        <v>6139.41247855941</v>
      </c>
      <c r="I5557" s="6" t="s">
        <v>180</v>
      </c>
      <c r="J5557" s="15">
        <v>7.284826219581484</v>
      </c>
    </row>
    <row r="5558" spans="1:10">
      <c r="A5558" s="6" t="s">
        <v>148</v>
      </c>
      <c r="B5558" s="6" t="s">
        <v>90</v>
      </c>
      <c r="C5558" s="6" t="s">
        <v>210</v>
      </c>
      <c r="D5558" s="6">
        <v>0.3258333333333334</v>
      </c>
      <c r="E5558" s="6" t="s">
        <v>181</v>
      </c>
      <c r="F5558" s="6" t="s">
        <v>53</v>
      </c>
      <c r="G5558" s="7">
        <v>33962.09735450833</v>
      </c>
      <c r="H5558" s="6">
        <v>11065.98338801063</v>
      </c>
      <c r="I5558" s="6" t="s">
        <v>180</v>
      </c>
      <c r="J5558" s="15">
        <v>12</v>
      </c>
    </row>
    <row r="5559" spans="1:10">
      <c r="A5559" s="6" t="s">
        <v>148</v>
      </c>
      <c r="B5559" s="6" t="s">
        <v>92</v>
      </c>
      <c r="C5559" s="6" t="s">
        <v>211</v>
      </c>
      <c r="D5559" s="6">
        <v>104.1895833333333</v>
      </c>
      <c r="E5559" s="6" t="s">
        <v>181</v>
      </c>
      <c r="F5559" s="6" t="s">
        <v>55</v>
      </c>
      <c r="G5559" s="7">
        <v>25336.04217074411</v>
      </c>
      <c r="H5559" s="6">
        <v>2639751.677085591</v>
      </c>
      <c r="I5559" s="6" t="s">
        <v>179</v>
      </c>
      <c r="J5559" s="15">
        <v>16</v>
      </c>
    </row>
    <row r="5560" spans="1:10">
      <c r="A5560" s="6" t="s">
        <v>148</v>
      </c>
      <c r="B5560" s="6" t="s">
        <v>92</v>
      </c>
      <c r="C5560" s="6" t="s">
        <v>212</v>
      </c>
      <c r="D5560" s="6">
        <v>15.68475</v>
      </c>
      <c r="E5560" s="6" t="s">
        <v>181</v>
      </c>
      <c r="F5560" s="6" t="s">
        <v>55</v>
      </c>
      <c r="G5560" s="7">
        <v>23468.05749758728</v>
      </c>
      <c r="H5560" s="6">
        <v>368090.614835282</v>
      </c>
      <c r="I5560" s="6" t="s">
        <v>179</v>
      </c>
      <c r="J5560" s="15">
        <v>15</v>
      </c>
    </row>
    <row r="5561" spans="1:10">
      <c r="A5561" s="6" t="s">
        <v>148</v>
      </c>
      <c r="B5561" s="6" t="s">
        <v>88</v>
      </c>
      <c r="C5561" s="6" t="s">
        <v>213</v>
      </c>
      <c r="D5561" s="6">
        <v>3.806333333333333</v>
      </c>
      <c r="E5561" s="6" t="s">
        <v>181</v>
      </c>
      <c r="F5561" s="6" t="s">
        <v>52</v>
      </c>
      <c r="G5561" s="7">
        <v>44335.59781697809</v>
      </c>
      <c r="H5561" s="6">
        <v>168756.0638240243</v>
      </c>
      <c r="I5561" s="6" t="s">
        <v>180</v>
      </c>
      <c r="J5561" s="15">
        <v>23.08823420331521</v>
      </c>
    </row>
    <row r="5562" spans="1:10">
      <c r="A5562" s="6" t="s">
        <v>148</v>
      </c>
      <c r="B5562" s="6" t="s">
        <v>90</v>
      </c>
      <c r="C5562" s="6" t="s">
        <v>214</v>
      </c>
      <c r="D5562" s="6">
        <v>0.2845833333333333</v>
      </c>
      <c r="E5562" s="6" t="s">
        <v>181</v>
      </c>
      <c r="F5562" s="6" t="s">
        <v>53</v>
      </c>
      <c r="G5562" s="7">
        <v>29230.07315219457</v>
      </c>
      <c r="H5562" s="6">
        <v>8318.391651228703</v>
      </c>
      <c r="I5562" s="6" t="s">
        <v>179</v>
      </c>
      <c r="J5562" s="15">
        <v>27</v>
      </c>
    </row>
    <row r="5563" spans="1:10">
      <c r="A5563" s="6" t="s">
        <v>148</v>
      </c>
      <c r="B5563" s="6" t="s">
        <v>88</v>
      </c>
      <c r="C5563" s="6" t="s">
        <v>215</v>
      </c>
      <c r="D5563" s="6">
        <v>78.34208333333333</v>
      </c>
      <c r="E5563" s="6" t="s">
        <v>181</v>
      </c>
      <c r="F5563" s="6" t="s">
        <v>54</v>
      </c>
      <c r="G5563" s="7">
        <v>49061.49876660256</v>
      </c>
      <c r="H5563" s="6">
        <v>3843580.024831408</v>
      </c>
      <c r="I5563" s="6" t="s">
        <v>180</v>
      </c>
      <c r="J5563" s="15">
        <v>26.26991575310344</v>
      </c>
    </row>
    <row r="5564" spans="1:10">
      <c r="A5564" s="6" t="s">
        <v>148</v>
      </c>
      <c r="B5564" s="6" t="s">
        <v>92</v>
      </c>
      <c r="C5564" s="6" t="s">
        <v>216</v>
      </c>
      <c r="D5564" s="6">
        <v>0.9980833333333333</v>
      </c>
      <c r="E5564" s="6" t="s">
        <v>181</v>
      </c>
      <c r="F5564" s="6" t="s">
        <v>55</v>
      </c>
      <c r="G5564" s="7">
        <v>37794.08920614998</v>
      </c>
      <c r="H5564" s="6">
        <v>37721.65053517152</v>
      </c>
      <c r="I5564" s="6" t="s">
        <v>180</v>
      </c>
      <c r="J5564" s="15">
        <v>22.25</v>
      </c>
    </row>
    <row r="5565" spans="1:10">
      <c r="A5565" s="6" t="s">
        <v>148</v>
      </c>
      <c r="B5565" s="6" t="s">
        <v>90</v>
      </c>
      <c r="C5565" s="6" t="s">
        <v>217</v>
      </c>
      <c r="D5565" s="6">
        <v>9.4175</v>
      </c>
      <c r="E5565" s="6" t="s">
        <v>181</v>
      </c>
      <c r="F5565" s="6" t="s">
        <v>53</v>
      </c>
      <c r="G5565" s="7">
        <v>29595.99008532836</v>
      </c>
      <c r="H5565" s="6">
        <v>278720.2366285798</v>
      </c>
      <c r="I5565" s="6" t="s">
        <v>179</v>
      </c>
      <c r="J5565" s="15">
        <v>15</v>
      </c>
    </row>
    <row r="5566" spans="1:10">
      <c r="A5566" s="6" t="s">
        <v>148</v>
      </c>
      <c r="B5566" s="6" t="s">
        <v>90</v>
      </c>
      <c r="C5566" s="6" t="s">
        <v>218</v>
      </c>
      <c r="D5566" s="6">
        <v>0.1951666666666667</v>
      </c>
      <c r="E5566" s="6" t="s">
        <v>181</v>
      </c>
      <c r="F5566" s="6" t="s">
        <v>54</v>
      </c>
      <c r="G5566" s="7">
        <v>55803.8509311504</v>
      </c>
      <c r="H5566" s="6">
        <v>10891.05157339619</v>
      </c>
      <c r="I5566" s="6" t="s">
        <v>180</v>
      </c>
      <c r="J5566" s="15">
        <v>11.12043154931672</v>
      </c>
    </row>
    <row r="5567" spans="1:10">
      <c r="A5567" s="6" t="s">
        <v>148</v>
      </c>
      <c r="B5567" s="6" t="s">
        <v>90</v>
      </c>
      <c r="C5567" s="6" t="s">
        <v>219</v>
      </c>
      <c r="D5567" s="6">
        <v>4.676</v>
      </c>
      <c r="E5567" s="6" t="s">
        <v>181</v>
      </c>
      <c r="F5567" s="6" t="s">
        <v>51</v>
      </c>
      <c r="G5567" s="7">
        <v>51094.03428788485</v>
      </c>
      <c r="H5567" s="6">
        <v>238915.7043301495</v>
      </c>
      <c r="I5567" s="6" t="s">
        <v>180</v>
      </c>
      <c r="J5567" s="15">
        <v>34</v>
      </c>
    </row>
    <row r="5568" spans="1:10">
      <c r="A5568" s="6" t="s">
        <v>148</v>
      </c>
      <c r="B5568" s="6" t="s">
        <v>92</v>
      </c>
      <c r="C5568" s="6" t="s">
        <v>220</v>
      </c>
      <c r="D5568" s="6">
        <v>1.216916666666667</v>
      </c>
      <c r="E5568" s="6" t="s">
        <v>181</v>
      </c>
      <c r="F5568" s="6" t="s">
        <v>57</v>
      </c>
      <c r="G5568" s="7">
        <v>40832.06893400874</v>
      </c>
      <c r="H5568" s="6">
        <v>49689.22522027747</v>
      </c>
      <c r="I5568" s="6" t="s">
        <v>180</v>
      </c>
      <c r="J5568" s="15">
        <v>8.528054454062554</v>
      </c>
    </row>
    <row r="5569" spans="1:10">
      <c r="A5569" s="6" t="s">
        <v>148</v>
      </c>
      <c r="B5569" s="6" t="s">
        <v>90</v>
      </c>
      <c r="C5569" s="6" t="s">
        <v>221</v>
      </c>
      <c r="D5569" s="6">
        <v>14.28283333333333</v>
      </c>
      <c r="E5569" s="6" t="s">
        <v>181</v>
      </c>
      <c r="F5569" s="6" t="s">
        <v>51</v>
      </c>
      <c r="G5569" s="7">
        <v>48425.8383555996</v>
      </c>
      <c r="H5569" s="6">
        <v>691658.1782599697</v>
      </c>
      <c r="I5569" s="6" t="s">
        <v>180</v>
      </c>
      <c r="J5569" s="15">
        <v>8.756345575524822</v>
      </c>
    </row>
    <row r="5570" spans="1:10">
      <c r="A5570" s="6" t="s">
        <v>148</v>
      </c>
      <c r="B5570" s="6" t="s">
        <v>92</v>
      </c>
      <c r="C5570" s="6" t="s">
        <v>222</v>
      </c>
      <c r="D5570" s="6">
        <v>0.2006666666666667</v>
      </c>
      <c r="E5570" s="6" t="s">
        <v>181</v>
      </c>
      <c r="F5570" s="6" t="s">
        <v>57</v>
      </c>
      <c r="G5570" s="7">
        <v>38127.89574884072</v>
      </c>
      <c r="H5570" s="6">
        <v>7650.997746934038</v>
      </c>
      <c r="I5570" s="6" t="s">
        <v>180</v>
      </c>
      <c r="J5570" s="15">
        <v>7.515549656679076</v>
      </c>
    </row>
    <row r="5571" spans="1:10">
      <c r="A5571" s="6" t="s">
        <v>148</v>
      </c>
      <c r="B5571" s="6" t="s">
        <v>90</v>
      </c>
      <c r="C5571" s="6" t="s">
        <v>342</v>
      </c>
      <c r="D5571" s="6">
        <v>13.64116666666667</v>
      </c>
      <c r="E5571" s="6" t="s">
        <v>181</v>
      </c>
      <c r="F5571" s="6" t="s">
        <v>53</v>
      </c>
      <c r="G5571" s="7">
        <v>31674.534542392</v>
      </c>
      <c r="H5571" s="6">
        <v>432077.6047818597</v>
      </c>
      <c r="I5571" s="6" t="s">
        <v>179</v>
      </c>
      <c r="J5571" s="15">
        <v>16</v>
      </c>
    </row>
    <row r="5572" spans="1:10">
      <c r="A5572" s="6" t="s">
        <v>148</v>
      </c>
      <c r="B5572" s="6" t="s">
        <v>90</v>
      </c>
      <c r="C5572" s="6" t="s">
        <v>223</v>
      </c>
      <c r="D5572" s="6">
        <v>0.59875</v>
      </c>
      <c r="E5572" s="6" t="s">
        <v>181</v>
      </c>
      <c r="F5572" s="6" t="s">
        <v>53</v>
      </c>
      <c r="G5572" s="7">
        <v>25083.95562381905</v>
      </c>
      <c r="H5572" s="6">
        <v>15019.01842976166</v>
      </c>
      <c r="I5572" s="6" t="s">
        <v>179</v>
      </c>
      <c r="J5572" s="15">
        <v>13.5</v>
      </c>
    </row>
    <row r="5573" spans="1:10">
      <c r="A5573" s="6" t="s">
        <v>148</v>
      </c>
      <c r="B5573" s="6" t="s">
        <v>90</v>
      </c>
      <c r="C5573" s="6" t="s">
        <v>224</v>
      </c>
      <c r="D5573" s="6">
        <v>214.5691666666667</v>
      </c>
      <c r="E5573" s="6" t="s">
        <v>181</v>
      </c>
      <c r="F5573" s="6" t="s">
        <v>51</v>
      </c>
      <c r="G5573" s="7">
        <v>42799.40931898241</v>
      </c>
      <c r="H5573" s="6">
        <v>9183433.591399623</v>
      </c>
      <c r="I5573" s="6" t="s">
        <v>179</v>
      </c>
      <c r="J5573" s="15">
        <v>35.01666666666667</v>
      </c>
    </row>
    <row r="5574" spans="1:10">
      <c r="A5574" s="6" t="s">
        <v>148</v>
      </c>
      <c r="B5574" s="6" t="s">
        <v>90</v>
      </c>
      <c r="C5574" s="6" t="s">
        <v>226</v>
      </c>
      <c r="D5574" s="6">
        <v>74.18783333333333</v>
      </c>
      <c r="E5574" s="6" t="s">
        <v>181</v>
      </c>
      <c r="F5574" s="6" t="s">
        <v>56</v>
      </c>
      <c r="G5574" s="7">
        <v>63445.86444387945</v>
      </c>
      <c r="H5574" s="6">
        <v>4706911.217051788</v>
      </c>
      <c r="I5574" s="6" t="s">
        <v>180</v>
      </c>
      <c r="J5574" s="15">
        <v>13.56910953298392</v>
      </c>
    </row>
    <row r="5575" spans="1:10">
      <c r="A5575" s="6" t="s">
        <v>148</v>
      </c>
      <c r="B5575" s="6" t="s">
        <v>90</v>
      </c>
      <c r="C5575" s="6" t="s">
        <v>345</v>
      </c>
      <c r="D5575" s="6">
        <v>10.85208333333333</v>
      </c>
      <c r="E5575" s="6" t="s">
        <v>181</v>
      </c>
      <c r="F5575" s="6" t="s">
        <v>53</v>
      </c>
      <c r="G5575" s="7">
        <v>31666.61853090228</v>
      </c>
      <c r="H5575" s="6">
        <v>343648.7831822291</v>
      </c>
      <c r="I5575" s="6" t="s">
        <v>180</v>
      </c>
      <c r="J5575" s="15">
        <v>3.386303695878892</v>
      </c>
    </row>
    <row r="5576" spans="1:10">
      <c r="A5576" s="6" t="s">
        <v>148</v>
      </c>
      <c r="B5576" s="6" t="s">
        <v>90</v>
      </c>
      <c r="C5576" s="6" t="s">
        <v>227</v>
      </c>
      <c r="D5576" s="6">
        <v>21.81875</v>
      </c>
      <c r="E5576" s="6" t="s">
        <v>181</v>
      </c>
      <c r="F5576" s="6" t="s">
        <v>57</v>
      </c>
      <c r="G5576" s="7">
        <v>55105.68966338142</v>
      </c>
      <c r="H5576" s="6">
        <v>1202337.266342903</v>
      </c>
      <c r="I5576" s="6" t="s">
        <v>179</v>
      </c>
      <c r="J5576" s="15">
        <v>105.6833333333333</v>
      </c>
    </row>
    <row r="5577" spans="1:10">
      <c r="A5577" s="6" t="s">
        <v>148</v>
      </c>
      <c r="B5577" s="6" t="s">
        <v>92</v>
      </c>
      <c r="C5577" s="6" t="s">
        <v>228</v>
      </c>
      <c r="D5577" s="6">
        <v>21.14275</v>
      </c>
      <c r="E5577" s="6" t="s">
        <v>181</v>
      </c>
      <c r="F5577" s="6" t="s">
        <v>51</v>
      </c>
      <c r="G5577" s="7">
        <v>40082.62252520998</v>
      </c>
      <c r="H5577" s="6">
        <v>847456.8673948832</v>
      </c>
      <c r="I5577" s="6" t="s">
        <v>179</v>
      </c>
      <c r="J5577" s="15">
        <v>26.025</v>
      </c>
    </row>
    <row r="5578" spans="1:10">
      <c r="A5578" s="6" t="s">
        <v>148</v>
      </c>
      <c r="B5578" s="6" t="s">
        <v>90</v>
      </c>
      <c r="C5578" s="6" t="s">
        <v>229</v>
      </c>
      <c r="D5578" s="6">
        <v>16.6595</v>
      </c>
      <c r="E5578" s="6" t="s">
        <v>181</v>
      </c>
      <c r="F5578" s="6" t="s">
        <v>53</v>
      </c>
      <c r="G5578" s="7">
        <v>33699.99337319762</v>
      </c>
      <c r="H5578" s="6">
        <v>561425.0396007857</v>
      </c>
      <c r="I5578" s="6" t="s">
        <v>180</v>
      </c>
      <c r="J5578" s="15">
        <v>4.037844052432551</v>
      </c>
    </row>
    <row r="5579" spans="1:10">
      <c r="A5579" s="6" t="s">
        <v>148</v>
      </c>
      <c r="B5579" s="6" t="s">
        <v>92</v>
      </c>
      <c r="C5579" s="6" t="s">
        <v>367</v>
      </c>
      <c r="D5579" s="6">
        <v>0.8234166666666667</v>
      </c>
      <c r="E5579" s="6" t="s">
        <v>181</v>
      </c>
      <c r="F5579" s="6" t="s">
        <v>55</v>
      </c>
      <c r="G5579" s="7">
        <v>42283.6525693799</v>
      </c>
      <c r="H5579" s="6">
        <v>34817.06425317023</v>
      </c>
      <c r="I5579" s="6" t="s">
        <v>179</v>
      </c>
      <c r="J5579" s="15">
        <v>15</v>
      </c>
    </row>
    <row r="5580" spans="1:10">
      <c r="A5580" s="6" t="s">
        <v>148</v>
      </c>
      <c r="B5580" s="6" t="s">
        <v>90</v>
      </c>
      <c r="C5580" s="6" t="s">
        <v>230</v>
      </c>
      <c r="D5580" s="6">
        <v>42.705</v>
      </c>
      <c r="E5580" s="6" t="s">
        <v>181</v>
      </c>
      <c r="F5580" s="6" t="s">
        <v>53</v>
      </c>
      <c r="G5580" s="7">
        <v>26357.64880300622</v>
      </c>
      <c r="H5580" s="6">
        <v>1125603.392132381</v>
      </c>
      <c r="I5580" s="6" t="s">
        <v>179</v>
      </c>
      <c r="J5580" s="15">
        <v>20</v>
      </c>
    </row>
    <row r="5581" spans="1:10">
      <c r="A5581" s="6" t="s">
        <v>148</v>
      </c>
      <c r="B5581" s="6" t="s">
        <v>92</v>
      </c>
      <c r="C5581" s="6" t="s">
        <v>378</v>
      </c>
      <c r="D5581" s="6">
        <v>2.331166666666667</v>
      </c>
      <c r="E5581" s="6" t="s">
        <v>181</v>
      </c>
      <c r="F5581" s="6" t="s">
        <v>51</v>
      </c>
      <c r="G5581" s="7">
        <v>41089.89799783281</v>
      </c>
      <c r="H5581" s="6">
        <v>95787.40054928127</v>
      </c>
      <c r="I5581" s="6" t="s">
        <v>180</v>
      </c>
      <c r="J5581" s="15">
        <v>8.624591600965196</v>
      </c>
    </row>
    <row r="5582" spans="1:10">
      <c r="A5582" s="6" t="s">
        <v>148</v>
      </c>
      <c r="B5582" s="6" t="s">
        <v>88</v>
      </c>
      <c r="C5582" s="6" t="s">
        <v>231</v>
      </c>
      <c r="D5582" s="6">
        <v>1.385416666666667</v>
      </c>
      <c r="E5582" s="6" t="s">
        <v>181</v>
      </c>
      <c r="F5582" s="6" t="s">
        <v>52</v>
      </c>
      <c r="G5582" s="7">
        <v>44335.59781697809</v>
      </c>
      <c r="H5582" s="6">
        <v>61423.27614227173</v>
      </c>
      <c r="I5582" s="6" t="s">
        <v>180</v>
      </c>
      <c r="J5582" s="15">
        <v>23.08823420331521</v>
      </c>
    </row>
    <row r="5583" spans="1:10">
      <c r="A5583" s="6" t="s">
        <v>148</v>
      </c>
      <c r="B5583" s="6" t="s">
        <v>88</v>
      </c>
      <c r="C5583" s="6" t="s">
        <v>346</v>
      </c>
      <c r="D5583" s="6">
        <v>0.3785</v>
      </c>
      <c r="E5583" s="6" t="s">
        <v>181</v>
      </c>
      <c r="F5583" s="6" t="s">
        <v>52</v>
      </c>
      <c r="G5583" s="7">
        <v>44335.59781697809</v>
      </c>
      <c r="H5583" s="6">
        <v>16781.02377372621</v>
      </c>
      <c r="I5583" s="6" t="s">
        <v>180</v>
      </c>
      <c r="J5583" s="15">
        <v>23.08823420331521</v>
      </c>
    </row>
    <row r="5584" spans="1:10">
      <c r="A5584" s="6" t="s">
        <v>148</v>
      </c>
      <c r="B5584" s="6" t="s">
        <v>90</v>
      </c>
      <c r="C5584" s="6" t="s">
        <v>232</v>
      </c>
      <c r="D5584" s="6">
        <v>6.362416666666666</v>
      </c>
      <c r="E5584" s="6" t="s">
        <v>181</v>
      </c>
      <c r="F5584" s="6" t="s">
        <v>51</v>
      </c>
      <c r="G5584" s="7">
        <v>49666.97485574454</v>
      </c>
      <c r="H5584" s="6">
        <v>316001.9886051033</v>
      </c>
      <c r="I5584" s="6" t="s">
        <v>180</v>
      </c>
      <c r="J5584" s="15">
        <v>9.154034432992617</v>
      </c>
    </row>
    <row r="5585" spans="1:10">
      <c r="A5585" s="6" t="s">
        <v>148</v>
      </c>
      <c r="B5585" s="6" t="s">
        <v>90</v>
      </c>
      <c r="C5585" s="6" t="s">
        <v>233</v>
      </c>
      <c r="D5585" s="6">
        <v>22.28716666666667</v>
      </c>
      <c r="E5585" s="6" t="s">
        <v>181</v>
      </c>
      <c r="F5585" s="6" t="s">
        <v>59</v>
      </c>
      <c r="G5585" s="7">
        <v>45010.3800065543</v>
      </c>
      <c r="H5585" s="6">
        <v>1003153.840936077</v>
      </c>
      <c r="I5585" s="6" t="s">
        <v>179</v>
      </c>
      <c r="J5585" s="15">
        <v>30.75</v>
      </c>
    </row>
    <row r="5586" spans="1:10">
      <c r="A5586" s="6" t="s">
        <v>148</v>
      </c>
      <c r="B5586" s="6" t="s">
        <v>88</v>
      </c>
      <c r="C5586" s="6" t="s">
        <v>234</v>
      </c>
      <c r="D5586" s="6">
        <v>24.91766666666667</v>
      </c>
      <c r="E5586" s="6" t="s">
        <v>181</v>
      </c>
      <c r="F5586" s="6" t="s">
        <v>56</v>
      </c>
      <c r="G5586" s="7">
        <v>38754.40855139481</v>
      </c>
      <c r="H5586" s="6">
        <v>965669.434147472</v>
      </c>
      <c r="I5586" s="6" t="s">
        <v>180</v>
      </c>
      <c r="J5586" s="15">
        <v>19.33073545303068</v>
      </c>
    </row>
    <row r="5587" spans="1:10">
      <c r="A5587" s="6" t="s">
        <v>148</v>
      </c>
      <c r="B5587" s="6" t="s">
        <v>90</v>
      </c>
      <c r="C5587" s="6" t="s">
        <v>235</v>
      </c>
      <c r="D5587" s="6">
        <v>0.06133333333333333</v>
      </c>
      <c r="E5587" s="6" t="s">
        <v>181</v>
      </c>
      <c r="F5587" s="6" t="s">
        <v>53</v>
      </c>
      <c r="G5587" s="7">
        <v>35566.8159439669</v>
      </c>
      <c r="H5587" s="6">
        <v>2181.431377896637</v>
      </c>
      <c r="I5587" s="6" t="s">
        <v>180</v>
      </c>
      <c r="J5587" s="15">
        <v>38</v>
      </c>
    </row>
    <row r="5588" spans="1:10">
      <c r="A5588" s="6" t="s">
        <v>148</v>
      </c>
      <c r="B5588" s="6" t="s">
        <v>90</v>
      </c>
      <c r="C5588" s="6" t="s">
        <v>236</v>
      </c>
      <c r="D5588" s="6">
        <v>87.75275000000001</v>
      </c>
      <c r="E5588" s="6" t="s">
        <v>181</v>
      </c>
      <c r="F5588" s="6" t="s">
        <v>51</v>
      </c>
      <c r="G5588" s="7">
        <v>47804.16828302459</v>
      </c>
      <c r="H5588" s="6">
        <v>4194947.228298186</v>
      </c>
      <c r="I5588" s="6" t="s">
        <v>179</v>
      </c>
      <c r="J5588" s="15">
        <v>46.93333333333333</v>
      </c>
    </row>
    <row r="5589" spans="1:10">
      <c r="A5589" s="6" t="s">
        <v>148</v>
      </c>
      <c r="B5589" s="6" t="s">
        <v>90</v>
      </c>
      <c r="C5589" s="6" t="s">
        <v>237</v>
      </c>
      <c r="D5589" s="6">
        <v>12.00808333333333</v>
      </c>
      <c r="E5589" s="6" t="s">
        <v>181</v>
      </c>
      <c r="F5589" s="6" t="s">
        <v>51</v>
      </c>
      <c r="G5589" s="7">
        <v>53666.69833269802</v>
      </c>
      <c r="H5589" s="6">
        <v>644434.1858038988</v>
      </c>
      <c r="I5589" s="6" t="s">
        <v>180</v>
      </c>
      <c r="J5589" s="15">
        <v>10.43563839802869</v>
      </c>
    </row>
    <row r="5590" spans="1:10">
      <c r="A5590" s="6" t="s">
        <v>148</v>
      </c>
      <c r="B5590" s="6" t="s">
        <v>90</v>
      </c>
      <c r="C5590" s="6" t="s">
        <v>238</v>
      </c>
      <c r="D5590" s="6">
        <v>65.9405</v>
      </c>
      <c r="E5590" s="6" t="s">
        <v>181</v>
      </c>
      <c r="F5590" s="6" t="s">
        <v>51</v>
      </c>
      <c r="G5590" s="7">
        <v>51511.99694495334</v>
      </c>
      <c r="H5590" s="6">
        <v>3396726.834548695</v>
      </c>
      <c r="I5590" s="6" t="s">
        <v>180</v>
      </c>
      <c r="J5590" s="15">
        <v>9.745222208531091</v>
      </c>
    </row>
    <row r="5591" spans="1:10">
      <c r="A5591" s="6" t="s">
        <v>148</v>
      </c>
      <c r="B5591" s="6" t="s">
        <v>90</v>
      </c>
      <c r="C5591" s="6" t="s">
        <v>239</v>
      </c>
      <c r="D5591" s="6">
        <v>94.33883333333334</v>
      </c>
      <c r="E5591" s="6" t="s">
        <v>181</v>
      </c>
      <c r="F5591" s="6" t="s">
        <v>54</v>
      </c>
      <c r="G5591" s="7">
        <v>77876.19751626256</v>
      </c>
      <c r="H5591" s="6">
        <v>7346749.618120441</v>
      </c>
      <c r="I5591" s="6" t="s">
        <v>179</v>
      </c>
      <c r="J5591" s="15">
        <v>17.61605692581799</v>
      </c>
    </row>
    <row r="5592" spans="1:10">
      <c r="A5592" s="6" t="s">
        <v>148</v>
      </c>
      <c r="B5592" s="6" t="s">
        <v>92</v>
      </c>
      <c r="C5592" s="6" t="s">
        <v>379</v>
      </c>
      <c r="D5592" s="6">
        <v>0.2813333333333333</v>
      </c>
      <c r="E5592" s="6" t="s">
        <v>181</v>
      </c>
      <c r="F5592" s="6" t="s">
        <v>51</v>
      </c>
      <c r="G5592" s="7">
        <v>39736.55973566615</v>
      </c>
      <c r="H5592" s="6">
        <v>11179.21880563407</v>
      </c>
      <c r="I5592" s="6" t="s">
        <v>180</v>
      </c>
      <c r="J5592" s="15">
        <v>8.117870548318852</v>
      </c>
    </row>
    <row r="5593" spans="1:10">
      <c r="A5593" s="6" t="s">
        <v>148</v>
      </c>
      <c r="B5593" s="6" t="s">
        <v>92</v>
      </c>
      <c r="C5593" s="6" t="s">
        <v>368</v>
      </c>
      <c r="D5593" s="6">
        <v>0.292</v>
      </c>
      <c r="E5593" s="6" t="s">
        <v>181</v>
      </c>
      <c r="F5593" s="6" t="s">
        <v>55</v>
      </c>
      <c r="G5593" s="7">
        <v>43717.6088593299</v>
      </c>
      <c r="H5593" s="6">
        <v>12765.54178692433</v>
      </c>
      <c r="I5593" s="6" t="s">
        <v>179</v>
      </c>
      <c r="J5593" s="15">
        <v>15</v>
      </c>
    </row>
    <row r="5594" spans="1:10">
      <c r="A5594" s="6" t="s">
        <v>148</v>
      </c>
      <c r="B5594" s="6" t="s">
        <v>92</v>
      </c>
      <c r="C5594" s="6" t="s">
        <v>240</v>
      </c>
      <c r="D5594" s="6">
        <v>1.42275</v>
      </c>
      <c r="E5594" s="6" t="s">
        <v>181</v>
      </c>
      <c r="F5594" s="6" t="s">
        <v>51</v>
      </c>
      <c r="G5594" s="7">
        <v>42218.72021108094</v>
      </c>
      <c r="H5594" s="6">
        <v>60066.68418031541</v>
      </c>
      <c r="I5594" s="6" t="s">
        <v>180</v>
      </c>
      <c r="J5594" s="15">
        <v>9.04724866767069</v>
      </c>
    </row>
    <row r="5595" spans="1:10">
      <c r="A5595" s="6" t="s">
        <v>148</v>
      </c>
      <c r="B5595" s="6" t="s">
        <v>90</v>
      </c>
      <c r="C5595" s="6" t="s">
        <v>241</v>
      </c>
      <c r="D5595" s="6">
        <v>28.1475</v>
      </c>
      <c r="E5595" s="6" t="s">
        <v>181</v>
      </c>
      <c r="F5595" s="6" t="s">
        <v>53</v>
      </c>
      <c r="G5595" s="7">
        <v>26388.49277067184</v>
      </c>
      <c r="H5595" s="6">
        <v>742770.1002624857</v>
      </c>
      <c r="I5595" s="6" t="s">
        <v>179</v>
      </c>
      <c r="J5595" s="15">
        <v>14.36666666666667</v>
      </c>
    </row>
    <row r="5596" spans="1:10">
      <c r="A5596" s="6" t="s">
        <v>148</v>
      </c>
      <c r="B5596" s="6" t="s">
        <v>90</v>
      </c>
      <c r="C5596" s="6" t="s">
        <v>242</v>
      </c>
      <c r="D5596" s="6">
        <v>66.55283333333333</v>
      </c>
      <c r="E5596" s="6" t="s">
        <v>181</v>
      </c>
      <c r="F5596" s="6" t="s">
        <v>56</v>
      </c>
      <c r="G5596" s="7">
        <v>48613.69532428356</v>
      </c>
      <c r="H5596" s="6">
        <v>3235379.162634489</v>
      </c>
      <c r="I5596" s="6" t="s">
        <v>179</v>
      </c>
      <c r="J5596" s="15">
        <v>6.75</v>
      </c>
    </row>
    <row r="5597" spans="1:10">
      <c r="A5597" s="6" t="s">
        <v>148</v>
      </c>
      <c r="B5597" s="6" t="s">
        <v>92</v>
      </c>
      <c r="C5597" s="6" t="s">
        <v>243</v>
      </c>
      <c r="D5597" s="6">
        <v>0.1188333333333333</v>
      </c>
      <c r="E5597" s="6" t="s">
        <v>181</v>
      </c>
      <c r="F5597" s="6" t="s">
        <v>58</v>
      </c>
      <c r="G5597" s="7">
        <v>50145.16283380362</v>
      </c>
      <c r="H5597" s="6">
        <v>5958.916850083663</v>
      </c>
      <c r="I5597" s="6" t="s">
        <v>180</v>
      </c>
      <c r="J5597" s="15">
        <v>12.01509156534846</v>
      </c>
    </row>
    <row r="5598" spans="1:10">
      <c r="A5598" s="6" t="s">
        <v>148</v>
      </c>
      <c r="B5598" s="6" t="s">
        <v>92</v>
      </c>
      <c r="C5598" s="6" t="s">
        <v>369</v>
      </c>
      <c r="D5598" s="6">
        <v>0.6569166666666667</v>
      </c>
      <c r="E5598" s="6" t="s">
        <v>181</v>
      </c>
      <c r="F5598" s="6" t="s">
        <v>55</v>
      </c>
      <c r="G5598" s="7">
        <v>40825.70263339478</v>
      </c>
      <c r="H5598" s="6">
        <v>26819.08448825426</v>
      </c>
      <c r="I5598" s="6" t="s">
        <v>179</v>
      </c>
      <c r="J5598" s="15">
        <v>15.5</v>
      </c>
    </row>
    <row r="5599" spans="1:10">
      <c r="A5599" s="6" t="s">
        <v>148</v>
      </c>
      <c r="B5599" s="6" t="s">
        <v>88</v>
      </c>
      <c r="C5599" s="6" t="s">
        <v>244</v>
      </c>
      <c r="D5599" s="6">
        <v>3.156333333333333</v>
      </c>
      <c r="E5599" s="6" t="s">
        <v>181</v>
      </c>
      <c r="F5599" s="6" t="s">
        <v>55</v>
      </c>
      <c r="G5599" s="7">
        <v>17856.91092671999</v>
      </c>
      <c r="H5599" s="6">
        <v>56362.36318837053</v>
      </c>
      <c r="I5599" s="6" t="s">
        <v>180</v>
      </c>
      <c r="J5599" s="15">
        <v>5.261633426155879</v>
      </c>
    </row>
    <row r="5600" spans="1:10">
      <c r="A5600" s="6" t="s">
        <v>148</v>
      </c>
      <c r="B5600" s="6" t="s">
        <v>90</v>
      </c>
      <c r="C5600" s="6" t="s">
        <v>246</v>
      </c>
      <c r="D5600" s="6">
        <v>0.05691666666666667</v>
      </c>
      <c r="E5600" s="6" t="s">
        <v>181</v>
      </c>
      <c r="F5600" s="6" t="s">
        <v>53</v>
      </c>
      <c r="G5600" s="7">
        <v>33731.16398827116</v>
      </c>
      <c r="H5600" s="6">
        <v>1919.8654169991</v>
      </c>
      <c r="I5600" s="6" t="s">
        <v>180</v>
      </c>
      <c r="J5600" s="15">
        <v>34.44166666666666</v>
      </c>
    </row>
    <row r="5601" spans="1:10">
      <c r="A5601" s="6" t="s">
        <v>148</v>
      </c>
      <c r="B5601" s="6" t="s">
        <v>88</v>
      </c>
      <c r="C5601" s="6" t="s">
        <v>348</v>
      </c>
      <c r="D5601" s="6">
        <v>0.1048333333333333</v>
      </c>
      <c r="E5601" s="6" t="s">
        <v>181</v>
      </c>
      <c r="F5601" s="6" t="s">
        <v>52</v>
      </c>
      <c r="G5601" s="7">
        <v>44335.59781697809</v>
      </c>
      <c r="H5601" s="6">
        <v>4647.848504479869</v>
      </c>
      <c r="I5601" s="6" t="s">
        <v>180</v>
      </c>
      <c r="J5601" s="15">
        <v>23.08823420331521</v>
      </c>
    </row>
    <row r="5602" spans="1:10">
      <c r="A5602" s="6" t="s">
        <v>148</v>
      </c>
      <c r="B5602" s="6" t="s">
        <v>90</v>
      </c>
      <c r="C5602" s="6" t="s">
        <v>349</v>
      </c>
      <c r="D5602" s="6">
        <v>1.063</v>
      </c>
      <c r="E5602" s="6" t="s">
        <v>181</v>
      </c>
      <c r="F5602" s="6" t="s">
        <v>52</v>
      </c>
      <c r="G5602" s="7">
        <v>59918.03179942394</v>
      </c>
      <c r="H5602" s="6">
        <v>63692.86780278764</v>
      </c>
      <c r="I5602" s="6" t="s">
        <v>180</v>
      </c>
      <c r="J5602" s="15">
        <v>12.43871031134531</v>
      </c>
    </row>
    <row r="5603" spans="1:10">
      <c r="A5603" s="6" t="s">
        <v>148</v>
      </c>
      <c r="B5603" s="6" t="s">
        <v>90</v>
      </c>
      <c r="C5603" s="6" t="s">
        <v>247</v>
      </c>
      <c r="D5603" s="6">
        <v>70.89574999999999</v>
      </c>
      <c r="E5603" s="6" t="s">
        <v>181</v>
      </c>
      <c r="F5603" s="6" t="s">
        <v>51</v>
      </c>
      <c r="G5603" s="7">
        <v>47607.91710069619</v>
      </c>
      <c r="H5603" s="6">
        <v>3375198.988791682</v>
      </c>
      <c r="I5603" s="6" t="s">
        <v>179</v>
      </c>
      <c r="J5603" s="15">
        <v>22.81666666666667</v>
      </c>
    </row>
    <row r="5604" spans="1:10">
      <c r="A5604" s="6" t="s">
        <v>148</v>
      </c>
      <c r="B5604" s="6" t="s">
        <v>88</v>
      </c>
      <c r="C5604" s="6" t="s">
        <v>248</v>
      </c>
      <c r="D5604" s="6">
        <v>13.96583333333333</v>
      </c>
      <c r="E5604" s="6" t="s">
        <v>181</v>
      </c>
      <c r="F5604" s="6" t="s">
        <v>55</v>
      </c>
      <c r="G5604" s="7">
        <v>27248.6277312555</v>
      </c>
      <c r="H5604" s="6">
        <v>380549.7934567591</v>
      </c>
      <c r="I5604" s="6" t="s">
        <v>180</v>
      </c>
      <c r="J5604" s="15">
        <v>11.5845446332139</v>
      </c>
    </row>
    <row r="5605" spans="1:10">
      <c r="A5605" s="6" t="s">
        <v>148</v>
      </c>
      <c r="B5605" s="6" t="s">
        <v>90</v>
      </c>
      <c r="C5605" s="6" t="s">
        <v>249</v>
      </c>
      <c r="D5605" s="6">
        <v>44.31816666666667</v>
      </c>
      <c r="E5605" s="6" t="s">
        <v>181</v>
      </c>
      <c r="F5605" s="6" t="s">
        <v>53</v>
      </c>
      <c r="G5605" s="7">
        <v>24606.21147932586</v>
      </c>
      <c r="H5605" s="6">
        <v>1090502.18137601</v>
      </c>
      <c r="I5605" s="6" t="s">
        <v>179</v>
      </c>
      <c r="J5605" s="15">
        <v>18</v>
      </c>
    </row>
    <row r="5606" spans="1:10">
      <c r="A5606" s="6" t="s">
        <v>148</v>
      </c>
      <c r="B5606" s="6" t="s">
        <v>92</v>
      </c>
      <c r="C5606" s="6" t="s">
        <v>250</v>
      </c>
      <c r="D5606" s="6">
        <v>2.150583333333333</v>
      </c>
      <c r="E5606" s="6" t="s">
        <v>181</v>
      </c>
      <c r="F5606" s="6" t="s">
        <v>55</v>
      </c>
      <c r="G5606" s="7">
        <v>37321.61329653078</v>
      </c>
      <c r="H5606" s="6">
        <v>80263.2395286308</v>
      </c>
      <c r="I5606" s="6" t="s">
        <v>179</v>
      </c>
      <c r="J5606" s="15">
        <v>15</v>
      </c>
    </row>
    <row r="5607" spans="1:10">
      <c r="A5607" s="6" t="s">
        <v>148</v>
      </c>
      <c r="B5607" s="6" t="s">
        <v>90</v>
      </c>
      <c r="C5607" s="6" t="s">
        <v>251</v>
      </c>
      <c r="D5607" s="6">
        <v>0.7733333333333333</v>
      </c>
      <c r="E5607" s="6" t="s">
        <v>181</v>
      </c>
      <c r="F5607" s="6" t="s">
        <v>53</v>
      </c>
      <c r="G5607" s="7">
        <v>23642.19568206914</v>
      </c>
      <c r="H5607" s="6">
        <v>18283.29799413347</v>
      </c>
      <c r="I5607" s="6" t="s">
        <v>179</v>
      </c>
      <c r="J5607" s="15">
        <v>18.675</v>
      </c>
    </row>
    <row r="5608" spans="1:10">
      <c r="A5608" s="6" t="s">
        <v>148</v>
      </c>
      <c r="B5608" s="6" t="s">
        <v>90</v>
      </c>
      <c r="C5608" s="6" t="s">
        <v>252</v>
      </c>
      <c r="D5608" s="6">
        <v>7.478666666666666</v>
      </c>
      <c r="E5608" s="6" t="s">
        <v>181</v>
      </c>
      <c r="F5608" s="6" t="s">
        <v>57</v>
      </c>
      <c r="G5608" s="7">
        <v>42694.47301830137</v>
      </c>
      <c r="H5608" s="6">
        <v>319297.7322128698</v>
      </c>
      <c r="I5608" s="6" t="s">
        <v>180</v>
      </c>
      <c r="J5608" s="15">
        <v>6.919883484163813</v>
      </c>
    </row>
    <row r="5609" spans="1:10">
      <c r="A5609" s="6" t="s">
        <v>148</v>
      </c>
      <c r="B5609" s="6" t="s">
        <v>90</v>
      </c>
      <c r="C5609" s="6" t="s">
        <v>253</v>
      </c>
      <c r="D5609" s="6">
        <v>15.327</v>
      </c>
      <c r="E5609" s="6" t="s">
        <v>181</v>
      </c>
      <c r="F5609" s="6" t="s">
        <v>53</v>
      </c>
      <c r="G5609" s="7">
        <v>32446.79249986879</v>
      </c>
      <c r="H5609" s="6">
        <v>497311.9886454889</v>
      </c>
      <c r="I5609" s="6" t="s">
        <v>179</v>
      </c>
      <c r="J5609" s="15">
        <v>16</v>
      </c>
    </row>
    <row r="5610" spans="1:10">
      <c r="A5610" s="6" t="s">
        <v>148</v>
      </c>
      <c r="B5610" s="6" t="s">
        <v>86</v>
      </c>
      <c r="C5610" s="6" t="s">
        <v>353</v>
      </c>
      <c r="D5610" s="6">
        <v>1.500416666666667</v>
      </c>
      <c r="E5610" s="6" t="s">
        <v>181</v>
      </c>
      <c r="F5610" s="6" t="s">
        <v>62</v>
      </c>
      <c r="G5610" s="7">
        <v>81005.34654028571</v>
      </c>
      <c r="H5610" s="6">
        <v>121541.7720381537</v>
      </c>
      <c r="I5610" s="6" t="s">
        <v>179</v>
      </c>
      <c r="J5610" s="15">
        <v>102.3</v>
      </c>
    </row>
    <row r="5611" spans="1:10">
      <c r="A5611" s="6" t="s">
        <v>148</v>
      </c>
      <c r="B5611" s="6" t="s">
        <v>90</v>
      </c>
      <c r="C5611" s="6" t="s">
        <v>254</v>
      </c>
      <c r="D5611" s="6">
        <v>0.222</v>
      </c>
      <c r="E5611" s="6" t="s">
        <v>181</v>
      </c>
      <c r="F5611" s="6" t="s">
        <v>51</v>
      </c>
      <c r="G5611" s="7">
        <v>50623.2876601551</v>
      </c>
      <c r="H5611" s="6">
        <v>11238.36986055443</v>
      </c>
      <c r="I5611" s="6" t="s">
        <v>180</v>
      </c>
      <c r="J5611" s="15">
        <v>9.460459186856067</v>
      </c>
    </row>
    <row r="5612" spans="1:10">
      <c r="A5612" s="6" t="s">
        <v>148</v>
      </c>
      <c r="B5612" s="6" t="s">
        <v>92</v>
      </c>
      <c r="C5612" s="6" t="s">
        <v>255</v>
      </c>
      <c r="D5612" s="6">
        <v>1.98725</v>
      </c>
      <c r="E5612" s="6" t="s">
        <v>181</v>
      </c>
      <c r="F5612" s="6" t="s">
        <v>51</v>
      </c>
      <c r="G5612" s="7">
        <v>37181.66036935381</v>
      </c>
      <c r="H5612" s="6">
        <v>73889.25456899835</v>
      </c>
      <c r="I5612" s="6" t="s">
        <v>180</v>
      </c>
      <c r="J5612" s="15">
        <v>7.161257310893189</v>
      </c>
    </row>
    <row r="5613" spans="1:10">
      <c r="A5613" s="6" t="s">
        <v>148</v>
      </c>
      <c r="B5613" s="6" t="s">
        <v>92</v>
      </c>
      <c r="C5613" s="6" t="s">
        <v>256</v>
      </c>
      <c r="D5613" s="6">
        <v>0.1238333333333333</v>
      </c>
      <c r="E5613" s="6" t="s">
        <v>181</v>
      </c>
      <c r="F5613" s="6" t="s">
        <v>57</v>
      </c>
      <c r="G5613" s="7">
        <v>36188.63012585403</v>
      </c>
      <c r="H5613" s="6">
        <v>4481.35869725159</v>
      </c>
      <c r="I5613" s="6" t="s">
        <v>180</v>
      </c>
      <c r="J5613" s="15">
        <v>6.789443888955148</v>
      </c>
    </row>
    <row r="5614" spans="1:10">
      <c r="A5614" s="6" t="s">
        <v>148</v>
      </c>
      <c r="B5614" s="6" t="s">
        <v>88</v>
      </c>
      <c r="C5614" s="6" t="s">
        <v>257</v>
      </c>
      <c r="D5614" s="6">
        <v>2.083</v>
      </c>
      <c r="E5614" s="6" t="s">
        <v>181</v>
      </c>
      <c r="F5614" s="6" t="s">
        <v>52</v>
      </c>
      <c r="G5614" s="7">
        <v>44335.59781697809</v>
      </c>
      <c r="H5614" s="6">
        <v>92351.05025276536</v>
      </c>
      <c r="I5614" s="6" t="s">
        <v>180</v>
      </c>
      <c r="J5614" s="15">
        <v>23.08823420331521</v>
      </c>
    </row>
    <row r="5615" spans="1:10">
      <c r="A5615" s="6" t="s">
        <v>148</v>
      </c>
      <c r="B5615" s="6" t="s">
        <v>88</v>
      </c>
      <c r="C5615" s="6" t="s">
        <v>258</v>
      </c>
      <c r="D5615" s="6">
        <v>0.991</v>
      </c>
      <c r="E5615" s="6" t="s">
        <v>181</v>
      </c>
      <c r="F5615" s="6" t="s">
        <v>52</v>
      </c>
      <c r="G5615" s="7">
        <v>44335.59781697809</v>
      </c>
      <c r="H5615" s="6">
        <v>43936.57743662528</v>
      </c>
      <c r="I5615" s="6" t="s">
        <v>180</v>
      </c>
      <c r="J5615" s="15">
        <v>23.08823420331521</v>
      </c>
    </row>
    <row r="5616" spans="1:10">
      <c r="A5616" s="6" t="s">
        <v>148</v>
      </c>
      <c r="B5616" s="6" t="s">
        <v>90</v>
      </c>
      <c r="C5616" s="6" t="s">
        <v>260</v>
      </c>
      <c r="D5616" s="6">
        <v>1.2205</v>
      </c>
      <c r="E5616" s="6" t="s">
        <v>181</v>
      </c>
      <c r="F5616" s="6" t="s">
        <v>52</v>
      </c>
      <c r="G5616" s="7">
        <v>55804.87767627013</v>
      </c>
      <c r="H5616" s="6">
        <v>68109.85320388769</v>
      </c>
      <c r="I5616" s="6" t="s">
        <v>179</v>
      </c>
      <c r="J5616" s="15">
        <v>64.03333333333333</v>
      </c>
    </row>
    <row r="5617" spans="1:10">
      <c r="A5617" s="6" t="s">
        <v>148</v>
      </c>
      <c r="B5617" s="6" t="s">
        <v>90</v>
      </c>
      <c r="C5617" s="6" t="s">
        <v>261</v>
      </c>
      <c r="D5617" s="6">
        <v>0.227</v>
      </c>
      <c r="E5617" s="6" t="s">
        <v>181</v>
      </c>
      <c r="F5617" s="6" t="s">
        <v>54</v>
      </c>
      <c r="G5617" s="7">
        <v>59278.32258850268</v>
      </c>
      <c r="H5617" s="6">
        <v>13456.17922759011</v>
      </c>
      <c r="I5617" s="6" t="s">
        <v>180</v>
      </c>
      <c r="J5617" s="15">
        <v>12.23373267578856</v>
      </c>
    </row>
    <row r="5618" spans="1:10">
      <c r="A5618" s="6" t="s">
        <v>148</v>
      </c>
      <c r="B5618" s="6" t="s">
        <v>90</v>
      </c>
      <c r="C5618" s="6" t="s">
        <v>262</v>
      </c>
      <c r="D5618" s="6">
        <v>32.19725</v>
      </c>
      <c r="E5618" s="6" t="s">
        <v>181</v>
      </c>
      <c r="F5618" s="6" t="s">
        <v>51</v>
      </c>
      <c r="G5618" s="7">
        <v>50796.40449219351</v>
      </c>
      <c r="H5618" s="6">
        <v>1635504.534536278</v>
      </c>
      <c r="I5618" s="6" t="s">
        <v>180</v>
      </c>
      <c r="J5618" s="15">
        <v>9.515929826172339</v>
      </c>
    </row>
    <row r="5619" spans="1:10">
      <c r="A5619" s="6" t="s">
        <v>148</v>
      </c>
      <c r="B5619" s="6" t="s">
        <v>90</v>
      </c>
      <c r="C5619" s="6" t="s">
        <v>263</v>
      </c>
      <c r="D5619" s="6">
        <v>4.463249999999999</v>
      </c>
      <c r="E5619" s="6" t="s">
        <v>181</v>
      </c>
      <c r="F5619" s="6" t="s">
        <v>54</v>
      </c>
      <c r="G5619" s="7">
        <v>65896.61824279206</v>
      </c>
      <c r="H5619" s="6">
        <v>294113.0813721416</v>
      </c>
      <c r="I5619" s="6" t="s">
        <v>179</v>
      </c>
      <c r="J5619" s="15">
        <v>46.91666666666666</v>
      </c>
    </row>
    <row r="5620" spans="1:10">
      <c r="A5620" s="6" t="s">
        <v>148</v>
      </c>
      <c r="B5620" s="6" t="s">
        <v>90</v>
      </c>
      <c r="C5620" s="6" t="s">
        <v>264</v>
      </c>
      <c r="D5620" s="6">
        <v>3.68075</v>
      </c>
      <c r="E5620" s="6" t="s">
        <v>181</v>
      </c>
      <c r="F5620" s="6" t="s">
        <v>54</v>
      </c>
      <c r="G5620" s="7">
        <v>89766.53686395117</v>
      </c>
      <c r="H5620" s="6">
        <v>330408.1805619883</v>
      </c>
      <c r="I5620" s="6" t="s">
        <v>180</v>
      </c>
      <c r="J5620" s="15">
        <v>22.00286209871706</v>
      </c>
    </row>
    <row r="5621" spans="1:10">
      <c r="A5621" s="6" t="s">
        <v>148</v>
      </c>
      <c r="B5621" s="6" t="s">
        <v>90</v>
      </c>
      <c r="C5621" s="6" t="s">
        <v>265</v>
      </c>
      <c r="D5621" s="6">
        <v>69.19933333333333</v>
      </c>
      <c r="E5621" s="6" t="s">
        <v>181</v>
      </c>
      <c r="F5621" s="6" t="s">
        <v>54</v>
      </c>
      <c r="G5621" s="7">
        <v>88348.04007123776</v>
      </c>
      <c r="H5621" s="6">
        <v>6113625.474236271</v>
      </c>
      <c r="I5621" s="6" t="s">
        <v>179</v>
      </c>
      <c r="J5621" s="15">
        <v>17.53537223567039</v>
      </c>
    </row>
    <row r="5622" spans="1:10">
      <c r="A5622" s="6" t="s">
        <v>148</v>
      </c>
      <c r="B5622" s="6" t="s">
        <v>90</v>
      </c>
      <c r="C5622" s="6" t="s">
        <v>266</v>
      </c>
      <c r="D5622" s="6">
        <v>6.084583333333334</v>
      </c>
      <c r="E5622" s="6" t="s">
        <v>181</v>
      </c>
      <c r="F5622" s="6" t="s">
        <v>57</v>
      </c>
      <c r="G5622" s="7">
        <v>59085.91288749369</v>
      </c>
      <c r="H5622" s="6">
        <v>359513.1607900293</v>
      </c>
      <c r="I5622" s="6" t="s">
        <v>179</v>
      </c>
      <c r="J5622" s="15">
        <v>7.229441618985901</v>
      </c>
    </row>
    <row r="5623" spans="1:10">
      <c r="A5623" s="6" t="s">
        <v>148</v>
      </c>
      <c r="B5623" s="6" t="s">
        <v>90</v>
      </c>
      <c r="C5623" s="6" t="s">
        <v>354</v>
      </c>
      <c r="D5623" s="6">
        <v>0.033</v>
      </c>
      <c r="E5623" s="6" t="s">
        <v>181</v>
      </c>
      <c r="F5623" s="6" t="s">
        <v>51</v>
      </c>
      <c r="G5623" s="7">
        <v>43580.99560846043</v>
      </c>
      <c r="H5623" s="6">
        <v>1438.172855079195</v>
      </c>
      <c r="I5623" s="6" t="s">
        <v>180</v>
      </c>
      <c r="J5623" s="15">
        <v>7.203945838271181</v>
      </c>
    </row>
    <row r="5624" spans="1:10">
      <c r="A5624" s="6" t="s">
        <v>148</v>
      </c>
      <c r="B5624" s="6" t="s">
        <v>90</v>
      </c>
      <c r="C5624" s="6" t="s">
        <v>267</v>
      </c>
      <c r="D5624" s="6">
        <v>114.2170833333333</v>
      </c>
      <c r="E5624" s="6" t="s">
        <v>181</v>
      </c>
      <c r="F5624" s="6" t="s">
        <v>53</v>
      </c>
      <c r="G5624" s="7">
        <v>28187.4549918804</v>
      </c>
      <c r="H5624" s="6">
        <v>3219488.895762187</v>
      </c>
      <c r="I5624" s="6" t="s">
        <v>179</v>
      </c>
      <c r="J5624" s="15">
        <v>17</v>
      </c>
    </row>
    <row r="5625" spans="1:10">
      <c r="A5625" s="6" t="s">
        <v>148</v>
      </c>
      <c r="B5625" s="6" t="s">
        <v>92</v>
      </c>
      <c r="C5625" s="6" t="s">
        <v>268</v>
      </c>
      <c r="D5625" s="6">
        <v>0.2815</v>
      </c>
      <c r="E5625" s="6" t="s">
        <v>181</v>
      </c>
      <c r="F5625" s="6" t="s">
        <v>51</v>
      </c>
      <c r="G5625" s="7">
        <v>43172.09311535833</v>
      </c>
      <c r="H5625" s="6">
        <v>12152.94421197337</v>
      </c>
      <c r="I5625" s="6" t="s">
        <v>180</v>
      </c>
      <c r="J5625" s="15">
        <v>9.404213467325818</v>
      </c>
    </row>
    <row r="5626" spans="1:10">
      <c r="A5626" s="6" t="s">
        <v>148</v>
      </c>
      <c r="B5626" s="6" t="s">
        <v>88</v>
      </c>
      <c r="C5626" s="6" t="s">
        <v>269</v>
      </c>
      <c r="D5626" s="6">
        <v>2.81775</v>
      </c>
      <c r="E5626" s="6" t="s">
        <v>181</v>
      </c>
      <c r="F5626" s="6" t="s">
        <v>52</v>
      </c>
      <c r="G5626" s="7">
        <v>44335.59781697809</v>
      </c>
      <c r="H5626" s="6">
        <v>124926.63074879</v>
      </c>
      <c r="I5626" s="6" t="s">
        <v>180</v>
      </c>
      <c r="J5626" s="15">
        <v>23.08823420331521</v>
      </c>
    </row>
    <row r="5627" spans="1:10">
      <c r="A5627" s="6" t="s">
        <v>148</v>
      </c>
      <c r="B5627" s="6" t="s">
        <v>90</v>
      </c>
      <c r="C5627" s="6" t="s">
        <v>270</v>
      </c>
      <c r="D5627" s="6">
        <v>11.29433333333333</v>
      </c>
      <c r="E5627" s="6" t="s">
        <v>181</v>
      </c>
      <c r="F5627" s="6" t="s">
        <v>59</v>
      </c>
      <c r="G5627" s="7">
        <v>54632.02416918429</v>
      </c>
      <c r="H5627" s="6">
        <v>617032.2916414904</v>
      </c>
      <c r="I5627" s="6" t="s">
        <v>179</v>
      </c>
      <c r="J5627" s="15">
        <v>20.25074634581768</v>
      </c>
    </row>
    <row r="5628" spans="1:10">
      <c r="A5628" s="6" t="s">
        <v>148</v>
      </c>
      <c r="B5628" s="6" t="s">
        <v>88</v>
      </c>
      <c r="C5628" s="6" t="s">
        <v>271</v>
      </c>
      <c r="D5628" s="6">
        <v>62.53675</v>
      </c>
      <c r="E5628" s="6" t="s">
        <v>181</v>
      </c>
      <c r="F5628" s="6" t="s">
        <v>54</v>
      </c>
      <c r="G5628" s="7">
        <v>41071.74894263604</v>
      </c>
      <c r="H5628" s="6">
        <v>2568493.695688394</v>
      </c>
      <c r="I5628" s="6" t="s">
        <v>180</v>
      </c>
      <c r="J5628" s="15">
        <v>20.89086954089749</v>
      </c>
    </row>
    <row r="5629" spans="1:10">
      <c r="A5629" s="6" t="s">
        <v>148</v>
      </c>
      <c r="B5629" s="6" t="s">
        <v>90</v>
      </c>
      <c r="C5629" s="6" t="s">
        <v>272</v>
      </c>
      <c r="D5629" s="6">
        <v>6.48075</v>
      </c>
      <c r="E5629" s="6" t="s">
        <v>181</v>
      </c>
      <c r="F5629" s="6" t="s">
        <v>51</v>
      </c>
      <c r="G5629" s="7">
        <v>51191.96394899175</v>
      </c>
      <c r="H5629" s="6">
        <v>331762.3203624283</v>
      </c>
      <c r="I5629" s="6" t="s">
        <v>180</v>
      </c>
      <c r="J5629" s="15">
        <v>9.642676230307826</v>
      </c>
    </row>
    <row r="5630" spans="1:10">
      <c r="A5630" s="6" t="s">
        <v>148</v>
      </c>
      <c r="B5630" s="6" t="s">
        <v>92</v>
      </c>
      <c r="C5630" s="6" t="s">
        <v>273</v>
      </c>
      <c r="D5630" s="6">
        <v>58.66091666666667</v>
      </c>
      <c r="E5630" s="6" t="s">
        <v>181</v>
      </c>
      <c r="F5630" s="6" t="s">
        <v>51</v>
      </c>
      <c r="G5630" s="7">
        <v>39415.32644745876</v>
      </c>
      <c r="H5630" s="6">
        <v>2312139.180123841</v>
      </c>
      <c r="I5630" s="6" t="s">
        <v>179</v>
      </c>
      <c r="J5630" s="15">
        <v>27</v>
      </c>
    </row>
    <row r="5631" spans="1:10">
      <c r="A5631" s="6" t="s">
        <v>148</v>
      </c>
      <c r="B5631" s="6" t="s">
        <v>90</v>
      </c>
      <c r="C5631" s="6" t="s">
        <v>274</v>
      </c>
      <c r="D5631" s="6">
        <v>6.612916666666666</v>
      </c>
      <c r="E5631" s="6" t="s">
        <v>181</v>
      </c>
      <c r="F5631" s="6" t="s">
        <v>56</v>
      </c>
      <c r="G5631" s="7">
        <v>58346.71964656267</v>
      </c>
      <c r="H5631" s="6">
        <v>385841.9947960817</v>
      </c>
      <c r="I5631" s="6" t="s">
        <v>180</v>
      </c>
      <c r="J5631" s="15">
        <v>11.93522553370507</v>
      </c>
    </row>
    <row r="5632" spans="1:10">
      <c r="A5632" s="6" t="s">
        <v>148</v>
      </c>
      <c r="B5632" s="6" t="s">
        <v>90</v>
      </c>
      <c r="C5632" s="6" t="s">
        <v>275</v>
      </c>
      <c r="D5632" s="6">
        <v>0.4364166666666667</v>
      </c>
      <c r="E5632" s="6" t="s">
        <v>181</v>
      </c>
      <c r="F5632" s="6" t="s">
        <v>51</v>
      </c>
      <c r="G5632" s="7">
        <v>54453.54162987976</v>
      </c>
      <c r="H5632" s="6">
        <v>23764.43312630669</v>
      </c>
      <c r="I5632" s="6" t="s">
        <v>180</v>
      </c>
      <c r="J5632" s="15">
        <v>10.68776119985255</v>
      </c>
    </row>
    <row r="5633" spans="1:10">
      <c r="A5633" s="6" t="s">
        <v>148</v>
      </c>
      <c r="B5633" s="6" t="s">
        <v>92</v>
      </c>
      <c r="C5633" s="6" t="s">
        <v>276</v>
      </c>
      <c r="D5633" s="6">
        <v>10.90191666666667</v>
      </c>
      <c r="E5633" s="6" t="s">
        <v>181</v>
      </c>
      <c r="F5633" s="6" t="s">
        <v>51</v>
      </c>
      <c r="G5633" s="7">
        <v>36785.44810286325</v>
      </c>
      <c r="H5633" s="6">
        <v>401031.8897634066</v>
      </c>
      <c r="I5633" s="6" t="s">
        <v>180</v>
      </c>
      <c r="J5633" s="15">
        <v>7.012906301866028</v>
      </c>
    </row>
    <row r="5634" spans="1:10">
      <c r="A5634" s="6" t="s">
        <v>148</v>
      </c>
      <c r="B5634" s="6" t="s">
        <v>90</v>
      </c>
      <c r="C5634" s="6" t="s">
        <v>277</v>
      </c>
      <c r="D5634" s="6">
        <v>0.06874999999999999</v>
      </c>
      <c r="E5634" s="6" t="s">
        <v>181</v>
      </c>
      <c r="F5634" s="6" t="s">
        <v>57</v>
      </c>
      <c r="G5634" s="7">
        <v>44258.82186038292</v>
      </c>
      <c r="H5634" s="6">
        <v>3042.794002901326</v>
      </c>
      <c r="I5634" s="6" t="s">
        <v>180</v>
      </c>
      <c r="J5634" s="15">
        <v>7.421137055882822</v>
      </c>
    </row>
    <row r="5635" spans="1:10">
      <c r="A5635" s="6" t="s">
        <v>148</v>
      </c>
      <c r="B5635" s="6" t="s">
        <v>92</v>
      </c>
      <c r="C5635" s="6" t="s">
        <v>278</v>
      </c>
      <c r="D5635" s="6">
        <v>103.7213333333333</v>
      </c>
      <c r="E5635" s="6" t="s">
        <v>181</v>
      </c>
      <c r="F5635" s="6" t="s">
        <v>55</v>
      </c>
      <c r="G5635" s="7">
        <v>30336.77880022909</v>
      </c>
      <c r="H5635" s="6">
        <v>3146571.146198161</v>
      </c>
      <c r="I5635" s="6" t="s">
        <v>179</v>
      </c>
      <c r="J5635" s="15">
        <v>14</v>
      </c>
    </row>
    <row r="5636" spans="1:10">
      <c r="A5636" s="6" t="s">
        <v>148</v>
      </c>
      <c r="B5636" s="6" t="s">
        <v>88</v>
      </c>
      <c r="C5636" s="6" t="s">
        <v>280</v>
      </c>
      <c r="D5636" s="6">
        <v>56.56466666666667</v>
      </c>
      <c r="E5636" s="6" t="s">
        <v>181</v>
      </c>
      <c r="F5636" s="6" t="s">
        <v>55</v>
      </c>
      <c r="G5636" s="7">
        <v>24869.46250635056</v>
      </c>
      <c r="H5636" s="6">
        <v>1406732.856850884</v>
      </c>
      <c r="I5636" s="6" t="s">
        <v>180</v>
      </c>
      <c r="J5636" s="15">
        <v>9.982787385089743</v>
      </c>
    </row>
    <row r="5637" spans="1:10">
      <c r="A5637" s="6" t="s">
        <v>148</v>
      </c>
      <c r="B5637" s="6" t="s">
        <v>92</v>
      </c>
      <c r="C5637" s="6" t="s">
        <v>281</v>
      </c>
      <c r="D5637" s="6">
        <v>111.5171666666667</v>
      </c>
      <c r="E5637" s="6" t="s">
        <v>181</v>
      </c>
      <c r="F5637" s="6" t="s">
        <v>57</v>
      </c>
      <c r="G5637" s="7">
        <v>47725.16793448776</v>
      </c>
      <c r="H5637" s="6">
        <v>5322175.506744928</v>
      </c>
      <c r="I5637" s="6" t="s">
        <v>179</v>
      </c>
      <c r="J5637" s="15">
        <v>36</v>
      </c>
    </row>
    <row r="5638" spans="1:10">
      <c r="A5638" s="6" t="s">
        <v>148</v>
      </c>
      <c r="B5638" s="6" t="s">
        <v>90</v>
      </c>
      <c r="C5638" s="6" t="s">
        <v>282</v>
      </c>
      <c r="D5638" s="6">
        <v>0.2418333333333333</v>
      </c>
      <c r="E5638" s="6" t="s">
        <v>181</v>
      </c>
      <c r="F5638" s="6" t="s">
        <v>56</v>
      </c>
      <c r="G5638" s="7">
        <v>55102.56172936118</v>
      </c>
      <c r="H5638" s="6">
        <v>13325.63617821718</v>
      </c>
      <c r="I5638" s="6" t="s">
        <v>180</v>
      </c>
      <c r="J5638" s="15">
        <v>10.89572225957987</v>
      </c>
    </row>
    <row r="5639" spans="1:10">
      <c r="A5639" s="6" t="s">
        <v>148</v>
      </c>
      <c r="B5639" s="6" t="s">
        <v>90</v>
      </c>
      <c r="C5639" s="6" t="s">
        <v>283</v>
      </c>
      <c r="D5639" s="6">
        <v>35.4835</v>
      </c>
      <c r="E5639" s="6" t="s">
        <v>181</v>
      </c>
      <c r="F5639" s="6" t="s">
        <v>51</v>
      </c>
      <c r="G5639" s="7">
        <v>41673.53339700109</v>
      </c>
      <c r="H5639" s="6">
        <v>1478722.822292488</v>
      </c>
      <c r="I5639" s="6" t="s">
        <v>179</v>
      </c>
      <c r="J5639" s="15">
        <v>26.5</v>
      </c>
    </row>
    <row r="5640" spans="1:10">
      <c r="A5640" s="6" t="s">
        <v>148</v>
      </c>
      <c r="B5640" s="6" t="s">
        <v>92</v>
      </c>
      <c r="C5640" s="6" t="s">
        <v>284</v>
      </c>
      <c r="D5640" s="6">
        <v>21.51091666666667</v>
      </c>
      <c r="E5640" s="6" t="s">
        <v>181</v>
      </c>
      <c r="F5640" s="6" t="s">
        <v>55</v>
      </c>
      <c r="G5640" s="7">
        <v>36138.38846146646</v>
      </c>
      <c r="H5640" s="6">
        <v>777369.8626622333</v>
      </c>
      <c r="I5640" s="6" t="s">
        <v>179</v>
      </c>
      <c r="J5640" s="15">
        <v>40.2</v>
      </c>
    </row>
    <row r="5641" spans="1:10">
      <c r="A5641" s="6" t="s">
        <v>148</v>
      </c>
      <c r="B5641" s="6" t="s">
        <v>92</v>
      </c>
      <c r="C5641" s="6" t="s">
        <v>286</v>
      </c>
      <c r="D5641" s="6">
        <v>4.5665</v>
      </c>
      <c r="E5641" s="6" t="s">
        <v>181</v>
      </c>
      <c r="F5641" s="6" t="s">
        <v>59</v>
      </c>
      <c r="G5641" s="7">
        <v>51919.2206470298</v>
      </c>
      <c r="H5641" s="6">
        <v>237089.1210846616</v>
      </c>
      <c r="I5641" s="6" t="s">
        <v>180</v>
      </c>
      <c r="J5641" s="15">
        <v>12.67933971949008</v>
      </c>
    </row>
    <row r="5642" spans="1:10">
      <c r="A5642" s="6" t="s">
        <v>148</v>
      </c>
      <c r="B5642" s="6" t="s">
        <v>90</v>
      </c>
      <c r="C5642" s="6" t="s">
        <v>287</v>
      </c>
      <c r="D5642" s="6">
        <v>0.328</v>
      </c>
      <c r="E5642" s="6" t="s">
        <v>181</v>
      </c>
      <c r="F5642" s="6" t="s">
        <v>53</v>
      </c>
      <c r="G5642" s="7">
        <v>25443.86066146324</v>
      </c>
      <c r="H5642" s="6">
        <v>8345.586296959942</v>
      </c>
      <c r="I5642" s="6" t="s">
        <v>179</v>
      </c>
      <c r="J5642" s="15">
        <v>16</v>
      </c>
    </row>
    <row r="5643" spans="1:10">
      <c r="A5643" s="6" t="s">
        <v>148</v>
      </c>
      <c r="B5643" s="6" t="s">
        <v>90</v>
      </c>
      <c r="C5643" s="6" t="s">
        <v>376</v>
      </c>
      <c r="D5643" s="6">
        <v>0.1455833333333333</v>
      </c>
      <c r="E5643" s="6" t="s">
        <v>181</v>
      </c>
      <c r="F5643" s="6" t="s">
        <v>54</v>
      </c>
      <c r="G5643" s="7">
        <v>76892.37004653887</v>
      </c>
      <c r="H5643" s="6">
        <v>11194.24753927528</v>
      </c>
      <c r="I5643" s="6" t="s">
        <v>180</v>
      </c>
      <c r="J5643" s="15">
        <v>17.87768111188072</v>
      </c>
    </row>
    <row r="5644" spans="1:10">
      <c r="A5644" s="6" t="s">
        <v>148</v>
      </c>
      <c r="B5644" s="6" t="s">
        <v>90</v>
      </c>
      <c r="C5644" s="6" t="s">
        <v>288</v>
      </c>
      <c r="D5644" s="6">
        <v>0.1328333333333334</v>
      </c>
      <c r="E5644" s="6" t="s">
        <v>181</v>
      </c>
      <c r="F5644" s="6" t="s">
        <v>58</v>
      </c>
      <c r="G5644" s="7">
        <v>69966.42569413477</v>
      </c>
      <c r="H5644" s="6">
        <v>9293.873546370904</v>
      </c>
      <c r="I5644" s="6" t="s">
        <v>180</v>
      </c>
      <c r="J5644" s="15">
        <v>15.65844825870828</v>
      </c>
    </row>
    <row r="5645" spans="1:10">
      <c r="A5645" s="6" t="s">
        <v>148</v>
      </c>
      <c r="B5645" s="6" t="s">
        <v>88</v>
      </c>
      <c r="C5645" s="6" t="s">
        <v>370</v>
      </c>
      <c r="D5645" s="6">
        <v>0.1763333333333333</v>
      </c>
      <c r="E5645" s="6" t="s">
        <v>181</v>
      </c>
      <c r="F5645" s="6" t="s">
        <v>55</v>
      </c>
      <c r="G5645" s="7">
        <v>14611.98013674237</v>
      </c>
      <c r="H5645" s="6">
        <v>2576.579164112238</v>
      </c>
      <c r="I5645" s="6" t="s">
        <v>180</v>
      </c>
      <c r="J5645" s="15">
        <v>3.077005238882525</v>
      </c>
    </row>
    <row r="5646" spans="1:10">
      <c r="A5646" s="6" t="s">
        <v>148</v>
      </c>
      <c r="B5646" s="6" t="s">
        <v>90</v>
      </c>
      <c r="C5646" s="6" t="s">
        <v>359</v>
      </c>
      <c r="D5646" s="6">
        <v>3.795583333333333</v>
      </c>
      <c r="E5646" s="6" t="s">
        <v>181</v>
      </c>
      <c r="F5646" s="6" t="s">
        <v>60</v>
      </c>
      <c r="G5646" s="7">
        <v>44402.32112778664</v>
      </c>
      <c r="H5646" s="6">
        <v>168532.7100339415</v>
      </c>
      <c r="I5646" s="6" t="s">
        <v>180</v>
      </c>
      <c r="J5646" s="15">
        <v>7.467117542069946</v>
      </c>
    </row>
    <row r="5647" spans="1:10">
      <c r="A5647" s="6" t="s">
        <v>148</v>
      </c>
      <c r="B5647" s="6" t="s">
        <v>90</v>
      </c>
      <c r="C5647" s="6" t="s">
        <v>289</v>
      </c>
      <c r="D5647" s="6">
        <v>361.3830833333333</v>
      </c>
      <c r="E5647" s="6" t="s">
        <v>181</v>
      </c>
      <c r="F5647" s="6" t="s">
        <v>52</v>
      </c>
      <c r="G5647" s="7">
        <v>67135.49298692077</v>
      </c>
      <c r="H5647" s="6">
        <v>24261631.45671681</v>
      </c>
      <c r="I5647" s="6" t="s">
        <v>179</v>
      </c>
      <c r="J5647" s="15">
        <v>64</v>
      </c>
    </row>
    <row r="5648" spans="1:10">
      <c r="A5648" s="6" t="s">
        <v>148</v>
      </c>
      <c r="B5648" s="6" t="s">
        <v>90</v>
      </c>
      <c r="C5648" s="6" t="s">
        <v>290</v>
      </c>
      <c r="D5648" s="6">
        <v>0.007666666666666666</v>
      </c>
      <c r="E5648" s="6" t="s">
        <v>181</v>
      </c>
      <c r="F5648" s="6" t="s">
        <v>53</v>
      </c>
      <c r="G5648" s="7">
        <v>33776.0793312915</v>
      </c>
      <c r="H5648" s="6">
        <v>258.9499415399015</v>
      </c>
      <c r="I5648" s="6" t="s">
        <v>180</v>
      </c>
      <c r="J5648" s="15">
        <v>4.062223754214076</v>
      </c>
    </row>
    <row r="5649" spans="1:10">
      <c r="A5649" s="6" t="s">
        <v>148</v>
      </c>
      <c r="B5649" s="6" t="s">
        <v>88</v>
      </c>
      <c r="C5649" s="6" t="s">
        <v>292</v>
      </c>
      <c r="D5649" s="6">
        <v>7.719750000000001</v>
      </c>
      <c r="E5649" s="6" t="s">
        <v>181</v>
      </c>
      <c r="F5649" s="6" t="s">
        <v>54</v>
      </c>
      <c r="G5649" s="7">
        <v>57587.50593880366</v>
      </c>
      <c r="H5649" s="6">
        <v>444561.1489710796</v>
      </c>
      <c r="I5649" s="6" t="s">
        <v>180</v>
      </c>
      <c r="J5649" s="15">
        <v>32.00999367735827</v>
      </c>
    </row>
    <row r="5650" spans="1:10">
      <c r="A5650" s="6" t="s">
        <v>148</v>
      </c>
      <c r="B5650" s="6" t="s">
        <v>90</v>
      </c>
      <c r="C5650" s="6" t="s">
        <v>293</v>
      </c>
      <c r="D5650" s="6">
        <v>102.1865833333333</v>
      </c>
      <c r="E5650" s="6" t="s">
        <v>181</v>
      </c>
      <c r="F5650" s="6" t="s">
        <v>53</v>
      </c>
      <c r="G5650" s="7">
        <v>41041.87189365314</v>
      </c>
      <c r="H5650" s="6">
        <v>4193928.662416777</v>
      </c>
      <c r="I5650" s="6" t="s">
        <v>179</v>
      </c>
      <c r="J5650" s="15">
        <v>18</v>
      </c>
    </row>
    <row r="5651" spans="1:10">
      <c r="A5651" s="6" t="s">
        <v>148</v>
      </c>
      <c r="B5651" s="6" t="s">
        <v>90</v>
      </c>
      <c r="C5651" s="6" t="s">
        <v>371</v>
      </c>
      <c r="D5651" s="6">
        <v>0.3333333333333333</v>
      </c>
      <c r="E5651" s="6" t="s">
        <v>181</v>
      </c>
      <c r="F5651" s="6" t="s">
        <v>55</v>
      </c>
      <c r="G5651" s="7">
        <v>51459.79003816719</v>
      </c>
      <c r="H5651" s="6">
        <v>17153.26334605573</v>
      </c>
      <c r="I5651" s="6" t="s">
        <v>180</v>
      </c>
      <c r="J5651" s="15">
        <v>9.72849390740604</v>
      </c>
    </row>
    <row r="5652" spans="1:10">
      <c r="A5652" s="6" t="s">
        <v>148</v>
      </c>
      <c r="B5652" s="6" t="s">
        <v>90</v>
      </c>
      <c r="C5652" s="6" t="s">
        <v>294</v>
      </c>
      <c r="D5652" s="6">
        <v>0.144</v>
      </c>
      <c r="E5652" s="6" t="s">
        <v>181</v>
      </c>
      <c r="F5652" s="6" t="s">
        <v>54</v>
      </c>
      <c r="G5652" s="7">
        <v>73336.4313640656</v>
      </c>
      <c r="H5652" s="6">
        <v>10560.44611642545</v>
      </c>
      <c r="I5652" s="6" t="s">
        <v>180</v>
      </c>
      <c r="J5652" s="15">
        <v>16.73827606522132</v>
      </c>
    </row>
    <row r="5653" spans="1:10">
      <c r="A5653" s="6" t="s">
        <v>148</v>
      </c>
      <c r="B5653" s="6" t="s">
        <v>90</v>
      </c>
      <c r="C5653" s="6" t="s">
        <v>295</v>
      </c>
      <c r="D5653" s="6">
        <v>5.575916666666666</v>
      </c>
      <c r="E5653" s="6" t="s">
        <v>181</v>
      </c>
      <c r="F5653" s="6" t="s">
        <v>53</v>
      </c>
      <c r="G5653" s="7">
        <v>29529.16394109224</v>
      </c>
      <c r="H5653" s="6">
        <v>164652.1573718685</v>
      </c>
      <c r="I5653" s="6" t="s">
        <v>179</v>
      </c>
      <c r="J5653" s="15">
        <v>15</v>
      </c>
    </row>
    <row r="5654" spans="1:10">
      <c r="A5654" s="6" t="s">
        <v>148</v>
      </c>
      <c r="B5654" s="6" t="s">
        <v>90</v>
      </c>
      <c r="C5654" s="6" t="s">
        <v>296</v>
      </c>
      <c r="D5654" s="6">
        <v>30.62825</v>
      </c>
      <c r="E5654" s="6" t="s">
        <v>181</v>
      </c>
      <c r="F5654" s="6" t="s">
        <v>61</v>
      </c>
      <c r="G5654" s="7">
        <v>58003.92647416519</v>
      </c>
      <c r="H5654" s="6">
        <v>1776558.76103235</v>
      </c>
      <c r="I5654" s="6" t="s">
        <v>179</v>
      </c>
      <c r="J5654" s="15">
        <v>13</v>
      </c>
    </row>
    <row r="5655" spans="1:10">
      <c r="A5655" s="6" t="s">
        <v>148</v>
      </c>
      <c r="B5655" s="6" t="s">
        <v>88</v>
      </c>
      <c r="C5655" s="6" t="s">
        <v>297</v>
      </c>
      <c r="D5655" s="6">
        <v>0.6886666666666666</v>
      </c>
      <c r="E5655" s="6" t="s">
        <v>181</v>
      </c>
      <c r="F5655" s="6" t="s">
        <v>52</v>
      </c>
      <c r="G5655" s="7">
        <v>44335.59781697809</v>
      </c>
      <c r="H5655" s="6">
        <v>30532.44836329224</v>
      </c>
      <c r="I5655" s="6" t="s">
        <v>180</v>
      </c>
      <c r="J5655" s="15">
        <v>23.08823420331521</v>
      </c>
    </row>
    <row r="5656" spans="1:10">
      <c r="A5656" s="6" t="s">
        <v>148</v>
      </c>
      <c r="B5656" s="6" t="s">
        <v>90</v>
      </c>
      <c r="C5656" s="6" t="s">
        <v>298</v>
      </c>
      <c r="D5656" s="6">
        <v>19.11025</v>
      </c>
      <c r="E5656" s="6" t="s">
        <v>181</v>
      </c>
      <c r="F5656" s="6" t="s">
        <v>56</v>
      </c>
      <c r="G5656" s="7">
        <v>48595.16583801468</v>
      </c>
      <c r="H5656" s="6">
        <v>928665.7679559202</v>
      </c>
      <c r="I5656" s="6" t="s">
        <v>179</v>
      </c>
      <c r="J5656" s="15">
        <v>63.75</v>
      </c>
    </row>
    <row r="5657" spans="1:10">
      <c r="A5657" s="6" t="s">
        <v>148</v>
      </c>
      <c r="B5657" s="6" t="s">
        <v>90</v>
      </c>
      <c r="C5657" s="6" t="s">
        <v>299</v>
      </c>
      <c r="D5657" s="6">
        <v>0.3785833333333333</v>
      </c>
      <c r="E5657" s="6" t="s">
        <v>181</v>
      </c>
      <c r="F5657" s="6" t="s">
        <v>53</v>
      </c>
      <c r="G5657" s="7">
        <v>25973.79370043561</v>
      </c>
      <c r="H5657" s="6">
        <v>9833.245398423247</v>
      </c>
      <c r="I5657" s="6" t="s">
        <v>179</v>
      </c>
      <c r="J5657" s="15">
        <v>14</v>
      </c>
    </row>
    <row r="5658" spans="1:10">
      <c r="A5658" s="6" t="s">
        <v>148</v>
      </c>
      <c r="B5658" s="6" t="s">
        <v>92</v>
      </c>
      <c r="C5658" s="6" t="s">
        <v>301</v>
      </c>
      <c r="D5658" s="6">
        <v>3.978916666666667</v>
      </c>
      <c r="E5658" s="6" t="s">
        <v>181</v>
      </c>
      <c r="F5658" s="6" t="s">
        <v>59</v>
      </c>
      <c r="G5658" s="7">
        <v>60287.5334728343</v>
      </c>
      <c r="H5658" s="6">
        <v>239879.071727285</v>
      </c>
      <c r="I5658" s="6" t="s">
        <v>180</v>
      </c>
      <c r="J5658" s="15">
        <v>15.81262901050354</v>
      </c>
    </row>
    <row r="5659" spans="1:10">
      <c r="A5659" s="6" t="s">
        <v>148</v>
      </c>
      <c r="B5659" s="6" t="s">
        <v>88</v>
      </c>
      <c r="C5659" s="6" t="s">
        <v>302</v>
      </c>
      <c r="D5659" s="6">
        <v>10.62558333333333</v>
      </c>
      <c r="E5659" s="6" t="s">
        <v>181</v>
      </c>
      <c r="F5659" s="6" t="s">
        <v>52</v>
      </c>
      <c r="G5659" s="7">
        <v>33240.74338740388</v>
      </c>
      <c r="H5659" s="6">
        <v>353202.2889248089</v>
      </c>
      <c r="I5659" s="6" t="s">
        <v>179</v>
      </c>
      <c r="J5659" s="15">
        <v>34</v>
      </c>
    </row>
    <row r="5660" spans="1:10">
      <c r="A5660" s="6" t="s">
        <v>148</v>
      </c>
      <c r="B5660" s="6" t="s">
        <v>90</v>
      </c>
      <c r="C5660" s="6" t="s">
        <v>303</v>
      </c>
      <c r="D5660" s="6">
        <v>0.1303333333333333</v>
      </c>
      <c r="E5660" s="6" t="s">
        <v>181</v>
      </c>
      <c r="F5660" s="6" t="s">
        <v>53</v>
      </c>
      <c r="G5660" s="7">
        <v>31792.00581425614</v>
      </c>
      <c r="H5660" s="6">
        <v>4143.558091124717</v>
      </c>
      <c r="I5660" s="6" t="s">
        <v>180</v>
      </c>
      <c r="J5660" s="15">
        <v>14</v>
      </c>
    </row>
    <row r="5661" spans="1:10">
      <c r="A5661" s="6" t="s">
        <v>148</v>
      </c>
      <c r="B5661" s="6" t="s">
        <v>90</v>
      </c>
      <c r="C5661" s="6" t="s">
        <v>361</v>
      </c>
      <c r="D5661" s="6">
        <v>15.623</v>
      </c>
      <c r="E5661" s="6" t="s">
        <v>181</v>
      </c>
      <c r="F5661" s="6" t="s">
        <v>52</v>
      </c>
      <c r="G5661" s="7">
        <v>77309.29947361469</v>
      </c>
      <c r="H5661" s="6">
        <v>1207803.185676282</v>
      </c>
      <c r="I5661" s="6" t="s">
        <v>179</v>
      </c>
      <c r="J5661" s="15">
        <v>52</v>
      </c>
    </row>
    <row r="5662" spans="1:10">
      <c r="A5662" s="6" t="s">
        <v>148</v>
      </c>
      <c r="B5662" s="6" t="s">
        <v>88</v>
      </c>
      <c r="C5662" s="6" t="s">
        <v>305</v>
      </c>
      <c r="D5662" s="6">
        <v>21.56091666666667</v>
      </c>
      <c r="E5662" s="6" t="s">
        <v>181</v>
      </c>
      <c r="F5662" s="6" t="s">
        <v>54</v>
      </c>
      <c r="G5662" s="7">
        <v>54240.54060127008</v>
      </c>
      <c r="H5662" s="6">
        <v>1169475.775858934</v>
      </c>
      <c r="I5662" s="6" t="s">
        <v>180</v>
      </c>
      <c r="J5662" s="15">
        <v>29.75667140595994</v>
      </c>
    </row>
    <row r="5663" spans="1:10">
      <c r="A5663" s="6" t="s">
        <v>148</v>
      </c>
      <c r="B5663" s="6" t="s">
        <v>92</v>
      </c>
      <c r="C5663" s="6" t="s">
        <v>306</v>
      </c>
      <c r="D5663" s="6">
        <v>3.4155</v>
      </c>
      <c r="E5663" s="6" t="s">
        <v>181</v>
      </c>
      <c r="F5663" s="6" t="s">
        <v>57</v>
      </c>
      <c r="G5663" s="7">
        <v>39936.89263645957</v>
      </c>
      <c r="H5663" s="6">
        <v>136404.4567998277</v>
      </c>
      <c r="I5663" s="6" t="s">
        <v>180</v>
      </c>
      <c r="J5663" s="15">
        <v>8.192879805950582</v>
      </c>
    </row>
    <row r="5664" spans="1:10">
      <c r="A5664" s="6" t="s">
        <v>148</v>
      </c>
      <c r="B5664" s="6" t="s">
        <v>90</v>
      </c>
      <c r="C5664" s="6" t="s">
        <v>307</v>
      </c>
      <c r="D5664" s="6">
        <v>0.08383333333333333</v>
      </c>
      <c r="E5664" s="6" t="s">
        <v>181</v>
      </c>
      <c r="F5664" s="6" t="s">
        <v>53</v>
      </c>
      <c r="G5664" s="7">
        <v>34610.3479059413</v>
      </c>
      <c r="H5664" s="6">
        <v>2901.500832781412</v>
      </c>
      <c r="I5664" s="6" t="s">
        <v>180</v>
      </c>
      <c r="J5664" s="15">
        <v>13.5</v>
      </c>
    </row>
    <row r="5665" spans="1:10">
      <c r="A5665" s="6" t="s">
        <v>148</v>
      </c>
      <c r="B5665" s="6" t="s">
        <v>90</v>
      </c>
      <c r="C5665" s="6" t="s">
        <v>308</v>
      </c>
      <c r="D5665" s="6">
        <v>0.1809166666666667</v>
      </c>
      <c r="E5665" s="6" t="s">
        <v>181</v>
      </c>
      <c r="F5665" s="6" t="s">
        <v>54</v>
      </c>
      <c r="G5665" s="7">
        <v>61958.4525384317</v>
      </c>
      <c r="H5665" s="6">
        <v>11209.31670507794</v>
      </c>
      <c r="I5665" s="6" t="s">
        <v>180</v>
      </c>
      <c r="J5665" s="15">
        <v>13.09250833626427</v>
      </c>
    </row>
    <row r="5666" spans="1:10">
      <c r="A5666" s="6" t="s">
        <v>148</v>
      </c>
      <c r="B5666" s="6" t="s">
        <v>90</v>
      </c>
      <c r="C5666" s="6" t="s">
        <v>309</v>
      </c>
      <c r="D5666" s="6">
        <v>145.3080833333333</v>
      </c>
      <c r="E5666" s="6" t="s">
        <v>181</v>
      </c>
      <c r="F5666" s="6" t="s">
        <v>52</v>
      </c>
      <c r="G5666" s="7">
        <v>73075.41331885532</v>
      </c>
      <c r="H5666" s="6">
        <v>10618448.24815401</v>
      </c>
      <c r="I5666" s="6" t="s">
        <v>179</v>
      </c>
      <c r="J5666" s="15">
        <v>52</v>
      </c>
    </row>
    <row r="5667" spans="1:10">
      <c r="A5667" s="6" t="s">
        <v>148</v>
      </c>
      <c r="B5667" s="6" t="s">
        <v>90</v>
      </c>
      <c r="C5667" s="6" t="s">
        <v>310</v>
      </c>
      <c r="D5667" s="6">
        <v>5.582</v>
      </c>
      <c r="E5667" s="6" t="s">
        <v>181</v>
      </c>
      <c r="F5667" s="6" t="s">
        <v>52</v>
      </c>
      <c r="G5667" s="7">
        <v>72589.43692380768</v>
      </c>
      <c r="H5667" s="6">
        <v>405194.2369086944</v>
      </c>
      <c r="I5667" s="6" t="s">
        <v>179</v>
      </c>
      <c r="J5667" s="15">
        <v>75.54166666666666</v>
      </c>
    </row>
    <row r="5668" spans="1:10">
      <c r="A5668" s="6" t="s">
        <v>148</v>
      </c>
      <c r="B5668" s="6" t="s">
        <v>88</v>
      </c>
      <c r="C5668" s="6" t="s">
        <v>312</v>
      </c>
      <c r="D5668" s="6">
        <v>15.96708333333333</v>
      </c>
      <c r="E5668" s="6" t="s">
        <v>181</v>
      </c>
      <c r="F5668" s="6" t="s">
        <v>54</v>
      </c>
      <c r="G5668" s="7">
        <v>43974.2296302894</v>
      </c>
      <c r="H5668" s="6">
        <v>702140.1890259666</v>
      </c>
      <c r="I5668" s="6" t="s">
        <v>180</v>
      </c>
      <c r="J5668" s="15">
        <v>22.84494546228496</v>
      </c>
    </row>
    <row r="5669" spans="1:10">
      <c r="A5669" s="6" t="s">
        <v>148</v>
      </c>
      <c r="B5669" s="6" t="s">
        <v>90</v>
      </c>
      <c r="C5669" s="6" t="s">
        <v>313</v>
      </c>
      <c r="D5669" s="6">
        <v>6.491583333333334</v>
      </c>
      <c r="E5669" s="6" t="s">
        <v>181</v>
      </c>
      <c r="F5669" s="6" t="s">
        <v>51</v>
      </c>
      <c r="G5669" s="7">
        <v>52321.25291717758</v>
      </c>
      <c r="H5669" s="6">
        <v>339647.7734162681</v>
      </c>
      <c r="I5669" s="6" t="s">
        <v>180</v>
      </c>
      <c r="J5669" s="15">
        <v>10.00452655012064</v>
      </c>
    </row>
    <row r="5670" spans="1:10">
      <c r="A5670" s="6" t="s">
        <v>148</v>
      </c>
      <c r="B5670" s="6" t="s">
        <v>90</v>
      </c>
      <c r="C5670" s="6" t="s">
        <v>314</v>
      </c>
      <c r="D5670" s="6">
        <v>1.446</v>
      </c>
      <c r="E5670" s="6" t="s">
        <v>181</v>
      </c>
      <c r="F5670" s="6" t="s">
        <v>51</v>
      </c>
      <c r="G5670" s="7">
        <v>58052.11180989485</v>
      </c>
      <c r="H5670" s="6">
        <v>83943.35367710795</v>
      </c>
      <c r="I5670" s="6" t="s">
        <v>180</v>
      </c>
      <c r="J5670" s="15">
        <v>11.84082636491759</v>
      </c>
    </row>
    <row r="5671" spans="1:10">
      <c r="A5671" s="6" t="s">
        <v>148</v>
      </c>
      <c r="B5671" s="6" t="s">
        <v>92</v>
      </c>
      <c r="C5671" s="6" t="s">
        <v>315</v>
      </c>
      <c r="D5671" s="6">
        <v>3.744666666666667</v>
      </c>
      <c r="E5671" s="6" t="s">
        <v>181</v>
      </c>
      <c r="F5671" s="6" t="s">
        <v>51</v>
      </c>
      <c r="G5671" s="7">
        <v>36977.7141649833</v>
      </c>
      <c r="H5671" s="6">
        <v>138469.2136431408</v>
      </c>
      <c r="I5671" s="6" t="s">
        <v>179</v>
      </c>
      <c r="J5671" s="15">
        <v>20.63333333333333</v>
      </c>
    </row>
    <row r="5672" spans="1:10">
      <c r="A5672" s="6" t="s">
        <v>148</v>
      </c>
      <c r="B5672" s="6" t="s">
        <v>88</v>
      </c>
      <c r="C5672" s="6" t="s">
        <v>316</v>
      </c>
      <c r="D5672" s="6">
        <v>1.002333333333333</v>
      </c>
      <c r="E5672" s="6" t="s">
        <v>181</v>
      </c>
      <c r="F5672" s="6" t="s">
        <v>54</v>
      </c>
      <c r="G5672" s="7">
        <v>52119.57953683602</v>
      </c>
      <c r="H5672" s="6">
        <v>52241.19188908864</v>
      </c>
      <c r="I5672" s="6" t="s">
        <v>180</v>
      </c>
      <c r="J5672" s="15">
        <v>28.32874840070413</v>
      </c>
    </row>
    <row r="5673" spans="1:10">
      <c r="A5673" s="6" t="s">
        <v>148</v>
      </c>
      <c r="B5673" s="6" t="s">
        <v>90</v>
      </c>
      <c r="C5673" s="6" t="s">
        <v>317</v>
      </c>
      <c r="D5673" s="6">
        <v>0.1743333333333334</v>
      </c>
      <c r="E5673" s="6" t="s">
        <v>181</v>
      </c>
      <c r="F5673" s="6" t="s">
        <v>51</v>
      </c>
      <c r="G5673" s="7">
        <v>51588.11271374751</v>
      </c>
      <c r="H5673" s="6">
        <v>8993.527649763319</v>
      </c>
      <c r="I5673" s="6" t="s">
        <v>180</v>
      </c>
      <c r="J5673" s="15">
        <v>9.769611462350877</v>
      </c>
    </row>
    <row r="5674" spans="1:10">
      <c r="A5674" s="6" t="s">
        <v>148</v>
      </c>
      <c r="B5674" s="6" t="s">
        <v>90</v>
      </c>
      <c r="C5674" s="6" t="s">
        <v>320</v>
      </c>
      <c r="D5674" s="6">
        <v>0.5691666666666667</v>
      </c>
      <c r="E5674" s="6" t="s">
        <v>181</v>
      </c>
      <c r="F5674" s="6" t="s">
        <v>51</v>
      </c>
      <c r="G5674" s="7">
        <v>50478.21140108545</v>
      </c>
      <c r="H5674" s="6">
        <v>28730.51532245114</v>
      </c>
      <c r="I5674" s="6" t="s">
        <v>180</v>
      </c>
      <c r="J5674" s="15">
        <v>9.413973396043877</v>
      </c>
    </row>
    <row r="5675" spans="1:10">
      <c r="A5675" s="6" t="s">
        <v>148</v>
      </c>
      <c r="B5675" s="6" t="s">
        <v>90</v>
      </c>
      <c r="C5675" s="6" t="s">
        <v>321</v>
      </c>
      <c r="D5675" s="6">
        <v>0.06991666666666667</v>
      </c>
      <c r="E5675" s="6" t="s">
        <v>181</v>
      </c>
      <c r="F5675" s="6" t="s">
        <v>54</v>
      </c>
      <c r="G5675" s="7">
        <v>49362.0809529337</v>
      </c>
      <c r="H5675" s="6">
        <v>3451.232159959281</v>
      </c>
      <c r="I5675" s="6" t="s">
        <v>180</v>
      </c>
      <c r="J5675" s="15">
        <v>9.05633937056912</v>
      </c>
    </row>
    <row r="5676" spans="1:10">
      <c r="A5676" s="6" t="s">
        <v>148</v>
      </c>
      <c r="B5676" s="6" t="s">
        <v>90</v>
      </c>
      <c r="C5676" s="6" t="s">
        <v>322</v>
      </c>
      <c r="D5676" s="6">
        <v>0.11075</v>
      </c>
      <c r="E5676" s="6" t="s">
        <v>181</v>
      </c>
      <c r="F5676" s="6" t="s">
        <v>51</v>
      </c>
      <c r="G5676" s="7">
        <v>51362.83162893766</v>
      </c>
      <c r="H5676" s="6">
        <v>5688.433602904846</v>
      </c>
      <c r="I5676" s="6" t="s">
        <v>180</v>
      </c>
      <c r="J5676" s="15">
        <v>9.697426189242986</v>
      </c>
    </row>
    <row r="5677" spans="1:10">
      <c r="A5677" s="6" t="s">
        <v>148</v>
      </c>
      <c r="B5677" s="6" t="s">
        <v>92</v>
      </c>
      <c r="C5677" s="6" t="s">
        <v>323</v>
      </c>
      <c r="D5677" s="6">
        <v>15.07483333333333</v>
      </c>
      <c r="E5677" s="6" t="s">
        <v>181</v>
      </c>
      <c r="F5677" s="6" t="s">
        <v>55</v>
      </c>
      <c r="G5677" s="7">
        <v>37901.84707720344</v>
      </c>
      <c r="H5677" s="6">
        <v>571364.027714329</v>
      </c>
      <c r="I5677" s="6" t="s">
        <v>179</v>
      </c>
      <c r="J5677" s="15">
        <v>17</v>
      </c>
    </row>
    <row r="5678" spans="1:10">
      <c r="A5678" s="6" t="s">
        <v>148</v>
      </c>
      <c r="B5678" s="6" t="s">
        <v>90</v>
      </c>
      <c r="C5678" s="6" t="s">
        <v>324</v>
      </c>
      <c r="D5678" s="6">
        <v>16.44441666666667</v>
      </c>
      <c r="E5678" s="6" t="s">
        <v>181</v>
      </c>
      <c r="F5678" s="6" t="s">
        <v>51</v>
      </c>
      <c r="G5678" s="7">
        <v>52939.45685818696</v>
      </c>
      <c r="H5678" s="6">
        <v>870558.4866830505</v>
      </c>
      <c r="I5678" s="6" t="s">
        <v>180</v>
      </c>
      <c r="J5678" s="15">
        <v>10.20261339951505</v>
      </c>
    </row>
    <row r="5679" spans="1:10">
      <c r="A5679" s="6" t="s">
        <v>148</v>
      </c>
      <c r="B5679" s="6" t="s">
        <v>88</v>
      </c>
      <c r="C5679" s="6" t="s">
        <v>372</v>
      </c>
      <c r="D5679" s="6">
        <v>1.6145</v>
      </c>
      <c r="E5679" s="6" t="s">
        <v>181</v>
      </c>
      <c r="F5679" s="6" t="s">
        <v>55</v>
      </c>
      <c r="G5679" s="7">
        <v>26107.48186832325</v>
      </c>
      <c r="H5679" s="6">
        <v>42150.52947640789</v>
      </c>
      <c r="I5679" s="6" t="s">
        <v>180</v>
      </c>
      <c r="J5679" s="15">
        <v>10.81627573032942</v>
      </c>
    </row>
    <row r="5680" spans="1:10">
      <c r="A5680" s="6" t="s">
        <v>148</v>
      </c>
      <c r="B5680" s="6" t="s">
        <v>90</v>
      </c>
      <c r="C5680" s="6" t="s">
        <v>325</v>
      </c>
      <c r="D5680" s="6">
        <v>0.4791666666666667</v>
      </c>
      <c r="E5680" s="6" t="s">
        <v>181</v>
      </c>
      <c r="F5680" s="6" t="s">
        <v>53</v>
      </c>
      <c r="G5680" s="7">
        <v>27183.84720656899</v>
      </c>
      <c r="H5680" s="6">
        <v>13025.59345314764</v>
      </c>
      <c r="I5680" s="6" t="s">
        <v>179</v>
      </c>
      <c r="J5680" s="15">
        <v>16</v>
      </c>
    </row>
    <row r="5681" spans="1:10">
      <c r="A5681" s="6" t="s">
        <v>148</v>
      </c>
      <c r="B5681" s="6" t="s">
        <v>90</v>
      </c>
      <c r="C5681" s="6" t="s">
        <v>364</v>
      </c>
      <c r="D5681" s="6">
        <v>3.608833333333333</v>
      </c>
      <c r="E5681" s="6" t="s">
        <v>181</v>
      </c>
      <c r="F5681" s="6" t="s">
        <v>52</v>
      </c>
      <c r="G5681" s="7">
        <v>51274.29567237874</v>
      </c>
      <c r="H5681" s="6">
        <v>185040.3873656695</v>
      </c>
      <c r="I5681" s="6" t="s">
        <v>179</v>
      </c>
      <c r="J5681" s="15">
        <v>65</v>
      </c>
    </row>
    <row r="5682" spans="1:10">
      <c r="A5682" s="6" t="s">
        <v>148</v>
      </c>
      <c r="B5682" s="6" t="s">
        <v>90</v>
      </c>
      <c r="C5682" s="6" t="s">
        <v>326</v>
      </c>
      <c r="D5682" s="6">
        <v>72.59949999999999</v>
      </c>
      <c r="E5682" s="6" t="s">
        <v>181</v>
      </c>
      <c r="F5682" s="6" t="s">
        <v>54</v>
      </c>
      <c r="G5682" s="7">
        <v>73204.69251441542</v>
      </c>
      <c r="H5682" s="6">
        <v>5314624.074200302</v>
      </c>
      <c r="I5682" s="6" t="s">
        <v>179</v>
      </c>
      <c r="J5682" s="15">
        <v>50.55</v>
      </c>
    </row>
    <row r="5683" spans="1:10">
      <c r="A5683" s="6" t="s">
        <v>148</v>
      </c>
      <c r="B5683" s="6" t="s">
        <v>88</v>
      </c>
      <c r="C5683" s="6" t="s">
        <v>373</v>
      </c>
      <c r="D5683" s="6">
        <v>0.2094166666666667</v>
      </c>
      <c r="E5683" s="6" t="s">
        <v>181</v>
      </c>
      <c r="F5683" s="6" t="s">
        <v>55</v>
      </c>
      <c r="G5683" s="7">
        <v>16856.45138564954</v>
      </c>
      <c r="H5683" s="6">
        <v>3530.021861011441</v>
      </c>
      <c r="I5683" s="6" t="s">
        <v>180</v>
      </c>
      <c r="J5683" s="15">
        <v>4.588080658744115</v>
      </c>
    </row>
    <row r="5684" spans="1:10">
      <c r="A5684" s="6" t="s">
        <v>148</v>
      </c>
      <c r="B5684" s="6" t="s">
        <v>92</v>
      </c>
      <c r="C5684" s="6" t="s">
        <v>374</v>
      </c>
      <c r="D5684" s="6">
        <v>0.05225</v>
      </c>
      <c r="E5684" s="6" t="s">
        <v>181</v>
      </c>
      <c r="F5684" s="6" t="s">
        <v>55</v>
      </c>
      <c r="G5684" s="7">
        <v>29054.37866544401</v>
      </c>
      <c r="H5684" s="6">
        <v>1518.091285269449</v>
      </c>
      <c r="I5684" s="6" t="s">
        <v>180</v>
      </c>
      <c r="J5684" s="15">
        <v>15.81666666666667</v>
      </c>
    </row>
    <row r="5685" spans="1:10">
      <c r="A5685" s="6" t="s">
        <v>148</v>
      </c>
      <c r="B5685" s="6" t="s">
        <v>90</v>
      </c>
      <c r="C5685" s="6" t="s">
        <v>327</v>
      </c>
      <c r="D5685" s="6">
        <v>34.41216666666666</v>
      </c>
      <c r="E5685" s="6" t="s">
        <v>181</v>
      </c>
      <c r="F5685" s="6" t="s">
        <v>57</v>
      </c>
      <c r="G5685" s="7">
        <v>43941.25100916271</v>
      </c>
      <c r="H5685" s="6">
        <v>1512113.653269142</v>
      </c>
      <c r="I5685" s="6" t="s">
        <v>180</v>
      </c>
      <c r="J5685" s="15">
        <v>7.319380005814523</v>
      </c>
    </row>
    <row r="5686" spans="1:10">
      <c r="A5686" s="6" t="s">
        <v>148</v>
      </c>
      <c r="B5686" s="6" t="s">
        <v>90</v>
      </c>
      <c r="C5686" s="6" t="s">
        <v>328</v>
      </c>
      <c r="D5686" s="6">
        <v>0.1110833333333333</v>
      </c>
      <c r="E5686" s="6" t="s">
        <v>181</v>
      </c>
      <c r="F5686" s="6" t="s">
        <v>58</v>
      </c>
      <c r="G5686" s="7">
        <v>61261.16637247237</v>
      </c>
      <c r="H5686" s="6">
        <v>6805.094564542139</v>
      </c>
      <c r="I5686" s="6" t="s">
        <v>180</v>
      </c>
      <c r="J5686" s="15">
        <v>12.86908171184699</v>
      </c>
    </row>
    <row r="5687" spans="1:10">
      <c r="A5687" s="6" t="s">
        <v>148</v>
      </c>
      <c r="B5687" s="6" t="s">
        <v>90</v>
      </c>
      <c r="C5687" s="6" t="s">
        <v>329</v>
      </c>
      <c r="D5687" s="6">
        <v>79.56091666666666</v>
      </c>
      <c r="E5687" s="6" t="s">
        <v>181</v>
      </c>
      <c r="F5687" s="6" t="s">
        <v>58</v>
      </c>
      <c r="G5687" s="7">
        <v>59375.40509749136</v>
      </c>
      <c r="H5687" s="6">
        <v>4723961.657011085</v>
      </c>
      <c r="I5687" s="6" t="s">
        <v>180</v>
      </c>
      <c r="J5687" s="15">
        <v>12.2648401583864</v>
      </c>
    </row>
    <row r="5688" spans="1:10">
      <c r="A5688" s="6" t="s">
        <v>148</v>
      </c>
      <c r="B5688" s="6" t="s">
        <v>90</v>
      </c>
      <c r="C5688" s="6" t="s">
        <v>330</v>
      </c>
      <c r="D5688" s="6">
        <v>3.363833333333333</v>
      </c>
      <c r="E5688" s="6" t="s">
        <v>181</v>
      </c>
      <c r="F5688" s="6" t="s">
        <v>52</v>
      </c>
      <c r="G5688" s="7">
        <v>59918.03179942394</v>
      </c>
      <c r="H5688" s="6">
        <v>201554.2726346289</v>
      </c>
      <c r="I5688" s="6" t="s">
        <v>180</v>
      </c>
      <c r="J5688" s="15">
        <v>47.43333333333333</v>
      </c>
    </row>
    <row r="5689" spans="1:10">
      <c r="A5689" s="6" t="s">
        <v>148</v>
      </c>
      <c r="B5689" s="6" t="s">
        <v>92</v>
      </c>
      <c r="C5689" s="6" t="s">
        <v>331</v>
      </c>
      <c r="D5689" s="6">
        <v>22.41391666666667</v>
      </c>
      <c r="E5689" s="6" t="s">
        <v>181</v>
      </c>
      <c r="F5689" s="6" t="s">
        <v>58</v>
      </c>
      <c r="G5689" s="7">
        <v>52490.82308035896</v>
      </c>
      <c r="H5689" s="6">
        <v>1176524.934287909</v>
      </c>
      <c r="I5689" s="6" t="s">
        <v>179</v>
      </c>
      <c r="J5689" s="15">
        <v>17.40719355741339</v>
      </c>
    </row>
    <row r="5690" spans="1:10">
      <c r="A5690" s="6" t="s">
        <v>148</v>
      </c>
      <c r="B5690" s="6" t="s">
        <v>92</v>
      </c>
      <c r="C5690" s="6" t="s">
        <v>332</v>
      </c>
      <c r="D5690" s="6">
        <v>66.80733333333333</v>
      </c>
      <c r="E5690" s="6" t="s">
        <v>181</v>
      </c>
      <c r="F5690" s="6" t="s">
        <v>55</v>
      </c>
      <c r="G5690" s="7">
        <v>18935.91078298569</v>
      </c>
      <c r="H5690" s="6">
        <v>1265057.703649186</v>
      </c>
      <c r="I5690" s="6" t="s">
        <v>179</v>
      </c>
      <c r="J5690" s="15">
        <v>13</v>
      </c>
    </row>
    <row r="5691" spans="1:10">
      <c r="A5691" s="6" t="s">
        <v>148</v>
      </c>
      <c r="B5691" s="6" t="s">
        <v>90</v>
      </c>
      <c r="C5691" s="6" t="s">
        <v>375</v>
      </c>
      <c r="D5691" s="6">
        <v>0.3616666666666666</v>
      </c>
      <c r="E5691" s="6" t="s">
        <v>181</v>
      </c>
      <c r="F5691" s="6" t="s">
        <v>55</v>
      </c>
      <c r="G5691" s="7">
        <v>51398.76773903722</v>
      </c>
      <c r="H5691" s="6">
        <v>18589.22099895179</v>
      </c>
      <c r="I5691" s="6" t="s">
        <v>180</v>
      </c>
      <c r="J5691" s="15">
        <v>9.708940950565097</v>
      </c>
    </row>
    <row r="5692" spans="1:10">
      <c r="A5692" s="6" t="s">
        <v>148</v>
      </c>
      <c r="B5692" s="6" t="s">
        <v>90</v>
      </c>
      <c r="C5692" s="6" t="s">
        <v>333</v>
      </c>
      <c r="D5692" s="6">
        <v>21.56491666666667</v>
      </c>
      <c r="E5692" s="6" t="s">
        <v>181</v>
      </c>
      <c r="F5692" s="6" t="s">
        <v>51</v>
      </c>
      <c r="G5692" s="7">
        <v>50361.75765821278</v>
      </c>
      <c r="H5692" s="6">
        <v>1086047.10708622</v>
      </c>
      <c r="I5692" s="6" t="s">
        <v>180</v>
      </c>
      <c r="J5692" s="15">
        <v>9.376658921813627</v>
      </c>
    </row>
    <row r="5693" spans="1:10">
      <c r="A5693" s="6" t="s">
        <v>148</v>
      </c>
      <c r="B5693" s="6" t="s">
        <v>88</v>
      </c>
      <c r="C5693" s="6" t="s">
        <v>202</v>
      </c>
      <c r="D5693" s="6">
        <v>1.6465</v>
      </c>
      <c r="E5693" s="6" t="s">
        <v>182</v>
      </c>
      <c r="F5693" s="6" t="s">
        <v>54</v>
      </c>
      <c r="G5693" s="7">
        <v>52343.66061009689</v>
      </c>
      <c r="H5693" s="6">
        <v>86183.83719452453</v>
      </c>
      <c r="I5693" s="6" t="s">
        <v>180</v>
      </c>
      <c r="J5693" s="15">
        <v>28.47960950085214</v>
      </c>
    </row>
    <row r="5694" spans="1:10">
      <c r="A5694" s="6" t="s">
        <v>148</v>
      </c>
      <c r="B5694" s="6" t="s">
        <v>92</v>
      </c>
      <c r="C5694" s="6" t="s">
        <v>204</v>
      </c>
      <c r="D5694" s="6">
        <v>20.38875</v>
      </c>
      <c r="E5694" s="6" t="s">
        <v>182</v>
      </c>
      <c r="F5694" s="6" t="s">
        <v>51</v>
      </c>
      <c r="G5694" s="7">
        <v>45931.03732154475</v>
      </c>
      <c r="H5694" s="6">
        <v>936476.4371896455</v>
      </c>
      <c r="I5694" s="6" t="s">
        <v>179</v>
      </c>
      <c r="J5694" s="15">
        <v>41.54166666666667</v>
      </c>
    </row>
    <row r="5695" spans="1:10">
      <c r="A5695" s="6" t="s">
        <v>148</v>
      </c>
      <c r="B5695" s="6" t="s">
        <v>92</v>
      </c>
      <c r="C5695" s="6" t="s">
        <v>208</v>
      </c>
      <c r="D5695" s="6">
        <v>0.498</v>
      </c>
      <c r="E5695" s="6" t="s">
        <v>182</v>
      </c>
      <c r="F5695" s="6" t="s">
        <v>51</v>
      </c>
      <c r="G5695" s="7">
        <v>50504.79293432883</v>
      </c>
      <c r="H5695" s="6">
        <v>25151.38688129576</v>
      </c>
      <c r="I5695" s="6" t="s">
        <v>180</v>
      </c>
      <c r="J5695" s="15">
        <v>12.14974536787207</v>
      </c>
    </row>
    <row r="5696" spans="1:10">
      <c r="A5696" s="6" t="s">
        <v>148</v>
      </c>
      <c r="B5696" s="6" t="s">
        <v>92</v>
      </c>
      <c r="C5696" s="6" t="s">
        <v>211</v>
      </c>
      <c r="D5696" s="6">
        <v>4.341</v>
      </c>
      <c r="E5696" s="6" t="s">
        <v>182</v>
      </c>
      <c r="F5696" s="6" t="s">
        <v>55</v>
      </c>
      <c r="G5696" s="7">
        <v>25336.04217074411</v>
      </c>
      <c r="H5696" s="6">
        <v>109983.7590632002</v>
      </c>
      <c r="I5696" s="6" t="s">
        <v>179</v>
      </c>
      <c r="J5696" s="15">
        <v>16</v>
      </c>
    </row>
    <row r="5697" spans="1:10">
      <c r="A5697" s="6" t="s">
        <v>148</v>
      </c>
      <c r="B5697" s="6" t="s">
        <v>88</v>
      </c>
      <c r="C5697" s="6" t="s">
        <v>215</v>
      </c>
      <c r="D5697" s="6">
        <v>36.057</v>
      </c>
      <c r="E5697" s="6" t="s">
        <v>182</v>
      </c>
      <c r="F5697" s="6" t="s">
        <v>54</v>
      </c>
      <c r="G5697" s="7">
        <v>49061.49876660256</v>
      </c>
      <c r="H5697" s="6">
        <v>1769010.461027388</v>
      </c>
      <c r="I5697" s="6" t="s">
        <v>180</v>
      </c>
      <c r="J5697" s="15">
        <v>26.26991575310344</v>
      </c>
    </row>
    <row r="5698" spans="1:10">
      <c r="A5698" s="6" t="s">
        <v>148</v>
      </c>
      <c r="B5698" s="6" t="s">
        <v>88</v>
      </c>
      <c r="C5698" s="6" t="s">
        <v>226</v>
      </c>
      <c r="D5698" s="6">
        <v>0.75</v>
      </c>
      <c r="E5698" s="6" t="s">
        <v>182</v>
      </c>
      <c r="F5698" s="6" t="s">
        <v>56</v>
      </c>
      <c r="G5698" s="7">
        <v>43574.43033788576</v>
      </c>
      <c r="H5698" s="6">
        <v>32680.82275341432</v>
      </c>
      <c r="I5698" s="6" t="s">
        <v>180</v>
      </c>
      <c r="J5698" s="15">
        <v>22.57578323357593</v>
      </c>
    </row>
    <row r="5699" spans="1:10">
      <c r="A5699" s="6" t="s">
        <v>148</v>
      </c>
      <c r="B5699" s="6" t="s">
        <v>88</v>
      </c>
      <c r="C5699" s="6" t="s">
        <v>227</v>
      </c>
      <c r="D5699" s="6">
        <v>0.447</v>
      </c>
      <c r="E5699" s="6" t="s">
        <v>182</v>
      </c>
      <c r="F5699" s="6" t="s">
        <v>57</v>
      </c>
      <c r="G5699" s="7">
        <v>23047.02046058131</v>
      </c>
      <c r="H5699" s="6">
        <v>10302.01814587985</v>
      </c>
      <c r="I5699" s="6" t="s">
        <v>180</v>
      </c>
      <c r="J5699" s="15">
        <v>8.755840334275428</v>
      </c>
    </row>
    <row r="5700" spans="1:10">
      <c r="A5700" s="6" t="s">
        <v>148</v>
      </c>
      <c r="B5700" s="6" t="s">
        <v>88</v>
      </c>
      <c r="C5700" s="6" t="s">
        <v>234</v>
      </c>
      <c r="D5700" s="6">
        <v>2.7175</v>
      </c>
      <c r="E5700" s="6" t="s">
        <v>182</v>
      </c>
      <c r="F5700" s="6" t="s">
        <v>56</v>
      </c>
      <c r="G5700" s="7">
        <v>38754.40855139481</v>
      </c>
      <c r="H5700" s="6">
        <v>105315.1052384154</v>
      </c>
      <c r="I5700" s="6" t="s">
        <v>180</v>
      </c>
      <c r="J5700" s="15">
        <v>19.33073545303068</v>
      </c>
    </row>
    <row r="5701" spans="1:10">
      <c r="A5701" s="6" t="s">
        <v>148</v>
      </c>
      <c r="B5701" s="6" t="s">
        <v>88</v>
      </c>
      <c r="C5701" s="6" t="s">
        <v>239</v>
      </c>
      <c r="D5701" s="6">
        <v>8.76</v>
      </c>
      <c r="E5701" s="6" t="s">
        <v>182</v>
      </c>
      <c r="F5701" s="6" t="s">
        <v>54</v>
      </c>
      <c r="G5701" s="7">
        <v>51922.31915235746</v>
      </c>
      <c r="H5701" s="6">
        <v>454839.5157746513</v>
      </c>
      <c r="I5701" s="6" t="s">
        <v>180</v>
      </c>
      <c r="J5701" s="15">
        <v>28.19594415184457</v>
      </c>
    </row>
    <row r="5702" spans="1:10">
      <c r="A5702" s="6" t="s">
        <v>148</v>
      </c>
      <c r="B5702" s="6" t="s">
        <v>92</v>
      </c>
      <c r="C5702" s="6" t="s">
        <v>247</v>
      </c>
      <c r="D5702" s="6">
        <v>0.855</v>
      </c>
      <c r="E5702" s="6" t="s">
        <v>182</v>
      </c>
      <c r="F5702" s="6" t="s">
        <v>51</v>
      </c>
      <c r="G5702" s="7">
        <v>46237.23227272295</v>
      </c>
      <c r="H5702" s="6">
        <v>39532.83359317812</v>
      </c>
      <c r="I5702" s="6" t="s">
        <v>179</v>
      </c>
      <c r="J5702" s="15">
        <v>29.3</v>
      </c>
    </row>
    <row r="5703" spans="1:10">
      <c r="A5703" s="6" t="s">
        <v>148</v>
      </c>
      <c r="B5703" s="6" t="s">
        <v>92</v>
      </c>
      <c r="C5703" s="6" t="s">
        <v>253</v>
      </c>
      <c r="D5703" s="6">
        <v>1.08</v>
      </c>
      <c r="E5703" s="6" t="s">
        <v>182</v>
      </c>
      <c r="F5703" s="6" t="s">
        <v>53</v>
      </c>
      <c r="G5703" s="7">
        <v>49900.32874056988</v>
      </c>
      <c r="H5703" s="6">
        <v>53892.35503981546</v>
      </c>
      <c r="I5703" s="6" t="s">
        <v>180</v>
      </c>
      <c r="J5703" s="15">
        <v>11.92342003509223</v>
      </c>
    </row>
    <row r="5704" spans="1:10">
      <c r="A5704" s="6" t="s">
        <v>148</v>
      </c>
      <c r="B5704" s="6" t="s">
        <v>92</v>
      </c>
      <c r="C5704" s="6" t="s">
        <v>267</v>
      </c>
      <c r="D5704" s="6">
        <v>2.229</v>
      </c>
      <c r="E5704" s="6" t="s">
        <v>182</v>
      </c>
      <c r="F5704" s="6" t="s">
        <v>53</v>
      </c>
      <c r="G5704" s="7">
        <v>48956.37381074637</v>
      </c>
      <c r="H5704" s="6">
        <v>109123.7572241537</v>
      </c>
      <c r="I5704" s="6" t="s">
        <v>179</v>
      </c>
      <c r="J5704" s="15">
        <v>31.05</v>
      </c>
    </row>
    <row r="5705" spans="1:10">
      <c r="A5705" s="6" t="s">
        <v>148</v>
      </c>
      <c r="B5705" s="6" t="s">
        <v>88</v>
      </c>
      <c r="C5705" s="6" t="s">
        <v>271</v>
      </c>
      <c r="D5705" s="6">
        <v>8.862</v>
      </c>
      <c r="E5705" s="6" t="s">
        <v>182</v>
      </c>
      <c r="F5705" s="6" t="s">
        <v>54</v>
      </c>
      <c r="G5705" s="7">
        <v>41071.74894263604</v>
      </c>
      <c r="H5705" s="6">
        <v>363977.8391296406</v>
      </c>
      <c r="I5705" s="6" t="s">
        <v>180</v>
      </c>
      <c r="J5705" s="15">
        <v>20.89086954089749</v>
      </c>
    </row>
    <row r="5706" spans="1:10">
      <c r="A5706" s="6" t="s">
        <v>148</v>
      </c>
      <c r="B5706" s="6" t="s">
        <v>92</v>
      </c>
      <c r="C5706" s="6" t="s">
        <v>272</v>
      </c>
      <c r="D5706" s="6">
        <v>1.727</v>
      </c>
      <c r="E5706" s="6" t="s">
        <v>182</v>
      </c>
      <c r="F5706" s="6" t="s">
        <v>51</v>
      </c>
      <c r="G5706" s="7">
        <v>48140.33007987355</v>
      </c>
      <c r="H5706" s="6">
        <v>83138.35004794163</v>
      </c>
      <c r="I5706" s="6" t="s">
        <v>180</v>
      </c>
      <c r="J5706" s="15">
        <v>11.26443595185468</v>
      </c>
    </row>
    <row r="5707" spans="1:10">
      <c r="A5707" s="6" t="s">
        <v>148</v>
      </c>
      <c r="B5707" s="6" t="s">
        <v>92</v>
      </c>
      <c r="C5707" s="6" t="s">
        <v>273</v>
      </c>
      <c r="D5707" s="6">
        <v>52.776</v>
      </c>
      <c r="E5707" s="6" t="s">
        <v>182</v>
      </c>
      <c r="F5707" s="6" t="s">
        <v>51</v>
      </c>
      <c r="G5707" s="7">
        <v>39415.32644745876</v>
      </c>
      <c r="H5707" s="6">
        <v>2080183.268591083</v>
      </c>
      <c r="I5707" s="6" t="s">
        <v>179</v>
      </c>
      <c r="J5707" s="15">
        <v>27</v>
      </c>
    </row>
    <row r="5708" spans="1:10">
      <c r="A5708" s="6" t="s">
        <v>148</v>
      </c>
      <c r="B5708" s="6" t="s">
        <v>92</v>
      </c>
      <c r="C5708" s="6" t="s">
        <v>278</v>
      </c>
      <c r="D5708" s="6">
        <v>101.556</v>
      </c>
      <c r="E5708" s="6" t="s">
        <v>182</v>
      </c>
      <c r="F5708" s="6" t="s">
        <v>55</v>
      </c>
      <c r="G5708" s="7">
        <v>30336.77880022909</v>
      </c>
      <c r="H5708" s="6">
        <v>3080881.907836066</v>
      </c>
      <c r="I5708" s="6" t="s">
        <v>179</v>
      </c>
      <c r="J5708" s="15">
        <v>14</v>
      </c>
    </row>
    <row r="5709" spans="1:10">
      <c r="A5709" s="6" t="s">
        <v>148</v>
      </c>
      <c r="B5709" s="6" t="s">
        <v>92</v>
      </c>
      <c r="C5709" s="6" t="s">
        <v>281</v>
      </c>
      <c r="D5709" s="6">
        <v>136.39475</v>
      </c>
      <c r="E5709" s="6" t="s">
        <v>182</v>
      </c>
      <c r="F5709" s="6" t="s">
        <v>57</v>
      </c>
      <c r="G5709" s="7">
        <v>47725.16793448776</v>
      </c>
      <c r="H5709" s="6">
        <v>6509462.349132475</v>
      </c>
      <c r="I5709" s="6" t="s">
        <v>179</v>
      </c>
      <c r="J5709" s="15">
        <v>36</v>
      </c>
    </row>
    <row r="5710" spans="1:10">
      <c r="A5710" s="6" t="s">
        <v>148</v>
      </c>
      <c r="B5710" s="6" t="s">
        <v>88</v>
      </c>
      <c r="C5710" s="6" t="s">
        <v>305</v>
      </c>
      <c r="D5710" s="6">
        <v>0.321</v>
      </c>
      <c r="E5710" s="6" t="s">
        <v>182</v>
      </c>
      <c r="F5710" s="6" t="s">
        <v>54</v>
      </c>
      <c r="G5710" s="7">
        <v>54240.54060127008</v>
      </c>
      <c r="H5710" s="6">
        <v>17411.2135330077</v>
      </c>
      <c r="I5710" s="6" t="s">
        <v>180</v>
      </c>
      <c r="J5710" s="15">
        <v>29.75667140595994</v>
      </c>
    </row>
    <row r="5711" spans="1:10">
      <c r="A5711" s="6" t="s">
        <v>148</v>
      </c>
      <c r="B5711" s="6" t="s">
        <v>88</v>
      </c>
      <c r="C5711" s="6" t="s">
        <v>312</v>
      </c>
      <c r="D5711" s="6">
        <v>0.275</v>
      </c>
      <c r="E5711" s="6" t="s">
        <v>182</v>
      </c>
      <c r="F5711" s="6" t="s">
        <v>54</v>
      </c>
      <c r="G5711" s="7">
        <v>43974.2296302894</v>
      </c>
      <c r="H5711" s="6">
        <v>12092.91314832958</v>
      </c>
      <c r="I5711" s="6" t="s">
        <v>180</v>
      </c>
      <c r="J5711" s="15">
        <v>22.84494546228496</v>
      </c>
    </row>
    <row r="5712" spans="1:10">
      <c r="A5712" s="6" t="s">
        <v>148</v>
      </c>
      <c r="B5712" s="6" t="s">
        <v>88</v>
      </c>
      <c r="C5712" s="6" t="s">
        <v>316</v>
      </c>
      <c r="D5712" s="6">
        <v>0.321</v>
      </c>
      <c r="E5712" s="6" t="s">
        <v>182</v>
      </c>
      <c r="F5712" s="6" t="s">
        <v>54</v>
      </c>
      <c r="G5712" s="7">
        <v>52119.57953683602</v>
      </c>
      <c r="H5712" s="6">
        <v>16730.38503132436</v>
      </c>
      <c r="I5712" s="6" t="s">
        <v>180</v>
      </c>
      <c r="J5712" s="15">
        <v>28.32874840070413</v>
      </c>
    </row>
    <row r="5713" spans="1:10">
      <c r="A5713" s="6" t="s">
        <v>148</v>
      </c>
      <c r="B5713" s="6" t="s">
        <v>92</v>
      </c>
      <c r="C5713" s="6" t="s">
        <v>324</v>
      </c>
      <c r="D5713" s="6">
        <v>0.531</v>
      </c>
      <c r="E5713" s="6" t="s">
        <v>182</v>
      </c>
      <c r="F5713" s="6" t="s">
        <v>51</v>
      </c>
      <c r="G5713" s="7">
        <v>59286.87997138536</v>
      </c>
      <c r="H5713" s="6">
        <v>31481.33326480563</v>
      </c>
      <c r="I5713" s="6" t="s">
        <v>179</v>
      </c>
      <c r="J5713" s="15">
        <v>44</v>
      </c>
    </row>
    <row r="5714" spans="1:10">
      <c r="A5714" s="6" t="s">
        <v>148</v>
      </c>
      <c r="B5714" s="6" t="s">
        <v>88</v>
      </c>
      <c r="C5714" s="6" t="s">
        <v>326</v>
      </c>
      <c r="D5714" s="6">
        <v>43.482</v>
      </c>
      <c r="E5714" s="6" t="s">
        <v>182</v>
      </c>
      <c r="F5714" s="6" t="s">
        <v>54</v>
      </c>
      <c r="G5714" s="7">
        <v>52218.3360663061</v>
      </c>
      <c r="H5714" s="6">
        <v>2270557.688835122</v>
      </c>
      <c r="I5714" s="6" t="s">
        <v>180</v>
      </c>
      <c r="J5714" s="15">
        <v>28.39523558083876</v>
      </c>
    </row>
    <row r="5715" spans="1:10">
      <c r="A5715" s="6" t="s">
        <v>148</v>
      </c>
      <c r="B5715" s="6" t="s">
        <v>88</v>
      </c>
      <c r="C5715" s="6" t="s">
        <v>329</v>
      </c>
      <c r="D5715" s="6">
        <v>2.295</v>
      </c>
      <c r="E5715" s="6" t="s">
        <v>182</v>
      </c>
      <c r="F5715" s="6" t="s">
        <v>58</v>
      </c>
      <c r="G5715" s="7">
        <v>28500.44322961068</v>
      </c>
      <c r="H5715" s="6">
        <v>65408.5172119565</v>
      </c>
      <c r="I5715" s="6" t="s">
        <v>180</v>
      </c>
      <c r="J5715" s="15">
        <v>12.42732113600372</v>
      </c>
    </row>
    <row r="5716" spans="1:10">
      <c r="A5716" s="6" t="s">
        <v>148</v>
      </c>
      <c r="B5716" s="6" t="s">
        <v>92</v>
      </c>
      <c r="C5716" s="6" t="s">
        <v>331</v>
      </c>
      <c r="D5716" s="6">
        <v>0.5775</v>
      </c>
      <c r="E5716" s="6" t="s">
        <v>182</v>
      </c>
      <c r="F5716" s="6" t="s">
        <v>58</v>
      </c>
      <c r="G5716" s="7">
        <v>52490.82308035896</v>
      </c>
      <c r="H5716" s="6">
        <v>30313.4503289073</v>
      </c>
      <c r="I5716" s="6" t="s">
        <v>179</v>
      </c>
      <c r="J5716" s="15">
        <v>17.40719355741339</v>
      </c>
    </row>
    <row r="5717" spans="1:10">
      <c r="A5717" s="6" t="s">
        <v>148</v>
      </c>
      <c r="B5717" s="6" t="s">
        <v>92</v>
      </c>
      <c r="C5717" s="6" t="s">
        <v>194</v>
      </c>
      <c r="D5717" s="6">
        <v>0.01575</v>
      </c>
      <c r="E5717" s="6" t="s">
        <v>183</v>
      </c>
      <c r="F5717" s="6" t="s">
        <v>58</v>
      </c>
      <c r="G5717" s="7">
        <v>50041.91995236529</v>
      </c>
      <c r="H5717" s="6">
        <v>788.1602392497532</v>
      </c>
      <c r="I5717" s="6" t="s">
        <v>180</v>
      </c>
      <c r="J5717" s="15">
        <v>11.97643504980967</v>
      </c>
    </row>
    <row r="5718" spans="1:10">
      <c r="A5718" s="6" t="s">
        <v>148</v>
      </c>
      <c r="B5718" s="6" t="s">
        <v>90</v>
      </c>
      <c r="C5718" s="6" t="s">
        <v>195</v>
      </c>
      <c r="D5718" s="6">
        <v>0.06558333333333334</v>
      </c>
      <c r="E5718" s="6" t="s">
        <v>183</v>
      </c>
      <c r="F5718" s="6" t="s">
        <v>54</v>
      </c>
      <c r="G5718" s="7">
        <v>56976.27849226169</v>
      </c>
      <c r="H5718" s="6">
        <v>3736.69426445083</v>
      </c>
      <c r="I5718" s="6" t="s">
        <v>180</v>
      </c>
      <c r="J5718" s="15">
        <v>11.49610447263148</v>
      </c>
    </row>
    <row r="5719" spans="1:10">
      <c r="A5719" s="6" t="s">
        <v>148</v>
      </c>
      <c r="B5719" s="6" t="s">
        <v>90</v>
      </c>
      <c r="C5719" s="6" t="s">
        <v>197</v>
      </c>
      <c r="D5719" s="6">
        <v>0.1608333333333333</v>
      </c>
      <c r="E5719" s="6" t="s">
        <v>183</v>
      </c>
      <c r="F5719" s="6" t="s">
        <v>53</v>
      </c>
      <c r="G5719" s="7">
        <v>24873.23941462196</v>
      </c>
      <c r="H5719" s="6">
        <v>4000.446005851698</v>
      </c>
      <c r="I5719" s="6" t="s">
        <v>179</v>
      </c>
      <c r="J5719" s="15">
        <v>27</v>
      </c>
    </row>
    <row r="5720" spans="1:10">
      <c r="A5720" s="6" t="s">
        <v>148</v>
      </c>
      <c r="B5720" s="6" t="s">
        <v>90</v>
      </c>
      <c r="C5720" s="6" t="s">
        <v>198</v>
      </c>
      <c r="D5720" s="6">
        <v>0.22975</v>
      </c>
      <c r="E5720" s="6" t="s">
        <v>183</v>
      </c>
      <c r="F5720" s="6" t="s">
        <v>58</v>
      </c>
      <c r="G5720" s="7">
        <v>77672.91374469569</v>
      </c>
      <c r="H5720" s="6">
        <v>17845.35193284383</v>
      </c>
      <c r="I5720" s="6" t="s">
        <v>180</v>
      </c>
      <c r="J5720" s="15">
        <v>18.12778537638943</v>
      </c>
    </row>
    <row r="5721" spans="1:10">
      <c r="A5721" s="6" t="s">
        <v>148</v>
      </c>
      <c r="B5721" s="6" t="s">
        <v>86</v>
      </c>
      <c r="C5721" s="6" t="s">
        <v>199</v>
      </c>
      <c r="D5721" s="6">
        <v>1.045166666666667</v>
      </c>
      <c r="E5721" s="6" t="s">
        <v>183</v>
      </c>
      <c r="F5721" s="6" t="s">
        <v>57</v>
      </c>
      <c r="G5721" s="7">
        <v>52709.72675479725</v>
      </c>
      <c r="H5721" s="6">
        <v>55090.44941322227</v>
      </c>
      <c r="I5721" s="6" t="s">
        <v>179</v>
      </c>
      <c r="J5721" s="15">
        <v>49.53333333333333</v>
      </c>
    </row>
    <row r="5722" spans="1:10">
      <c r="A5722" s="6" t="s">
        <v>148</v>
      </c>
      <c r="B5722" s="6" t="s">
        <v>90</v>
      </c>
      <c r="C5722" s="6" t="s">
        <v>201</v>
      </c>
      <c r="D5722" s="6">
        <v>0.4820833333333333</v>
      </c>
      <c r="E5722" s="6" t="s">
        <v>183</v>
      </c>
      <c r="F5722" s="6" t="s">
        <v>56</v>
      </c>
      <c r="G5722" s="7">
        <v>47784.13759688608</v>
      </c>
      <c r="H5722" s="6">
        <v>23035.9363331655</v>
      </c>
      <c r="I5722" s="6" t="s">
        <v>180</v>
      </c>
      <c r="J5722" s="15">
        <v>8.550729801966316</v>
      </c>
    </row>
    <row r="5723" spans="1:10">
      <c r="A5723" s="6" t="s">
        <v>148</v>
      </c>
      <c r="B5723" s="6" t="s">
        <v>86</v>
      </c>
      <c r="C5723" s="6" t="s">
        <v>202</v>
      </c>
      <c r="D5723" s="6">
        <v>4.073916666666666</v>
      </c>
      <c r="E5723" s="6" t="s">
        <v>183</v>
      </c>
      <c r="F5723" s="6" t="s">
        <v>54</v>
      </c>
      <c r="G5723" s="7">
        <v>90789.34185131452</v>
      </c>
      <c r="H5723" s="6">
        <v>369868.2129237677</v>
      </c>
      <c r="I5723" s="6" t="s">
        <v>179</v>
      </c>
      <c r="J5723" s="15">
        <v>65.125</v>
      </c>
    </row>
    <row r="5724" spans="1:10">
      <c r="A5724" s="6" t="s">
        <v>148</v>
      </c>
      <c r="B5724" s="6" t="s">
        <v>90</v>
      </c>
      <c r="C5724" s="6" t="s">
        <v>203</v>
      </c>
      <c r="D5724" s="6">
        <v>9.138666666666667</v>
      </c>
      <c r="E5724" s="6" t="s">
        <v>183</v>
      </c>
      <c r="F5724" s="6" t="s">
        <v>53</v>
      </c>
      <c r="G5724" s="7">
        <v>17844.00974373058</v>
      </c>
      <c r="H5724" s="6">
        <v>163070.4570447059</v>
      </c>
      <c r="I5724" s="6" t="s">
        <v>179</v>
      </c>
      <c r="J5724" s="15">
        <v>12</v>
      </c>
    </row>
    <row r="5725" spans="1:10">
      <c r="A5725" s="6" t="s">
        <v>148</v>
      </c>
      <c r="B5725" s="6" t="s">
        <v>86</v>
      </c>
      <c r="C5725" s="6" t="s">
        <v>204</v>
      </c>
      <c r="D5725" s="6">
        <v>62.29991666666667</v>
      </c>
      <c r="E5725" s="6" t="s">
        <v>183</v>
      </c>
      <c r="F5725" s="6" t="s">
        <v>51</v>
      </c>
      <c r="G5725" s="7">
        <v>46344.34011305719</v>
      </c>
      <c r="H5725" s="6">
        <v>2887248.527015121</v>
      </c>
      <c r="I5725" s="6" t="s">
        <v>179</v>
      </c>
      <c r="J5725" s="15">
        <v>45</v>
      </c>
    </row>
    <row r="5726" spans="1:10">
      <c r="A5726" s="6" t="s">
        <v>148</v>
      </c>
      <c r="B5726" s="6" t="s">
        <v>90</v>
      </c>
      <c r="C5726" s="6" t="s">
        <v>205</v>
      </c>
      <c r="D5726" s="6">
        <v>4.83175</v>
      </c>
      <c r="E5726" s="6" t="s">
        <v>183</v>
      </c>
      <c r="F5726" s="6" t="s">
        <v>56</v>
      </c>
      <c r="G5726" s="7">
        <v>54785.63728382858</v>
      </c>
      <c r="H5726" s="6">
        <v>264710.5029461387</v>
      </c>
      <c r="I5726" s="6" t="s">
        <v>180</v>
      </c>
      <c r="J5726" s="15">
        <v>10.79417233285323</v>
      </c>
    </row>
    <row r="5727" spans="1:10">
      <c r="A5727" s="6" t="s">
        <v>148</v>
      </c>
      <c r="B5727" s="6" t="s">
        <v>92</v>
      </c>
      <c r="C5727" s="6" t="s">
        <v>206</v>
      </c>
      <c r="D5727" s="6">
        <v>0.036</v>
      </c>
      <c r="E5727" s="6" t="s">
        <v>183</v>
      </c>
      <c r="F5727" s="6" t="s">
        <v>55</v>
      </c>
      <c r="G5727" s="7">
        <v>31981.7567354776</v>
      </c>
      <c r="H5727" s="6">
        <v>1151.343242477194</v>
      </c>
      <c r="I5727" s="6" t="s">
        <v>179</v>
      </c>
      <c r="J5727" s="15">
        <v>16</v>
      </c>
    </row>
    <row r="5728" spans="1:10">
      <c r="A5728" s="6" t="s">
        <v>148</v>
      </c>
      <c r="B5728" s="6" t="s">
        <v>92</v>
      </c>
      <c r="C5728" s="6" t="s">
        <v>207</v>
      </c>
      <c r="D5728" s="6">
        <v>0.009083333333333332</v>
      </c>
      <c r="E5728" s="6" t="s">
        <v>183</v>
      </c>
      <c r="F5728" s="6" t="s">
        <v>55</v>
      </c>
      <c r="G5728" s="7">
        <v>35193.17601920018</v>
      </c>
      <c r="H5728" s="6">
        <v>319.6713488410683</v>
      </c>
      <c r="I5728" s="6" t="s">
        <v>180</v>
      </c>
      <c r="J5728" s="15">
        <v>6.416722916759179</v>
      </c>
    </row>
    <row r="5729" spans="1:10">
      <c r="A5729" s="6" t="s">
        <v>148</v>
      </c>
      <c r="B5729" s="6" t="s">
        <v>86</v>
      </c>
      <c r="C5729" s="6" t="s">
        <v>208</v>
      </c>
      <c r="D5729" s="6">
        <v>0.2610833333333333</v>
      </c>
      <c r="E5729" s="6" t="s">
        <v>183</v>
      </c>
      <c r="F5729" s="6" t="s">
        <v>51</v>
      </c>
      <c r="G5729" s="7">
        <v>52043.19496136486</v>
      </c>
      <c r="H5729" s="6">
        <v>13587.61081782968</v>
      </c>
      <c r="I5729" s="6" t="s">
        <v>180</v>
      </c>
      <c r="J5729" s="15">
        <v>8.879306790692469</v>
      </c>
    </row>
    <row r="5730" spans="1:10">
      <c r="A5730" s="6" t="s">
        <v>148</v>
      </c>
      <c r="B5730" s="6" t="s">
        <v>92</v>
      </c>
      <c r="C5730" s="6" t="s">
        <v>209</v>
      </c>
      <c r="D5730" s="6">
        <v>0.01341666666666667</v>
      </c>
      <c r="E5730" s="6" t="s">
        <v>183</v>
      </c>
      <c r="F5730" s="6" t="s">
        <v>57</v>
      </c>
      <c r="G5730" s="7">
        <v>37511.68520504731</v>
      </c>
      <c r="H5730" s="6">
        <v>503.2817765010514</v>
      </c>
      <c r="I5730" s="6" t="s">
        <v>180</v>
      </c>
      <c r="J5730" s="15">
        <v>7.284826219581484</v>
      </c>
    </row>
    <row r="5731" spans="1:10">
      <c r="A5731" s="6" t="s">
        <v>148</v>
      </c>
      <c r="B5731" s="6" t="s">
        <v>90</v>
      </c>
      <c r="C5731" s="6" t="s">
        <v>210</v>
      </c>
      <c r="D5731" s="6">
        <v>0.02208333333333333</v>
      </c>
      <c r="E5731" s="6" t="s">
        <v>183</v>
      </c>
      <c r="F5731" s="6" t="s">
        <v>53</v>
      </c>
      <c r="G5731" s="7">
        <v>33962.09735450833</v>
      </c>
      <c r="H5731" s="6">
        <v>749.9963165787257</v>
      </c>
      <c r="I5731" s="6" t="s">
        <v>180</v>
      </c>
      <c r="J5731" s="15">
        <v>12</v>
      </c>
    </row>
    <row r="5732" spans="1:10">
      <c r="A5732" s="6" t="s">
        <v>148</v>
      </c>
      <c r="B5732" s="6" t="s">
        <v>92</v>
      </c>
      <c r="C5732" s="6" t="s">
        <v>211</v>
      </c>
      <c r="D5732" s="6">
        <v>6.904500000000001</v>
      </c>
      <c r="E5732" s="6" t="s">
        <v>183</v>
      </c>
      <c r="F5732" s="6" t="s">
        <v>55</v>
      </c>
      <c r="G5732" s="7">
        <v>25336.04217074411</v>
      </c>
      <c r="H5732" s="6">
        <v>174932.7031679027</v>
      </c>
      <c r="I5732" s="6" t="s">
        <v>179</v>
      </c>
      <c r="J5732" s="15">
        <v>16</v>
      </c>
    </row>
    <row r="5733" spans="1:10">
      <c r="A5733" s="6" t="s">
        <v>148</v>
      </c>
      <c r="B5733" s="6" t="s">
        <v>92</v>
      </c>
      <c r="C5733" s="6" t="s">
        <v>212</v>
      </c>
      <c r="D5733" s="6">
        <v>0.1014166666666667</v>
      </c>
      <c r="E5733" s="6" t="s">
        <v>183</v>
      </c>
      <c r="F5733" s="6" t="s">
        <v>55</v>
      </c>
      <c r="G5733" s="7">
        <v>23468.05749758728</v>
      </c>
      <c r="H5733" s="6">
        <v>2380.052164546976</v>
      </c>
      <c r="I5733" s="6" t="s">
        <v>179</v>
      </c>
      <c r="J5733" s="15">
        <v>15</v>
      </c>
    </row>
    <row r="5734" spans="1:10">
      <c r="A5734" s="6" t="s">
        <v>148</v>
      </c>
      <c r="B5734" s="6" t="s">
        <v>90</v>
      </c>
      <c r="C5734" s="6" t="s">
        <v>214</v>
      </c>
      <c r="D5734" s="6">
        <v>0.02275</v>
      </c>
      <c r="E5734" s="6" t="s">
        <v>183</v>
      </c>
      <c r="F5734" s="6" t="s">
        <v>53</v>
      </c>
      <c r="G5734" s="7">
        <v>29230.07315219457</v>
      </c>
      <c r="H5734" s="6">
        <v>664.9841642124264</v>
      </c>
      <c r="I5734" s="6" t="s">
        <v>179</v>
      </c>
      <c r="J5734" s="15">
        <v>27</v>
      </c>
    </row>
    <row r="5735" spans="1:10">
      <c r="A5735" s="6" t="s">
        <v>148</v>
      </c>
      <c r="B5735" s="6" t="s">
        <v>88</v>
      </c>
      <c r="C5735" s="6" t="s">
        <v>215</v>
      </c>
      <c r="D5735" s="6">
        <v>1.418916666666667</v>
      </c>
      <c r="E5735" s="6" t="s">
        <v>183</v>
      </c>
      <c r="F5735" s="6" t="s">
        <v>54</v>
      </c>
      <c r="G5735" s="7">
        <v>49061.49876660256</v>
      </c>
      <c r="H5735" s="6">
        <v>69614.17829157847</v>
      </c>
      <c r="I5735" s="6" t="s">
        <v>180</v>
      </c>
      <c r="J5735" s="15">
        <v>26.26991575310344</v>
      </c>
    </row>
    <row r="5736" spans="1:10">
      <c r="A5736" s="6" t="s">
        <v>148</v>
      </c>
      <c r="B5736" s="6" t="s">
        <v>92</v>
      </c>
      <c r="C5736" s="6" t="s">
        <v>216</v>
      </c>
      <c r="D5736" s="6">
        <v>0.15725</v>
      </c>
      <c r="E5736" s="6" t="s">
        <v>183</v>
      </c>
      <c r="F5736" s="6" t="s">
        <v>55</v>
      </c>
      <c r="G5736" s="7">
        <v>37794.08920614998</v>
      </c>
      <c r="H5736" s="6">
        <v>5943.120527667083</v>
      </c>
      <c r="I5736" s="6" t="s">
        <v>180</v>
      </c>
      <c r="J5736" s="15">
        <v>22.25</v>
      </c>
    </row>
    <row r="5737" spans="1:10">
      <c r="A5737" s="6" t="s">
        <v>148</v>
      </c>
      <c r="B5737" s="6" t="s">
        <v>90</v>
      </c>
      <c r="C5737" s="6" t="s">
        <v>217</v>
      </c>
      <c r="D5737" s="6">
        <v>0.343</v>
      </c>
      <c r="E5737" s="6" t="s">
        <v>183</v>
      </c>
      <c r="F5737" s="6" t="s">
        <v>53</v>
      </c>
      <c r="G5737" s="7">
        <v>29595.99008532836</v>
      </c>
      <c r="H5737" s="6">
        <v>10151.42459926763</v>
      </c>
      <c r="I5737" s="6" t="s">
        <v>179</v>
      </c>
      <c r="J5737" s="15">
        <v>15</v>
      </c>
    </row>
    <row r="5738" spans="1:10">
      <c r="A5738" s="6" t="s">
        <v>148</v>
      </c>
      <c r="B5738" s="6" t="s">
        <v>90</v>
      </c>
      <c r="C5738" s="6" t="s">
        <v>218</v>
      </c>
      <c r="D5738" s="6">
        <v>0.015</v>
      </c>
      <c r="E5738" s="6" t="s">
        <v>183</v>
      </c>
      <c r="F5738" s="6" t="s">
        <v>54</v>
      </c>
      <c r="G5738" s="7">
        <v>55803.8509311504</v>
      </c>
      <c r="H5738" s="6">
        <v>837.0577639672561</v>
      </c>
      <c r="I5738" s="6" t="s">
        <v>180</v>
      </c>
      <c r="J5738" s="15">
        <v>11.12043154931672</v>
      </c>
    </row>
    <row r="5739" spans="1:10">
      <c r="A5739" s="6" t="s">
        <v>148</v>
      </c>
      <c r="B5739" s="6" t="s">
        <v>86</v>
      </c>
      <c r="C5739" s="6" t="s">
        <v>219</v>
      </c>
      <c r="D5739" s="6">
        <v>2.410583333333333</v>
      </c>
      <c r="E5739" s="6" t="s">
        <v>183</v>
      </c>
      <c r="F5739" s="6" t="s">
        <v>51</v>
      </c>
      <c r="G5739" s="7">
        <v>52259.13647561446</v>
      </c>
      <c r="H5739" s="6">
        <v>125975.0034025083</v>
      </c>
      <c r="I5739" s="6" t="s">
        <v>180</v>
      </c>
      <c r="J5739" s="15">
        <v>8.944200287956821</v>
      </c>
    </row>
    <row r="5740" spans="1:10">
      <c r="A5740" s="6" t="s">
        <v>148</v>
      </c>
      <c r="B5740" s="6" t="s">
        <v>92</v>
      </c>
      <c r="C5740" s="6" t="s">
        <v>220</v>
      </c>
      <c r="D5740" s="6">
        <v>0.11825</v>
      </c>
      <c r="E5740" s="6" t="s">
        <v>183</v>
      </c>
      <c r="F5740" s="6" t="s">
        <v>57</v>
      </c>
      <c r="G5740" s="7">
        <v>40832.06893400874</v>
      </c>
      <c r="H5740" s="6">
        <v>4828.392151446534</v>
      </c>
      <c r="I5740" s="6" t="s">
        <v>180</v>
      </c>
      <c r="J5740" s="15">
        <v>8.528054454062554</v>
      </c>
    </row>
    <row r="5741" spans="1:10">
      <c r="A5741" s="6" t="s">
        <v>148</v>
      </c>
      <c r="B5741" s="6" t="s">
        <v>86</v>
      </c>
      <c r="C5741" s="6" t="s">
        <v>221</v>
      </c>
      <c r="D5741" s="6">
        <v>0.2206666666666667</v>
      </c>
      <c r="E5741" s="6" t="s">
        <v>183</v>
      </c>
      <c r="F5741" s="6" t="s">
        <v>51</v>
      </c>
      <c r="G5741" s="7">
        <v>49959.47837571311</v>
      </c>
      <c r="H5741" s="6">
        <v>11024.39156157403</v>
      </c>
      <c r="I5741" s="6" t="s">
        <v>180</v>
      </c>
      <c r="J5741" s="15">
        <v>8.25312031135539</v>
      </c>
    </row>
    <row r="5742" spans="1:10">
      <c r="A5742" s="6" t="s">
        <v>148</v>
      </c>
      <c r="B5742" s="6" t="s">
        <v>92</v>
      </c>
      <c r="C5742" s="6" t="s">
        <v>222</v>
      </c>
      <c r="D5742" s="6">
        <v>0.005916666666666666</v>
      </c>
      <c r="E5742" s="6" t="s">
        <v>183</v>
      </c>
      <c r="F5742" s="6" t="s">
        <v>57</v>
      </c>
      <c r="G5742" s="7">
        <v>38127.89574884072</v>
      </c>
      <c r="H5742" s="6">
        <v>225.5900498473076</v>
      </c>
      <c r="I5742" s="6" t="s">
        <v>180</v>
      </c>
      <c r="J5742" s="15">
        <v>7.515549656679076</v>
      </c>
    </row>
    <row r="5743" spans="1:10">
      <c r="A5743" s="6" t="s">
        <v>148</v>
      </c>
      <c r="B5743" s="6" t="s">
        <v>86</v>
      </c>
      <c r="C5743" s="6" t="s">
        <v>342</v>
      </c>
      <c r="D5743" s="6">
        <v>0.5993333333333334</v>
      </c>
      <c r="E5743" s="6" t="s">
        <v>183</v>
      </c>
      <c r="F5743" s="6" t="s">
        <v>53</v>
      </c>
      <c r="G5743" s="7">
        <v>33275.25972937583</v>
      </c>
      <c r="H5743" s="6">
        <v>19942.97233113925</v>
      </c>
      <c r="I5743" s="6" t="s">
        <v>179</v>
      </c>
      <c r="J5743" s="15">
        <v>8</v>
      </c>
    </row>
    <row r="5744" spans="1:10">
      <c r="A5744" s="6" t="s">
        <v>148</v>
      </c>
      <c r="B5744" s="6" t="s">
        <v>86</v>
      </c>
      <c r="C5744" s="6" t="s">
        <v>223</v>
      </c>
      <c r="D5744" s="6">
        <v>0.02391666666666667</v>
      </c>
      <c r="E5744" s="6" t="s">
        <v>183</v>
      </c>
      <c r="F5744" s="6" t="s">
        <v>53</v>
      </c>
      <c r="G5744" s="7">
        <v>24418.66320757394</v>
      </c>
      <c r="H5744" s="6">
        <v>584.0130283811435</v>
      </c>
      <c r="I5744" s="6" t="s">
        <v>179</v>
      </c>
      <c r="J5744" s="15">
        <v>7.983333333333333</v>
      </c>
    </row>
    <row r="5745" spans="1:10">
      <c r="A5745" s="6" t="s">
        <v>148</v>
      </c>
      <c r="B5745" s="6" t="s">
        <v>90</v>
      </c>
      <c r="C5745" s="6" t="s">
        <v>224</v>
      </c>
      <c r="D5745" s="6">
        <v>8.56725</v>
      </c>
      <c r="E5745" s="6" t="s">
        <v>183</v>
      </c>
      <c r="F5745" s="6" t="s">
        <v>51</v>
      </c>
      <c r="G5745" s="7">
        <v>42799.40931898241</v>
      </c>
      <c r="H5745" s="6">
        <v>366673.239488052</v>
      </c>
      <c r="I5745" s="6" t="s">
        <v>179</v>
      </c>
      <c r="J5745" s="15">
        <v>35.01666666666667</v>
      </c>
    </row>
    <row r="5746" spans="1:10">
      <c r="A5746" s="6" t="s">
        <v>148</v>
      </c>
      <c r="B5746" s="6" t="s">
        <v>90</v>
      </c>
      <c r="C5746" s="6" t="s">
        <v>225</v>
      </c>
      <c r="D5746" s="6">
        <v>0.001833333333333333</v>
      </c>
      <c r="E5746" s="6" t="s">
        <v>183</v>
      </c>
      <c r="F5746" s="6" t="s">
        <v>54</v>
      </c>
      <c r="G5746" s="7">
        <v>60801.11682439398</v>
      </c>
      <c r="H5746" s="6">
        <v>111.4687141780556</v>
      </c>
      <c r="I5746" s="6" t="s">
        <v>180</v>
      </c>
      <c r="J5746" s="15">
        <v>12.72167119001276</v>
      </c>
    </row>
    <row r="5747" spans="1:10">
      <c r="A5747" s="6" t="s">
        <v>148</v>
      </c>
      <c r="B5747" s="6" t="s">
        <v>90</v>
      </c>
      <c r="C5747" s="6" t="s">
        <v>226</v>
      </c>
      <c r="D5747" s="6">
        <v>2.717666666666667</v>
      </c>
      <c r="E5747" s="6" t="s">
        <v>183</v>
      </c>
      <c r="F5747" s="6" t="s">
        <v>56</v>
      </c>
      <c r="G5747" s="7">
        <v>63445.86444387945</v>
      </c>
      <c r="H5747" s="6">
        <v>172424.7109369831</v>
      </c>
      <c r="I5747" s="6" t="s">
        <v>180</v>
      </c>
      <c r="J5747" s="15">
        <v>13.56910953298392</v>
      </c>
    </row>
    <row r="5748" spans="1:10">
      <c r="A5748" s="6" t="s">
        <v>148</v>
      </c>
      <c r="B5748" s="6" t="s">
        <v>86</v>
      </c>
      <c r="C5748" s="6" t="s">
        <v>345</v>
      </c>
      <c r="D5748" s="6">
        <v>0.5931666666666666</v>
      </c>
      <c r="E5748" s="6" t="s">
        <v>183</v>
      </c>
      <c r="F5748" s="6" t="s">
        <v>53</v>
      </c>
      <c r="G5748" s="7">
        <v>31603.56115403747</v>
      </c>
      <c r="H5748" s="6">
        <v>18746.17902453656</v>
      </c>
      <c r="I5748" s="6" t="s">
        <v>179</v>
      </c>
      <c r="J5748" s="15">
        <v>8</v>
      </c>
    </row>
    <row r="5749" spans="1:10">
      <c r="A5749" s="6" t="s">
        <v>148</v>
      </c>
      <c r="B5749" s="6" t="s">
        <v>86</v>
      </c>
      <c r="C5749" s="6" t="s">
        <v>227</v>
      </c>
      <c r="D5749" s="6">
        <v>0.9508333333333333</v>
      </c>
      <c r="E5749" s="6" t="s">
        <v>183</v>
      </c>
      <c r="F5749" s="6" t="s">
        <v>57</v>
      </c>
      <c r="G5749" s="7">
        <v>50057.03584104127</v>
      </c>
      <c r="H5749" s="6">
        <v>47595.8982455234</v>
      </c>
      <c r="I5749" s="6" t="s">
        <v>179</v>
      </c>
      <c r="J5749" s="15">
        <v>39</v>
      </c>
    </row>
    <row r="5750" spans="1:10">
      <c r="A5750" s="6" t="s">
        <v>148</v>
      </c>
      <c r="B5750" s="6" t="s">
        <v>92</v>
      </c>
      <c r="C5750" s="6" t="s">
        <v>228</v>
      </c>
      <c r="D5750" s="6">
        <v>0.88575</v>
      </c>
      <c r="E5750" s="6" t="s">
        <v>183</v>
      </c>
      <c r="F5750" s="6" t="s">
        <v>51</v>
      </c>
      <c r="G5750" s="7">
        <v>40082.62252520998</v>
      </c>
      <c r="H5750" s="6">
        <v>35503.18290170473</v>
      </c>
      <c r="I5750" s="6" t="s">
        <v>179</v>
      </c>
      <c r="J5750" s="15">
        <v>26.025</v>
      </c>
    </row>
    <row r="5751" spans="1:10">
      <c r="A5751" s="6" t="s">
        <v>148</v>
      </c>
      <c r="B5751" s="6" t="s">
        <v>86</v>
      </c>
      <c r="C5751" s="6" t="s">
        <v>229</v>
      </c>
      <c r="D5751" s="6">
        <v>0.8805000000000001</v>
      </c>
      <c r="E5751" s="6" t="s">
        <v>183</v>
      </c>
      <c r="F5751" s="6" t="s">
        <v>53</v>
      </c>
      <c r="G5751" s="7">
        <v>21180.73880713652</v>
      </c>
      <c r="H5751" s="6">
        <v>18649.6405196837</v>
      </c>
      <c r="I5751" s="6" t="s">
        <v>179</v>
      </c>
      <c r="J5751" s="15">
        <v>5</v>
      </c>
    </row>
    <row r="5752" spans="1:10">
      <c r="A5752" s="6" t="s">
        <v>148</v>
      </c>
      <c r="B5752" s="6" t="s">
        <v>92</v>
      </c>
      <c r="C5752" s="6" t="s">
        <v>367</v>
      </c>
      <c r="D5752" s="6">
        <v>0.03425</v>
      </c>
      <c r="E5752" s="6" t="s">
        <v>183</v>
      </c>
      <c r="F5752" s="6" t="s">
        <v>55</v>
      </c>
      <c r="G5752" s="7">
        <v>42283.6525693799</v>
      </c>
      <c r="H5752" s="6">
        <v>1448.215100501262</v>
      </c>
      <c r="I5752" s="6" t="s">
        <v>179</v>
      </c>
      <c r="J5752" s="15">
        <v>15</v>
      </c>
    </row>
    <row r="5753" spans="1:10">
      <c r="A5753" s="6" t="s">
        <v>148</v>
      </c>
      <c r="B5753" s="6" t="s">
        <v>90</v>
      </c>
      <c r="C5753" s="6" t="s">
        <v>230</v>
      </c>
      <c r="D5753" s="6">
        <v>2.12075</v>
      </c>
      <c r="E5753" s="6" t="s">
        <v>183</v>
      </c>
      <c r="F5753" s="6" t="s">
        <v>53</v>
      </c>
      <c r="G5753" s="7">
        <v>26357.64880300622</v>
      </c>
      <c r="H5753" s="6">
        <v>55897.98369897544</v>
      </c>
      <c r="I5753" s="6" t="s">
        <v>179</v>
      </c>
      <c r="J5753" s="15">
        <v>20</v>
      </c>
    </row>
    <row r="5754" spans="1:10">
      <c r="A5754" s="6" t="s">
        <v>148</v>
      </c>
      <c r="B5754" s="6" t="s">
        <v>92</v>
      </c>
      <c r="C5754" s="6" t="s">
        <v>378</v>
      </c>
      <c r="D5754" s="6">
        <v>0.10925</v>
      </c>
      <c r="E5754" s="6" t="s">
        <v>183</v>
      </c>
      <c r="F5754" s="6" t="s">
        <v>51</v>
      </c>
      <c r="G5754" s="7">
        <v>41089.89799783281</v>
      </c>
      <c r="H5754" s="6">
        <v>4489.071356263235</v>
      </c>
      <c r="I5754" s="6" t="s">
        <v>180</v>
      </c>
      <c r="J5754" s="15">
        <v>8.624591600965196</v>
      </c>
    </row>
    <row r="5755" spans="1:10">
      <c r="A5755" s="6" t="s">
        <v>148</v>
      </c>
      <c r="B5755" s="6" t="s">
        <v>86</v>
      </c>
      <c r="C5755" s="6" t="s">
        <v>232</v>
      </c>
      <c r="D5755" s="6">
        <v>0.1863333333333334</v>
      </c>
      <c r="E5755" s="6" t="s">
        <v>183</v>
      </c>
      <c r="F5755" s="6" t="s">
        <v>51</v>
      </c>
      <c r="G5755" s="7">
        <v>50639.92494996203</v>
      </c>
      <c r="H5755" s="6">
        <v>9435.906015676261</v>
      </c>
      <c r="I5755" s="6" t="s">
        <v>180</v>
      </c>
      <c r="J5755" s="15">
        <v>8.457604187732773</v>
      </c>
    </row>
    <row r="5756" spans="1:10">
      <c r="A5756" s="6" t="s">
        <v>148</v>
      </c>
      <c r="B5756" s="6" t="s">
        <v>86</v>
      </c>
      <c r="C5756" s="6" t="s">
        <v>233</v>
      </c>
      <c r="D5756" s="6">
        <v>0.8208333333333334</v>
      </c>
      <c r="E5756" s="6" t="s">
        <v>183</v>
      </c>
      <c r="F5756" s="6" t="s">
        <v>59</v>
      </c>
      <c r="G5756" s="7">
        <v>42805.8355381377</v>
      </c>
      <c r="H5756" s="6">
        <v>35136.45667088803</v>
      </c>
      <c r="I5756" s="6" t="s">
        <v>179</v>
      </c>
      <c r="J5756" s="15">
        <v>27.26666666666667</v>
      </c>
    </row>
    <row r="5757" spans="1:10">
      <c r="A5757" s="6" t="s">
        <v>148</v>
      </c>
      <c r="B5757" s="6" t="s">
        <v>86</v>
      </c>
      <c r="C5757" s="6" t="s">
        <v>234</v>
      </c>
      <c r="D5757" s="6">
        <v>2.986416666666667</v>
      </c>
      <c r="E5757" s="6" t="s">
        <v>183</v>
      </c>
      <c r="F5757" s="6" t="s">
        <v>56</v>
      </c>
      <c r="G5757" s="7">
        <v>61798.18645536575</v>
      </c>
      <c r="H5757" s="6">
        <v>184555.1340000785</v>
      </c>
      <c r="I5757" s="6" t="s">
        <v>179</v>
      </c>
      <c r="J5757" s="15">
        <v>49</v>
      </c>
    </row>
    <row r="5758" spans="1:10">
      <c r="A5758" s="6" t="s">
        <v>148</v>
      </c>
      <c r="B5758" s="6" t="s">
        <v>86</v>
      </c>
      <c r="C5758" s="6" t="s">
        <v>235</v>
      </c>
      <c r="D5758" s="6">
        <v>0.002666666666666667</v>
      </c>
      <c r="E5758" s="6" t="s">
        <v>183</v>
      </c>
      <c r="F5758" s="6" t="s">
        <v>53</v>
      </c>
      <c r="G5758" s="7">
        <v>36703.49839619301</v>
      </c>
      <c r="H5758" s="6">
        <v>97.87599572318136</v>
      </c>
      <c r="I5758" s="6" t="s">
        <v>180</v>
      </c>
      <c r="J5758" s="15">
        <v>4.269509732692095</v>
      </c>
    </row>
    <row r="5759" spans="1:10">
      <c r="A5759" s="6" t="s">
        <v>148</v>
      </c>
      <c r="B5759" s="6" t="s">
        <v>86</v>
      </c>
      <c r="C5759" s="6" t="s">
        <v>236</v>
      </c>
      <c r="D5759" s="6">
        <v>3.54575</v>
      </c>
      <c r="E5759" s="6" t="s">
        <v>183</v>
      </c>
      <c r="F5759" s="6" t="s">
        <v>51</v>
      </c>
      <c r="G5759" s="7">
        <v>45192.70977200848</v>
      </c>
      <c r="H5759" s="6">
        <v>160242.0506740991</v>
      </c>
      <c r="I5759" s="6" t="s">
        <v>179</v>
      </c>
      <c r="J5759" s="15">
        <v>44.98333333333333</v>
      </c>
    </row>
    <row r="5760" spans="1:10">
      <c r="A5760" s="6" t="s">
        <v>148</v>
      </c>
      <c r="B5760" s="6" t="s">
        <v>90</v>
      </c>
      <c r="C5760" s="6" t="s">
        <v>237</v>
      </c>
      <c r="D5760" s="6">
        <v>0.1809166666666667</v>
      </c>
      <c r="E5760" s="6" t="s">
        <v>183</v>
      </c>
      <c r="F5760" s="6" t="s">
        <v>51</v>
      </c>
      <c r="G5760" s="7">
        <v>53666.69833269802</v>
      </c>
      <c r="H5760" s="6">
        <v>9709.200173357283</v>
      </c>
      <c r="I5760" s="6" t="s">
        <v>180</v>
      </c>
      <c r="J5760" s="15">
        <v>10.43563839802869</v>
      </c>
    </row>
    <row r="5761" spans="1:10">
      <c r="A5761" s="6" t="s">
        <v>148</v>
      </c>
      <c r="B5761" s="6" t="s">
        <v>86</v>
      </c>
      <c r="C5761" s="6" t="s">
        <v>238</v>
      </c>
      <c r="D5761" s="6">
        <v>0.002666666666666667</v>
      </c>
      <c r="E5761" s="6" t="s">
        <v>183</v>
      </c>
      <c r="F5761" s="6" t="s">
        <v>51</v>
      </c>
      <c r="G5761" s="7">
        <v>52817.93378501572</v>
      </c>
      <c r="H5761" s="6">
        <v>140.8478234267086</v>
      </c>
      <c r="I5761" s="6" t="s">
        <v>180</v>
      </c>
      <c r="J5761" s="15">
        <v>9.112126829525121</v>
      </c>
    </row>
    <row r="5762" spans="1:10">
      <c r="A5762" s="6" t="s">
        <v>148</v>
      </c>
      <c r="B5762" s="6" t="s">
        <v>90</v>
      </c>
      <c r="C5762" s="6" t="s">
        <v>239</v>
      </c>
      <c r="D5762" s="6">
        <v>0.8581666666666666</v>
      </c>
      <c r="E5762" s="6" t="s">
        <v>183</v>
      </c>
      <c r="F5762" s="6" t="s">
        <v>54</v>
      </c>
      <c r="G5762" s="7">
        <v>77876.19751626256</v>
      </c>
      <c r="H5762" s="6">
        <v>66830.75683520599</v>
      </c>
      <c r="I5762" s="6" t="s">
        <v>179</v>
      </c>
      <c r="J5762" s="15">
        <v>17.61605692581799</v>
      </c>
    </row>
    <row r="5763" spans="1:10">
      <c r="A5763" s="6" t="s">
        <v>148</v>
      </c>
      <c r="B5763" s="6" t="s">
        <v>92</v>
      </c>
      <c r="C5763" s="6" t="s">
        <v>379</v>
      </c>
      <c r="D5763" s="6">
        <v>0.05925</v>
      </c>
      <c r="E5763" s="6" t="s">
        <v>183</v>
      </c>
      <c r="F5763" s="6" t="s">
        <v>51</v>
      </c>
      <c r="G5763" s="7">
        <v>39736.55973566615</v>
      </c>
      <c r="H5763" s="6">
        <v>2354.391164338219</v>
      </c>
      <c r="I5763" s="6" t="s">
        <v>180</v>
      </c>
      <c r="J5763" s="15">
        <v>8.117870548318852</v>
      </c>
    </row>
    <row r="5764" spans="1:10">
      <c r="A5764" s="6" t="s">
        <v>148</v>
      </c>
      <c r="B5764" s="6" t="s">
        <v>92</v>
      </c>
      <c r="C5764" s="6" t="s">
        <v>368</v>
      </c>
      <c r="D5764" s="6">
        <v>0.013</v>
      </c>
      <c r="E5764" s="6" t="s">
        <v>183</v>
      </c>
      <c r="F5764" s="6" t="s">
        <v>55</v>
      </c>
      <c r="G5764" s="7">
        <v>43717.6088593299</v>
      </c>
      <c r="H5764" s="6">
        <v>568.3289151712887</v>
      </c>
      <c r="I5764" s="6" t="s">
        <v>179</v>
      </c>
      <c r="J5764" s="15">
        <v>15</v>
      </c>
    </row>
    <row r="5765" spans="1:10">
      <c r="A5765" s="6" t="s">
        <v>148</v>
      </c>
      <c r="B5765" s="6" t="s">
        <v>92</v>
      </c>
      <c r="C5765" s="6" t="s">
        <v>240</v>
      </c>
      <c r="D5765" s="6">
        <v>0.163</v>
      </c>
      <c r="E5765" s="6" t="s">
        <v>183</v>
      </c>
      <c r="F5765" s="6" t="s">
        <v>51</v>
      </c>
      <c r="G5765" s="7">
        <v>42218.72021108094</v>
      </c>
      <c r="H5765" s="6">
        <v>6881.651394406194</v>
      </c>
      <c r="I5765" s="6" t="s">
        <v>180</v>
      </c>
      <c r="J5765" s="15">
        <v>9.04724866767069</v>
      </c>
    </row>
    <row r="5766" spans="1:10">
      <c r="A5766" s="6" t="s">
        <v>148</v>
      </c>
      <c r="B5766" s="6" t="s">
        <v>90</v>
      </c>
      <c r="C5766" s="6" t="s">
        <v>241</v>
      </c>
      <c r="D5766" s="6">
        <v>0.08233333333333333</v>
      </c>
      <c r="E5766" s="6" t="s">
        <v>183</v>
      </c>
      <c r="F5766" s="6" t="s">
        <v>53</v>
      </c>
      <c r="G5766" s="7">
        <v>26388.49277067184</v>
      </c>
      <c r="H5766" s="6">
        <v>2172.652571451981</v>
      </c>
      <c r="I5766" s="6" t="s">
        <v>179</v>
      </c>
      <c r="J5766" s="15">
        <v>14.36666666666667</v>
      </c>
    </row>
    <row r="5767" spans="1:10">
      <c r="A5767" s="6" t="s">
        <v>148</v>
      </c>
      <c r="B5767" s="6" t="s">
        <v>90</v>
      </c>
      <c r="C5767" s="6" t="s">
        <v>242</v>
      </c>
      <c r="D5767" s="6">
        <v>1.621833333333333</v>
      </c>
      <c r="E5767" s="6" t="s">
        <v>183</v>
      </c>
      <c r="F5767" s="6" t="s">
        <v>56</v>
      </c>
      <c r="G5767" s="7">
        <v>48613.69532428356</v>
      </c>
      <c r="H5767" s="6">
        <v>78843.31153343388</v>
      </c>
      <c r="I5767" s="6" t="s">
        <v>179</v>
      </c>
      <c r="J5767" s="15">
        <v>6.75</v>
      </c>
    </row>
    <row r="5768" spans="1:10">
      <c r="A5768" s="6" t="s">
        <v>148</v>
      </c>
      <c r="B5768" s="6" t="s">
        <v>92</v>
      </c>
      <c r="C5768" s="6" t="s">
        <v>243</v>
      </c>
      <c r="D5768" s="6">
        <v>0.01225</v>
      </c>
      <c r="E5768" s="6" t="s">
        <v>183</v>
      </c>
      <c r="F5768" s="6" t="s">
        <v>58</v>
      </c>
      <c r="G5768" s="7">
        <v>50145.16283380362</v>
      </c>
      <c r="H5768" s="6">
        <v>614.2782447140943</v>
      </c>
      <c r="I5768" s="6" t="s">
        <v>180</v>
      </c>
      <c r="J5768" s="15">
        <v>12.01509156534846</v>
      </c>
    </row>
    <row r="5769" spans="1:10">
      <c r="A5769" s="6" t="s">
        <v>148</v>
      </c>
      <c r="B5769" s="6" t="s">
        <v>92</v>
      </c>
      <c r="C5769" s="6" t="s">
        <v>369</v>
      </c>
      <c r="D5769" s="6">
        <v>0.01391666666666667</v>
      </c>
      <c r="E5769" s="6" t="s">
        <v>183</v>
      </c>
      <c r="F5769" s="6" t="s">
        <v>55</v>
      </c>
      <c r="G5769" s="7">
        <v>40825.70263339478</v>
      </c>
      <c r="H5769" s="6">
        <v>568.1576949814107</v>
      </c>
      <c r="I5769" s="6" t="s">
        <v>179</v>
      </c>
      <c r="J5769" s="15">
        <v>15.5</v>
      </c>
    </row>
    <row r="5770" spans="1:10">
      <c r="A5770" s="6" t="s">
        <v>148</v>
      </c>
      <c r="B5770" s="6" t="s">
        <v>88</v>
      </c>
      <c r="C5770" s="6" t="s">
        <v>244</v>
      </c>
      <c r="D5770" s="6">
        <v>0.272</v>
      </c>
      <c r="E5770" s="6" t="s">
        <v>183</v>
      </c>
      <c r="F5770" s="6" t="s">
        <v>55</v>
      </c>
      <c r="G5770" s="7">
        <v>17856.91092671999</v>
      </c>
      <c r="H5770" s="6">
        <v>4857.079772067837</v>
      </c>
      <c r="I5770" s="6" t="s">
        <v>180</v>
      </c>
      <c r="J5770" s="15">
        <v>5.261633426155879</v>
      </c>
    </row>
    <row r="5771" spans="1:10">
      <c r="A5771" s="6" t="s">
        <v>148</v>
      </c>
      <c r="B5771" s="6" t="s">
        <v>86</v>
      </c>
      <c r="C5771" s="6" t="s">
        <v>246</v>
      </c>
      <c r="D5771" s="6">
        <v>0.0009166666666666666</v>
      </c>
      <c r="E5771" s="6" t="s">
        <v>183</v>
      </c>
      <c r="F5771" s="6" t="s">
        <v>53</v>
      </c>
      <c r="G5771" s="7">
        <v>34748.35236673716</v>
      </c>
      <c r="H5771" s="6">
        <v>31.85265633617573</v>
      </c>
      <c r="I5771" s="6" t="s">
        <v>180</v>
      </c>
      <c r="J5771" s="15">
        <v>3.681960534684491</v>
      </c>
    </row>
    <row r="5772" spans="1:10">
      <c r="A5772" s="6" t="s">
        <v>148</v>
      </c>
      <c r="B5772" s="6" t="s">
        <v>86</v>
      </c>
      <c r="C5772" s="6" t="s">
        <v>247</v>
      </c>
      <c r="D5772" s="6">
        <v>2.563583333333333</v>
      </c>
      <c r="E5772" s="6" t="s">
        <v>183</v>
      </c>
      <c r="F5772" s="6" t="s">
        <v>51</v>
      </c>
      <c r="G5772" s="7">
        <v>47796.79242260937</v>
      </c>
      <c r="H5772" s="6">
        <v>122531.0604413944</v>
      </c>
      <c r="I5772" s="6" t="s">
        <v>179</v>
      </c>
      <c r="J5772" s="15">
        <v>27.70833333333334</v>
      </c>
    </row>
    <row r="5773" spans="1:10">
      <c r="A5773" s="6" t="s">
        <v>148</v>
      </c>
      <c r="B5773" s="6" t="s">
        <v>88</v>
      </c>
      <c r="C5773" s="6" t="s">
        <v>248</v>
      </c>
      <c r="D5773" s="6">
        <v>0.4588333333333333</v>
      </c>
      <c r="E5773" s="6" t="s">
        <v>183</v>
      </c>
      <c r="F5773" s="6" t="s">
        <v>55</v>
      </c>
      <c r="G5773" s="7">
        <v>27248.6277312555</v>
      </c>
      <c r="H5773" s="6">
        <v>12502.57869069107</v>
      </c>
      <c r="I5773" s="6" t="s">
        <v>180</v>
      </c>
      <c r="J5773" s="15">
        <v>11.5845446332139</v>
      </c>
    </row>
    <row r="5774" spans="1:10">
      <c r="A5774" s="6" t="s">
        <v>148</v>
      </c>
      <c r="B5774" s="6" t="s">
        <v>86</v>
      </c>
      <c r="C5774" s="6" t="s">
        <v>249</v>
      </c>
      <c r="D5774" s="6">
        <v>1.959833333333333</v>
      </c>
      <c r="E5774" s="6" t="s">
        <v>183</v>
      </c>
      <c r="F5774" s="6" t="s">
        <v>53</v>
      </c>
      <c r="G5774" s="7">
        <v>26147.16905457934</v>
      </c>
      <c r="H5774" s="6">
        <v>51244.0934854664</v>
      </c>
      <c r="I5774" s="6" t="s">
        <v>179</v>
      </c>
      <c r="J5774" s="15">
        <v>8</v>
      </c>
    </row>
    <row r="5775" spans="1:10">
      <c r="A5775" s="6" t="s">
        <v>148</v>
      </c>
      <c r="B5775" s="6" t="s">
        <v>92</v>
      </c>
      <c r="C5775" s="6" t="s">
        <v>250</v>
      </c>
      <c r="D5775" s="6">
        <v>0.09658333333333334</v>
      </c>
      <c r="E5775" s="6" t="s">
        <v>183</v>
      </c>
      <c r="F5775" s="6" t="s">
        <v>55</v>
      </c>
      <c r="G5775" s="7">
        <v>37321.61329653078</v>
      </c>
      <c r="H5775" s="6">
        <v>3604.645817556598</v>
      </c>
      <c r="I5775" s="6" t="s">
        <v>179</v>
      </c>
      <c r="J5775" s="15">
        <v>15</v>
      </c>
    </row>
    <row r="5776" spans="1:10">
      <c r="A5776" s="6" t="s">
        <v>148</v>
      </c>
      <c r="B5776" s="6" t="s">
        <v>90</v>
      </c>
      <c r="C5776" s="6" t="s">
        <v>251</v>
      </c>
      <c r="D5776" s="6">
        <v>0.07875</v>
      </c>
      <c r="E5776" s="6" t="s">
        <v>183</v>
      </c>
      <c r="F5776" s="6" t="s">
        <v>53</v>
      </c>
      <c r="G5776" s="7">
        <v>23642.19568206914</v>
      </c>
      <c r="H5776" s="6">
        <v>1861.822909962945</v>
      </c>
      <c r="I5776" s="6" t="s">
        <v>179</v>
      </c>
      <c r="J5776" s="15">
        <v>18.675</v>
      </c>
    </row>
    <row r="5777" spans="1:10">
      <c r="A5777" s="6" t="s">
        <v>148</v>
      </c>
      <c r="B5777" s="6" t="s">
        <v>90</v>
      </c>
      <c r="C5777" s="6" t="s">
        <v>252</v>
      </c>
      <c r="D5777" s="6">
        <v>0.236</v>
      </c>
      <c r="E5777" s="6" t="s">
        <v>183</v>
      </c>
      <c r="F5777" s="6" t="s">
        <v>57</v>
      </c>
      <c r="G5777" s="7">
        <v>42694.47301830137</v>
      </c>
      <c r="H5777" s="6">
        <v>10075.89563231912</v>
      </c>
      <c r="I5777" s="6" t="s">
        <v>180</v>
      </c>
      <c r="J5777" s="15">
        <v>6.919883484163813</v>
      </c>
    </row>
    <row r="5778" spans="1:10">
      <c r="A5778" s="6" t="s">
        <v>148</v>
      </c>
      <c r="B5778" s="6" t="s">
        <v>90</v>
      </c>
      <c r="C5778" s="6" t="s">
        <v>253</v>
      </c>
      <c r="D5778" s="6">
        <v>0.02183333333333334</v>
      </c>
      <c r="E5778" s="6" t="s">
        <v>183</v>
      </c>
      <c r="F5778" s="6" t="s">
        <v>53</v>
      </c>
      <c r="G5778" s="7">
        <v>32446.79249986879</v>
      </c>
      <c r="H5778" s="6">
        <v>708.4216362471353</v>
      </c>
      <c r="I5778" s="6" t="s">
        <v>179</v>
      </c>
      <c r="J5778" s="15">
        <v>16</v>
      </c>
    </row>
    <row r="5779" spans="1:10">
      <c r="A5779" s="6" t="s">
        <v>148</v>
      </c>
      <c r="B5779" s="6" t="s">
        <v>86</v>
      </c>
      <c r="C5779" s="6" t="s">
        <v>254</v>
      </c>
      <c r="D5779" s="6">
        <v>0.05375</v>
      </c>
      <c r="E5779" s="6" t="s">
        <v>183</v>
      </c>
      <c r="F5779" s="6" t="s">
        <v>51</v>
      </c>
      <c r="G5779" s="7">
        <v>51614.23657191667</v>
      </c>
      <c r="H5779" s="6">
        <v>2774.265215740521</v>
      </c>
      <c r="I5779" s="6" t="s">
        <v>180</v>
      </c>
      <c r="J5779" s="15">
        <v>8.750398691807874</v>
      </c>
    </row>
    <row r="5780" spans="1:10">
      <c r="A5780" s="6" t="s">
        <v>148</v>
      </c>
      <c r="B5780" s="6" t="s">
        <v>92</v>
      </c>
      <c r="C5780" s="6" t="s">
        <v>255</v>
      </c>
      <c r="D5780" s="6">
        <v>0.01891666666666666</v>
      </c>
      <c r="E5780" s="6" t="s">
        <v>183</v>
      </c>
      <c r="F5780" s="6" t="s">
        <v>51</v>
      </c>
      <c r="G5780" s="7">
        <v>37181.66036935381</v>
      </c>
      <c r="H5780" s="6">
        <v>703.353075320276</v>
      </c>
      <c r="I5780" s="6" t="s">
        <v>180</v>
      </c>
      <c r="J5780" s="15">
        <v>7.161257310893189</v>
      </c>
    </row>
    <row r="5781" spans="1:10">
      <c r="A5781" s="6" t="s">
        <v>148</v>
      </c>
      <c r="B5781" s="6" t="s">
        <v>92</v>
      </c>
      <c r="C5781" s="6" t="s">
        <v>256</v>
      </c>
      <c r="D5781" s="6">
        <v>0.004166666666666667</v>
      </c>
      <c r="E5781" s="6" t="s">
        <v>183</v>
      </c>
      <c r="F5781" s="6" t="s">
        <v>57</v>
      </c>
      <c r="G5781" s="7">
        <v>36188.63012585403</v>
      </c>
      <c r="H5781" s="6">
        <v>150.7859588577251</v>
      </c>
      <c r="I5781" s="6" t="s">
        <v>180</v>
      </c>
      <c r="J5781" s="15">
        <v>6.789443888955148</v>
      </c>
    </row>
    <row r="5782" spans="1:10">
      <c r="A5782" s="6" t="s">
        <v>148</v>
      </c>
      <c r="B5782" s="6" t="s">
        <v>90</v>
      </c>
      <c r="C5782" s="6" t="s">
        <v>261</v>
      </c>
      <c r="D5782" s="6">
        <v>0.01675</v>
      </c>
      <c r="E5782" s="6" t="s">
        <v>183</v>
      </c>
      <c r="F5782" s="6" t="s">
        <v>54</v>
      </c>
      <c r="G5782" s="7">
        <v>59278.32258850268</v>
      </c>
      <c r="H5782" s="6">
        <v>992.91190335742</v>
      </c>
      <c r="I5782" s="6" t="s">
        <v>180</v>
      </c>
      <c r="J5782" s="15">
        <v>12.23373267578856</v>
      </c>
    </row>
    <row r="5783" spans="1:10">
      <c r="A5783" s="6" t="s">
        <v>148</v>
      </c>
      <c r="B5783" s="6" t="s">
        <v>86</v>
      </c>
      <c r="C5783" s="6" t="s">
        <v>262</v>
      </c>
      <c r="D5783" s="6">
        <v>0.3299166666666666</v>
      </c>
      <c r="E5783" s="6" t="s">
        <v>183</v>
      </c>
      <c r="F5783" s="6" t="s">
        <v>51</v>
      </c>
      <c r="G5783" s="7">
        <v>49180.16248136549</v>
      </c>
      <c r="H5783" s="6">
        <v>16225.35527197716</v>
      </c>
      <c r="I5783" s="6" t="s">
        <v>179</v>
      </c>
      <c r="J5783" s="15">
        <v>85</v>
      </c>
    </row>
    <row r="5784" spans="1:10">
      <c r="A5784" s="6" t="s">
        <v>148</v>
      </c>
      <c r="B5784" s="6" t="s">
        <v>90</v>
      </c>
      <c r="C5784" s="6" t="s">
        <v>263</v>
      </c>
      <c r="D5784" s="6">
        <v>0.05525</v>
      </c>
      <c r="E5784" s="6" t="s">
        <v>183</v>
      </c>
      <c r="F5784" s="6" t="s">
        <v>54</v>
      </c>
      <c r="G5784" s="7">
        <v>65896.61824279206</v>
      </c>
      <c r="H5784" s="6">
        <v>3640.788157914261</v>
      </c>
      <c r="I5784" s="6" t="s">
        <v>179</v>
      </c>
      <c r="J5784" s="15">
        <v>46.91666666666666</v>
      </c>
    </row>
    <row r="5785" spans="1:10">
      <c r="A5785" s="6" t="s">
        <v>148</v>
      </c>
      <c r="B5785" s="6" t="s">
        <v>90</v>
      </c>
      <c r="C5785" s="6" t="s">
        <v>264</v>
      </c>
      <c r="D5785" s="6">
        <v>0.02308333333333333</v>
      </c>
      <c r="E5785" s="6" t="s">
        <v>183</v>
      </c>
      <c r="F5785" s="6" t="s">
        <v>54</v>
      </c>
      <c r="G5785" s="7">
        <v>89766.53686395117</v>
      </c>
      <c r="H5785" s="6">
        <v>2072.11089260954</v>
      </c>
      <c r="I5785" s="6" t="s">
        <v>180</v>
      </c>
      <c r="J5785" s="15">
        <v>22.00286209871706</v>
      </c>
    </row>
    <row r="5786" spans="1:10">
      <c r="A5786" s="6" t="s">
        <v>148</v>
      </c>
      <c r="B5786" s="6" t="s">
        <v>86</v>
      </c>
      <c r="C5786" s="6" t="s">
        <v>265</v>
      </c>
      <c r="D5786" s="6">
        <v>2.737916666666667</v>
      </c>
      <c r="E5786" s="6" t="s">
        <v>183</v>
      </c>
      <c r="F5786" s="6" t="s">
        <v>54</v>
      </c>
      <c r="G5786" s="7">
        <v>88690.92662794892</v>
      </c>
      <c r="H5786" s="6">
        <v>242828.3661967719</v>
      </c>
      <c r="I5786" s="6" t="s">
        <v>179</v>
      </c>
      <c r="J5786" s="15">
        <v>70.31666666666666</v>
      </c>
    </row>
    <row r="5787" spans="1:10">
      <c r="A5787" s="6" t="s">
        <v>148</v>
      </c>
      <c r="B5787" s="6" t="s">
        <v>86</v>
      </c>
      <c r="C5787" s="6" t="s">
        <v>266</v>
      </c>
      <c r="D5787" s="6">
        <v>0.7035833333333333</v>
      </c>
      <c r="E5787" s="6" t="s">
        <v>183</v>
      </c>
      <c r="F5787" s="6" t="s">
        <v>57</v>
      </c>
      <c r="G5787" s="7">
        <v>56598.40474601523</v>
      </c>
      <c r="H5787" s="6">
        <v>39821.69427255055</v>
      </c>
      <c r="I5787" s="6" t="s">
        <v>179</v>
      </c>
      <c r="J5787" s="15">
        <v>41.60833333333333</v>
      </c>
    </row>
    <row r="5788" spans="1:10">
      <c r="A5788" s="6" t="s">
        <v>148</v>
      </c>
      <c r="B5788" s="6" t="s">
        <v>86</v>
      </c>
      <c r="C5788" s="6" t="s">
        <v>354</v>
      </c>
      <c r="D5788" s="6">
        <v>0.0009166666666666666</v>
      </c>
      <c r="E5788" s="6" t="s">
        <v>183</v>
      </c>
      <c r="F5788" s="6" t="s">
        <v>51</v>
      </c>
      <c r="G5788" s="7">
        <v>44088.02354954973</v>
      </c>
      <c r="H5788" s="6">
        <v>40.41402158708725</v>
      </c>
      <c r="I5788" s="6" t="s">
        <v>180</v>
      </c>
      <c r="J5788" s="15">
        <v>6.488664602023904</v>
      </c>
    </row>
    <row r="5789" spans="1:10">
      <c r="A5789" s="6" t="s">
        <v>148</v>
      </c>
      <c r="B5789" s="6" t="s">
        <v>86</v>
      </c>
      <c r="C5789" s="6" t="s">
        <v>267</v>
      </c>
      <c r="D5789" s="6">
        <v>14.26658333333333</v>
      </c>
      <c r="E5789" s="6" t="s">
        <v>183</v>
      </c>
      <c r="F5789" s="6" t="s">
        <v>53</v>
      </c>
      <c r="G5789" s="7">
        <v>29372.68127915858</v>
      </c>
      <c r="H5789" s="6">
        <v>419047.8051925558</v>
      </c>
      <c r="I5789" s="6" t="s">
        <v>179</v>
      </c>
      <c r="J5789" s="15">
        <v>8</v>
      </c>
    </row>
    <row r="5790" spans="1:10">
      <c r="A5790" s="6" t="s">
        <v>148</v>
      </c>
      <c r="B5790" s="6" t="s">
        <v>92</v>
      </c>
      <c r="C5790" s="6" t="s">
        <v>268</v>
      </c>
      <c r="D5790" s="6">
        <v>0.01708333333333333</v>
      </c>
      <c r="E5790" s="6" t="s">
        <v>183</v>
      </c>
      <c r="F5790" s="6" t="s">
        <v>51</v>
      </c>
      <c r="G5790" s="7">
        <v>43172.09311535833</v>
      </c>
      <c r="H5790" s="6">
        <v>737.5232573873715</v>
      </c>
      <c r="I5790" s="6" t="s">
        <v>180</v>
      </c>
      <c r="J5790" s="15">
        <v>9.404213467325818</v>
      </c>
    </row>
    <row r="5791" spans="1:10">
      <c r="A5791" s="6" t="s">
        <v>148</v>
      </c>
      <c r="B5791" s="6" t="s">
        <v>86</v>
      </c>
      <c r="C5791" s="6" t="s">
        <v>270</v>
      </c>
      <c r="D5791" s="6">
        <v>0.2035833333333333</v>
      </c>
      <c r="E5791" s="6" t="s">
        <v>183</v>
      </c>
      <c r="F5791" s="6" t="s">
        <v>59</v>
      </c>
      <c r="G5791" s="7">
        <v>48832.25327446419</v>
      </c>
      <c r="H5791" s="6">
        <v>9941.432895793001</v>
      </c>
      <c r="I5791" s="6" t="s">
        <v>179</v>
      </c>
      <c r="J5791" s="15">
        <v>27.28333333333333</v>
      </c>
    </row>
    <row r="5792" spans="1:10">
      <c r="A5792" s="6" t="s">
        <v>148</v>
      </c>
      <c r="B5792" s="6" t="s">
        <v>88</v>
      </c>
      <c r="C5792" s="6" t="s">
        <v>271</v>
      </c>
      <c r="D5792" s="6">
        <v>1.155916666666667</v>
      </c>
      <c r="E5792" s="6" t="s">
        <v>183</v>
      </c>
      <c r="F5792" s="6" t="s">
        <v>54</v>
      </c>
      <c r="G5792" s="7">
        <v>41071.74894263604</v>
      </c>
      <c r="H5792" s="6">
        <v>47475.51913194205</v>
      </c>
      <c r="I5792" s="6" t="s">
        <v>180</v>
      </c>
      <c r="J5792" s="15">
        <v>20.89086954089749</v>
      </c>
    </row>
    <row r="5793" spans="1:10">
      <c r="A5793" s="6" t="s">
        <v>148</v>
      </c>
      <c r="B5793" s="6" t="s">
        <v>86</v>
      </c>
      <c r="C5793" s="6" t="s">
        <v>272</v>
      </c>
      <c r="D5793" s="6">
        <v>0.3633333333333333</v>
      </c>
      <c r="E5793" s="6" t="s">
        <v>183</v>
      </c>
      <c r="F5793" s="6" t="s">
        <v>51</v>
      </c>
      <c r="G5793" s="7">
        <v>35610.26336083005</v>
      </c>
      <c r="H5793" s="6">
        <v>12938.39568776825</v>
      </c>
      <c r="I5793" s="6" t="s">
        <v>179</v>
      </c>
      <c r="J5793" s="15">
        <v>8.94980137224452</v>
      </c>
    </row>
    <row r="5794" spans="1:10">
      <c r="A5794" s="6" t="s">
        <v>148</v>
      </c>
      <c r="B5794" s="6" t="s">
        <v>92</v>
      </c>
      <c r="C5794" s="6" t="s">
        <v>273</v>
      </c>
      <c r="D5794" s="6">
        <v>1.195916666666667</v>
      </c>
      <c r="E5794" s="6" t="s">
        <v>183</v>
      </c>
      <c r="F5794" s="6" t="s">
        <v>51</v>
      </c>
      <c r="G5794" s="7">
        <v>39415.32644745876</v>
      </c>
      <c r="H5794" s="6">
        <v>47137.44582062338</v>
      </c>
      <c r="I5794" s="6" t="s">
        <v>179</v>
      </c>
      <c r="J5794" s="15">
        <v>27</v>
      </c>
    </row>
    <row r="5795" spans="1:10">
      <c r="A5795" s="6" t="s">
        <v>148</v>
      </c>
      <c r="B5795" s="6" t="s">
        <v>90</v>
      </c>
      <c r="C5795" s="6" t="s">
        <v>274</v>
      </c>
      <c r="D5795" s="6">
        <v>0.09974999999999999</v>
      </c>
      <c r="E5795" s="6" t="s">
        <v>183</v>
      </c>
      <c r="F5795" s="6" t="s">
        <v>56</v>
      </c>
      <c r="G5795" s="7">
        <v>58346.71964656267</v>
      </c>
      <c r="H5795" s="6">
        <v>5820.085284744626</v>
      </c>
      <c r="I5795" s="6" t="s">
        <v>180</v>
      </c>
      <c r="J5795" s="15">
        <v>11.93522553370507</v>
      </c>
    </row>
    <row r="5796" spans="1:10">
      <c r="A5796" s="6" t="s">
        <v>148</v>
      </c>
      <c r="B5796" s="6" t="s">
        <v>90</v>
      </c>
      <c r="C5796" s="6" t="s">
        <v>275</v>
      </c>
      <c r="D5796" s="6">
        <v>0.04891666666666666</v>
      </c>
      <c r="E5796" s="6" t="s">
        <v>183</v>
      </c>
      <c r="F5796" s="6" t="s">
        <v>51</v>
      </c>
      <c r="G5796" s="7">
        <v>54453.54162987976</v>
      </c>
      <c r="H5796" s="6">
        <v>2663.685744728285</v>
      </c>
      <c r="I5796" s="6" t="s">
        <v>180</v>
      </c>
      <c r="J5796" s="15">
        <v>10.68776119985255</v>
      </c>
    </row>
    <row r="5797" spans="1:10">
      <c r="A5797" s="6" t="s">
        <v>148</v>
      </c>
      <c r="B5797" s="6" t="s">
        <v>92</v>
      </c>
      <c r="C5797" s="6" t="s">
        <v>276</v>
      </c>
      <c r="D5797" s="6">
        <v>0.151</v>
      </c>
      <c r="E5797" s="6" t="s">
        <v>183</v>
      </c>
      <c r="F5797" s="6" t="s">
        <v>51</v>
      </c>
      <c r="G5797" s="7">
        <v>36785.44810286325</v>
      </c>
      <c r="H5797" s="6">
        <v>5554.602663532351</v>
      </c>
      <c r="I5797" s="6" t="s">
        <v>180</v>
      </c>
      <c r="J5797" s="15">
        <v>7.012906301866028</v>
      </c>
    </row>
    <row r="5798" spans="1:10">
      <c r="A5798" s="6" t="s">
        <v>148</v>
      </c>
      <c r="B5798" s="6" t="s">
        <v>86</v>
      </c>
      <c r="C5798" s="6" t="s">
        <v>277</v>
      </c>
      <c r="D5798" s="6">
        <v>0.01325</v>
      </c>
      <c r="E5798" s="6" t="s">
        <v>183</v>
      </c>
      <c r="F5798" s="6" t="s">
        <v>57</v>
      </c>
      <c r="G5798" s="7">
        <v>45163.47927531065</v>
      </c>
      <c r="H5798" s="6">
        <v>598.4161003978661</v>
      </c>
      <c r="I5798" s="6" t="s">
        <v>180</v>
      </c>
      <c r="J5798" s="15">
        <v>6.811854348285148</v>
      </c>
    </row>
    <row r="5799" spans="1:10">
      <c r="A5799" s="6" t="s">
        <v>148</v>
      </c>
      <c r="B5799" s="6" t="s">
        <v>92</v>
      </c>
      <c r="C5799" s="6" t="s">
        <v>278</v>
      </c>
      <c r="D5799" s="6">
        <v>20.33858333333334</v>
      </c>
      <c r="E5799" s="6" t="s">
        <v>183</v>
      </c>
      <c r="F5799" s="6" t="s">
        <v>55</v>
      </c>
      <c r="G5799" s="7">
        <v>30336.77880022909</v>
      </c>
      <c r="H5799" s="6">
        <v>617007.1036933594</v>
      </c>
      <c r="I5799" s="6" t="s">
        <v>179</v>
      </c>
      <c r="J5799" s="15">
        <v>14</v>
      </c>
    </row>
    <row r="5800" spans="1:10">
      <c r="A5800" s="6" t="s">
        <v>148</v>
      </c>
      <c r="B5800" s="6" t="s">
        <v>88</v>
      </c>
      <c r="C5800" s="6" t="s">
        <v>280</v>
      </c>
      <c r="D5800" s="6">
        <v>2.43075</v>
      </c>
      <c r="E5800" s="6" t="s">
        <v>183</v>
      </c>
      <c r="F5800" s="6" t="s">
        <v>55</v>
      </c>
      <c r="G5800" s="7">
        <v>24869.46250635056</v>
      </c>
      <c r="H5800" s="6">
        <v>60451.44598731163</v>
      </c>
      <c r="I5800" s="6" t="s">
        <v>180</v>
      </c>
      <c r="J5800" s="15">
        <v>9.982787385089743</v>
      </c>
    </row>
    <row r="5801" spans="1:10">
      <c r="A5801" s="6" t="s">
        <v>148</v>
      </c>
      <c r="B5801" s="6" t="s">
        <v>92</v>
      </c>
      <c r="C5801" s="6" t="s">
        <v>281</v>
      </c>
      <c r="D5801" s="6">
        <v>4.303916666666667</v>
      </c>
      <c r="E5801" s="6" t="s">
        <v>183</v>
      </c>
      <c r="F5801" s="6" t="s">
        <v>57</v>
      </c>
      <c r="G5801" s="7">
        <v>47725.16793448776</v>
      </c>
      <c r="H5801" s="6">
        <v>205405.1456927075</v>
      </c>
      <c r="I5801" s="6" t="s">
        <v>179</v>
      </c>
      <c r="J5801" s="15">
        <v>36</v>
      </c>
    </row>
    <row r="5802" spans="1:10">
      <c r="A5802" s="6" t="s">
        <v>148</v>
      </c>
      <c r="B5802" s="6" t="s">
        <v>90</v>
      </c>
      <c r="C5802" s="6" t="s">
        <v>282</v>
      </c>
      <c r="D5802" s="6">
        <v>0.01691666666666667</v>
      </c>
      <c r="E5802" s="6" t="s">
        <v>183</v>
      </c>
      <c r="F5802" s="6" t="s">
        <v>56</v>
      </c>
      <c r="G5802" s="7">
        <v>55102.56172936118</v>
      </c>
      <c r="H5802" s="6">
        <v>932.1516692550266</v>
      </c>
      <c r="I5802" s="6" t="s">
        <v>180</v>
      </c>
      <c r="J5802" s="15">
        <v>10.89572225957987</v>
      </c>
    </row>
    <row r="5803" spans="1:10">
      <c r="A5803" s="6" t="s">
        <v>148</v>
      </c>
      <c r="B5803" s="6" t="s">
        <v>90</v>
      </c>
      <c r="C5803" s="6" t="s">
        <v>283</v>
      </c>
      <c r="D5803" s="6">
        <v>1.158666666666667</v>
      </c>
      <c r="E5803" s="6" t="s">
        <v>183</v>
      </c>
      <c r="F5803" s="6" t="s">
        <v>51</v>
      </c>
      <c r="G5803" s="7">
        <v>41673.53339700109</v>
      </c>
      <c r="H5803" s="6">
        <v>48285.73402932526</v>
      </c>
      <c r="I5803" s="6" t="s">
        <v>179</v>
      </c>
      <c r="J5803" s="15">
        <v>26.5</v>
      </c>
    </row>
    <row r="5804" spans="1:10">
      <c r="A5804" s="6" t="s">
        <v>148</v>
      </c>
      <c r="B5804" s="6" t="s">
        <v>92</v>
      </c>
      <c r="C5804" s="6" t="s">
        <v>284</v>
      </c>
      <c r="D5804" s="6">
        <v>0.6563333333333333</v>
      </c>
      <c r="E5804" s="6" t="s">
        <v>183</v>
      </c>
      <c r="F5804" s="6" t="s">
        <v>55</v>
      </c>
      <c r="G5804" s="7">
        <v>36138.38846146646</v>
      </c>
      <c r="H5804" s="6">
        <v>23718.82896020916</v>
      </c>
      <c r="I5804" s="6" t="s">
        <v>179</v>
      </c>
      <c r="J5804" s="15">
        <v>40.2</v>
      </c>
    </row>
    <row r="5805" spans="1:10">
      <c r="A5805" s="6" t="s">
        <v>148</v>
      </c>
      <c r="B5805" s="6" t="s">
        <v>92</v>
      </c>
      <c r="C5805" s="6" t="s">
        <v>286</v>
      </c>
      <c r="D5805" s="6">
        <v>0.1304166666666667</v>
      </c>
      <c r="E5805" s="6" t="s">
        <v>183</v>
      </c>
      <c r="F5805" s="6" t="s">
        <v>59</v>
      </c>
      <c r="G5805" s="7">
        <v>51919.2206470298</v>
      </c>
      <c r="H5805" s="6">
        <v>6771.131692716805</v>
      </c>
      <c r="I5805" s="6" t="s">
        <v>180</v>
      </c>
      <c r="J5805" s="15">
        <v>12.67933971949008</v>
      </c>
    </row>
    <row r="5806" spans="1:10">
      <c r="A5806" s="6" t="s">
        <v>148</v>
      </c>
      <c r="B5806" s="6" t="s">
        <v>90</v>
      </c>
      <c r="C5806" s="6" t="s">
        <v>287</v>
      </c>
      <c r="D5806" s="6">
        <v>0.01616666666666667</v>
      </c>
      <c r="E5806" s="6" t="s">
        <v>183</v>
      </c>
      <c r="F5806" s="6" t="s">
        <v>53</v>
      </c>
      <c r="G5806" s="7">
        <v>25443.86066146324</v>
      </c>
      <c r="H5806" s="6">
        <v>411.342414026989</v>
      </c>
      <c r="I5806" s="6" t="s">
        <v>179</v>
      </c>
      <c r="J5806" s="15">
        <v>16</v>
      </c>
    </row>
    <row r="5807" spans="1:10">
      <c r="A5807" s="6" t="s">
        <v>148</v>
      </c>
      <c r="B5807" s="6" t="s">
        <v>90</v>
      </c>
      <c r="C5807" s="6" t="s">
        <v>376</v>
      </c>
      <c r="D5807" s="6">
        <v>0.02633333333333333</v>
      </c>
      <c r="E5807" s="6" t="s">
        <v>183</v>
      </c>
      <c r="F5807" s="6" t="s">
        <v>54</v>
      </c>
      <c r="G5807" s="7">
        <v>76892.37004653887</v>
      </c>
      <c r="H5807" s="6">
        <v>2024.832411225524</v>
      </c>
      <c r="I5807" s="6" t="s">
        <v>180</v>
      </c>
      <c r="J5807" s="15">
        <v>17.87768111188072</v>
      </c>
    </row>
    <row r="5808" spans="1:10">
      <c r="A5808" s="6" t="s">
        <v>148</v>
      </c>
      <c r="B5808" s="6" t="s">
        <v>90</v>
      </c>
      <c r="C5808" s="6" t="s">
        <v>288</v>
      </c>
      <c r="D5808" s="6">
        <v>0.01066666666666667</v>
      </c>
      <c r="E5808" s="6" t="s">
        <v>183</v>
      </c>
      <c r="F5808" s="6" t="s">
        <v>58</v>
      </c>
      <c r="G5808" s="7">
        <v>69966.42569413477</v>
      </c>
      <c r="H5808" s="6">
        <v>746.3085407374375</v>
      </c>
      <c r="I5808" s="6" t="s">
        <v>180</v>
      </c>
      <c r="J5808" s="15">
        <v>15.65844825870828</v>
      </c>
    </row>
    <row r="5809" spans="1:10">
      <c r="A5809" s="6" t="s">
        <v>148</v>
      </c>
      <c r="B5809" s="6" t="s">
        <v>90</v>
      </c>
      <c r="C5809" s="6" t="s">
        <v>359</v>
      </c>
      <c r="D5809" s="6">
        <v>0.01133333333333333</v>
      </c>
      <c r="E5809" s="6" t="s">
        <v>183</v>
      </c>
      <c r="F5809" s="6" t="s">
        <v>60</v>
      </c>
      <c r="G5809" s="7">
        <v>44402.32112778664</v>
      </c>
      <c r="H5809" s="6">
        <v>503.2263061149153</v>
      </c>
      <c r="I5809" s="6" t="s">
        <v>180</v>
      </c>
      <c r="J5809" s="15">
        <v>7.467117542069946</v>
      </c>
    </row>
    <row r="5810" spans="1:10">
      <c r="A5810" s="6" t="s">
        <v>148</v>
      </c>
      <c r="B5810" s="6" t="s">
        <v>86</v>
      </c>
      <c r="C5810" s="6" t="s">
        <v>289</v>
      </c>
      <c r="D5810" s="6">
        <v>0.5298333333333334</v>
      </c>
      <c r="E5810" s="6" t="s">
        <v>183</v>
      </c>
      <c r="F5810" s="6" t="s">
        <v>52</v>
      </c>
      <c r="G5810" s="7">
        <v>59342.46197897197</v>
      </c>
      <c r="H5810" s="6">
        <v>31441.61443852532</v>
      </c>
      <c r="I5810" s="6" t="s">
        <v>179</v>
      </c>
      <c r="J5810" s="15">
        <v>65</v>
      </c>
    </row>
    <row r="5811" spans="1:10">
      <c r="A5811" s="6" t="s">
        <v>148</v>
      </c>
      <c r="B5811" s="6" t="s">
        <v>86</v>
      </c>
      <c r="C5811" s="6" t="s">
        <v>290</v>
      </c>
      <c r="D5811" s="6">
        <v>0.004583333333333332</v>
      </c>
      <c r="E5811" s="6" t="s">
        <v>183</v>
      </c>
      <c r="F5811" s="6" t="s">
        <v>53</v>
      </c>
      <c r="G5811" s="7">
        <v>34427.13805641644</v>
      </c>
      <c r="H5811" s="6">
        <v>157.791049425242</v>
      </c>
      <c r="I5811" s="6" t="s">
        <v>180</v>
      </c>
      <c r="J5811" s="15">
        <v>3.585431064468892</v>
      </c>
    </row>
    <row r="5812" spans="1:10">
      <c r="A5812" s="6" t="s">
        <v>148</v>
      </c>
      <c r="B5812" s="6" t="s">
        <v>92</v>
      </c>
      <c r="C5812" s="6" t="s">
        <v>291</v>
      </c>
      <c r="D5812" s="6">
        <v>0.001833333333333333</v>
      </c>
      <c r="E5812" s="6" t="s">
        <v>183</v>
      </c>
      <c r="F5812" s="6" t="s">
        <v>51</v>
      </c>
      <c r="G5812" s="7">
        <v>42426.84693805363</v>
      </c>
      <c r="H5812" s="6">
        <v>77.78255271976498</v>
      </c>
      <c r="I5812" s="6" t="s">
        <v>180</v>
      </c>
      <c r="J5812" s="15">
        <v>9.125176113545601</v>
      </c>
    </row>
    <row r="5813" spans="1:10">
      <c r="A5813" s="6" t="s">
        <v>148</v>
      </c>
      <c r="B5813" s="6" t="s">
        <v>88</v>
      </c>
      <c r="C5813" s="6" t="s">
        <v>292</v>
      </c>
      <c r="D5813" s="6">
        <v>0.1028333333333333</v>
      </c>
      <c r="E5813" s="6" t="s">
        <v>183</v>
      </c>
      <c r="F5813" s="6" t="s">
        <v>54</v>
      </c>
      <c r="G5813" s="7">
        <v>57587.50593880366</v>
      </c>
      <c r="H5813" s="6">
        <v>5921.91519404031</v>
      </c>
      <c r="I5813" s="6" t="s">
        <v>180</v>
      </c>
      <c r="J5813" s="15">
        <v>32.00999367735827</v>
      </c>
    </row>
    <row r="5814" spans="1:10">
      <c r="A5814" s="6" t="s">
        <v>148</v>
      </c>
      <c r="B5814" s="6" t="s">
        <v>86</v>
      </c>
      <c r="C5814" s="6" t="s">
        <v>293</v>
      </c>
      <c r="D5814" s="6">
        <v>7.46625</v>
      </c>
      <c r="E5814" s="6" t="s">
        <v>183</v>
      </c>
      <c r="F5814" s="6" t="s">
        <v>53</v>
      </c>
      <c r="G5814" s="7">
        <v>41597.32934492987</v>
      </c>
      <c r="H5814" s="6">
        <v>310576.0602215826</v>
      </c>
      <c r="I5814" s="6" t="s">
        <v>179</v>
      </c>
      <c r="J5814" s="15">
        <v>8</v>
      </c>
    </row>
    <row r="5815" spans="1:10">
      <c r="A5815" s="6" t="s">
        <v>148</v>
      </c>
      <c r="B5815" s="6" t="s">
        <v>86</v>
      </c>
      <c r="C5815" s="6" t="s">
        <v>371</v>
      </c>
      <c r="D5815" s="6">
        <v>0.04041666666666667</v>
      </c>
      <c r="E5815" s="6" t="s">
        <v>183</v>
      </c>
      <c r="F5815" s="6" t="s">
        <v>55</v>
      </c>
      <c r="G5815" s="7">
        <v>53143.73619775795</v>
      </c>
      <c r="H5815" s="6">
        <v>2147.892671326051</v>
      </c>
      <c r="I5815" s="6" t="s">
        <v>180</v>
      </c>
      <c r="J5815" s="15">
        <v>9.210035089794005</v>
      </c>
    </row>
    <row r="5816" spans="1:10">
      <c r="A5816" s="6" t="s">
        <v>148</v>
      </c>
      <c r="B5816" s="6" t="s">
        <v>90</v>
      </c>
      <c r="C5816" s="6" t="s">
        <v>294</v>
      </c>
      <c r="D5816" s="6">
        <v>0.005666666666666666</v>
      </c>
      <c r="E5816" s="6" t="s">
        <v>183</v>
      </c>
      <c r="F5816" s="6" t="s">
        <v>54</v>
      </c>
      <c r="G5816" s="7">
        <v>73336.4313640656</v>
      </c>
      <c r="H5816" s="6">
        <v>415.5731110630384</v>
      </c>
      <c r="I5816" s="6" t="s">
        <v>180</v>
      </c>
      <c r="J5816" s="15">
        <v>16.73827606522132</v>
      </c>
    </row>
    <row r="5817" spans="1:10">
      <c r="A5817" s="6" t="s">
        <v>148</v>
      </c>
      <c r="B5817" s="6" t="s">
        <v>90</v>
      </c>
      <c r="C5817" s="6" t="s">
        <v>295</v>
      </c>
      <c r="D5817" s="6">
        <v>0.5885</v>
      </c>
      <c r="E5817" s="6" t="s">
        <v>183</v>
      </c>
      <c r="F5817" s="6" t="s">
        <v>53</v>
      </c>
      <c r="G5817" s="7">
        <v>29529.16394109224</v>
      </c>
      <c r="H5817" s="6">
        <v>17377.91297933278</v>
      </c>
      <c r="I5817" s="6" t="s">
        <v>179</v>
      </c>
      <c r="J5817" s="15">
        <v>15</v>
      </c>
    </row>
    <row r="5818" spans="1:10">
      <c r="A5818" s="6" t="s">
        <v>148</v>
      </c>
      <c r="B5818" s="6" t="s">
        <v>90</v>
      </c>
      <c r="C5818" s="6" t="s">
        <v>296</v>
      </c>
      <c r="D5818" s="6">
        <v>0.49975</v>
      </c>
      <c r="E5818" s="6" t="s">
        <v>183</v>
      </c>
      <c r="F5818" s="6" t="s">
        <v>61</v>
      </c>
      <c r="G5818" s="7">
        <v>58003.92647416519</v>
      </c>
      <c r="H5818" s="6">
        <v>28987.46225546406</v>
      </c>
      <c r="I5818" s="6" t="s">
        <v>179</v>
      </c>
      <c r="J5818" s="15">
        <v>13</v>
      </c>
    </row>
    <row r="5819" spans="1:10">
      <c r="A5819" s="6" t="s">
        <v>148</v>
      </c>
      <c r="B5819" s="6" t="s">
        <v>90</v>
      </c>
      <c r="C5819" s="6" t="s">
        <v>298</v>
      </c>
      <c r="D5819" s="6">
        <v>0.8325</v>
      </c>
      <c r="E5819" s="6" t="s">
        <v>183</v>
      </c>
      <c r="F5819" s="6" t="s">
        <v>56</v>
      </c>
      <c r="G5819" s="7">
        <v>48595.16583801468</v>
      </c>
      <c r="H5819" s="6">
        <v>40455.47556014723</v>
      </c>
      <c r="I5819" s="6" t="s">
        <v>179</v>
      </c>
      <c r="J5819" s="15">
        <v>63.75</v>
      </c>
    </row>
    <row r="5820" spans="1:10">
      <c r="A5820" s="6" t="s">
        <v>148</v>
      </c>
      <c r="B5820" s="6" t="s">
        <v>92</v>
      </c>
      <c r="C5820" s="6" t="s">
        <v>301</v>
      </c>
      <c r="D5820" s="6">
        <v>0.02441666666666667</v>
      </c>
      <c r="E5820" s="6" t="s">
        <v>183</v>
      </c>
      <c r="F5820" s="6" t="s">
        <v>59</v>
      </c>
      <c r="G5820" s="7">
        <v>60287.5334728343</v>
      </c>
      <c r="H5820" s="6">
        <v>1472.020608961704</v>
      </c>
      <c r="I5820" s="6" t="s">
        <v>180</v>
      </c>
      <c r="J5820" s="15">
        <v>15.81262901050354</v>
      </c>
    </row>
    <row r="5821" spans="1:10">
      <c r="A5821" s="6" t="s">
        <v>148</v>
      </c>
      <c r="B5821" s="6" t="s">
        <v>90</v>
      </c>
      <c r="C5821" s="6" t="s">
        <v>303</v>
      </c>
      <c r="D5821" s="6">
        <v>0.007583333333333334</v>
      </c>
      <c r="E5821" s="6" t="s">
        <v>183</v>
      </c>
      <c r="F5821" s="6" t="s">
        <v>53</v>
      </c>
      <c r="G5821" s="7">
        <v>31792.00581425614</v>
      </c>
      <c r="H5821" s="6">
        <v>241.0893774247758</v>
      </c>
      <c r="I5821" s="6" t="s">
        <v>180</v>
      </c>
      <c r="J5821" s="15">
        <v>14</v>
      </c>
    </row>
    <row r="5822" spans="1:10">
      <c r="A5822" s="6" t="s">
        <v>148</v>
      </c>
      <c r="B5822" s="6" t="s">
        <v>88</v>
      </c>
      <c r="C5822" s="6" t="s">
        <v>305</v>
      </c>
      <c r="D5822" s="6">
        <v>0.4748333333333333</v>
      </c>
      <c r="E5822" s="6" t="s">
        <v>183</v>
      </c>
      <c r="F5822" s="6" t="s">
        <v>54</v>
      </c>
      <c r="G5822" s="7">
        <v>54240.54060127008</v>
      </c>
      <c r="H5822" s="6">
        <v>25755.21669550307</v>
      </c>
      <c r="I5822" s="6" t="s">
        <v>180</v>
      </c>
      <c r="J5822" s="15">
        <v>29.75667140595994</v>
      </c>
    </row>
    <row r="5823" spans="1:10">
      <c r="A5823" s="6" t="s">
        <v>148</v>
      </c>
      <c r="B5823" s="6" t="s">
        <v>92</v>
      </c>
      <c r="C5823" s="6" t="s">
        <v>306</v>
      </c>
      <c r="D5823" s="6">
        <v>0.1970833333333333</v>
      </c>
      <c r="E5823" s="6" t="s">
        <v>183</v>
      </c>
      <c r="F5823" s="6" t="s">
        <v>57</v>
      </c>
      <c r="G5823" s="7">
        <v>39936.89263645957</v>
      </c>
      <c r="H5823" s="6">
        <v>7870.895923768907</v>
      </c>
      <c r="I5823" s="6" t="s">
        <v>180</v>
      </c>
      <c r="J5823" s="15">
        <v>8.192879805950582</v>
      </c>
    </row>
    <row r="5824" spans="1:10">
      <c r="A5824" s="6" t="s">
        <v>148</v>
      </c>
      <c r="B5824" s="6" t="s">
        <v>90</v>
      </c>
      <c r="C5824" s="6" t="s">
        <v>307</v>
      </c>
      <c r="D5824" s="6">
        <v>0.008</v>
      </c>
      <c r="E5824" s="6" t="s">
        <v>183</v>
      </c>
      <c r="F5824" s="6" t="s">
        <v>53</v>
      </c>
      <c r="G5824" s="7">
        <v>34610.3479059413</v>
      </c>
      <c r="H5824" s="6">
        <v>276.8827832475304</v>
      </c>
      <c r="I5824" s="6" t="s">
        <v>180</v>
      </c>
      <c r="J5824" s="15">
        <v>13.5</v>
      </c>
    </row>
    <row r="5825" spans="1:10">
      <c r="A5825" s="6" t="s">
        <v>148</v>
      </c>
      <c r="B5825" s="6" t="s">
        <v>90</v>
      </c>
      <c r="C5825" s="6" t="s">
        <v>308</v>
      </c>
      <c r="D5825" s="6">
        <v>0.008666666666666666</v>
      </c>
      <c r="E5825" s="6" t="s">
        <v>183</v>
      </c>
      <c r="F5825" s="6" t="s">
        <v>54</v>
      </c>
      <c r="G5825" s="7">
        <v>61958.4525384317</v>
      </c>
      <c r="H5825" s="6">
        <v>536.9732553330747</v>
      </c>
      <c r="I5825" s="6" t="s">
        <v>180</v>
      </c>
      <c r="J5825" s="15">
        <v>13.09250833626427</v>
      </c>
    </row>
    <row r="5826" spans="1:10">
      <c r="A5826" s="6" t="s">
        <v>148</v>
      </c>
      <c r="B5826" s="6" t="s">
        <v>86</v>
      </c>
      <c r="C5826" s="6" t="s">
        <v>312</v>
      </c>
      <c r="D5826" s="6">
        <v>0.2674166666666666</v>
      </c>
      <c r="E5826" s="6" t="s">
        <v>183</v>
      </c>
      <c r="F5826" s="6" t="s">
        <v>54</v>
      </c>
      <c r="G5826" s="7">
        <v>81169.23103268788</v>
      </c>
      <c r="H5826" s="6">
        <v>21706.00519865795</v>
      </c>
      <c r="I5826" s="6" t="s">
        <v>179</v>
      </c>
      <c r="J5826" s="15">
        <v>47.825</v>
      </c>
    </row>
    <row r="5827" spans="1:10">
      <c r="A5827" s="6" t="s">
        <v>148</v>
      </c>
      <c r="B5827" s="6" t="s">
        <v>86</v>
      </c>
      <c r="C5827" s="6" t="s">
        <v>313</v>
      </c>
      <c r="D5827" s="6">
        <v>0.218</v>
      </c>
      <c r="E5827" s="6" t="s">
        <v>183</v>
      </c>
      <c r="F5827" s="6" t="s">
        <v>51</v>
      </c>
      <c r="G5827" s="7">
        <v>53462.78643120329</v>
      </c>
      <c r="H5827" s="6">
        <v>11654.88744200232</v>
      </c>
      <c r="I5827" s="6" t="s">
        <v>180</v>
      </c>
      <c r="J5827" s="15">
        <v>9.305914224119906</v>
      </c>
    </row>
    <row r="5828" spans="1:10">
      <c r="A5828" s="6" t="s">
        <v>148</v>
      </c>
      <c r="B5828" s="6" t="s">
        <v>90</v>
      </c>
      <c r="C5828" s="6" t="s">
        <v>314</v>
      </c>
      <c r="D5828" s="6">
        <v>0.02116666666666667</v>
      </c>
      <c r="E5828" s="6" t="s">
        <v>183</v>
      </c>
      <c r="F5828" s="6" t="s">
        <v>51</v>
      </c>
      <c r="G5828" s="7">
        <v>58052.11180989485</v>
      </c>
      <c r="H5828" s="6">
        <v>1228.769699976108</v>
      </c>
      <c r="I5828" s="6" t="s">
        <v>180</v>
      </c>
      <c r="J5828" s="15">
        <v>11.84082636491759</v>
      </c>
    </row>
    <row r="5829" spans="1:10">
      <c r="A5829" s="6" t="s">
        <v>148</v>
      </c>
      <c r="B5829" s="6" t="s">
        <v>86</v>
      </c>
      <c r="C5829" s="6" t="s">
        <v>315</v>
      </c>
      <c r="D5829" s="6">
        <v>0.3245</v>
      </c>
      <c r="E5829" s="6" t="s">
        <v>183</v>
      </c>
      <c r="F5829" s="6" t="s">
        <v>51</v>
      </c>
      <c r="G5829" s="7">
        <v>37464.72792440534</v>
      </c>
      <c r="H5829" s="6">
        <v>12157.30421146953</v>
      </c>
      <c r="I5829" s="6" t="s">
        <v>179</v>
      </c>
      <c r="J5829" s="15">
        <v>14</v>
      </c>
    </row>
    <row r="5830" spans="1:10">
      <c r="A5830" s="6" t="s">
        <v>148</v>
      </c>
      <c r="B5830" s="6" t="s">
        <v>86</v>
      </c>
      <c r="C5830" s="6" t="s">
        <v>316</v>
      </c>
      <c r="D5830" s="6">
        <v>0.075</v>
      </c>
      <c r="E5830" s="6" t="s">
        <v>183</v>
      </c>
      <c r="F5830" s="6" t="s">
        <v>54</v>
      </c>
      <c r="G5830" s="7">
        <v>83552.76780903985</v>
      </c>
      <c r="H5830" s="6">
        <v>6266.457585677989</v>
      </c>
      <c r="I5830" s="6" t="s">
        <v>180</v>
      </c>
      <c r="J5830" s="15">
        <v>18.34838172284276</v>
      </c>
    </row>
    <row r="5831" spans="1:10">
      <c r="A5831" s="6" t="s">
        <v>148</v>
      </c>
      <c r="B5831" s="6" t="s">
        <v>86</v>
      </c>
      <c r="C5831" s="6" t="s">
        <v>317</v>
      </c>
      <c r="D5831" s="6">
        <v>0.01816666666666666</v>
      </c>
      <c r="E5831" s="6" t="s">
        <v>183</v>
      </c>
      <c r="F5831" s="6" t="s">
        <v>51</v>
      </c>
      <c r="G5831" s="7">
        <v>52842.46544157674</v>
      </c>
      <c r="H5831" s="6">
        <v>959.9714555219773</v>
      </c>
      <c r="I5831" s="6" t="s">
        <v>180</v>
      </c>
      <c r="J5831" s="15">
        <v>9.119498941337266</v>
      </c>
    </row>
    <row r="5832" spans="1:10">
      <c r="A5832" s="6" t="s">
        <v>148</v>
      </c>
      <c r="B5832" s="6" t="s">
        <v>86</v>
      </c>
      <c r="C5832" s="6" t="s">
        <v>320</v>
      </c>
      <c r="D5832" s="6">
        <v>1.932</v>
      </c>
      <c r="E5832" s="6" t="s">
        <v>183</v>
      </c>
      <c r="F5832" s="6" t="s">
        <v>51</v>
      </c>
      <c r="G5832" s="7">
        <v>52021.16753243782</v>
      </c>
      <c r="H5832" s="6">
        <v>100504.8956726699</v>
      </c>
      <c r="I5832" s="6" t="s">
        <v>179</v>
      </c>
      <c r="J5832" s="15">
        <v>101.05</v>
      </c>
    </row>
    <row r="5833" spans="1:10">
      <c r="A5833" s="6" t="s">
        <v>148</v>
      </c>
      <c r="B5833" s="6" t="s">
        <v>86</v>
      </c>
      <c r="C5833" s="6" t="s">
        <v>322</v>
      </c>
      <c r="D5833" s="6">
        <v>0.00175</v>
      </c>
      <c r="E5833" s="6" t="s">
        <v>183</v>
      </c>
      <c r="F5833" s="6" t="s">
        <v>51</v>
      </c>
      <c r="G5833" s="7">
        <v>45195.78581875691</v>
      </c>
      <c r="H5833" s="6">
        <v>79.09262518282459</v>
      </c>
      <c r="I5833" s="6" t="s">
        <v>179</v>
      </c>
      <c r="J5833" s="15">
        <v>55</v>
      </c>
    </row>
    <row r="5834" spans="1:10">
      <c r="A5834" s="6" t="s">
        <v>148</v>
      </c>
      <c r="B5834" s="6" t="s">
        <v>92</v>
      </c>
      <c r="C5834" s="6" t="s">
        <v>323</v>
      </c>
      <c r="D5834" s="6">
        <v>0.4099166666666667</v>
      </c>
      <c r="E5834" s="6" t="s">
        <v>183</v>
      </c>
      <c r="F5834" s="6" t="s">
        <v>55</v>
      </c>
      <c r="G5834" s="7">
        <v>37901.84707720344</v>
      </c>
      <c r="H5834" s="6">
        <v>15536.59881439698</v>
      </c>
      <c r="I5834" s="6" t="s">
        <v>179</v>
      </c>
      <c r="J5834" s="15">
        <v>17</v>
      </c>
    </row>
    <row r="5835" spans="1:10">
      <c r="A5835" s="6" t="s">
        <v>148</v>
      </c>
      <c r="B5835" s="6" t="s">
        <v>90</v>
      </c>
      <c r="C5835" s="6" t="s">
        <v>324</v>
      </c>
      <c r="D5835" s="6">
        <v>0.9253333333333333</v>
      </c>
      <c r="E5835" s="6" t="s">
        <v>183</v>
      </c>
      <c r="F5835" s="6" t="s">
        <v>51</v>
      </c>
      <c r="G5835" s="7">
        <v>52939.45685818696</v>
      </c>
      <c r="H5835" s="6">
        <v>48986.64407944233</v>
      </c>
      <c r="I5835" s="6" t="s">
        <v>180</v>
      </c>
      <c r="J5835" s="15">
        <v>10.20261339951505</v>
      </c>
    </row>
    <row r="5836" spans="1:10">
      <c r="A5836" s="6" t="s">
        <v>148</v>
      </c>
      <c r="B5836" s="6" t="s">
        <v>88</v>
      </c>
      <c r="C5836" s="6" t="s">
        <v>372</v>
      </c>
      <c r="D5836" s="6">
        <v>0.01066666666666666</v>
      </c>
      <c r="E5836" s="6" t="s">
        <v>183</v>
      </c>
      <c r="F5836" s="6" t="s">
        <v>55</v>
      </c>
      <c r="G5836" s="7">
        <v>26107.48186832325</v>
      </c>
      <c r="H5836" s="6">
        <v>278.4798065954479</v>
      </c>
      <c r="I5836" s="6" t="s">
        <v>180</v>
      </c>
      <c r="J5836" s="15">
        <v>10.81627573032942</v>
      </c>
    </row>
    <row r="5837" spans="1:10">
      <c r="A5837" s="6" t="s">
        <v>148</v>
      </c>
      <c r="B5837" s="6" t="s">
        <v>90</v>
      </c>
      <c r="C5837" s="6" t="s">
        <v>325</v>
      </c>
      <c r="D5837" s="6">
        <v>0.01883333333333333</v>
      </c>
      <c r="E5837" s="6" t="s">
        <v>183</v>
      </c>
      <c r="F5837" s="6" t="s">
        <v>53</v>
      </c>
      <c r="G5837" s="7">
        <v>27183.84720656899</v>
      </c>
      <c r="H5837" s="6">
        <v>511.9624557237159</v>
      </c>
      <c r="I5837" s="6" t="s">
        <v>179</v>
      </c>
      <c r="J5837" s="15">
        <v>16</v>
      </c>
    </row>
    <row r="5838" spans="1:10">
      <c r="A5838" s="6" t="s">
        <v>148</v>
      </c>
      <c r="B5838" s="6" t="s">
        <v>90</v>
      </c>
      <c r="C5838" s="6" t="s">
        <v>364</v>
      </c>
      <c r="D5838" s="6">
        <v>0.01333333333333333</v>
      </c>
      <c r="E5838" s="6" t="s">
        <v>183</v>
      </c>
      <c r="F5838" s="6" t="s">
        <v>52</v>
      </c>
      <c r="G5838" s="7">
        <v>51274.29567237874</v>
      </c>
      <c r="H5838" s="6">
        <v>683.6572756317165</v>
      </c>
      <c r="I5838" s="6" t="s">
        <v>179</v>
      </c>
      <c r="J5838" s="15">
        <v>65</v>
      </c>
    </row>
    <row r="5839" spans="1:10">
      <c r="A5839" s="6" t="s">
        <v>148</v>
      </c>
      <c r="B5839" s="6" t="s">
        <v>90</v>
      </c>
      <c r="C5839" s="6" t="s">
        <v>326</v>
      </c>
      <c r="D5839" s="6">
        <v>0.8796666666666666</v>
      </c>
      <c r="E5839" s="6" t="s">
        <v>183</v>
      </c>
      <c r="F5839" s="6" t="s">
        <v>54</v>
      </c>
      <c r="G5839" s="7">
        <v>73204.69251441542</v>
      </c>
      <c r="H5839" s="6">
        <v>64395.72784851409</v>
      </c>
      <c r="I5839" s="6" t="s">
        <v>179</v>
      </c>
      <c r="J5839" s="15">
        <v>50.55</v>
      </c>
    </row>
    <row r="5840" spans="1:10">
      <c r="A5840" s="6" t="s">
        <v>148</v>
      </c>
      <c r="B5840" s="6" t="s">
        <v>86</v>
      </c>
      <c r="C5840" s="6" t="s">
        <v>327</v>
      </c>
      <c r="D5840" s="6">
        <v>1.466833333333333</v>
      </c>
      <c r="E5840" s="6" t="s">
        <v>183</v>
      </c>
      <c r="F5840" s="6" t="s">
        <v>57</v>
      </c>
      <c r="G5840" s="7">
        <v>42782.89879327323</v>
      </c>
      <c r="H5840" s="6">
        <v>62755.3820465996</v>
      </c>
      <c r="I5840" s="6" t="s">
        <v>179</v>
      </c>
      <c r="J5840" s="15">
        <v>30.675</v>
      </c>
    </row>
    <row r="5841" spans="1:10">
      <c r="A5841" s="6" t="s">
        <v>148</v>
      </c>
      <c r="B5841" s="6" t="s">
        <v>90</v>
      </c>
      <c r="C5841" s="6" t="s">
        <v>329</v>
      </c>
      <c r="D5841" s="6">
        <v>1.617083333333333</v>
      </c>
      <c r="E5841" s="6" t="s">
        <v>183</v>
      </c>
      <c r="F5841" s="6" t="s">
        <v>58</v>
      </c>
      <c r="G5841" s="7">
        <v>59375.40509749136</v>
      </c>
      <c r="H5841" s="6">
        <v>96014.97799306831</v>
      </c>
      <c r="I5841" s="6" t="s">
        <v>180</v>
      </c>
      <c r="J5841" s="15">
        <v>12.2648401583864</v>
      </c>
    </row>
    <row r="5842" spans="1:10">
      <c r="A5842" s="6" t="s">
        <v>148</v>
      </c>
      <c r="B5842" s="6" t="s">
        <v>92</v>
      </c>
      <c r="C5842" s="6" t="s">
        <v>331</v>
      </c>
      <c r="D5842" s="6">
        <v>0.8912499999999999</v>
      </c>
      <c r="E5842" s="6" t="s">
        <v>183</v>
      </c>
      <c r="F5842" s="6" t="s">
        <v>58</v>
      </c>
      <c r="G5842" s="7">
        <v>52490.82308035896</v>
      </c>
      <c r="H5842" s="6">
        <v>46782.44607036992</v>
      </c>
      <c r="I5842" s="6" t="s">
        <v>179</v>
      </c>
      <c r="J5842" s="15">
        <v>17.40719355741339</v>
      </c>
    </row>
    <row r="5843" spans="1:10">
      <c r="A5843" s="6" t="s">
        <v>148</v>
      </c>
      <c r="B5843" s="6" t="s">
        <v>92</v>
      </c>
      <c r="C5843" s="6" t="s">
        <v>332</v>
      </c>
      <c r="D5843" s="6">
        <v>2.509083333333333</v>
      </c>
      <c r="E5843" s="6" t="s">
        <v>183</v>
      </c>
      <c r="F5843" s="6" t="s">
        <v>55</v>
      </c>
      <c r="G5843" s="7">
        <v>18935.91078298569</v>
      </c>
      <c r="H5843" s="6">
        <v>47511.77814707634</v>
      </c>
      <c r="I5843" s="6" t="s">
        <v>179</v>
      </c>
      <c r="J5843" s="15">
        <v>13</v>
      </c>
    </row>
    <row r="5844" spans="1:10">
      <c r="A5844" s="6" t="s">
        <v>148</v>
      </c>
      <c r="B5844" s="6" t="s">
        <v>86</v>
      </c>
      <c r="C5844" s="6" t="s">
        <v>375</v>
      </c>
      <c r="D5844" s="6">
        <v>0.01991666666666667</v>
      </c>
      <c r="E5844" s="6" t="s">
        <v>183</v>
      </c>
      <c r="F5844" s="6" t="s">
        <v>55</v>
      </c>
      <c r="G5844" s="7">
        <v>53013.0959774591</v>
      </c>
      <c r="H5844" s="6">
        <v>1055.844161551061</v>
      </c>
      <c r="I5844" s="6" t="s">
        <v>180</v>
      </c>
      <c r="J5844" s="15">
        <v>9.170775844956172</v>
      </c>
    </row>
    <row r="5845" spans="1:10">
      <c r="A5845" s="6" t="s">
        <v>148</v>
      </c>
      <c r="B5845" s="6" t="s">
        <v>86</v>
      </c>
      <c r="C5845" s="6" t="s">
        <v>333</v>
      </c>
      <c r="D5845" s="6">
        <v>0.2613333333333333</v>
      </c>
      <c r="E5845" s="6" t="s">
        <v>183</v>
      </c>
      <c r="F5845" s="6" t="s">
        <v>51</v>
      </c>
      <c r="G5845" s="7">
        <v>51556.63499677741</v>
      </c>
      <c r="H5845" s="6">
        <v>13473.46727915783</v>
      </c>
      <c r="I5845" s="6" t="s">
        <v>180</v>
      </c>
      <c r="J5845" s="15">
        <v>8.73308859897227</v>
      </c>
    </row>
    <row r="5846" spans="1:10">
      <c r="A5846" s="6" t="s">
        <v>148</v>
      </c>
      <c r="B5846" s="6" t="s">
        <v>44</v>
      </c>
      <c r="C5846" s="6" t="s">
        <v>194</v>
      </c>
      <c r="D5846" s="6">
        <v>2.30475</v>
      </c>
      <c r="E5846" s="6" t="s">
        <v>184</v>
      </c>
      <c r="F5846" s="6" t="s">
        <v>58</v>
      </c>
      <c r="G5846" s="7">
        <v>20829.42392802728</v>
      </c>
      <c r="H5846" s="6">
        <v>48006.61479812087</v>
      </c>
      <c r="I5846" s="6" t="s">
        <v>179</v>
      </c>
      <c r="J5846" s="15">
        <v>14.33333333333333</v>
      </c>
    </row>
    <row r="5847" spans="1:10">
      <c r="A5847" s="6" t="s">
        <v>148</v>
      </c>
      <c r="B5847" s="6" t="s">
        <v>90</v>
      </c>
      <c r="C5847" s="6" t="s">
        <v>195</v>
      </c>
      <c r="D5847" s="6">
        <v>271.0539166666666</v>
      </c>
      <c r="E5847" s="6" t="s">
        <v>184</v>
      </c>
      <c r="F5847" s="6" t="s">
        <v>54</v>
      </c>
      <c r="G5847" s="7">
        <v>56976.27849226169</v>
      </c>
      <c r="H5847" s="6">
        <v>15443643.44241829</v>
      </c>
      <c r="I5847" s="6" t="s">
        <v>180</v>
      </c>
      <c r="J5847" s="15">
        <v>11.49610447263148</v>
      </c>
    </row>
    <row r="5848" spans="1:10">
      <c r="A5848" s="6" t="s">
        <v>148</v>
      </c>
      <c r="B5848" s="6" t="s">
        <v>44</v>
      </c>
      <c r="C5848" s="6" t="s">
        <v>335</v>
      </c>
      <c r="D5848" s="6">
        <v>8.325833333333334</v>
      </c>
      <c r="E5848" s="6" t="s">
        <v>184</v>
      </c>
      <c r="F5848" s="6" t="s">
        <v>52</v>
      </c>
      <c r="G5848" s="7">
        <v>64169.74384104699</v>
      </c>
      <c r="H5848" s="6">
        <v>534266.5922632504</v>
      </c>
      <c r="I5848" s="6" t="s">
        <v>180</v>
      </c>
      <c r="J5848" s="15">
        <v>17.01155042897912</v>
      </c>
    </row>
    <row r="5849" spans="1:10">
      <c r="A5849" s="6" t="s">
        <v>148</v>
      </c>
      <c r="B5849" s="6" t="s">
        <v>90</v>
      </c>
      <c r="C5849" s="6" t="s">
        <v>197</v>
      </c>
      <c r="D5849" s="6">
        <v>259.2645</v>
      </c>
      <c r="E5849" s="6" t="s">
        <v>184</v>
      </c>
      <c r="F5849" s="6" t="s">
        <v>53</v>
      </c>
      <c r="G5849" s="7">
        <v>24873.23941462196</v>
      </c>
      <c r="H5849" s="6">
        <v>6448747.980212254</v>
      </c>
      <c r="I5849" s="6" t="s">
        <v>179</v>
      </c>
      <c r="J5849" s="15">
        <v>27</v>
      </c>
    </row>
    <row r="5850" spans="1:10">
      <c r="A5850" s="6" t="s">
        <v>148</v>
      </c>
      <c r="B5850" s="6" t="s">
        <v>90</v>
      </c>
      <c r="C5850" s="6" t="s">
        <v>198</v>
      </c>
      <c r="D5850" s="6">
        <v>330.2056666666667</v>
      </c>
      <c r="E5850" s="6" t="s">
        <v>184</v>
      </c>
      <c r="F5850" s="6" t="s">
        <v>58</v>
      </c>
      <c r="G5850" s="7">
        <v>77672.91374469569</v>
      </c>
      <c r="H5850" s="6">
        <v>25648036.26500974</v>
      </c>
      <c r="I5850" s="6" t="s">
        <v>180</v>
      </c>
      <c r="J5850" s="15">
        <v>18.12778537638943</v>
      </c>
    </row>
    <row r="5851" spans="1:10">
      <c r="A5851" s="6" t="s">
        <v>148</v>
      </c>
      <c r="B5851" s="6" t="s">
        <v>44</v>
      </c>
      <c r="C5851" s="6" t="s">
        <v>199</v>
      </c>
      <c r="D5851" s="6">
        <v>619.3863333333334</v>
      </c>
      <c r="E5851" s="6" t="s">
        <v>184</v>
      </c>
      <c r="F5851" s="6" t="s">
        <v>57</v>
      </c>
      <c r="G5851" s="7">
        <v>42727.16197460723</v>
      </c>
      <c r="H5851" s="6">
        <v>26464620.1891914</v>
      </c>
      <c r="I5851" s="6" t="s">
        <v>179</v>
      </c>
      <c r="J5851" s="15">
        <v>44.83333333333334</v>
      </c>
    </row>
    <row r="5852" spans="1:10">
      <c r="A5852" s="6" t="s">
        <v>148</v>
      </c>
      <c r="B5852" s="6" t="s">
        <v>90</v>
      </c>
      <c r="C5852" s="6" t="s">
        <v>337</v>
      </c>
      <c r="D5852" s="6">
        <v>27.81483333333333</v>
      </c>
      <c r="E5852" s="6" t="s">
        <v>184</v>
      </c>
      <c r="F5852" s="6" t="s">
        <v>52</v>
      </c>
      <c r="G5852" s="7">
        <v>59918.03179942394</v>
      </c>
      <c r="H5852" s="6">
        <v>1666610.068162343</v>
      </c>
      <c r="I5852" s="6" t="s">
        <v>180</v>
      </c>
      <c r="J5852" s="15">
        <v>12.43871031134531</v>
      </c>
    </row>
    <row r="5853" spans="1:10">
      <c r="A5853" s="6" t="s">
        <v>148</v>
      </c>
      <c r="B5853" s="6" t="s">
        <v>90</v>
      </c>
      <c r="C5853" s="6" t="s">
        <v>201</v>
      </c>
      <c r="D5853" s="6">
        <v>286.5646666666667</v>
      </c>
      <c r="E5853" s="6" t="s">
        <v>184</v>
      </c>
      <c r="F5853" s="6" t="s">
        <v>56</v>
      </c>
      <c r="G5853" s="7">
        <v>47784.13759688608</v>
      </c>
      <c r="H5853" s="6">
        <v>13693245.46240579</v>
      </c>
      <c r="I5853" s="6" t="s">
        <v>180</v>
      </c>
      <c r="J5853" s="15">
        <v>8.550729801966316</v>
      </c>
    </row>
    <row r="5854" spans="1:10">
      <c r="A5854" s="6" t="s">
        <v>148</v>
      </c>
      <c r="B5854" s="6" t="s">
        <v>86</v>
      </c>
      <c r="C5854" s="6" t="s">
        <v>202</v>
      </c>
      <c r="D5854" s="6">
        <v>34.64668065851447</v>
      </c>
      <c r="E5854" s="6" t="s">
        <v>184</v>
      </c>
      <c r="F5854" s="6" t="s">
        <v>54</v>
      </c>
      <c r="G5854" s="7">
        <v>90789.34185131452</v>
      </c>
      <c r="H5854" s="6">
        <v>3145549.334319197</v>
      </c>
      <c r="I5854" s="6" t="s">
        <v>179</v>
      </c>
      <c r="J5854" s="15">
        <v>65.125</v>
      </c>
    </row>
    <row r="5855" spans="1:10">
      <c r="A5855" s="6" t="s">
        <v>148</v>
      </c>
      <c r="B5855" s="6" t="s">
        <v>88</v>
      </c>
      <c r="C5855" s="6" t="s">
        <v>202</v>
      </c>
      <c r="D5855" s="6">
        <v>1071.596736008152</v>
      </c>
      <c r="E5855" s="6" t="s">
        <v>184</v>
      </c>
      <c r="F5855" s="6" t="s">
        <v>54</v>
      </c>
      <c r="G5855" s="7">
        <v>52343.66061009689</v>
      </c>
      <c r="H5855" s="6">
        <v>56091295.86049832</v>
      </c>
      <c r="I5855" s="6" t="s">
        <v>180</v>
      </c>
      <c r="J5855" s="15">
        <v>28.47960950085214</v>
      </c>
    </row>
    <row r="5856" spans="1:10">
      <c r="A5856" s="6" t="s">
        <v>148</v>
      </c>
      <c r="B5856" s="6" t="s">
        <v>90</v>
      </c>
      <c r="C5856" s="6" t="s">
        <v>203</v>
      </c>
      <c r="D5856" s="6">
        <v>2981.27825</v>
      </c>
      <c r="E5856" s="6" t="s">
        <v>184</v>
      </c>
      <c r="F5856" s="6" t="s">
        <v>53</v>
      </c>
      <c r="G5856" s="7">
        <v>17844.00974373058</v>
      </c>
      <c r="H5856" s="6">
        <v>53197958.14177204</v>
      </c>
      <c r="I5856" s="6" t="s">
        <v>179</v>
      </c>
      <c r="J5856" s="15">
        <v>12</v>
      </c>
    </row>
    <row r="5857" spans="1:10">
      <c r="A5857" s="6" t="s">
        <v>148</v>
      </c>
      <c r="B5857" s="6" t="s">
        <v>44</v>
      </c>
      <c r="C5857" s="6" t="s">
        <v>204</v>
      </c>
      <c r="D5857" s="6">
        <v>5852.657833333333</v>
      </c>
      <c r="E5857" s="6" t="s">
        <v>184</v>
      </c>
      <c r="F5857" s="6" t="s">
        <v>51</v>
      </c>
      <c r="G5857" s="7">
        <v>22075.51100893869</v>
      </c>
      <c r="H5857" s="6">
        <v>129200412.4313013</v>
      </c>
      <c r="I5857" s="6" t="s">
        <v>179</v>
      </c>
      <c r="J5857" s="15">
        <v>17.73333333333333</v>
      </c>
    </row>
    <row r="5858" spans="1:10">
      <c r="A5858" s="6" t="s">
        <v>148</v>
      </c>
      <c r="B5858" s="6" t="s">
        <v>90</v>
      </c>
      <c r="C5858" s="6" t="s">
        <v>338</v>
      </c>
      <c r="D5858" s="6">
        <v>32.9435</v>
      </c>
      <c r="E5858" s="6" t="s">
        <v>184</v>
      </c>
      <c r="F5858" s="6" t="s">
        <v>52</v>
      </c>
      <c r="G5858" s="7">
        <v>59918.03179942394</v>
      </c>
      <c r="H5858" s="6">
        <v>1973909.680584322</v>
      </c>
      <c r="I5858" s="6" t="s">
        <v>180</v>
      </c>
      <c r="J5858" s="15">
        <v>12.43871031134531</v>
      </c>
    </row>
    <row r="5859" spans="1:10">
      <c r="A5859" s="6" t="s">
        <v>148</v>
      </c>
      <c r="B5859" s="6" t="s">
        <v>44</v>
      </c>
      <c r="C5859" s="6" t="s">
        <v>205</v>
      </c>
      <c r="D5859" s="6">
        <v>398.2830833333333</v>
      </c>
      <c r="E5859" s="6" t="s">
        <v>184</v>
      </c>
      <c r="F5859" s="6" t="s">
        <v>56</v>
      </c>
      <c r="G5859" s="7">
        <v>54049.79733429672</v>
      </c>
      <c r="H5859" s="6">
        <v>21527119.93584548</v>
      </c>
      <c r="I5859" s="6" t="s">
        <v>179</v>
      </c>
      <c r="J5859" s="15">
        <v>22.35</v>
      </c>
    </row>
    <row r="5860" spans="1:10">
      <c r="A5860" s="6" t="s">
        <v>148</v>
      </c>
      <c r="B5860" s="6" t="s">
        <v>92</v>
      </c>
      <c r="C5860" s="6" t="s">
        <v>206</v>
      </c>
      <c r="D5860" s="6">
        <v>225.6659166666666</v>
      </c>
      <c r="E5860" s="6" t="s">
        <v>184</v>
      </c>
      <c r="F5860" s="6" t="s">
        <v>55</v>
      </c>
      <c r="G5860" s="7">
        <v>31981.7567354776</v>
      </c>
      <c r="H5860" s="6">
        <v>7217192.450321893</v>
      </c>
      <c r="I5860" s="6" t="s">
        <v>179</v>
      </c>
      <c r="J5860" s="15">
        <v>16</v>
      </c>
    </row>
    <row r="5861" spans="1:10">
      <c r="A5861" s="6" t="s">
        <v>148</v>
      </c>
      <c r="B5861" s="6" t="s">
        <v>44</v>
      </c>
      <c r="C5861" s="6" t="s">
        <v>207</v>
      </c>
      <c r="D5861" s="6">
        <v>3.083916666666666</v>
      </c>
      <c r="E5861" s="6" t="s">
        <v>184</v>
      </c>
      <c r="F5861" s="6" t="s">
        <v>55</v>
      </c>
      <c r="G5861" s="7">
        <v>43102.17610390013</v>
      </c>
      <c r="H5861" s="6">
        <v>132923.5192564193</v>
      </c>
      <c r="I5861" s="6" t="s">
        <v>180</v>
      </c>
      <c r="J5861" s="15">
        <v>106.2666666666667</v>
      </c>
    </row>
    <row r="5862" spans="1:10">
      <c r="A5862" s="6" t="s">
        <v>148</v>
      </c>
      <c r="B5862" s="6" t="s">
        <v>44</v>
      </c>
      <c r="C5862" s="6" t="s">
        <v>208</v>
      </c>
      <c r="D5862" s="6">
        <v>43.25816666666667</v>
      </c>
      <c r="E5862" s="6" t="s">
        <v>184</v>
      </c>
      <c r="F5862" s="6" t="s">
        <v>51</v>
      </c>
      <c r="G5862" s="7">
        <v>21097.10902947491</v>
      </c>
      <c r="H5862" s="6">
        <v>912622.2585818641</v>
      </c>
      <c r="I5862" s="6" t="s">
        <v>179</v>
      </c>
      <c r="J5862" s="15">
        <v>30</v>
      </c>
    </row>
    <row r="5863" spans="1:10">
      <c r="A5863" s="6" t="s">
        <v>148</v>
      </c>
      <c r="B5863" s="6" t="s">
        <v>44</v>
      </c>
      <c r="C5863" s="6" t="s">
        <v>209</v>
      </c>
      <c r="D5863" s="6">
        <v>4.203416666666667</v>
      </c>
      <c r="E5863" s="6" t="s">
        <v>184</v>
      </c>
      <c r="F5863" s="6" t="s">
        <v>57</v>
      </c>
      <c r="G5863" s="7">
        <v>41050.93445745452</v>
      </c>
      <c r="H5863" s="6">
        <v>172554.1820807053</v>
      </c>
      <c r="I5863" s="6" t="s">
        <v>180</v>
      </c>
      <c r="J5863" s="15">
        <v>8.447085698826186</v>
      </c>
    </row>
    <row r="5864" spans="1:10">
      <c r="A5864" s="6" t="s">
        <v>148</v>
      </c>
      <c r="B5864" s="6" t="s">
        <v>90</v>
      </c>
      <c r="C5864" s="6" t="s">
        <v>210</v>
      </c>
      <c r="D5864" s="6">
        <v>3.748166666666667</v>
      </c>
      <c r="E5864" s="6" t="s">
        <v>184</v>
      </c>
      <c r="F5864" s="6" t="s">
        <v>53</v>
      </c>
      <c r="G5864" s="7">
        <v>33962.09735450833</v>
      </c>
      <c r="H5864" s="6">
        <v>127295.6012342563</v>
      </c>
      <c r="I5864" s="6" t="s">
        <v>180</v>
      </c>
      <c r="J5864" s="15">
        <v>12</v>
      </c>
    </row>
    <row r="5865" spans="1:10">
      <c r="A5865" s="6" t="s">
        <v>148</v>
      </c>
      <c r="B5865" s="6" t="s">
        <v>92</v>
      </c>
      <c r="C5865" s="6" t="s">
        <v>211</v>
      </c>
      <c r="D5865" s="6">
        <v>1967.858666666667</v>
      </c>
      <c r="E5865" s="6" t="s">
        <v>184</v>
      </c>
      <c r="F5865" s="6" t="s">
        <v>55</v>
      </c>
      <c r="G5865" s="7">
        <v>25336.04217074411</v>
      </c>
      <c r="H5865" s="6">
        <v>49857750.16473094</v>
      </c>
      <c r="I5865" s="6" t="s">
        <v>179</v>
      </c>
      <c r="J5865" s="15">
        <v>16</v>
      </c>
    </row>
    <row r="5866" spans="1:10">
      <c r="A5866" s="6" t="s">
        <v>148</v>
      </c>
      <c r="B5866" s="6" t="s">
        <v>92</v>
      </c>
      <c r="C5866" s="6" t="s">
        <v>212</v>
      </c>
      <c r="D5866" s="6">
        <v>427.34275</v>
      </c>
      <c r="E5866" s="6" t="s">
        <v>184</v>
      </c>
      <c r="F5866" s="6" t="s">
        <v>55</v>
      </c>
      <c r="G5866" s="7">
        <v>23468.05749758728</v>
      </c>
      <c r="H5866" s="6">
        <v>10028904.22817707</v>
      </c>
      <c r="I5866" s="6" t="s">
        <v>179</v>
      </c>
      <c r="J5866" s="15">
        <v>15</v>
      </c>
    </row>
    <row r="5867" spans="1:10">
      <c r="A5867" s="6" t="s">
        <v>148</v>
      </c>
      <c r="B5867" s="6" t="s">
        <v>44</v>
      </c>
      <c r="C5867" s="6" t="s">
        <v>213</v>
      </c>
      <c r="D5867" s="6">
        <v>31.05183333333333</v>
      </c>
      <c r="E5867" s="6" t="s">
        <v>184</v>
      </c>
      <c r="F5867" s="6" t="s">
        <v>52</v>
      </c>
      <c r="G5867" s="7">
        <v>64169.74384104699</v>
      </c>
      <c r="H5867" s="6">
        <v>1992588.190794884</v>
      </c>
      <c r="I5867" s="6" t="s">
        <v>180</v>
      </c>
      <c r="J5867" s="15">
        <v>68</v>
      </c>
    </row>
    <row r="5868" spans="1:10">
      <c r="A5868" s="6" t="s">
        <v>148</v>
      </c>
      <c r="B5868" s="6" t="s">
        <v>90</v>
      </c>
      <c r="C5868" s="6" t="s">
        <v>214</v>
      </c>
      <c r="D5868" s="6">
        <v>2.458333333333333</v>
      </c>
      <c r="E5868" s="6" t="s">
        <v>184</v>
      </c>
      <c r="F5868" s="6" t="s">
        <v>53</v>
      </c>
      <c r="G5868" s="7">
        <v>29230.07315219457</v>
      </c>
      <c r="H5868" s="6">
        <v>71857.26316581164</v>
      </c>
      <c r="I5868" s="6" t="s">
        <v>179</v>
      </c>
      <c r="J5868" s="15">
        <v>27</v>
      </c>
    </row>
    <row r="5869" spans="1:10">
      <c r="A5869" s="6" t="s">
        <v>148</v>
      </c>
      <c r="B5869" s="6" t="s">
        <v>88</v>
      </c>
      <c r="C5869" s="6" t="s">
        <v>215</v>
      </c>
      <c r="D5869" s="6">
        <v>1040.516833333333</v>
      </c>
      <c r="E5869" s="6" t="s">
        <v>184</v>
      </c>
      <c r="F5869" s="6" t="s">
        <v>54</v>
      </c>
      <c r="G5869" s="7">
        <v>49061.49876660256</v>
      </c>
      <c r="H5869" s="6">
        <v>51049315.33521253</v>
      </c>
      <c r="I5869" s="6" t="s">
        <v>180</v>
      </c>
      <c r="J5869" s="15">
        <v>26.26991575310344</v>
      </c>
    </row>
    <row r="5870" spans="1:10">
      <c r="A5870" s="6" t="s">
        <v>148</v>
      </c>
      <c r="B5870" s="6" t="s">
        <v>44</v>
      </c>
      <c r="C5870" s="6" t="s">
        <v>216</v>
      </c>
      <c r="D5870" s="6">
        <v>21.27833333333333</v>
      </c>
      <c r="E5870" s="6" t="s">
        <v>184</v>
      </c>
      <c r="F5870" s="6" t="s">
        <v>55</v>
      </c>
      <c r="G5870" s="7">
        <v>42969.13562366418</v>
      </c>
      <c r="H5870" s="6">
        <v>914311.5908455342</v>
      </c>
      <c r="I5870" s="6" t="s">
        <v>180</v>
      </c>
      <c r="J5870" s="15">
        <v>9.157691766844557</v>
      </c>
    </row>
    <row r="5871" spans="1:10">
      <c r="A5871" s="6" t="s">
        <v>148</v>
      </c>
      <c r="B5871" s="6" t="s">
        <v>90</v>
      </c>
      <c r="C5871" s="6" t="s">
        <v>217</v>
      </c>
      <c r="D5871" s="6">
        <v>435.9815</v>
      </c>
      <c r="E5871" s="6" t="s">
        <v>184</v>
      </c>
      <c r="F5871" s="6" t="s">
        <v>53</v>
      </c>
      <c r="G5871" s="7">
        <v>29595.99008532836</v>
      </c>
      <c r="H5871" s="6">
        <v>12903304.15138659</v>
      </c>
      <c r="I5871" s="6" t="s">
        <v>179</v>
      </c>
      <c r="J5871" s="15">
        <v>15</v>
      </c>
    </row>
    <row r="5872" spans="1:10">
      <c r="A5872" s="6" t="s">
        <v>148</v>
      </c>
      <c r="B5872" s="6" t="s">
        <v>90</v>
      </c>
      <c r="C5872" s="6" t="s">
        <v>218</v>
      </c>
      <c r="D5872" s="6">
        <v>59.59416666666667</v>
      </c>
      <c r="E5872" s="6" t="s">
        <v>184</v>
      </c>
      <c r="F5872" s="6" t="s">
        <v>54</v>
      </c>
      <c r="G5872" s="7">
        <v>55803.8509311504</v>
      </c>
      <c r="H5872" s="6">
        <v>3325583.993032799</v>
      </c>
      <c r="I5872" s="6" t="s">
        <v>180</v>
      </c>
      <c r="J5872" s="15">
        <v>11.12043154931672</v>
      </c>
    </row>
    <row r="5873" spans="1:10">
      <c r="A5873" s="6" t="s">
        <v>148</v>
      </c>
      <c r="B5873" s="6" t="s">
        <v>44</v>
      </c>
      <c r="C5873" s="6" t="s">
        <v>219</v>
      </c>
      <c r="D5873" s="6">
        <v>194.76275</v>
      </c>
      <c r="E5873" s="6" t="s">
        <v>184</v>
      </c>
      <c r="F5873" s="6" t="s">
        <v>51</v>
      </c>
      <c r="G5873" s="7">
        <v>24699.68371704026</v>
      </c>
      <c r="H5873" s="6">
        <v>4810578.324860983</v>
      </c>
      <c r="I5873" s="6" t="s">
        <v>179</v>
      </c>
      <c r="J5873" s="15">
        <v>13.96666666666667</v>
      </c>
    </row>
    <row r="5874" spans="1:10">
      <c r="A5874" s="6" t="s">
        <v>148</v>
      </c>
      <c r="B5874" s="6" t="s">
        <v>44</v>
      </c>
      <c r="C5874" s="6" t="s">
        <v>220</v>
      </c>
      <c r="D5874" s="6">
        <v>17.32008333333333</v>
      </c>
      <c r="E5874" s="6" t="s">
        <v>184</v>
      </c>
      <c r="F5874" s="6" t="s">
        <v>57</v>
      </c>
      <c r="G5874" s="7">
        <v>40154.70104495549</v>
      </c>
      <c r="H5874" s="6">
        <v>695482.7683237162</v>
      </c>
      <c r="I5874" s="6" t="s">
        <v>180</v>
      </c>
      <c r="J5874" s="15">
        <v>8.115072084977196</v>
      </c>
    </row>
    <row r="5875" spans="1:10">
      <c r="A5875" s="6" t="s">
        <v>148</v>
      </c>
      <c r="B5875" s="6" t="s">
        <v>44</v>
      </c>
      <c r="C5875" s="6" t="s">
        <v>221</v>
      </c>
      <c r="D5875" s="6">
        <v>234.43375</v>
      </c>
      <c r="E5875" s="6" t="s">
        <v>184</v>
      </c>
      <c r="F5875" s="6" t="s">
        <v>51</v>
      </c>
      <c r="G5875" s="7">
        <v>26492.73446871235</v>
      </c>
      <c r="H5875" s="6">
        <v>6210791.089254495</v>
      </c>
      <c r="I5875" s="6" t="s">
        <v>179</v>
      </c>
      <c r="J5875" s="15">
        <v>21.28333333333333</v>
      </c>
    </row>
    <row r="5876" spans="1:10">
      <c r="A5876" s="6" t="s">
        <v>148</v>
      </c>
      <c r="B5876" s="6" t="s">
        <v>44</v>
      </c>
      <c r="C5876" s="6" t="s">
        <v>222</v>
      </c>
      <c r="D5876" s="6">
        <v>3.994333333333334</v>
      </c>
      <c r="E5876" s="6" t="s">
        <v>184</v>
      </c>
      <c r="F5876" s="6" t="s">
        <v>57</v>
      </c>
      <c r="G5876" s="7">
        <v>40818.44055788575</v>
      </c>
      <c r="H5876" s="6">
        <v>163042.4577350483</v>
      </c>
      <c r="I5876" s="6" t="s">
        <v>180</v>
      </c>
      <c r="J5876" s="15">
        <v>8.360957310041353</v>
      </c>
    </row>
    <row r="5877" spans="1:10">
      <c r="A5877" s="6" t="s">
        <v>148</v>
      </c>
      <c r="B5877" s="6" t="s">
        <v>86</v>
      </c>
      <c r="C5877" s="6" t="s">
        <v>342</v>
      </c>
      <c r="D5877" s="6">
        <v>314.3055</v>
      </c>
      <c r="E5877" s="6" t="s">
        <v>184</v>
      </c>
      <c r="F5877" s="6" t="s">
        <v>53</v>
      </c>
      <c r="G5877" s="7">
        <v>33275.25972937583</v>
      </c>
      <c r="H5877" s="6">
        <v>10458597.14687133</v>
      </c>
      <c r="I5877" s="6" t="s">
        <v>179</v>
      </c>
      <c r="J5877" s="15">
        <v>8</v>
      </c>
    </row>
    <row r="5878" spans="1:10">
      <c r="A5878" s="6" t="s">
        <v>148</v>
      </c>
      <c r="B5878" s="6" t="s">
        <v>86</v>
      </c>
      <c r="C5878" s="6" t="s">
        <v>223</v>
      </c>
      <c r="D5878" s="6">
        <v>0.8300000000000001</v>
      </c>
      <c r="E5878" s="6" t="s">
        <v>184</v>
      </c>
      <c r="F5878" s="6" t="s">
        <v>53</v>
      </c>
      <c r="G5878" s="7">
        <v>24418.66320757394</v>
      </c>
      <c r="H5878" s="6">
        <v>20267.49046228638</v>
      </c>
      <c r="I5878" s="6" t="s">
        <v>179</v>
      </c>
      <c r="J5878" s="15">
        <v>7.983333333333333</v>
      </c>
    </row>
    <row r="5879" spans="1:10">
      <c r="A5879" s="6" t="s">
        <v>148</v>
      </c>
      <c r="B5879" s="6" t="s">
        <v>44</v>
      </c>
      <c r="C5879" s="6" t="s">
        <v>224</v>
      </c>
      <c r="D5879" s="6">
        <v>999.5685</v>
      </c>
      <c r="E5879" s="6" t="s">
        <v>184</v>
      </c>
      <c r="F5879" s="6" t="s">
        <v>51</v>
      </c>
      <c r="G5879" s="7">
        <v>20842.13163725611</v>
      </c>
      <c r="H5879" s="6">
        <v>20833138.25745464</v>
      </c>
      <c r="I5879" s="6" t="s">
        <v>179</v>
      </c>
      <c r="J5879" s="15">
        <v>11</v>
      </c>
    </row>
    <row r="5880" spans="1:10">
      <c r="A5880" s="6" t="s">
        <v>148</v>
      </c>
      <c r="B5880" s="6" t="s">
        <v>90</v>
      </c>
      <c r="C5880" s="6" t="s">
        <v>225</v>
      </c>
      <c r="D5880" s="6">
        <v>0.079</v>
      </c>
      <c r="E5880" s="6" t="s">
        <v>184</v>
      </c>
      <c r="F5880" s="6" t="s">
        <v>54</v>
      </c>
      <c r="G5880" s="7">
        <v>60801.11682439398</v>
      </c>
      <c r="H5880" s="6">
        <v>4803.288229127124</v>
      </c>
      <c r="I5880" s="6" t="s">
        <v>180</v>
      </c>
      <c r="J5880" s="15">
        <v>12.72167119001276</v>
      </c>
    </row>
    <row r="5881" spans="1:10">
      <c r="A5881" s="6" t="s">
        <v>148</v>
      </c>
      <c r="B5881" s="6" t="s">
        <v>44</v>
      </c>
      <c r="C5881" s="6" t="s">
        <v>226</v>
      </c>
      <c r="D5881" s="6">
        <v>1104.371416666667</v>
      </c>
      <c r="E5881" s="6" t="s">
        <v>184</v>
      </c>
      <c r="F5881" s="6" t="s">
        <v>56</v>
      </c>
      <c r="G5881" s="7">
        <v>59921.09743873261</v>
      </c>
      <c r="H5881" s="6">
        <v>66175147.26663449</v>
      </c>
      <c r="I5881" s="6" t="s">
        <v>179</v>
      </c>
      <c r="J5881" s="15">
        <v>47.875</v>
      </c>
    </row>
    <row r="5882" spans="1:10">
      <c r="A5882" s="6" t="s">
        <v>148</v>
      </c>
      <c r="B5882" s="6" t="s">
        <v>86</v>
      </c>
      <c r="C5882" s="6" t="s">
        <v>345</v>
      </c>
      <c r="D5882" s="6">
        <v>148.1115833333333</v>
      </c>
      <c r="E5882" s="6" t="s">
        <v>184</v>
      </c>
      <c r="F5882" s="6" t="s">
        <v>53</v>
      </c>
      <c r="G5882" s="7">
        <v>31603.56115403747</v>
      </c>
      <c r="H5882" s="6">
        <v>4680853.481496317</v>
      </c>
      <c r="I5882" s="6" t="s">
        <v>179</v>
      </c>
      <c r="J5882" s="15">
        <v>8</v>
      </c>
    </row>
    <row r="5883" spans="1:10">
      <c r="A5883" s="6" t="s">
        <v>148</v>
      </c>
      <c r="B5883" s="6" t="s">
        <v>44</v>
      </c>
      <c r="C5883" s="6" t="s">
        <v>227</v>
      </c>
      <c r="D5883" s="6">
        <v>210.6896666666667</v>
      </c>
      <c r="E5883" s="6" t="s">
        <v>184</v>
      </c>
      <c r="F5883" s="6" t="s">
        <v>57</v>
      </c>
      <c r="G5883" s="7">
        <v>47608.30251275475</v>
      </c>
      <c r="H5883" s="6">
        <v>10030577.38697813</v>
      </c>
      <c r="I5883" s="6" t="s">
        <v>179</v>
      </c>
      <c r="J5883" s="15">
        <v>51.93333333333333</v>
      </c>
    </row>
    <row r="5884" spans="1:10">
      <c r="A5884" s="6" t="s">
        <v>148</v>
      </c>
      <c r="B5884" s="6" t="s">
        <v>44</v>
      </c>
      <c r="C5884" s="6" t="s">
        <v>228</v>
      </c>
      <c r="D5884" s="6">
        <v>355.7281666666667</v>
      </c>
      <c r="E5884" s="6" t="s">
        <v>184</v>
      </c>
      <c r="F5884" s="6" t="s">
        <v>51</v>
      </c>
      <c r="G5884" s="7">
        <v>36404.73502976458</v>
      </c>
      <c r="H5884" s="6">
        <v>12950189.65012393</v>
      </c>
      <c r="I5884" s="6" t="s">
        <v>179</v>
      </c>
      <c r="J5884" s="15">
        <v>21</v>
      </c>
    </row>
    <row r="5885" spans="1:10">
      <c r="A5885" s="6" t="s">
        <v>148</v>
      </c>
      <c r="B5885" s="6" t="s">
        <v>86</v>
      </c>
      <c r="C5885" s="6" t="s">
        <v>229</v>
      </c>
      <c r="D5885" s="6">
        <v>277.7036666666667</v>
      </c>
      <c r="E5885" s="6" t="s">
        <v>184</v>
      </c>
      <c r="F5885" s="6" t="s">
        <v>53</v>
      </c>
      <c r="G5885" s="7">
        <v>21180.73880713652</v>
      </c>
      <c r="H5885" s="6">
        <v>5881968.82945077</v>
      </c>
      <c r="I5885" s="6" t="s">
        <v>179</v>
      </c>
      <c r="J5885" s="15">
        <v>5</v>
      </c>
    </row>
    <row r="5886" spans="1:10">
      <c r="A5886" s="6" t="s">
        <v>148</v>
      </c>
      <c r="B5886" s="6" t="s">
        <v>44</v>
      </c>
      <c r="C5886" s="6" t="s">
        <v>367</v>
      </c>
      <c r="D5886" s="6">
        <v>10.66975</v>
      </c>
      <c r="E5886" s="6" t="s">
        <v>184</v>
      </c>
      <c r="F5886" s="6" t="s">
        <v>55</v>
      </c>
      <c r="G5886" s="7">
        <v>49244.11517900768</v>
      </c>
      <c r="H5886" s="6">
        <v>525422.3979312172</v>
      </c>
      <c r="I5886" s="6" t="s">
        <v>180</v>
      </c>
      <c r="J5886" s="15">
        <v>11.48228557236773</v>
      </c>
    </row>
    <row r="5887" spans="1:10">
      <c r="A5887" s="6" t="s">
        <v>148</v>
      </c>
      <c r="B5887" s="6" t="s">
        <v>90</v>
      </c>
      <c r="C5887" s="6" t="s">
        <v>230</v>
      </c>
      <c r="D5887" s="6">
        <v>200.2218333333333</v>
      </c>
      <c r="E5887" s="6" t="s">
        <v>184</v>
      </c>
      <c r="F5887" s="6" t="s">
        <v>53</v>
      </c>
      <c r="G5887" s="7">
        <v>26357.64880300622</v>
      </c>
      <c r="H5887" s="6">
        <v>5277376.765694044</v>
      </c>
      <c r="I5887" s="6" t="s">
        <v>179</v>
      </c>
      <c r="J5887" s="15">
        <v>20</v>
      </c>
    </row>
    <row r="5888" spans="1:10">
      <c r="A5888" s="6" t="s">
        <v>148</v>
      </c>
      <c r="B5888" s="6" t="s">
        <v>44</v>
      </c>
      <c r="C5888" s="6" t="s">
        <v>378</v>
      </c>
      <c r="D5888" s="6">
        <v>20.87533333333333</v>
      </c>
      <c r="E5888" s="6" t="s">
        <v>184</v>
      </c>
      <c r="F5888" s="6" t="s">
        <v>51</v>
      </c>
      <c r="G5888" s="7">
        <v>36833.11874185415</v>
      </c>
      <c r="H5888" s="6">
        <v>768903.6314424525</v>
      </c>
      <c r="I5888" s="6" t="s">
        <v>180</v>
      </c>
      <c r="J5888" s="15">
        <v>6.884577295595829</v>
      </c>
    </row>
    <row r="5889" spans="1:10">
      <c r="A5889" s="6" t="s">
        <v>148</v>
      </c>
      <c r="B5889" s="6" t="s">
        <v>88</v>
      </c>
      <c r="C5889" s="6" t="s">
        <v>231</v>
      </c>
      <c r="D5889" s="6">
        <v>11.5035</v>
      </c>
      <c r="E5889" s="6" t="s">
        <v>184</v>
      </c>
      <c r="F5889" s="6" t="s">
        <v>52</v>
      </c>
      <c r="G5889" s="7">
        <v>44335.59781697809</v>
      </c>
      <c r="H5889" s="6">
        <v>510014.5494876074</v>
      </c>
      <c r="I5889" s="6" t="s">
        <v>180</v>
      </c>
      <c r="J5889" s="15">
        <v>23.08823420331521</v>
      </c>
    </row>
    <row r="5890" spans="1:10">
      <c r="A5890" s="6" t="s">
        <v>148</v>
      </c>
      <c r="B5890" s="6" t="s">
        <v>44</v>
      </c>
      <c r="C5890" s="6" t="s">
        <v>346</v>
      </c>
      <c r="D5890" s="6">
        <v>7.308166666666666</v>
      </c>
      <c r="E5890" s="6" t="s">
        <v>184</v>
      </c>
      <c r="F5890" s="6" t="s">
        <v>52</v>
      </c>
      <c r="G5890" s="7">
        <v>64169.74384104699</v>
      </c>
      <c r="H5890" s="6">
        <v>468963.1829476782</v>
      </c>
      <c r="I5890" s="6" t="s">
        <v>180</v>
      </c>
      <c r="J5890" s="15">
        <v>17.01155042897912</v>
      </c>
    </row>
    <row r="5891" spans="1:10">
      <c r="A5891" s="6" t="s">
        <v>148</v>
      </c>
      <c r="B5891" s="6" t="s">
        <v>44</v>
      </c>
      <c r="C5891" s="6" t="s">
        <v>232</v>
      </c>
      <c r="D5891" s="6">
        <v>38.55991666666667</v>
      </c>
      <c r="E5891" s="6" t="s">
        <v>184</v>
      </c>
      <c r="F5891" s="6" t="s">
        <v>51</v>
      </c>
      <c r="G5891" s="7">
        <v>28201.41411980885</v>
      </c>
      <c r="H5891" s="6">
        <v>1087444.178341986</v>
      </c>
      <c r="I5891" s="6" t="s">
        <v>179</v>
      </c>
      <c r="J5891" s="15">
        <v>20</v>
      </c>
    </row>
    <row r="5892" spans="1:10">
      <c r="A5892" s="6" t="s">
        <v>148</v>
      </c>
      <c r="B5892" s="6" t="s">
        <v>86</v>
      </c>
      <c r="C5892" s="6" t="s">
        <v>233</v>
      </c>
      <c r="D5892" s="6">
        <v>515.77525</v>
      </c>
      <c r="E5892" s="6" t="s">
        <v>184</v>
      </c>
      <c r="F5892" s="6" t="s">
        <v>59</v>
      </c>
      <c r="G5892" s="7">
        <v>42805.8355381377</v>
      </c>
      <c r="H5892" s="6">
        <v>22078190.52614186</v>
      </c>
      <c r="I5892" s="6" t="s">
        <v>179</v>
      </c>
      <c r="J5892" s="15">
        <v>27.26666666666667</v>
      </c>
    </row>
    <row r="5893" spans="1:10">
      <c r="A5893" s="6" t="s">
        <v>148</v>
      </c>
      <c r="B5893" s="6" t="s">
        <v>44</v>
      </c>
      <c r="C5893" s="6" t="s">
        <v>234</v>
      </c>
      <c r="D5893" s="6">
        <v>197.4709166666667</v>
      </c>
      <c r="E5893" s="6" t="s">
        <v>184</v>
      </c>
      <c r="F5893" s="6" t="s">
        <v>56</v>
      </c>
      <c r="G5893" s="7">
        <v>60675.69596540061</v>
      </c>
      <c r="H5893" s="6">
        <v>11981685.30167563</v>
      </c>
      <c r="I5893" s="6" t="s">
        <v>179</v>
      </c>
      <c r="J5893" s="15">
        <v>37.40833333333333</v>
      </c>
    </row>
    <row r="5894" spans="1:10">
      <c r="A5894" s="6" t="s">
        <v>148</v>
      </c>
      <c r="B5894" s="6" t="s">
        <v>86</v>
      </c>
      <c r="C5894" s="6" t="s">
        <v>235</v>
      </c>
      <c r="D5894" s="6">
        <v>1.469333333333333</v>
      </c>
      <c r="E5894" s="6" t="s">
        <v>184</v>
      </c>
      <c r="F5894" s="6" t="s">
        <v>53</v>
      </c>
      <c r="G5894" s="7">
        <v>36703.49839619301</v>
      </c>
      <c r="H5894" s="6">
        <v>53929.67364347293</v>
      </c>
      <c r="I5894" s="6" t="s">
        <v>180</v>
      </c>
      <c r="J5894" s="15">
        <v>4.269509732692095</v>
      </c>
    </row>
    <row r="5895" spans="1:10">
      <c r="A5895" s="6" t="s">
        <v>148</v>
      </c>
      <c r="B5895" s="6" t="s">
        <v>44</v>
      </c>
      <c r="C5895" s="6" t="s">
        <v>236</v>
      </c>
      <c r="D5895" s="6">
        <v>1882.429416666667</v>
      </c>
      <c r="E5895" s="6" t="s">
        <v>184</v>
      </c>
      <c r="F5895" s="6" t="s">
        <v>51</v>
      </c>
      <c r="G5895" s="7">
        <v>16875.52434086435</v>
      </c>
      <c r="H5895" s="6">
        <v>31766983.44091742</v>
      </c>
      <c r="I5895" s="6" t="s">
        <v>179</v>
      </c>
      <c r="J5895" s="15">
        <v>16.31666666666667</v>
      </c>
    </row>
    <row r="5896" spans="1:10">
      <c r="A5896" s="6" t="s">
        <v>148</v>
      </c>
      <c r="B5896" s="6" t="s">
        <v>44</v>
      </c>
      <c r="C5896" s="6" t="s">
        <v>237</v>
      </c>
      <c r="D5896" s="6">
        <v>222.1726666666667</v>
      </c>
      <c r="E5896" s="6" t="s">
        <v>184</v>
      </c>
      <c r="F5896" s="6" t="s">
        <v>51</v>
      </c>
      <c r="G5896" s="7">
        <v>25931.08338799715</v>
      </c>
      <c r="H5896" s="6">
        <v>5761177.945867029</v>
      </c>
      <c r="I5896" s="6" t="s">
        <v>179</v>
      </c>
      <c r="J5896" s="15">
        <v>20</v>
      </c>
    </row>
    <row r="5897" spans="1:10">
      <c r="A5897" s="6" t="s">
        <v>148</v>
      </c>
      <c r="B5897" s="6" t="s">
        <v>44</v>
      </c>
      <c r="C5897" s="6" t="s">
        <v>238</v>
      </c>
      <c r="D5897" s="6">
        <v>211.02075</v>
      </c>
      <c r="E5897" s="6" t="s">
        <v>184</v>
      </c>
      <c r="F5897" s="6" t="s">
        <v>51</v>
      </c>
      <c r="G5897" s="7">
        <v>21509.06685400382</v>
      </c>
      <c r="H5897" s="6">
        <v>4538859.419332027</v>
      </c>
      <c r="I5897" s="6" t="s">
        <v>179</v>
      </c>
      <c r="J5897" s="15">
        <v>11</v>
      </c>
    </row>
    <row r="5898" spans="1:10">
      <c r="A5898" s="6" t="s">
        <v>148</v>
      </c>
      <c r="B5898" s="6" t="s">
        <v>90</v>
      </c>
      <c r="C5898" s="6" t="s">
        <v>239</v>
      </c>
      <c r="D5898" s="6">
        <v>305.9115833333333</v>
      </c>
      <c r="E5898" s="6" t="s">
        <v>184</v>
      </c>
      <c r="F5898" s="6" t="s">
        <v>54</v>
      </c>
      <c r="G5898" s="7">
        <v>77876.19751626256</v>
      </c>
      <c r="H5898" s="6">
        <v>23823230.88617928</v>
      </c>
      <c r="I5898" s="6" t="s">
        <v>179</v>
      </c>
      <c r="J5898" s="15">
        <v>17.61605692581799</v>
      </c>
    </row>
    <row r="5899" spans="1:10">
      <c r="A5899" s="6" t="s">
        <v>148</v>
      </c>
      <c r="B5899" s="6" t="s">
        <v>92</v>
      </c>
      <c r="C5899" s="6" t="s">
        <v>379</v>
      </c>
      <c r="D5899" s="6">
        <v>7.57925</v>
      </c>
      <c r="E5899" s="6" t="s">
        <v>184</v>
      </c>
      <c r="F5899" s="6" t="s">
        <v>51</v>
      </c>
      <c r="G5899" s="7">
        <v>39736.55973566615</v>
      </c>
      <c r="H5899" s="6">
        <v>301173.3203765476</v>
      </c>
      <c r="I5899" s="6" t="s">
        <v>180</v>
      </c>
      <c r="J5899" s="15">
        <v>8.117870548318852</v>
      </c>
    </row>
    <row r="5900" spans="1:10">
      <c r="A5900" s="6" t="s">
        <v>148</v>
      </c>
      <c r="B5900" s="6" t="s">
        <v>90</v>
      </c>
      <c r="C5900" s="6" t="s">
        <v>347</v>
      </c>
      <c r="D5900" s="6">
        <v>1.398333333333333</v>
      </c>
      <c r="E5900" s="6" t="s">
        <v>184</v>
      </c>
      <c r="F5900" s="6" t="s">
        <v>52</v>
      </c>
      <c r="G5900" s="7">
        <v>59918.03179942394</v>
      </c>
      <c r="H5900" s="6">
        <v>83785.38113286113</v>
      </c>
      <c r="I5900" s="6" t="s">
        <v>180</v>
      </c>
      <c r="J5900" s="15">
        <v>12.43871031134531</v>
      </c>
    </row>
    <row r="5901" spans="1:10">
      <c r="A5901" s="6" t="s">
        <v>148</v>
      </c>
      <c r="B5901" s="6" t="s">
        <v>44</v>
      </c>
      <c r="C5901" s="6" t="s">
        <v>368</v>
      </c>
      <c r="D5901" s="6">
        <v>4.333749999999999</v>
      </c>
      <c r="E5901" s="6" t="s">
        <v>184</v>
      </c>
      <c r="F5901" s="6" t="s">
        <v>55</v>
      </c>
      <c r="G5901" s="7">
        <v>48770.50191399889</v>
      </c>
      <c r="H5901" s="6">
        <v>211359.1626697927</v>
      </c>
      <c r="I5901" s="6" t="s">
        <v>180</v>
      </c>
      <c r="J5901" s="15">
        <v>11.30683345298744</v>
      </c>
    </row>
    <row r="5902" spans="1:10">
      <c r="A5902" s="6" t="s">
        <v>148</v>
      </c>
      <c r="B5902" s="6" t="s">
        <v>44</v>
      </c>
      <c r="C5902" s="6" t="s">
        <v>240</v>
      </c>
      <c r="D5902" s="6">
        <v>30.24766666666667</v>
      </c>
      <c r="E5902" s="6" t="s">
        <v>184</v>
      </c>
      <c r="F5902" s="6" t="s">
        <v>51</v>
      </c>
      <c r="G5902" s="7">
        <v>18174.39388396715</v>
      </c>
      <c r="H5902" s="6">
        <v>549733.0080709438</v>
      </c>
      <c r="I5902" s="6" t="s">
        <v>179</v>
      </c>
      <c r="J5902" s="15">
        <v>18</v>
      </c>
    </row>
    <row r="5903" spans="1:10">
      <c r="A5903" s="6" t="s">
        <v>148</v>
      </c>
      <c r="B5903" s="6" t="s">
        <v>90</v>
      </c>
      <c r="C5903" s="6" t="s">
        <v>241</v>
      </c>
      <c r="D5903" s="6">
        <v>94.11841666666666</v>
      </c>
      <c r="E5903" s="6" t="s">
        <v>184</v>
      </c>
      <c r="F5903" s="6" t="s">
        <v>53</v>
      </c>
      <c r="G5903" s="7">
        <v>26388.49277067184</v>
      </c>
      <c r="H5903" s="6">
        <v>2483643.157795413</v>
      </c>
      <c r="I5903" s="6" t="s">
        <v>179</v>
      </c>
      <c r="J5903" s="15">
        <v>14.36666666666667</v>
      </c>
    </row>
    <row r="5904" spans="1:10">
      <c r="A5904" s="6" t="s">
        <v>148</v>
      </c>
      <c r="B5904" s="6" t="s">
        <v>44</v>
      </c>
      <c r="C5904" s="6" t="s">
        <v>242</v>
      </c>
      <c r="D5904" s="6">
        <v>1326.563583333333</v>
      </c>
      <c r="E5904" s="6" t="s">
        <v>184</v>
      </c>
      <c r="F5904" s="6" t="s">
        <v>56</v>
      </c>
      <c r="G5904" s="7">
        <v>41454.84700212286</v>
      </c>
      <c r="H5904" s="6">
        <v>54992490.3856712</v>
      </c>
      <c r="I5904" s="6" t="s">
        <v>179</v>
      </c>
      <c r="J5904" s="15">
        <v>28.81666666666667</v>
      </c>
    </row>
    <row r="5905" spans="1:10">
      <c r="A5905" s="6" t="s">
        <v>148</v>
      </c>
      <c r="B5905" s="6" t="s">
        <v>44</v>
      </c>
      <c r="C5905" s="6" t="s">
        <v>243</v>
      </c>
      <c r="D5905" s="6">
        <v>1.604416666666667</v>
      </c>
      <c r="E5905" s="6" t="s">
        <v>184</v>
      </c>
      <c r="F5905" s="6" t="s">
        <v>58</v>
      </c>
      <c r="G5905" s="7">
        <v>39072.48177856206</v>
      </c>
      <c r="H5905" s="6">
        <v>62688.54097355462</v>
      </c>
      <c r="I5905" s="6" t="s">
        <v>180</v>
      </c>
      <c r="J5905" s="15">
        <v>7.714159192642155</v>
      </c>
    </row>
    <row r="5906" spans="1:10">
      <c r="A5906" s="6" t="s">
        <v>148</v>
      </c>
      <c r="B5906" s="6" t="s">
        <v>44</v>
      </c>
      <c r="C5906" s="6" t="s">
        <v>369</v>
      </c>
      <c r="D5906" s="6">
        <v>5.792583333333333</v>
      </c>
      <c r="E5906" s="6" t="s">
        <v>184</v>
      </c>
      <c r="F5906" s="6" t="s">
        <v>55</v>
      </c>
      <c r="G5906" s="7">
        <v>49104.86498874119</v>
      </c>
      <c r="H5906" s="6">
        <v>284444.0225193657</v>
      </c>
      <c r="I5906" s="6" t="s">
        <v>180</v>
      </c>
      <c r="J5906" s="15">
        <v>11.43069972625358</v>
      </c>
    </row>
    <row r="5907" spans="1:10">
      <c r="A5907" s="6" t="s">
        <v>148</v>
      </c>
      <c r="B5907" s="6" t="s">
        <v>44</v>
      </c>
      <c r="C5907" s="6" t="s">
        <v>244</v>
      </c>
      <c r="D5907" s="6">
        <v>48.07358333333332</v>
      </c>
      <c r="E5907" s="6" t="s">
        <v>184</v>
      </c>
      <c r="F5907" s="6" t="s">
        <v>55</v>
      </c>
      <c r="G5907" s="7">
        <v>48324.15434814322</v>
      </c>
      <c r="H5907" s="6">
        <v>2323115.261068325</v>
      </c>
      <c r="I5907" s="6" t="s">
        <v>180</v>
      </c>
      <c r="J5907" s="15">
        <v>25.75</v>
      </c>
    </row>
    <row r="5908" spans="1:10">
      <c r="A5908" s="6" t="s">
        <v>148</v>
      </c>
      <c r="B5908" s="6" t="s">
        <v>90</v>
      </c>
      <c r="C5908" s="6" t="s">
        <v>245</v>
      </c>
      <c r="D5908" s="6">
        <v>46.30041666666667</v>
      </c>
      <c r="E5908" s="6" t="s">
        <v>184</v>
      </c>
      <c r="F5908" s="6" t="s">
        <v>53</v>
      </c>
      <c r="G5908" s="7">
        <v>15981.96816829709</v>
      </c>
      <c r="H5908" s="6">
        <v>739971.785345559</v>
      </c>
      <c r="I5908" s="6" t="s">
        <v>179</v>
      </c>
      <c r="J5908" s="15">
        <v>38</v>
      </c>
    </row>
    <row r="5909" spans="1:10">
      <c r="A5909" s="6" t="s">
        <v>148</v>
      </c>
      <c r="B5909" s="6" t="s">
        <v>86</v>
      </c>
      <c r="C5909" s="6" t="s">
        <v>246</v>
      </c>
      <c r="D5909" s="6">
        <v>0.7795833333333333</v>
      </c>
      <c r="E5909" s="6" t="s">
        <v>184</v>
      </c>
      <c r="F5909" s="6" t="s">
        <v>53</v>
      </c>
      <c r="G5909" s="7">
        <v>34748.35236673716</v>
      </c>
      <c r="H5909" s="6">
        <v>27089.23636590217</v>
      </c>
      <c r="I5909" s="6" t="s">
        <v>180</v>
      </c>
      <c r="J5909" s="15">
        <v>3.681960534684491</v>
      </c>
    </row>
    <row r="5910" spans="1:10">
      <c r="A5910" s="6" t="s">
        <v>148</v>
      </c>
      <c r="B5910" s="6" t="s">
        <v>44</v>
      </c>
      <c r="C5910" s="6" t="s">
        <v>348</v>
      </c>
      <c r="D5910" s="6">
        <v>1.603333333333333</v>
      </c>
      <c r="E5910" s="6" t="s">
        <v>184</v>
      </c>
      <c r="F5910" s="6" t="s">
        <v>52</v>
      </c>
      <c r="G5910" s="7">
        <v>64169.74384104699</v>
      </c>
      <c r="H5910" s="6">
        <v>102885.489291812</v>
      </c>
      <c r="I5910" s="6" t="s">
        <v>180</v>
      </c>
      <c r="J5910" s="15">
        <v>17.01155042897912</v>
      </c>
    </row>
    <row r="5911" spans="1:10">
      <c r="A5911" s="6" t="s">
        <v>148</v>
      </c>
      <c r="B5911" s="6" t="s">
        <v>90</v>
      </c>
      <c r="C5911" s="6" t="s">
        <v>349</v>
      </c>
      <c r="D5911" s="6">
        <v>11.19583333333333</v>
      </c>
      <c r="E5911" s="6" t="s">
        <v>184</v>
      </c>
      <c r="F5911" s="6" t="s">
        <v>52</v>
      </c>
      <c r="G5911" s="7">
        <v>59918.03179942394</v>
      </c>
      <c r="H5911" s="6">
        <v>670832.2976877171</v>
      </c>
      <c r="I5911" s="6" t="s">
        <v>180</v>
      </c>
      <c r="J5911" s="15">
        <v>12.43871031134531</v>
      </c>
    </row>
    <row r="5912" spans="1:10">
      <c r="A5912" s="6" t="s">
        <v>148</v>
      </c>
      <c r="B5912" s="6" t="s">
        <v>44</v>
      </c>
      <c r="C5912" s="6" t="s">
        <v>247</v>
      </c>
      <c r="D5912" s="6">
        <v>1207.877</v>
      </c>
      <c r="E5912" s="6" t="s">
        <v>184</v>
      </c>
      <c r="F5912" s="6" t="s">
        <v>51</v>
      </c>
      <c r="G5912" s="7">
        <v>30572.38239922268</v>
      </c>
      <c r="H5912" s="6">
        <v>36927677.5352259</v>
      </c>
      <c r="I5912" s="6" t="s">
        <v>179</v>
      </c>
      <c r="J5912" s="15">
        <v>25.55</v>
      </c>
    </row>
    <row r="5913" spans="1:10">
      <c r="A5913" s="6" t="s">
        <v>148</v>
      </c>
      <c r="B5913" s="6" t="s">
        <v>88</v>
      </c>
      <c r="C5913" s="6" t="s">
        <v>248</v>
      </c>
      <c r="D5913" s="6">
        <v>173.9021666666667</v>
      </c>
      <c r="E5913" s="6" t="s">
        <v>184</v>
      </c>
      <c r="F5913" s="6" t="s">
        <v>55</v>
      </c>
      <c r="G5913" s="7">
        <v>27248.6277312555</v>
      </c>
      <c r="H5913" s="6">
        <v>4738595.40115875</v>
      </c>
      <c r="I5913" s="6" t="s">
        <v>180</v>
      </c>
      <c r="J5913" s="15">
        <v>11.5845446332139</v>
      </c>
    </row>
    <row r="5914" spans="1:10">
      <c r="A5914" s="6" t="s">
        <v>148</v>
      </c>
      <c r="B5914" s="6" t="s">
        <v>86</v>
      </c>
      <c r="C5914" s="6" t="s">
        <v>249</v>
      </c>
      <c r="D5914" s="6">
        <v>1071.196083333333</v>
      </c>
      <c r="E5914" s="6" t="s">
        <v>184</v>
      </c>
      <c r="F5914" s="6" t="s">
        <v>53</v>
      </c>
      <c r="G5914" s="7">
        <v>26147.16905457934</v>
      </c>
      <c r="H5914" s="6">
        <v>28008745.08151992</v>
      </c>
      <c r="I5914" s="6" t="s">
        <v>179</v>
      </c>
      <c r="J5914" s="15">
        <v>8</v>
      </c>
    </row>
    <row r="5915" spans="1:10">
      <c r="A5915" s="6" t="s">
        <v>148</v>
      </c>
      <c r="B5915" s="6" t="s">
        <v>92</v>
      </c>
      <c r="C5915" s="6" t="s">
        <v>250</v>
      </c>
      <c r="D5915" s="6">
        <v>45.567</v>
      </c>
      <c r="E5915" s="6" t="s">
        <v>184</v>
      </c>
      <c r="F5915" s="6" t="s">
        <v>55</v>
      </c>
      <c r="G5915" s="7">
        <v>37321.61329653078</v>
      </c>
      <c r="H5915" s="6">
        <v>1700633.953083018</v>
      </c>
      <c r="I5915" s="6" t="s">
        <v>179</v>
      </c>
      <c r="J5915" s="15">
        <v>15</v>
      </c>
    </row>
    <row r="5916" spans="1:10">
      <c r="A5916" s="6" t="s">
        <v>148</v>
      </c>
      <c r="B5916" s="6" t="s">
        <v>90</v>
      </c>
      <c r="C5916" s="6" t="s">
        <v>251</v>
      </c>
      <c r="D5916" s="6">
        <v>15.23125</v>
      </c>
      <c r="E5916" s="6" t="s">
        <v>184</v>
      </c>
      <c r="F5916" s="6" t="s">
        <v>53</v>
      </c>
      <c r="G5916" s="7">
        <v>23642.19568206914</v>
      </c>
      <c r="H5916" s="6">
        <v>360100.1929825156</v>
      </c>
      <c r="I5916" s="6" t="s">
        <v>179</v>
      </c>
      <c r="J5916" s="15">
        <v>18.675</v>
      </c>
    </row>
    <row r="5917" spans="1:10">
      <c r="A5917" s="6" t="s">
        <v>148</v>
      </c>
      <c r="B5917" s="6" t="s">
        <v>44</v>
      </c>
      <c r="C5917" s="6" t="s">
        <v>252</v>
      </c>
      <c r="D5917" s="6">
        <v>177.8061666666667</v>
      </c>
      <c r="E5917" s="6" t="s">
        <v>184</v>
      </c>
      <c r="F5917" s="6" t="s">
        <v>57</v>
      </c>
      <c r="G5917" s="7">
        <v>29402.0465874927</v>
      </c>
      <c r="H5917" s="6">
        <v>5227865.195876825</v>
      </c>
      <c r="I5917" s="6" t="s">
        <v>179</v>
      </c>
      <c r="J5917" s="15">
        <v>20</v>
      </c>
    </row>
    <row r="5918" spans="1:10">
      <c r="A5918" s="6" t="s">
        <v>148</v>
      </c>
      <c r="B5918" s="6" t="s">
        <v>90</v>
      </c>
      <c r="C5918" s="6" t="s">
        <v>253</v>
      </c>
      <c r="D5918" s="6">
        <v>56.07183333333333</v>
      </c>
      <c r="E5918" s="6" t="s">
        <v>184</v>
      </c>
      <c r="F5918" s="6" t="s">
        <v>53</v>
      </c>
      <c r="G5918" s="7">
        <v>32446.79249986879</v>
      </c>
      <c r="H5918" s="6">
        <v>1819351.141253893</v>
      </c>
      <c r="I5918" s="6" t="s">
        <v>179</v>
      </c>
      <c r="J5918" s="15">
        <v>16</v>
      </c>
    </row>
    <row r="5919" spans="1:10">
      <c r="A5919" s="6" t="s">
        <v>148</v>
      </c>
      <c r="B5919" s="6" t="s">
        <v>86</v>
      </c>
      <c r="C5919" s="6" t="s">
        <v>353</v>
      </c>
      <c r="D5919" s="6">
        <v>7.990166666666667</v>
      </c>
      <c r="E5919" s="6" t="s">
        <v>184</v>
      </c>
      <c r="F5919" s="6" t="s">
        <v>62</v>
      </c>
      <c r="G5919" s="7">
        <v>81005.34654028571</v>
      </c>
      <c r="H5919" s="6">
        <v>647246.2197479729</v>
      </c>
      <c r="I5919" s="6" t="s">
        <v>179</v>
      </c>
      <c r="J5919" s="15">
        <v>102.3</v>
      </c>
    </row>
    <row r="5920" spans="1:10">
      <c r="A5920" s="6" t="s">
        <v>148</v>
      </c>
      <c r="B5920" s="6" t="s">
        <v>86</v>
      </c>
      <c r="C5920" s="6" t="s">
        <v>254</v>
      </c>
      <c r="D5920" s="6">
        <v>6.464666666666667</v>
      </c>
      <c r="E5920" s="6" t="s">
        <v>184</v>
      </c>
      <c r="F5920" s="6" t="s">
        <v>51</v>
      </c>
      <c r="G5920" s="7">
        <v>51614.23657191667</v>
      </c>
      <c r="H5920" s="6">
        <v>333668.8346919173</v>
      </c>
      <c r="I5920" s="6" t="s">
        <v>180</v>
      </c>
      <c r="J5920" s="15">
        <v>8.750398691807874</v>
      </c>
    </row>
    <row r="5921" spans="1:10">
      <c r="A5921" s="6" t="s">
        <v>148</v>
      </c>
      <c r="B5921" s="6" t="s">
        <v>44</v>
      </c>
      <c r="C5921" s="6" t="s">
        <v>255</v>
      </c>
      <c r="D5921" s="6">
        <v>86.08741666666666</v>
      </c>
      <c r="E5921" s="6" t="s">
        <v>184</v>
      </c>
      <c r="F5921" s="6" t="s">
        <v>51</v>
      </c>
      <c r="G5921" s="7">
        <v>32463.72189421727</v>
      </c>
      <c r="H5921" s="6">
        <v>2794717.953258271</v>
      </c>
      <c r="I5921" s="6" t="s">
        <v>179</v>
      </c>
      <c r="J5921" s="15">
        <v>13.29939623747558</v>
      </c>
    </row>
    <row r="5922" spans="1:10">
      <c r="A5922" s="6" t="s">
        <v>148</v>
      </c>
      <c r="B5922" s="6" t="s">
        <v>44</v>
      </c>
      <c r="C5922" s="6" t="s">
        <v>256</v>
      </c>
      <c r="D5922" s="6">
        <v>2.190833333333333</v>
      </c>
      <c r="E5922" s="6" t="s">
        <v>184</v>
      </c>
      <c r="F5922" s="6" t="s">
        <v>57</v>
      </c>
      <c r="G5922" s="7">
        <v>42467.27080588165</v>
      </c>
      <c r="H5922" s="6">
        <v>93038.71245721905</v>
      </c>
      <c r="I5922" s="6" t="s">
        <v>180</v>
      </c>
      <c r="J5922" s="15">
        <v>25.26666666666667</v>
      </c>
    </row>
    <row r="5923" spans="1:10">
      <c r="A5923" s="6" t="s">
        <v>148</v>
      </c>
      <c r="B5923" s="6" t="s">
        <v>88</v>
      </c>
      <c r="C5923" s="6" t="s">
        <v>257</v>
      </c>
      <c r="D5923" s="6">
        <v>15.38883333333333</v>
      </c>
      <c r="E5923" s="6" t="s">
        <v>184</v>
      </c>
      <c r="F5923" s="6" t="s">
        <v>52</v>
      </c>
      <c r="G5923" s="7">
        <v>44335.59781697809</v>
      </c>
      <c r="H5923" s="6">
        <v>682273.1255391729</v>
      </c>
      <c r="I5923" s="6" t="s">
        <v>180</v>
      </c>
      <c r="J5923" s="15">
        <v>23.08823420331521</v>
      </c>
    </row>
    <row r="5924" spans="1:10">
      <c r="A5924" s="6" t="s">
        <v>148</v>
      </c>
      <c r="B5924" s="6" t="s">
        <v>88</v>
      </c>
      <c r="C5924" s="6" t="s">
        <v>258</v>
      </c>
      <c r="D5924" s="6">
        <v>10.9775</v>
      </c>
      <c r="E5924" s="6" t="s">
        <v>184</v>
      </c>
      <c r="F5924" s="6" t="s">
        <v>52</v>
      </c>
      <c r="G5924" s="7">
        <v>44335.59781697809</v>
      </c>
      <c r="H5924" s="6">
        <v>486694.025035877</v>
      </c>
      <c r="I5924" s="6" t="s">
        <v>180</v>
      </c>
      <c r="J5924" s="15">
        <v>23.08823420331521</v>
      </c>
    </row>
    <row r="5925" spans="1:10">
      <c r="A5925" s="6" t="s">
        <v>148</v>
      </c>
      <c r="B5925" s="6" t="s">
        <v>44</v>
      </c>
      <c r="C5925" s="6" t="s">
        <v>259</v>
      </c>
      <c r="D5925" s="6">
        <v>56.19524999999999</v>
      </c>
      <c r="E5925" s="6" t="s">
        <v>184</v>
      </c>
      <c r="F5925" s="6" t="s">
        <v>56</v>
      </c>
      <c r="G5925" s="7">
        <v>42233.6310286505</v>
      </c>
      <c r="H5925" s="6">
        <v>2373329.454062772</v>
      </c>
      <c r="I5925" s="6" t="s">
        <v>179</v>
      </c>
      <c r="J5925" s="15">
        <v>38.91666666666667</v>
      </c>
    </row>
    <row r="5926" spans="1:10">
      <c r="A5926" s="6" t="s">
        <v>148</v>
      </c>
      <c r="B5926" s="6" t="s">
        <v>90</v>
      </c>
      <c r="C5926" s="6" t="s">
        <v>261</v>
      </c>
      <c r="D5926" s="6">
        <v>1.8495</v>
      </c>
      <c r="E5926" s="6" t="s">
        <v>184</v>
      </c>
      <c r="F5926" s="6" t="s">
        <v>54</v>
      </c>
      <c r="G5926" s="7">
        <v>59278.32258850268</v>
      </c>
      <c r="H5926" s="6">
        <v>109635.2576274357</v>
      </c>
      <c r="I5926" s="6" t="s">
        <v>180</v>
      </c>
      <c r="J5926" s="15">
        <v>12.23373267578856</v>
      </c>
    </row>
    <row r="5927" spans="1:10">
      <c r="A5927" s="6" t="s">
        <v>148</v>
      </c>
      <c r="B5927" s="6" t="s">
        <v>44</v>
      </c>
      <c r="C5927" s="6" t="s">
        <v>262</v>
      </c>
      <c r="D5927" s="6">
        <v>400.8158333333334</v>
      </c>
      <c r="E5927" s="6" t="s">
        <v>184</v>
      </c>
      <c r="F5927" s="6" t="s">
        <v>51</v>
      </c>
      <c r="G5927" s="7">
        <v>21698.35157241016</v>
      </c>
      <c r="H5927" s="6">
        <v>8697042.867455222</v>
      </c>
      <c r="I5927" s="6" t="s">
        <v>179</v>
      </c>
      <c r="J5927" s="15">
        <v>22.96666666666667</v>
      </c>
    </row>
    <row r="5928" spans="1:10">
      <c r="A5928" s="6" t="s">
        <v>148</v>
      </c>
      <c r="B5928" s="6" t="s">
        <v>90</v>
      </c>
      <c r="C5928" s="6" t="s">
        <v>263</v>
      </c>
      <c r="D5928" s="6">
        <v>305.4974999999999</v>
      </c>
      <c r="E5928" s="6" t="s">
        <v>184</v>
      </c>
      <c r="F5928" s="6" t="s">
        <v>54</v>
      </c>
      <c r="G5928" s="7">
        <v>65896.61824279206</v>
      </c>
      <c r="H5928" s="6">
        <v>20131252.13162736</v>
      </c>
      <c r="I5928" s="6" t="s">
        <v>179</v>
      </c>
      <c r="J5928" s="15">
        <v>46.91666666666666</v>
      </c>
    </row>
    <row r="5929" spans="1:10">
      <c r="A5929" s="6" t="s">
        <v>148</v>
      </c>
      <c r="B5929" s="6" t="s">
        <v>90</v>
      </c>
      <c r="C5929" s="6" t="s">
        <v>264</v>
      </c>
      <c r="D5929" s="6">
        <v>154.2485833333333</v>
      </c>
      <c r="E5929" s="6" t="s">
        <v>184</v>
      </c>
      <c r="F5929" s="6" t="s">
        <v>54</v>
      </c>
      <c r="G5929" s="7">
        <v>89766.53686395117</v>
      </c>
      <c r="H5929" s="6">
        <v>13846361.14200391</v>
      </c>
      <c r="I5929" s="6" t="s">
        <v>180</v>
      </c>
      <c r="J5929" s="15">
        <v>22.00286209871706</v>
      </c>
    </row>
    <row r="5930" spans="1:10">
      <c r="A5930" s="6" t="s">
        <v>148</v>
      </c>
      <c r="B5930" s="6" t="s">
        <v>86</v>
      </c>
      <c r="C5930" s="6" t="s">
        <v>265</v>
      </c>
      <c r="D5930" s="6">
        <v>502.2284166666668</v>
      </c>
      <c r="E5930" s="6" t="s">
        <v>184</v>
      </c>
      <c r="F5930" s="6" t="s">
        <v>54</v>
      </c>
      <c r="G5930" s="7">
        <v>88690.92662794892</v>
      </c>
      <c r="H5930" s="6">
        <v>44543103.6530543</v>
      </c>
      <c r="I5930" s="6" t="s">
        <v>179</v>
      </c>
      <c r="J5930" s="15">
        <v>70.31666666666666</v>
      </c>
    </row>
    <row r="5931" spans="1:10">
      <c r="A5931" s="6" t="s">
        <v>148</v>
      </c>
      <c r="B5931" s="6" t="s">
        <v>44</v>
      </c>
      <c r="C5931" s="6" t="s">
        <v>266</v>
      </c>
      <c r="D5931" s="6">
        <v>122.1058333333333</v>
      </c>
      <c r="E5931" s="6" t="s">
        <v>184</v>
      </c>
      <c r="F5931" s="6" t="s">
        <v>57</v>
      </c>
      <c r="G5931" s="7">
        <v>50415.37206732162</v>
      </c>
      <c r="H5931" s="6">
        <v>6156011.019090361</v>
      </c>
      <c r="I5931" s="6" t="s">
        <v>179</v>
      </c>
      <c r="J5931" s="15">
        <v>51.35</v>
      </c>
    </row>
    <row r="5932" spans="1:10">
      <c r="A5932" s="6" t="s">
        <v>148</v>
      </c>
      <c r="B5932" s="6" t="s">
        <v>44</v>
      </c>
      <c r="C5932" s="6" t="s">
        <v>354</v>
      </c>
      <c r="D5932" s="6">
        <v>0.1440833333333333</v>
      </c>
      <c r="E5932" s="6" t="s">
        <v>184</v>
      </c>
      <c r="F5932" s="6" t="s">
        <v>51</v>
      </c>
      <c r="G5932" s="7">
        <v>34245.1170714133</v>
      </c>
      <c r="H5932" s="6">
        <v>4934.150618039466</v>
      </c>
      <c r="I5932" s="6" t="s">
        <v>180</v>
      </c>
      <c r="J5932" s="15">
        <v>5.925840681598826</v>
      </c>
    </row>
    <row r="5933" spans="1:10">
      <c r="A5933" s="6" t="s">
        <v>148</v>
      </c>
      <c r="B5933" s="6" t="s">
        <v>90</v>
      </c>
      <c r="C5933" s="6" t="s">
        <v>355</v>
      </c>
      <c r="D5933" s="6">
        <v>2.770833333333333</v>
      </c>
      <c r="E5933" s="6" t="s">
        <v>184</v>
      </c>
      <c r="F5933" s="6" t="s">
        <v>52</v>
      </c>
      <c r="G5933" s="7">
        <v>59918.03179942394</v>
      </c>
      <c r="H5933" s="6">
        <v>166022.8797775705</v>
      </c>
      <c r="I5933" s="6" t="s">
        <v>180</v>
      </c>
      <c r="J5933" s="15">
        <v>12.43871031134531</v>
      </c>
    </row>
    <row r="5934" spans="1:10">
      <c r="A5934" s="6" t="s">
        <v>148</v>
      </c>
      <c r="B5934" s="6" t="s">
        <v>86</v>
      </c>
      <c r="C5934" s="6" t="s">
        <v>267</v>
      </c>
      <c r="D5934" s="6">
        <v>1858.644333333333</v>
      </c>
      <c r="E5934" s="6" t="s">
        <v>184</v>
      </c>
      <c r="F5934" s="6" t="s">
        <v>53</v>
      </c>
      <c r="G5934" s="7">
        <v>29372.68127915858</v>
      </c>
      <c r="H5934" s="6">
        <v>54593367.61431418</v>
      </c>
      <c r="I5934" s="6" t="s">
        <v>179</v>
      </c>
      <c r="J5934" s="15">
        <v>8</v>
      </c>
    </row>
    <row r="5935" spans="1:10">
      <c r="A5935" s="6" t="s">
        <v>148</v>
      </c>
      <c r="B5935" s="6" t="s">
        <v>44</v>
      </c>
      <c r="C5935" s="6" t="s">
        <v>268</v>
      </c>
      <c r="D5935" s="6">
        <v>4.0335</v>
      </c>
      <c r="E5935" s="6" t="s">
        <v>184</v>
      </c>
      <c r="F5935" s="6" t="s">
        <v>51</v>
      </c>
      <c r="G5935" s="7">
        <v>19920.3047306236</v>
      </c>
      <c r="H5935" s="6">
        <v>80348.54913097031</v>
      </c>
      <c r="I5935" s="6" t="s">
        <v>179</v>
      </c>
      <c r="J5935" s="15">
        <v>6.233478833728606</v>
      </c>
    </row>
    <row r="5936" spans="1:10">
      <c r="A5936" s="6" t="s">
        <v>148</v>
      </c>
      <c r="B5936" s="6" t="s">
        <v>88</v>
      </c>
      <c r="C5936" s="6" t="s">
        <v>269</v>
      </c>
      <c r="D5936" s="6">
        <v>16.59816666666667</v>
      </c>
      <c r="E5936" s="6" t="s">
        <v>184</v>
      </c>
      <c r="F5936" s="6" t="s">
        <v>52</v>
      </c>
      <c r="G5936" s="7">
        <v>44335.59781697809</v>
      </c>
      <c r="H5936" s="6">
        <v>735889.6418325051</v>
      </c>
      <c r="I5936" s="6" t="s">
        <v>180</v>
      </c>
      <c r="J5936" s="15">
        <v>23.08823420331521</v>
      </c>
    </row>
    <row r="5937" spans="1:10">
      <c r="A5937" s="6" t="s">
        <v>148</v>
      </c>
      <c r="B5937" s="6" t="s">
        <v>86</v>
      </c>
      <c r="C5937" s="6" t="s">
        <v>270</v>
      </c>
      <c r="D5937" s="6">
        <v>193.3921666666667</v>
      </c>
      <c r="E5937" s="6" t="s">
        <v>184</v>
      </c>
      <c r="F5937" s="6" t="s">
        <v>59</v>
      </c>
      <c r="G5937" s="7">
        <v>48832.25327446419</v>
      </c>
      <c r="H5937" s="6">
        <v>9443775.263964057</v>
      </c>
      <c r="I5937" s="6" t="s">
        <v>179</v>
      </c>
      <c r="J5937" s="15">
        <v>27.28333333333333</v>
      </c>
    </row>
    <row r="5938" spans="1:10">
      <c r="A5938" s="6" t="s">
        <v>148</v>
      </c>
      <c r="B5938" s="6" t="s">
        <v>88</v>
      </c>
      <c r="C5938" s="6" t="s">
        <v>271</v>
      </c>
      <c r="D5938" s="6">
        <v>541.7099166666667</v>
      </c>
      <c r="E5938" s="6" t="s">
        <v>184</v>
      </c>
      <c r="F5938" s="6" t="s">
        <v>54</v>
      </c>
      <c r="G5938" s="7">
        <v>41071.74894263604</v>
      </c>
      <c r="H5938" s="6">
        <v>22248973.69706963</v>
      </c>
      <c r="I5938" s="6" t="s">
        <v>180</v>
      </c>
      <c r="J5938" s="15">
        <v>20.89086954089749</v>
      </c>
    </row>
    <row r="5939" spans="1:10">
      <c r="A5939" s="6" t="s">
        <v>148</v>
      </c>
      <c r="B5939" s="6" t="s">
        <v>44</v>
      </c>
      <c r="C5939" s="6" t="s">
        <v>272</v>
      </c>
      <c r="D5939" s="6">
        <v>64.17033333333333</v>
      </c>
      <c r="E5939" s="6" t="s">
        <v>184</v>
      </c>
      <c r="F5939" s="6" t="s">
        <v>51</v>
      </c>
      <c r="G5939" s="7">
        <v>25556.23235325186</v>
      </c>
      <c r="H5939" s="6">
        <v>1639951.948852289</v>
      </c>
      <c r="I5939" s="6" t="s">
        <v>179</v>
      </c>
      <c r="J5939" s="15">
        <v>19</v>
      </c>
    </row>
    <row r="5940" spans="1:10">
      <c r="A5940" s="6" t="s">
        <v>148</v>
      </c>
      <c r="B5940" s="6" t="s">
        <v>44</v>
      </c>
      <c r="C5940" s="6" t="s">
        <v>273</v>
      </c>
      <c r="D5940" s="6">
        <v>766.9340833333333</v>
      </c>
      <c r="E5940" s="6" t="s">
        <v>184</v>
      </c>
      <c r="F5940" s="6" t="s">
        <v>51</v>
      </c>
      <c r="G5940" s="7">
        <v>40826.03765706107</v>
      </c>
      <c r="H5940" s="6">
        <v>31310879.76665028</v>
      </c>
      <c r="I5940" s="6" t="s">
        <v>179</v>
      </c>
      <c r="J5940" s="15">
        <v>26.31666666666667</v>
      </c>
    </row>
    <row r="5941" spans="1:10">
      <c r="A5941" s="6" t="s">
        <v>148</v>
      </c>
      <c r="B5941" s="6" t="s">
        <v>90</v>
      </c>
      <c r="C5941" s="6" t="s">
        <v>274</v>
      </c>
      <c r="D5941" s="6">
        <v>154.9899166666667</v>
      </c>
      <c r="E5941" s="6" t="s">
        <v>184</v>
      </c>
      <c r="F5941" s="6" t="s">
        <v>56</v>
      </c>
      <c r="G5941" s="7">
        <v>58346.71964656267</v>
      </c>
      <c r="H5941" s="6">
        <v>9043153.215794111</v>
      </c>
      <c r="I5941" s="6" t="s">
        <v>180</v>
      </c>
      <c r="J5941" s="15">
        <v>11.93522553370507</v>
      </c>
    </row>
    <row r="5942" spans="1:10">
      <c r="A5942" s="6" t="s">
        <v>148</v>
      </c>
      <c r="B5942" s="6" t="s">
        <v>90</v>
      </c>
      <c r="C5942" s="6" t="s">
        <v>275</v>
      </c>
      <c r="D5942" s="6">
        <v>12.629</v>
      </c>
      <c r="E5942" s="6" t="s">
        <v>184</v>
      </c>
      <c r="F5942" s="6" t="s">
        <v>51</v>
      </c>
      <c r="G5942" s="7">
        <v>54453.54162987976</v>
      </c>
      <c r="H5942" s="6">
        <v>687693.7772437516</v>
      </c>
      <c r="I5942" s="6" t="s">
        <v>180</v>
      </c>
      <c r="J5942" s="15">
        <v>10.68776119985255</v>
      </c>
    </row>
    <row r="5943" spans="1:10">
      <c r="A5943" s="6" t="s">
        <v>148</v>
      </c>
      <c r="B5943" s="6" t="s">
        <v>44</v>
      </c>
      <c r="C5943" s="6" t="s">
        <v>276</v>
      </c>
      <c r="D5943" s="6">
        <v>287.93125</v>
      </c>
      <c r="E5943" s="6" t="s">
        <v>184</v>
      </c>
      <c r="F5943" s="6" t="s">
        <v>51</v>
      </c>
      <c r="G5943" s="7">
        <v>39632.99974164585</v>
      </c>
      <c r="H5943" s="6">
        <v>11411579.15686177</v>
      </c>
      <c r="I5943" s="6" t="s">
        <v>179</v>
      </c>
      <c r="J5943" s="15">
        <v>46</v>
      </c>
    </row>
    <row r="5944" spans="1:10">
      <c r="A5944" s="6" t="s">
        <v>148</v>
      </c>
      <c r="B5944" s="6" t="s">
        <v>44</v>
      </c>
      <c r="C5944" s="6" t="s">
        <v>277</v>
      </c>
      <c r="D5944" s="6">
        <v>1.58275</v>
      </c>
      <c r="E5944" s="6" t="s">
        <v>184</v>
      </c>
      <c r="F5944" s="6" t="s">
        <v>57</v>
      </c>
      <c r="G5944" s="7">
        <v>40351.08108770724</v>
      </c>
      <c r="H5944" s="6">
        <v>63865.67359156864</v>
      </c>
      <c r="I5944" s="6" t="s">
        <v>180</v>
      </c>
      <c r="J5944" s="15">
        <v>8.187821936491906</v>
      </c>
    </row>
    <row r="5945" spans="1:10">
      <c r="A5945" s="6" t="s">
        <v>148</v>
      </c>
      <c r="B5945" s="6" t="s">
        <v>92</v>
      </c>
      <c r="C5945" s="6" t="s">
        <v>278</v>
      </c>
      <c r="D5945" s="6">
        <v>617.314</v>
      </c>
      <c r="E5945" s="6" t="s">
        <v>184</v>
      </c>
      <c r="F5945" s="6" t="s">
        <v>55</v>
      </c>
      <c r="G5945" s="7">
        <v>30336.77880022909</v>
      </c>
      <c r="H5945" s="6">
        <v>18727318.26828462</v>
      </c>
      <c r="I5945" s="6" t="s">
        <v>179</v>
      </c>
      <c r="J5945" s="15">
        <v>14</v>
      </c>
    </row>
    <row r="5946" spans="1:10">
      <c r="A5946" s="6" t="s">
        <v>148</v>
      </c>
      <c r="B5946" s="6" t="s">
        <v>44</v>
      </c>
      <c r="C5946" s="6" t="s">
        <v>279</v>
      </c>
      <c r="D5946" s="6">
        <v>133.3750833333333</v>
      </c>
      <c r="E5946" s="6" t="s">
        <v>184</v>
      </c>
      <c r="F5946" s="6" t="s">
        <v>52</v>
      </c>
      <c r="G5946" s="7">
        <v>53440.82611531692</v>
      </c>
      <c r="H5946" s="6">
        <v>7127674.63653257</v>
      </c>
      <c r="I5946" s="6" t="s">
        <v>179</v>
      </c>
      <c r="J5946" s="15">
        <v>43.65</v>
      </c>
    </row>
    <row r="5947" spans="1:10">
      <c r="A5947" s="6" t="s">
        <v>148</v>
      </c>
      <c r="B5947" s="6" t="s">
        <v>88</v>
      </c>
      <c r="C5947" s="6" t="s">
        <v>280</v>
      </c>
      <c r="D5947" s="6">
        <v>1057.197416666667</v>
      </c>
      <c r="E5947" s="6" t="s">
        <v>184</v>
      </c>
      <c r="F5947" s="6" t="s">
        <v>55</v>
      </c>
      <c r="G5947" s="7">
        <v>24869.46250635056</v>
      </c>
      <c r="H5947" s="6">
        <v>26291931.51560234</v>
      </c>
      <c r="I5947" s="6" t="s">
        <v>180</v>
      </c>
      <c r="J5947" s="15">
        <v>9.982787385089743</v>
      </c>
    </row>
    <row r="5948" spans="1:10">
      <c r="A5948" s="6" t="s">
        <v>148</v>
      </c>
      <c r="B5948" s="6" t="s">
        <v>92</v>
      </c>
      <c r="C5948" s="6" t="s">
        <v>281</v>
      </c>
      <c r="D5948" s="6">
        <v>673.41225</v>
      </c>
      <c r="E5948" s="6" t="s">
        <v>184</v>
      </c>
      <c r="F5948" s="6" t="s">
        <v>57</v>
      </c>
      <c r="G5948" s="7">
        <v>47725.16793448776</v>
      </c>
      <c r="H5948" s="6">
        <v>32138712.72039125</v>
      </c>
      <c r="I5948" s="6" t="s">
        <v>179</v>
      </c>
      <c r="J5948" s="15">
        <v>36</v>
      </c>
    </row>
    <row r="5949" spans="1:10">
      <c r="A5949" s="6" t="s">
        <v>148</v>
      </c>
      <c r="B5949" s="6" t="s">
        <v>90</v>
      </c>
      <c r="C5949" s="6" t="s">
        <v>282</v>
      </c>
      <c r="D5949" s="6">
        <v>3.067416666666666</v>
      </c>
      <c r="E5949" s="6" t="s">
        <v>184</v>
      </c>
      <c r="F5949" s="6" t="s">
        <v>56</v>
      </c>
      <c r="G5949" s="7">
        <v>55102.56172936118</v>
      </c>
      <c r="H5949" s="6">
        <v>169022.5162246713</v>
      </c>
      <c r="I5949" s="6" t="s">
        <v>180</v>
      </c>
      <c r="J5949" s="15">
        <v>10.89572225957987</v>
      </c>
    </row>
    <row r="5950" spans="1:10">
      <c r="A5950" s="6" t="s">
        <v>148</v>
      </c>
      <c r="B5950" s="6" t="s">
        <v>90</v>
      </c>
      <c r="C5950" s="6" t="s">
        <v>283</v>
      </c>
      <c r="D5950" s="6">
        <v>873.3798333333333</v>
      </c>
      <c r="E5950" s="6" t="s">
        <v>184</v>
      </c>
      <c r="F5950" s="6" t="s">
        <v>51</v>
      </c>
      <c r="G5950" s="7">
        <v>41673.53339700109</v>
      </c>
      <c r="H5950" s="6">
        <v>36396823.65268391</v>
      </c>
      <c r="I5950" s="6" t="s">
        <v>179</v>
      </c>
      <c r="J5950" s="15">
        <v>26.5</v>
      </c>
    </row>
    <row r="5951" spans="1:10">
      <c r="A5951" s="6" t="s">
        <v>148</v>
      </c>
      <c r="B5951" s="6" t="s">
        <v>92</v>
      </c>
      <c r="C5951" s="6" t="s">
        <v>284</v>
      </c>
      <c r="D5951" s="6">
        <v>444.5775</v>
      </c>
      <c r="E5951" s="6" t="s">
        <v>184</v>
      </c>
      <c r="F5951" s="6" t="s">
        <v>55</v>
      </c>
      <c r="G5951" s="7">
        <v>36138.38846146646</v>
      </c>
      <c r="H5951" s="6">
        <v>16066314.39622761</v>
      </c>
      <c r="I5951" s="6" t="s">
        <v>179</v>
      </c>
      <c r="J5951" s="15">
        <v>40.2</v>
      </c>
    </row>
    <row r="5952" spans="1:10">
      <c r="A5952" s="6" t="s">
        <v>148</v>
      </c>
      <c r="B5952" s="6" t="s">
        <v>44</v>
      </c>
      <c r="C5952" s="6" t="s">
        <v>285</v>
      </c>
      <c r="D5952" s="6">
        <v>6.180666666666667</v>
      </c>
      <c r="E5952" s="6" t="s">
        <v>184</v>
      </c>
      <c r="F5952" s="6" t="s">
        <v>52</v>
      </c>
      <c r="G5952" s="7">
        <v>109530.9227207585</v>
      </c>
      <c r="H5952" s="6">
        <v>676974.1230294346</v>
      </c>
      <c r="I5952" s="6" t="s">
        <v>179</v>
      </c>
      <c r="J5952" s="15">
        <v>68.40000000000001</v>
      </c>
    </row>
    <row r="5953" spans="1:10">
      <c r="A5953" s="6" t="s">
        <v>148</v>
      </c>
      <c r="B5953" s="6" t="s">
        <v>92</v>
      </c>
      <c r="C5953" s="6" t="s">
        <v>286</v>
      </c>
      <c r="D5953" s="6">
        <v>93.00383333333335</v>
      </c>
      <c r="E5953" s="6" t="s">
        <v>184</v>
      </c>
      <c r="F5953" s="6" t="s">
        <v>59</v>
      </c>
      <c r="G5953" s="7">
        <v>51919.2206470298</v>
      </c>
      <c r="H5953" s="6">
        <v>4828686.54385292</v>
      </c>
      <c r="I5953" s="6" t="s">
        <v>180</v>
      </c>
      <c r="J5953" s="15">
        <v>12.67933971949008</v>
      </c>
    </row>
    <row r="5954" spans="1:10">
      <c r="A5954" s="6" t="s">
        <v>148</v>
      </c>
      <c r="B5954" s="6" t="s">
        <v>90</v>
      </c>
      <c r="C5954" s="6" t="s">
        <v>287</v>
      </c>
      <c r="D5954" s="6">
        <v>3.40825</v>
      </c>
      <c r="E5954" s="6" t="s">
        <v>184</v>
      </c>
      <c r="F5954" s="6" t="s">
        <v>53</v>
      </c>
      <c r="G5954" s="7">
        <v>25443.86066146324</v>
      </c>
      <c r="H5954" s="6">
        <v>86719.03809943209</v>
      </c>
      <c r="I5954" s="6" t="s">
        <v>179</v>
      </c>
      <c r="J5954" s="15">
        <v>16</v>
      </c>
    </row>
    <row r="5955" spans="1:10">
      <c r="A5955" s="6" t="s">
        <v>148</v>
      </c>
      <c r="B5955" s="6" t="s">
        <v>90</v>
      </c>
      <c r="C5955" s="6" t="s">
        <v>376</v>
      </c>
      <c r="D5955" s="6">
        <v>1.600916666666667</v>
      </c>
      <c r="E5955" s="6" t="s">
        <v>184</v>
      </c>
      <c r="F5955" s="6" t="s">
        <v>54</v>
      </c>
      <c r="G5955" s="7">
        <v>76892.37004653887</v>
      </c>
      <c r="H5955" s="6">
        <v>123098.2767470048</v>
      </c>
      <c r="I5955" s="6" t="s">
        <v>180</v>
      </c>
      <c r="J5955" s="15">
        <v>17.87768111188072</v>
      </c>
    </row>
    <row r="5956" spans="1:10">
      <c r="A5956" s="6" t="s">
        <v>148</v>
      </c>
      <c r="B5956" s="6" t="s">
        <v>44</v>
      </c>
      <c r="C5956" s="6" t="s">
        <v>288</v>
      </c>
      <c r="D5956" s="6">
        <v>1.1365</v>
      </c>
      <c r="E5956" s="6" t="s">
        <v>184</v>
      </c>
      <c r="F5956" s="6" t="s">
        <v>58</v>
      </c>
      <c r="G5956" s="7">
        <v>43931.19520815281</v>
      </c>
      <c r="H5956" s="6">
        <v>49927.80335406567</v>
      </c>
      <c r="I5956" s="6" t="s">
        <v>180</v>
      </c>
      <c r="J5956" s="15">
        <v>17</v>
      </c>
    </row>
    <row r="5957" spans="1:10">
      <c r="A5957" s="6" t="s">
        <v>148</v>
      </c>
      <c r="B5957" s="6" t="s">
        <v>44</v>
      </c>
      <c r="C5957" s="6" t="s">
        <v>370</v>
      </c>
      <c r="D5957" s="6">
        <v>3.94725</v>
      </c>
      <c r="E5957" s="6" t="s">
        <v>184</v>
      </c>
      <c r="F5957" s="6" t="s">
        <v>55</v>
      </c>
      <c r="G5957" s="7">
        <v>52208.58507995072</v>
      </c>
      <c r="H5957" s="6">
        <v>206080.3374568355</v>
      </c>
      <c r="I5957" s="6" t="s">
        <v>180</v>
      </c>
      <c r="J5957" s="15">
        <v>12.58048649997455</v>
      </c>
    </row>
    <row r="5958" spans="1:10">
      <c r="A5958" s="6" t="s">
        <v>148</v>
      </c>
      <c r="B5958" s="6" t="s">
        <v>90</v>
      </c>
      <c r="C5958" s="6" t="s">
        <v>359</v>
      </c>
      <c r="D5958" s="6">
        <v>86.05874999999999</v>
      </c>
      <c r="E5958" s="6" t="s">
        <v>184</v>
      </c>
      <c r="F5958" s="6" t="s">
        <v>60</v>
      </c>
      <c r="G5958" s="7">
        <v>44402.32112778664</v>
      </c>
      <c r="H5958" s="6">
        <v>3821208.253355908</v>
      </c>
      <c r="I5958" s="6" t="s">
        <v>180</v>
      </c>
      <c r="J5958" s="15">
        <v>7.467117542069946</v>
      </c>
    </row>
    <row r="5959" spans="1:10">
      <c r="A5959" s="6" t="s">
        <v>148</v>
      </c>
      <c r="B5959" s="6" t="s">
        <v>44</v>
      </c>
      <c r="C5959" s="6" t="s">
        <v>289</v>
      </c>
      <c r="D5959" s="6">
        <v>535.361</v>
      </c>
      <c r="E5959" s="6" t="s">
        <v>184</v>
      </c>
      <c r="F5959" s="6" t="s">
        <v>52</v>
      </c>
      <c r="G5959" s="7">
        <v>53667.82982646869</v>
      </c>
      <c r="H5959" s="6">
        <v>28731663.0437281</v>
      </c>
      <c r="I5959" s="6" t="s">
        <v>179</v>
      </c>
      <c r="J5959" s="15">
        <v>70</v>
      </c>
    </row>
    <row r="5960" spans="1:10">
      <c r="A5960" s="6" t="s">
        <v>148</v>
      </c>
      <c r="B5960" s="6" t="s">
        <v>86</v>
      </c>
      <c r="C5960" s="6" t="s">
        <v>290</v>
      </c>
      <c r="D5960" s="6">
        <v>0.2633333333333333</v>
      </c>
      <c r="E5960" s="6" t="s">
        <v>184</v>
      </c>
      <c r="F5960" s="6" t="s">
        <v>53</v>
      </c>
      <c r="G5960" s="7">
        <v>34427.13805641644</v>
      </c>
      <c r="H5960" s="6">
        <v>9065.813021522994</v>
      </c>
      <c r="I5960" s="6" t="s">
        <v>180</v>
      </c>
      <c r="J5960" s="15">
        <v>3.585431064468892</v>
      </c>
    </row>
    <row r="5961" spans="1:10">
      <c r="A5961" s="6" t="s">
        <v>148</v>
      </c>
      <c r="B5961" s="6" t="s">
        <v>44</v>
      </c>
      <c r="C5961" s="6" t="s">
        <v>291</v>
      </c>
      <c r="D5961" s="6">
        <v>0.0495</v>
      </c>
      <c r="E5961" s="6" t="s">
        <v>184</v>
      </c>
      <c r="F5961" s="6" t="s">
        <v>51</v>
      </c>
      <c r="G5961" s="7">
        <v>35329.77696152869</v>
      </c>
      <c r="H5961" s="6">
        <v>1748.82395959567</v>
      </c>
      <c r="I5961" s="6" t="s">
        <v>180</v>
      </c>
      <c r="J5961" s="15">
        <v>6.327657713737932</v>
      </c>
    </row>
    <row r="5962" spans="1:10">
      <c r="A5962" s="6" t="s">
        <v>148</v>
      </c>
      <c r="B5962" s="6" t="s">
        <v>88</v>
      </c>
      <c r="C5962" s="6" t="s">
        <v>292</v>
      </c>
      <c r="D5962" s="6">
        <v>227.7583333333333</v>
      </c>
      <c r="E5962" s="6" t="s">
        <v>184</v>
      </c>
      <c r="F5962" s="6" t="s">
        <v>54</v>
      </c>
      <c r="G5962" s="7">
        <v>57587.50593880366</v>
      </c>
      <c r="H5962" s="6">
        <v>13116034.37344536</v>
      </c>
      <c r="I5962" s="6" t="s">
        <v>180</v>
      </c>
      <c r="J5962" s="15">
        <v>32.00999367735827</v>
      </c>
    </row>
    <row r="5963" spans="1:10">
      <c r="A5963" s="6" t="s">
        <v>148</v>
      </c>
      <c r="B5963" s="6" t="s">
        <v>44</v>
      </c>
      <c r="C5963" s="6" t="s">
        <v>293</v>
      </c>
      <c r="D5963" s="6">
        <v>248.6390833333333</v>
      </c>
      <c r="E5963" s="6" t="s">
        <v>184</v>
      </c>
      <c r="F5963" s="6" t="s">
        <v>53</v>
      </c>
      <c r="G5963" s="7">
        <v>36013.86577983866</v>
      </c>
      <c r="H5963" s="6">
        <v>8954454.574788785</v>
      </c>
      <c r="I5963" s="6" t="s">
        <v>179</v>
      </c>
      <c r="J5963" s="15">
        <v>16</v>
      </c>
    </row>
    <row r="5964" spans="1:10">
      <c r="A5964" s="6" t="s">
        <v>148</v>
      </c>
      <c r="B5964" s="6" t="s">
        <v>44</v>
      </c>
      <c r="C5964" s="6" t="s">
        <v>371</v>
      </c>
      <c r="D5964" s="6">
        <v>4.238</v>
      </c>
      <c r="E5964" s="6" t="s">
        <v>184</v>
      </c>
      <c r="F5964" s="6" t="s">
        <v>55</v>
      </c>
      <c r="G5964" s="7">
        <v>45569.36787795558</v>
      </c>
      <c r="H5964" s="6">
        <v>193122.9810667757</v>
      </c>
      <c r="I5964" s="6" t="s">
        <v>180</v>
      </c>
      <c r="J5964" s="15">
        <v>10.12095925448125</v>
      </c>
    </row>
    <row r="5965" spans="1:10">
      <c r="A5965" s="6" t="s">
        <v>148</v>
      </c>
      <c r="B5965" s="6" t="s">
        <v>90</v>
      </c>
      <c r="C5965" s="6" t="s">
        <v>294</v>
      </c>
      <c r="D5965" s="6">
        <v>1.371333333333333</v>
      </c>
      <c r="E5965" s="6" t="s">
        <v>184</v>
      </c>
      <c r="F5965" s="6" t="s">
        <v>54</v>
      </c>
      <c r="G5965" s="7">
        <v>73336.4313640656</v>
      </c>
      <c r="H5965" s="6">
        <v>100568.6928772553</v>
      </c>
      <c r="I5965" s="6" t="s">
        <v>180</v>
      </c>
      <c r="J5965" s="15">
        <v>16.73827606522132</v>
      </c>
    </row>
    <row r="5966" spans="1:10">
      <c r="A5966" s="6" t="s">
        <v>148</v>
      </c>
      <c r="B5966" s="6" t="s">
        <v>90</v>
      </c>
      <c r="C5966" s="6" t="s">
        <v>295</v>
      </c>
      <c r="D5966" s="6">
        <v>50.80308333333333</v>
      </c>
      <c r="E5966" s="6" t="s">
        <v>184</v>
      </c>
      <c r="F5966" s="6" t="s">
        <v>53</v>
      </c>
      <c r="G5966" s="7">
        <v>29529.16394109224</v>
      </c>
      <c r="H5966" s="6">
        <v>1500172.576462971</v>
      </c>
      <c r="I5966" s="6" t="s">
        <v>179</v>
      </c>
      <c r="J5966" s="15">
        <v>15</v>
      </c>
    </row>
    <row r="5967" spans="1:10">
      <c r="A5967" s="6" t="s">
        <v>148</v>
      </c>
      <c r="B5967" s="6" t="s">
        <v>90</v>
      </c>
      <c r="C5967" s="6" t="s">
        <v>296</v>
      </c>
      <c r="D5967" s="6">
        <v>307.5804166666666</v>
      </c>
      <c r="E5967" s="6" t="s">
        <v>184</v>
      </c>
      <c r="F5967" s="6" t="s">
        <v>61</v>
      </c>
      <c r="G5967" s="7">
        <v>58003.92647416519</v>
      </c>
      <c r="H5967" s="6">
        <v>17840871.87322643</v>
      </c>
      <c r="I5967" s="6" t="s">
        <v>179</v>
      </c>
      <c r="J5967" s="15">
        <v>13</v>
      </c>
    </row>
    <row r="5968" spans="1:10">
      <c r="A5968" s="6" t="s">
        <v>148</v>
      </c>
      <c r="B5968" s="6" t="s">
        <v>88</v>
      </c>
      <c r="C5968" s="6" t="s">
        <v>297</v>
      </c>
      <c r="D5968" s="6">
        <v>11.19316666666666</v>
      </c>
      <c r="E5968" s="6" t="s">
        <v>184</v>
      </c>
      <c r="F5968" s="6" t="s">
        <v>52</v>
      </c>
      <c r="G5968" s="7">
        <v>44335.59781697809</v>
      </c>
      <c r="H5968" s="6">
        <v>496255.7356317384</v>
      </c>
      <c r="I5968" s="6" t="s">
        <v>180</v>
      </c>
      <c r="J5968" s="15">
        <v>23.08823420331521</v>
      </c>
    </row>
    <row r="5969" spans="1:10">
      <c r="A5969" s="6" t="s">
        <v>148</v>
      </c>
      <c r="B5969" s="6" t="s">
        <v>44</v>
      </c>
      <c r="C5969" s="6" t="s">
        <v>298</v>
      </c>
      <c r="D5969" s="6">
        <v>326.3609166666666</v>
      </c>
      <c r="E5969" s="6" t="s">
        <v>184</v>
      </c>
      <c r="F5969" s="6" t="s">
        <v>56</v>
      </c>
      <c r="G5969" s="7">
        <v>36500.00929252619</v>
      </c>
      <c r="H5969" s="6">
        <v>11912176.4910507</v>
      </c>
      <c r="I5969" s="6" t="s">
        <v>179</v>
      </c>
      <c r="J5969" s="15">
        <v>21</v>
      </c>
    </row>
    <row r="5970" spans="1:10">
      <c r="A5970" s="6" t="s">
        <v>148</v>
      </c>
      <c r="B5970" s="6" t="s">
        <v>90</v>
      </c>
      <c r="C5970" s="6" t="s">
        <v>299</v>
      </c>
      <c r="D5970" s="6">
        <v>3.746583333333334</v>
      </c>
      <c r="E5970" s="6" t="s">
        <v>184</v>
      </c>
      <c r="F5970" s="6" t="s">
        <v>53</v>
      </c>
      <c r="G5970" s="7">
        <v>25973.79370043561</v>
      </c>
      <c r="H5970" s="6">
        <v>97312.98258149039</v>
      </c>
      <c r="I5970" s="6" t="s">
        <v>179</v>
      </c>
      <c r="J5970" s="15">
        <v>14</v>
      </c>
    </row>
    <row r="5971" spans="1:10">
      <c r="A5971" s="6" t="s">
        <v>148</v>
      </c>
      <c r="B5971" s="6" t="s">
        <v>86</v>
      </c>
      <c r="C5971" s="6" t="s">
        <v>300</v>
      </c>
      <c r="D5971" s="6">
        <v>540.0613333333333</v>
      </c>
      <c r="E5971" s="6" t="s">
        <v>184</v>
      </c>
      <c r="F5971" s="6" t="s">
        <v>52</v>
      </c>
      <c r="G5971" s="7">
        <v>60613.11558221976</v>
      </c>
      <c r="H5971" s="6">
        <v>32734800.01882105</v>
      </c>
      <c r="I5971" s="6" t="s">
        <v>179</v>
      </c>
      <c r="J5971" s="15">
        <v>39.13333333333333</v>
      </c>
    </row>
    <row r="5972" spans="1:10">
      <c r="A5972" s="6" t="s">
        <v>148</v>
      </c>
      <c r="B5972" s="6" t="s">
        <v>44</v>
      </c>
      <c r="C5972" s="6" t="s">
        <v>301</v>
      </c>
      <c r="D5972" s="6">
        <v>140.293</v>
      </c>
      <c r="E5972" s="6" t="s">
        <v>184</v>
      </c>
      <c r="F5972" s="6" t="s">
        <v>59</v>
      </c>
      <c r="G5972" s="7">
        <v>69390.77724405598</v>
      </c>
      <c r="H5972" s="6">
        <v>9735040.311900346</v>
      </c>
      <c r="I5972" s="6" t="s">
        <v>179</v>
      </c>
      <c r="J5972" s="15">
        <v>26.65</v>
      </c>
    </row>
    <row r="5973" spans="1:10">
      <c r="A5973" s="6" t="s">
        <v>148</v>
      </c>
      <c r="B5973" s="6" t="s">
        <v>88</v>
      </c>
      <c r="C5973" s="6" t="s">
        <v>302</v>
      </c>
      <c r="D5973" s="6">
        <v>364.9715</v>
      </c>
      <c r="E5973" s="6" t="s">
        <v>184</v>
      </c>
      <c r="F5973" s="6" t="s">
        <v>52</v>
      </c>
      <c r="G5973" s="7">
        <v>33240.74338740388</v>
      </c>
      <c r="H5973" s="6">
        <v>12131923.97521588</v>
      </c>
      <c r="I5973" s="6" t="s">
        <v>179</v>
      </c>
      <c r="J5973" s="15">
        <v>34</v>
      </c>
    </row>
    <row r="5974" spans="1:10">
      <c r="A5974" s="6" t="s">
        <v>148</v>
      </c>
      <c r="B5974" s="6" t="s">
        <v>90</v>
      </c>
      <c r="C5974" s="6" t="s">
        <v>303</v>
      </c>
      <c r="D5974" s="6">
        <v>1.857083333333333</v>
      </c>
      <c r="E5974" s="6" t="s">
        <v>184</v>
      </c>
      <c r="F5974" s="6" t="s">
        <v>53</v>
      </c>
      <c r="G5974" s="7">
        <v>31792.00581425614</v>
      </c>
      <c r="H5974" s="6">
        <v>59040.40413089151</v>
      </c>
      <c r="I5974" s="6" t="s">
        <v>180</v>
      </c>
      <c r="J5974" s="15">
        <v>14</v>
      </c>
    </row>
    <row r="5975" spans="1:10">
      <c r="A5975" s="6" t="s">
        <v>148</v>
      </c>
      <c r="B5975" s="6" t="s">
        <v>88</v>
      </c>
      <c r="C5975" s="6" t="s">
        <v>305</v>
      </c>
      <c r="D5975" s="6">
        <v>634.7049999999999</v>
      </c>
      <c r="E5975" s="6" t="s">
        <v>184</v>
      </c>
      <c r="F5975" s="6" t="s">
        <v>54</v>
      </c>
      <c r="G5975" s="7">
        <v>54240.54060127008</v>
      </c>
      <c r="H5975" s="6">
        <v>34426742.32232912</v>
      </c>
      <c r="I5975" s="6" t="s">
        <v>180</v>
      </c>
      <c r="J5975" s="15">
        <v>29.75667140595994</v>
      </c>
    </row>
    <row r="5976" spans="1:10">
      <c r="A5976" s="6" t="s">
        <v>148</v>
      </c>
      <c r="B5976" s="6" t="s">
        <v>44</v>
      </c>
      <c r="C5976" s="6" t="s">
        <v>306</v>
      </c>
      <c r="D5976" s="6">
        <v>25.7755</v>
      </c>
      <c r="E5976" s="6" t="s">
        <v>184</v>
      </c>
      <c r="F5976" s="6" t="s">
        <v>57</v>
      </c>
      <c r="G5976" s="7">
        <v>40370.17715309708</v>
      </c>
      <c r="H5976" s="6">
        <v>1040561.501209654</v>
      </c>
      <c r="I5976" s="6" t="s">
        <v>180</v>
      </c>
      <c r="J5976" s="15">
        <v>8.194896157997103</v>
      </c>
    </row>
    <row r="5977" spans="1:10">
      <c r="A5977" s="6" t="s">
        <v>148</v>
      </c>
      <c r="B5977" s="6" t="s">
        <v>90</v>
      </c>
      <c r="C5977" s="6" t="s">
        <v>307</v>
      </c>
      <c r="D5977" s="6">
        <v>1.603833333333333</v>
      </c>
      <c r="E5977" s="6" t="s">
        <v>184</v>
      </c>
      <c r="F5977" s="6" t="s">
        <v>53</v>
      </c>
      <c r="G5977" s="7">
        <v>34610.3479059413</v>
      </c>
      <c r="H5977" s="6">
        <v>55509.22964981219</v>
      </c>
      <c r="I5977" s="6" t="s">
        <v>180</v>
      </c>
      <c r="J5977" s="15">
        <v>13.5</v>
      </c>
    </row>
    <row r="5978" spans="1:10">
      <c r="A5978" s="6" t="s">
        <v>148</v>
      </c>
      <c r="B5978" s="6" t="s">
        <v>90</v>
      </c>
      <c r="C5978" s="6" t="s">
        <v>308</v>
      </c>
      <c r="D5978" s="6">
        <v>2.161166666666667</v>
      </c>
      <c r="E5978" s="6" t="s">
        <v>184</v>
      </c>
      <c r="F5978" s="6" t="s">
        <v>54</v>
      </c>
      <c r="G5978" s="7">
        <v>61958.4525384317</v>
      </c>
      <c r="H5978" s="6">
        <v>133902.5423443073</v>
      </c>
      <c r="I5978" s="6" t="s">
        <v>180</v>
      </c>
      <c r="J5978" s="15">
        <v>13.09250833626427</v>
      </c>
    </row>
    <row r="5979" spans="1:10">
      <c r="A5979" s="6" t="s">
        <v>148</v>
      </c>
      <c r="B5979" s="6" t="s">
        <v>90</v>
      </c>
      <c r="C5979" s="6" t="s">
        <v>309</v>
      </c>
      <c r="D5979" s="6">
        <v>292.5745833333334</v>
      </c>
      <c r="E5979" s="6" t="s">
        <v>184</v>
      </c>
      <c r="F5979" s="6" t="s">
        <v>52</v>
      </c>
      <c r="G5979" s="7">
        <v>73075.41331885532</v>
      </c>
      <c r="H5979" s="6">
        <v>21380008.60367522</v>
      </c>
      <c r="I5979" s="6" t="s">
        <v>179</v>
      </c>
      <c r="J5979" s="15">
        <v>52</v>
      </c>
    </row>
    <row r="5980" spans="1:10">
      <c r="A5980" s="6" t="s">
        <v>148</v>
      </c>
      <c r="B5980" s="6" t="s">
        <v>44</v>
      </c>
      <c r="C5980" s="6" t="s">
        <v>311</v>
      </c>
      <c r="D5980" s="6">
        <v>59.3705</v>
      </c>
      <c r="E5980" s="6" t="s">
        <v>184</v>
      </c>
      <c r="F5980" s="6" t="s">
        <v>51</v>
      </c>
      <c r="G5980" s="7">
        <v>22378.64345356504</v>
      </c>
      <c r="H5980" s="6">
        <v>1328631.251159883</v>
      </c>
      <c r="I5980" s="6" t="s">
        <v>179</v>
      </c>
      <c r="J5980" s="15">
        <v>31</v>
      </c>
    </row>
    <row r="5981" spans="1:10">
      <c r="A5981" s="6" t="s">
        <v>148</v>
      </c>
      <c r="B5981" s="6" t="s">
        <v>86</v>
      </c>
      <c r="C5981" s="6" t="s">
        <v>312</v>
      </c>
      <c r="D5981" s="6">
        <v>341.13025</v>
      </c>
      <c r="E5981" s="6" t="s">
        <v>184</v>
      </c>
      <c r="F5981" s="6" t="s">
        <v>54</v>
      </c>
      <c r="G5981" s="7">
        <v>81169.23103268788</v>
      </c>
      <c r="H5981" s="6">
        <v>27689280.07448857</v>
      </c>
      <c r="I5981" s="6" t="s">
        <v>179</v>
      </c>
      <c r="J5981" s="15">
        <v>47.825</v>
      </c>
    </row>
    <row r="5982" spans="1:10">
      <c r="A5982" s="6" t="s">
        <v>148</v>
      </c>
      <c r="B5982" s="6" t="s">
        <v>44</v>
      </c>
      <c r="C5982" s="6" t="s">
        <v>313</v>
      </c>
      <c r="D5982" s="6">
        <v>54.52058333333333</v>
      </c>
      <c r="E5982" s="6" t="s">
        <v>184</v>
      </c>
      <c r="F5982" s="6" t="s">
        <v>51</v>
      </c>
      <c r="G5982" s="7">
        <v>28821.66810714348</v>
      </c>
      <c r="H5982" s="6">
        <v>1571374.157841192</v>
      </c>
      <c r="I5982" s="6" t="s">
        <v>179</v>
      </c>
      <c r="J5982" s="15">
        <v>17</v>
      </c>
    </row>
    <row r="5983" spans="1:10">
      <c r="A5983" s="6" t="s">
        <v>148</v>
      </c>
      <c r="B5983" s="6" t="s">
        <v>44</v>
      </c>
      <c r="C5983" s="6" t="s">
        <v>314</v>
      </c>
      <c r="D5983" s="6">
        <v>40.266</v>
      </c>
      <c r="E5983" s="6" t="s">
        <v>184</v>
      </c>
      <c r="F5983" s="6" t="s">
        <v>51</v>
      </c>
      <c r="G5983" s="7">
        <v>57290.59885869359</v>
      </c>
      <c r="H5983" s="6">
        <v>2306863.253644156</v>
      </c>
      <c r="I5983" s="6" t="s">
        <v>179</v>
      </c>
      <c r="J5983" s="15">
        <v>17.49166666666667</v>
      </c>
    </row>
    <row r="5984" spans="1:10">
      <c r="A5984" s="6" t="s">
        <v>148</v>
      </c>
      <c r="B5984" s="6" t="s">
        <v>86</v>
      </c>
      <c r="C5984" s="6" t="s">
        <v>315</v>
      </c>
      <c r="D5984" s="6">
        <v>55.99258333333333</v>
      </c>
      <c r="E5984" s="6" t="s">
        <v>184</v>
      </c>
      <c r="F5984" s="6" t="s">
        <v>51</v>
      </c>
      <c r="G5984" s="7">
        <v>37464.72792440534</v>
      </c>
      <c r="H5984" s="6">
        <v>2097746.900367926</v>
      </c>
      <c r="I5984" s="6" t="s">
        <v>179</v>
      </c>
      <c r="J5984" s="15">
        <v>14</v>
      </c>
    </row>
    <row r="5985" spans="1:10">
      <c r="A5985" s="6" t="s">
        <v>148</v>
      </c>
      <c r="B5985" s="6" t="s">
        <v>44</v>
      </c>
      <c r="C5985" s="6" t="s">
        <v>316</v>
      </c>
      <c r="D5985" s="6">
        <v>11.80166666666667</v>
      </c>
      <c r="E5985" s="6" t="s">
        <v>184</v>
      </c>
      <c r="F5985" s="6" t="s">
        <v>54</v>
      </c>
      <c r="G5985" s="7">
        <v>78233.00759152489</v>
      </c>
      <c r="H5985" s="6">
        <v>923279.8779259796</v>
      </c>
      <c r="I5985" s="6" t="s">
        <v>180</v>
      </c>
      <c r="J5985" s="15">
        <v>22.22134840703962</v>
      </c>
    </row>
    <row r="5986" spans="1:10">
      <c r="A5986" s="6" t="s">
        <v>148</v>
      </c>
      <c r="B5986" s="6" t="s">
        <v>44</v>
      </c>
      <c r="C5986" s="6" t="s">
        <v>317</v>
      </c>
      <c r="D5986" s="6">
        <v>2.786</v>
      </c>
      <c r="E5986" s="6" t="s">
        <v>184</v>
      </c>
      <c r="F5986" s="6" t="s">
        <v>51</v>
      </c>
      <c r="G5986" s="7">
        <v>21140.95965465714</v>
      </c>
      <c r="H5986" s="6">
        <v>58898.7135978748</v>
      </c>
      <c r="I5986" s="6" t="s">
        <v>179</v>
      </c>
      <c r="J5986" s="15">
        <v>17</v>
      </c>
    </row>
    <row r="5987" spans="1:10">
      <c r="A5987" s="6" t="s">
        <v>148</v>
      </c>
      <c r="B5987" s="6" t="s">
        <v>44</v>
      </c>
      <c r="C5987" s="6" t="s">
        <v>320</v>
      </c>
      <c r="D5987" s="6">
        <v>74.08541666666666</v>
      </c>
      <c r="E5987" s="6" t="s">
        <v>184</v>
      </c>
      <c r="F5987" s="6" t="s">
        <v>51</v>
      </c>
      <c r="G5987" s="7">
        <v>19671.04087638638</v>
      </c>
      <c r="H5987" s="6">
        <v>1457337.259594117</v>
      </c>
      <c r="I5987" s="6" t="s">
        <v>179</v>
      </c>
      <c r="J5987" s="15">
        <v>13.5</v>
      </c>
    </row>
    <row r="5988" spans="1:10">
      <c r="A5988" s="6" t="s">
        <v>148</v>
      </c>
      <c r="B5988" s="6" t="s">
        <v>90</v>
      </c>
      <c r="C5988" s="6" t="s">
        <v>321</v>
      </c>
      <c r="D5988" s="6">
        <v>27.29666666666667</v>
      </c>
      <c r="E5988" s="6" t="s">
        <v>184</v>
      </c>
      <c r="F5988" s="6" t="s">
        <v>54</v>
      </c>
      <c r="G5988" s="7">
        <v>49362.0809529337</v>
      </c>
      <c r="H5988" s="6">
        <v>1347420.269745247</v>
      </c>
      <c r="I5988" s="6" t="s">
        <v>180</v>
      </c>
      <c r="J5988" s="15">
        <v>9.05633937056912</v>
      </c>
    </row>
    <row r="5989" spans="1:10">
      <c r="A5989" s="6" t="s">
        <v>148</v>
      </c>
      <c r="B5989" s="6" t="s">
        <v>44</v>
      </c>
      <c r="C5989" s="6" t="s">
        <v>322</v>
      </c>
      <c r="D5989" s="6">
        <v>48.17083333333333</v>
      </c>
      <c r="E5989" s="6" t="s">
        <v>184</v>
      </c>
      <c r="F5989" s="6" t="s">
        <v>51</v>
      </c>
      <c r="G5989" s="7">
        <v>17287.61454620521</v>
      </c>
      <c r="H5989" s="6">
        <v>832758.79903616</v>
      </c>
      <c r="I5989" s="6" t="s">
        <v>179</v>
      </c>
      <c r="J5989" s="15">
        <v>34.25833333333333</v>
      </c>
    </row>
    <row r="5990" spans="1:10">
      <c r="A5990" s="6" t="s">
        <v>148</v>
      </c>
      <c r="B5990" s="6" t="s">
        <v>44</v>
      </c>
      <c r="C5990" s="6" t="s">
        <v>323</v>
      </c>
      <c r="D5990" s="6">
        <v>420.2498333333334</v>
      </c>
      <c r="E5990" s="6" t="s">
        <v>184</v>
      </c>
      <c r="F5990" s="6" t="s">
        <v>55</v>
      </c>
      <c r="G5990" s="7">
        <v>44740.69956922525</v>
      </c>
      <c r="H5990" s="6">
        <v>18802271.53718365</v>
      </c>
      <c r="I5990" s="6" t="s">
        <v>179</v>
      </c>
      <c r="J5990" s="15">
        <v>49</v>
      </c>
    </row>
    <row r="5991" spans="1:10">
      <c r="A5991" s="6" t="s">
        <v>148</v>
      </c>
      <c r="B5991" s="6" t="s">
        <v>44</v>
      </c>
      <c r="C5991" s="6" t="s">
        <v>324</v>
      </c>
      <c r="D5991" s="6">
        <v>317.9945</v>
      </c>
      <c r="E5991" s="6" t="s">
        <v>184</v>
      </c>
      <c r="F5991" s="6" t="s">
        <v>51</v>
      </c>
      <c r="G5991" s="7">
        <v>24363.28610429227</v>
      </c>
      <c r="H5991" s="6">
        <v>7747390.98309137</v>
      </c>
      <c r="I5991" s="6" t="s">
        <v>179</v>
      </c>
      <c r="J5991" s="15">
        <v>23</v>
      </c>
    </row>
    <row r="5992" spans="1:10">
      <c r="A5992" s="6" t="s">
        <v>148</v>
      </c>
      <c r="B5992" s="6" t="s">
        <v>88</v>
      </c>
      <c r="C5992" s="6" t="s">
        <v>372</v>
      </c>
      <c r="D5992" s="6">
        <v>5.608166666666667</v>
      </c>
      <c r="E5992" s="6" t="s">
        <v>184</v>
      </c>
      <c r="F5992" s="6" t="s">
        <v>55</v>
      </c>
      <c r="G5992" s="7">
        <v>26107.48186832325</v>
      </c>
      <c r="H5992" s="6">
        <v>146415.1095645349</v>
      </c>
      <c r="I5992" s="6" t="s">
        <v>180</v>
      </c>
      <c r="J5992" s="15">
        <v>10.81627573032942</v>
      </c>
    </row>
    <row r="5993" spans="1:10">
      <c r="A5993" s="6" t="s">
        <v>148</v>
      </c>
      <c r="B5993" s="6" t="s">
        <v>90</v>
      </c>
      <c r="C5993" s="6" t="s">
        <v>325</v>
      </c>
      <c r="D5993" s="6">
        <v>2.829333333333333</v>
      </c>
      <c r="E5993" s="6" t="s">
        <v>184</v>
      </c>
      <c r="F5993" s="6" t="s">
        <v>53</v>
      </c>
      <c r="G5993" s="7">
        <v>27183.84720656899</v>
      </c>
      <c r="H5993" s="6">
        <v>76912.16502978586</v>
      </c>
      <c r="I5993" s="6" t="s">
        <v>179</v>
      </c>
      <c r="J5993" s="15">
        <v>16</v>
      </c>
    </row>
    <row r="5994" spans="1:10">
      <c r="A5994" s="6" t="s">
        <v>148</v>
      </c>
      <c r="B5994" s="6" t="s">
        <v>90</v>
      </c>
      <c r="C5994" s="6" t="s">
        <v>364</v>
      </c>
      <c r="D5994" s="6">
        <v>83.93525</v>
      </c>
      <c r="E5994" s="6" t="s">
        <v>184</v>
      </c>
      <c r="F5994" s="6" t="s">
        <v>52</v>
      </c>
      <c r="G5994" s="7">
        <v>51274.29567237874</v>
      </c>
      <c r="H5994" s="6">
        <v>4303720.825835028</v>
      </c>
      <c r="I5994" s="6" t="s">
        <v>179</v>
      </c>
      <c r="J5994" s="15">
        <v>65</v>
      </c>
    </row>
    <row r="5995" spans="1:10">
      <c r="A5995" s="6" t="s">
        <v>148</v>
      </c>
      <c r="B5995" s="6" t="s">
        <v>90</v>
      </c>
      <c r="C5995" s="6" t="s">
        <v>326</v>
      </c>
      <c r="D5995" s="6">
        <v>721.19125</v>
      </c>
      <c r="E5995" s="6" t="s">
        <v>184</v>
      </c>
      <c r="F5995" s="6" t="s">
        <v>54</v>
      </c>
      <c r="G5995" s="7">
        <v>73204.69251441542</v>
      </c>
      <c r="H5995" s="6">
        <v>52794583.7003369</v>
      </c>
      <c r="I5995" s="6" t="s">
        <v>179</v>
      </c>
      <c r="J5995" s="15">
        <v>50.55</v>
      </c>
    </row>
    <row r="5996" spans="1:10">
      <c r="A5996" s="6" t="s">
        <v>148</v>
      </c>
      <c r="B5996" s="6" t="s">
        <v>44</v>
      </c>
      <c r="C5996" s="6" t="s">
        <v>373</v>
      </c>
      <c r="D5996" s="6">
        <v>2.0795</v>
      </c>
      <c r="E5996" s="6" t="s">
        <v>184</v>
      </c>
      <c r="F5996" s="6" t="s">
        <v>55</v>
      </c>
      <c r="G5996" s="7">
        <v>50189.50053381042</v>
      </c>
      <c r="H5996" s="6">
        <v>104369.0663600588</v>
      </c>
      <c r="I5996" s="6" t="s">
        <v>180</v>
      </c>
      <c r="J5996" s="15">
        <v>11.83250773966314</v>
      </c>
    </row>
    <row r="5997" spans="1:10">
      <c r="A5997" s="6" t="s">
        <v>148</v>
      </c>
      <c r="B5997" s="6" t="s">
        <v>92</v>
      </c>
      <c r="C5997" s="6" t="s">
        <v>374</v>
      </c>
      <c r="D5997" s="6">
        <v>0.25875</v>
      </c>
      <c r="E5997" s="6" t="s">
        <v>184</v>
      </c>
      <c r="F5997" s="6" t="s">
        <v>55</v>
      </c>
      <c r="G5997" s="7">
        <v>29054.37866544401</v>
      </c>
      <c r="H5997" s="6">
        <v>7517.820479683636</v>
      </c>
      <c r="I5997" s="6" t="s">
        <v>180</v>
      </c>
      <c r="J5997" s="15">
        <v>15.81666666666667</v>
      </c>
    </row>
    <row r="5998" spans="1:10">
      <c r="A5998" s="6" t="s">
        <v>148</v>
      </c>
      <c r="B5998" s="6" t="s">
        <v>44</v>
      </c>
      <c r="C5998" s="6" t="s">
        <v>327</v>
      </c>
      <c r="D5998" s="6">
        <v>453.1345</v>
      </c>
      <c r="E5998" s="6" t="s">
        <v>184</v>
      </c>
      <c r="F5998" s="6" t="s">
        <v>57</v>
      </c>
      <c r="G5998" s="7">
        <v>40979.35428179214</v>
      </c>
      <c r="H5998" s="6">
        <v>18569159.21280274</v>
      </c>
      <c r="I5998" s="6" t="s">
        <v>179</v>
      </c>
      <c r="J5998" s="15">
        <v>43.75</v>
      </c>
    </row>
    <row r="5999" spans="1:10">
      <c r="A5999" s="6" t="s">
        <v>148</v>
      </c>
      <c r="B5999" s="6" t="s">
        <v>90</v>
      </c>
      <c r="C5999" s="6" t="s">
        <v>328</v>
      </c>
      <c r="D5999" s="6">
        <v>2.844166666666667</v>
      </c>
      <c r="E5999" s="6" t="s">
        <v>184</v>
      </c>
      <c r="F5999" s="6" t="s">
        <v>58</v>
      </c>
      <c r="G5999" s="7">
        <v>61261.16637247237</v>
      </c>
      <c r="H5999" s="6">
        <v>174236.9673577068</v>
      </c>
      <c r="I5999" s="6" t="s">
        <v>180</v>
      </c>
      <c r="J5999" s="15">
        <v>12.86908171184699</v>
      </c>
    </row>
    <row r="6000" spans="1:10">
      <c r="A6000" s="6" t="s">
        <v>148</v>
      </c>
      <c r="B6000" s="6" t="s">
        <v>44</v>
      </c>
      <c r="C6000" s="6" t="s">
        <v>329</v>
      </c>
      <c r="D6000" s="6">
        <v>374.0592142386829</v>
      </c>
      <c r="E6000" s="6" t="s">
        <v>184</v>
      </c>
      <c r="F6000" s="6" t="s">
        <v>58</v>
      </c>
      <c r="G6000" s="7">
        <v>61073.72389180421</v>
      </c>
      <c r="H6000" s="6">
        <v>22845189.16959856</v>
      </c>
      <c r="I6000" s="6" t="s">
        <v>179</v>
      </c>
      <c r="J6000" s="15">
        <v>26</v>
      </c>
    </row>
    <row r="6001" spans="1:10">
      <c r="A6001" s="6" t="s">
        <v>148</v>
      </c>
      <c r="B6001" s="6" t="s">
        <v>90</v>
      </c>
      <c r="C6001" s="6" t="s">
        <v>329</v>
      </c>
      <c r="D6001" s="6">
        <v>1280.55561909465</v>
      </c>
      <c r="E6001" s="6" t="s">
        <v>184</v>
      </c>
      <c r="F6001" s="6" t="s">
        <v>58</v>
      </c>
      <c r="G6001" s="7">
        <v>59375.40509749136</v>
      </c>
      <c r="H6001" s="6">
        <v>76033508.63361372</v>
      </c>
      <c r="I6001" s="6" t="s">
        <v>180</v>
      </c>
      <c r="J6001" s="15">
        <v>12.2648401583864</v>
      </c>
    </row>
    <row r="6002" spans="1:10">
      <c r="A6002" s="6" t="s">
        <v>148</v>
      </c>
      <c r="B6002" s="6" t="s">
        <v>90</v>
      </c>
      <c r="C6002" s="6" t="s">
        <v>330</v>
      </c>
      <c r="D6002" s="6">
        <v>56.92658333333333</v>
      </c>
      <c r="E6002" s="6" t="s">
        <v>184</v>
      </c>
      <c r="F6002" s="6" t="s">
        <v>52</v>
      </c>
      <c r="G6002" s="7">
        <v>59918.03179942394</v>
      </c>
      <c r="H6002" s="6">
        <v>3410928.830399224</v>
      </c>
      <c r="I6002" s="6" t="s">
        <v>180</v>
      </c>
      <c r="J6002" s="15">
        <v>47.43333333333333</v>
      </c>
    </row>
    <row r="6003" spans="1:10">
      <c r="A6003" s="6" t="s">
        <v>148</v>
      </c>
      <c r="B6003" s="6" t="s">
        <v>44</v>
      </c>
      <c r="C6003" s="6" t="s">
        <v>331</v>
      </c>
      <c r="D6003" s="6">
        <v>514.2127499999999</v>
      </c>
      <c r="E6003" s="6" t="s">
        <v>184</v>
      </c>
      <c r="F6003" s="6" t="s">
        <v>58</v>
      </c>
      <c r="G6003" s="7">
        <v>57688.3500255051</v>
      </c>
      <c r="H6003" s="6">
        <v>29664085.10957754</v>
      </c>
      <c r="I6003" s="6" t="s">
        <v>179</v>
      </c>
      <c r="J6003" s="15">
        <v>27.625</v>
      </c>
    </row>
    <row r="6004" spans="1:10">
      <c r="A6004" s="6" t="s">
        <v>148</v>
      </c>
      <c r="B6004" s="6" t="s">
        <v>92</v>
      </c>
      <c r="C6004" s="6" t="s">
        <v>332</v>
      </c>
      <c r="D6004" s="6">
        <v>1610.639666666667</v>
      </c>
      <c r="E6004" s="6" t="s">
        <v>184</v>
      </c>
      <c r="F6004" s="6" t="s">
        <v>55</v>
      </c>
      <c r="G6004" s="7">
        <v>18935.91078298569</v>
      </c>
      <c r="H6004" s="6">
        <v>30498929.03153781</v>
      </c>
      <c r="I6004" s="6" t="s">
        <v>179</v>
      </c>
      <c r="J6004" s="15">
        <v>13</v>
      </c>
    </row>
    <row r="6005" spans="1:10">
      <c r="A6005" s="6" t="s">
        <v>148</v>
      </c>
      <c r="B6005" s="6" t="s">
        <v>44</v>
      </c>
      <c r="C6005" s="6" t="s">
        <v>375</v>
      </c>
      <c r="D6005" s="6">
        <v>3.786833333333333</v>
      </c>
      <c r="E6005" s="6" t="s">
        <v>184</v>
      </c>
      <c r="F6005" s="6" t="s">
        <v>55</v>
      </c>
      <c r="G6005" s="7">
        <v>44949.97309867274</v>
      </c>
      <c r="H6005" s="6">
        <v>170218.0564624906</v>
      </c>
      <c r="I6005" s="6" t="s">
        <v>180</v>
      </c>
      <c r="J6005" s="15">
        <v>9.891501731250248</v>
      </c>
    </row>
    <row r="6006" spans="1:10">
      <c r="A6006" s="6" t="s">
        <v>148</v>
      </c>
      <c r="B6006" s="6" t="s">
        <v>44</v>
      </c>
      <c r="C6006" s="6" t="s">
        <v>333</v>
      </c>
      <c r="D6006" s="6">
        <v>373.9208333333333</v>
      </c>
      <c r="E6006" s="6" t="s">
        <v>184</v>
      </c>
      <c r="F6006" s="6" t="s">
        <v>51</v>
      </c>
      <c r="G6006" s="7">
        <v>14927.02860564678</v>
      </c>
      <c r="H6006" s="6">
        <v>5581526.975413948</v>
      </c>
      <c r="I6006" s="6" t="s">
        <v>179</v>
      </c>
      <c r="J6006" s="15">
        <v>17</v>
      </c>
    </row>
    <row r="6007" spans="1:10">
      <c r="A6007" s="6" t="s">
        <v>148</v>
      </c>
      <c r="B6007" s="6" t="s">
        <v>44</v>
      </c>
      <c r="C6007" s="6" t="s">
        <v>197</v>
      </c>
      <c r="D6007" s="6">
        <v>4.5885</v>
      </c>
      <c r="E6007" s="6" t="s">
        <v>185</v>
      </c>
      <c r="F6007" s="6" t="s">
        <v>53</v>
      </c>
      <c r="G6007" s="7">
        <v>60160.27030168513</v>
      </c>
      <c r="H6007" s="6">
        <v>276045.4002792822</v>
      </c>
      <c r="I6007" s="6" t="s">
        <v>180</v>
      </c>
      <c r="J6007" s="15">
        <v>15.52622330228389</v>
      </c>
    </row>
    <row r="6008" spans="1:10">
      <c r="A6008" s="6" t="s">
        <v>148</v>
      </c>
      <c r="B6008" s="6" t="s">
        <v>44</v>
      </c>
      <c r="C6008" s="6" t="s">
        <v>202</v>
      </c>
      <c r="D6008" s="6">
        <v>60.4685</v>
      </c>
      <c r="E6008" s="6" t="s">
        <v>185</v>
      </c>
      <c r="F6008" s="6" t="s">
        <v>54</v>
      </c>
      <c r="G6008" s="7">
        <v>97582.35964345603</v>
      </c>
      <c r="H6008" s="6">
        <v>5900658.914100321</v>
      </c>
      <c r="I6008" s="6" t="s">
        <v>179</v>
      </c>
      <c r="J6008" s="15">
        <v>68</v>
      </c>
    </row>
    <row r="6009" spans="1:10">
      <c r="A6009" s="6" t="s">
        <v>148</v>
      </c>
      <c r="B6009" s="6" t="s">
        <v>44</v>
      </c>
      <c r="C6009" s="6" t="s">
        <v>203</v>
      </c>
      <c r="D6009" s="6">
        <v>0.1365</v>
      </c>
      <c r="E6009" s="6" t="s">
        <v>185</v>
      </c>
      <c r="F6009" s="6" t="s">
        <v>53</v>
      </c>
      <c r="G6009" s="7">
        <v>40461.29080326468</v>
      </c>
      <c r="H6009" s="6">
        <v>5522.966194645628</v>
      </c>
      <c r="I6009" s="6" t="s">
        <v>179</v>
      </c>
      <c r="J6009" s="15">
        <v>44.11666666666667</v>
      </c>
    </row>
    <row r="6010" spans="1:10">
      <c r="A6010" s="6" t="s">
        <v>148</v>
      </c>
      <c r="B6010" s="6" t="s">
        <v>44</v>
      </c>
      <c r="C6010" s="6" t="s">
        <v>215</v>
      </c>
      <c r="D6010" s="6">
        <v>163.6243333333333</v>
      </c>
      <c r="E6010" s="6" t="s">
        <v>185</v>
      </c>
      <c r="F6010" s="6" t="s">
        <v>54</v>
      </c>
      <c r="G6010" s="7">
        <v>99644.87381086698</v>
      </c>
      <c r="H6010" s="6">
        <v>16304326.04738724</v>
      </c>
      <c r="I6010" s="6" t="s">
        <v>179</v>
      </c>
      <c r="J6010" s="15">
        <v>65.5</v>
      </c>
    </row>
    <row r="6011" spans="1:10">
      <c r="A6011" s="6" t="s">
        <v>148</v>
      </c>
      <c r="B6011" s="6" t="s">
        <v>44</v>
      </c>
      <c r="C6011" s="6" t="s">
        <v>224</v>
      </c>
      <c r="D6011" s="6">
        <v>387.7579166666667</v>
      </c>
      <c r="E6011" s="6" t="s">
        <v>185</v>
      </c>
      <c r="F6011" s="6" t="s">
        <v>51</v>
      </c>
      <c r="G6011" s="7">
        <v>20842.13163725611</v>
      </c>
      <c r="H6011" s="6">
        <v>8081701.542554853</v>
      </c>
      <c r="I6011" s="6" t="s">
        <v>179</v>
      </c>
      <c r="J6011" s="15">
        <v>11</v>
      </c>
    </row>
    <row r="6012" spans="1:10">
      <c r="A6012" s="6" t="s">
        <v>148</v>
      </c>
      <c r="B6012" s="6" t="s">
        <v>44</v>
      </c>
      <c r="C6012" s="6" t="s">
        <v>226</v>
      </c>
      <c r="D6012" s="6">
        <v>208.0601666666666</v>
      </c>
      <c r="E6012" s="6" t="s">
        <v>185</v>
      </c>
      <c r="F6012" s="6" t="s">
        <v>56</v>
      </c>
      <c r="G6012" s="7">
        <v>59921.09743873261</v>
      </c>
      <c r="H6012" s="6">
        <v>12467193.51995228</v>
      </c>
      <c r="I6012" s="6" t="s">
        <v>179</v>
      </c>
      <c r="J6012" s="15">
        <v>47.875</v>
      </c>
    </row>
    <row r="6013" spans="1:10">
      <c r="A6013" s="6" t="s">
        <v>148</v>
      </c>
      <c r="B6013" s="6" t="s">
        <v>44</v>
      </c>
      <c r="C6013" s="6" t="s">
        <v>238</v>
      </c>
      <c r="D6013" s="6">
        <v>319.5070833333334</v>
      </c>
      <c r="E6013" s="6" t="s">
        <v>185</v>
      </c>
      <c r="F6013" s="6" t="s">
        <v>51</v>
      </c>
      <c r="G6013" s="7">
        <v>21509.06685400382</v>
      </c>
      <c r="H6013" s="6">
        <v>6872299.215744437</v>
      </c>
      <c r="I6013" s="6" t="s">
        <v>179</v>
      </c>
      <c r="J6013" s="15">
        <v>11</v>
      </c>
    </row>
    <row r="6014" spans="1:10">
      <c r="A6014" s="6" t="s">
        <v>148</v>
      </c>
      <c r="B6014" s="6" t="s">
        <v>44</v>
      </c>
      <c r="C6014" s="6" t="s">
        <v>239</v>
      </c>
      <c r="D6014" s="6">
        <v>105.82</v>
      </c>
      <c r="E6014" s="6" t="s">
        <v>185</v>
      </c>
      <c r="F6014" s="6" t="s">
        <v>54</v>
      </c>
      <c r="G6014" s="7">
        <v>91141.09901653728</v>
      </c>
      <c r="H6014" s="6">
        <v>9644551.097929975</v>
      </c>
      <c r="I6014" s="6" t="s">
        <v>179</v>
      </c>
      <c r="J6014" s="15">
        <v>62</v>
      </c>
    </row>
    <row r="6015" spans="1:10">
      <c r="A6015" s="6" t="s">
        <v>148</v>
      </c>
      <c r="B6015" s="6" t="s">
        <v>90</v>
      </c>
      <c r="C6015" s="6" t="s">
        <v>241</v>
      </c>
      <c r="D6015" s="6">
        <v>26.871</v>
      </c>
      <c r="E6015" s="6" t="s">
        <v>185</v>
      </c>
      <c r="F6015" s="6" t="s">
        <v>53</v>
      </c>
      <c r="G6015" s="7">
        <v>26388.49277067184</v>
      </c>
      <c r="H6015" s="6">
        <v>709085.189240723</v>
      </c>
      <c r="I6015" s="6" t="s">
        <v>179</v>
      </c>
      <c r="J6015" s="15">
        <v>14.36666666666667</v>
      </c>
    </row>
    <row r="6016" spans="1:10">
      <c r="A6016" s="6" t="s">
        <v>148</v>
      </c>
      <c r="B6016" s="6" t="s">
        <v>86</v>
      </c>
      <c r="C6016" s="6" t="s">
        <v>253</v>
      </c>
      <c r="D6016" s="6">
        <v>14.976</v>
      </c>
      <c r="E6016" s="6" t="s">
        <v>185</v>
      </c>
      <c r="F6016" s="6" t="s">
        <v>53</v>
      </c>
      <c r="G6016" s="7">
        <v>38500.53307646881</v>
      </c>
      <c r="H6016" s="6">
        <v>576583.9833531969</v>
      </c>
      <c r="I6016" s="6" t="s">
        <v>179</v>
      </c>
      <c r="J6016" s="15">
        <v>7.241666666666667</v>
      </c>
    </row>
    <row r="6017" spans="1:10">
      <c r="A6017" s="6" t="s">
        <v>148</v>
      </c>
      <c r="B6017" s="6" t="s">
        <v>44</v>
      </c>
      <c r="C6017" s="6" t="s">
        <v>259</v>
      </c>
      <c r="D6017" s="6">
        <v>72.96008333333333</v>
      </c>
      <c r="E6017" s="6" t="s">
        <v>185</v>
      </c>
      <c r="F6017" s="6" t="s">
        <v>56</v>
      </c>
      <c r="G6017" s="7">
        <v>42233.6310286505</v>
      </c>
      <c r="H6017" s="6">
        <v>3081369.239319593</v>
      </c>
      <c r="I6017" s="6" t="s">
        <v>179</v>
      </c>
      <c r="J6017" s="15">
        <v>38.91666666666667</v>
      </c>
    </row>
    <row r="6018" spans="1:10">
      <c r="A6018" s="6" t="s">
        <v>148</v>
      </c>
      <c r="B6018" s="6" t="s">
        <v>44</v>
      </c>
      <c r="C6018" s="6" t="s">
        <v>265</v>
      </c>
      <c r="D6018" s="6">
        <v>14.18291666666667</v>
      </c>
      <c r="E6018" s="6" t="s">
        <v>185</v>
      </c>
      <c r="F6018" s="6" t="s">
        <v>54</v>
      </c>
      <c r="G6018" s="7">
        <v>99228.92218252944</v>
      </c>
      <c r="H6018" s="6">
        <v>1407355.534237966</v>
      </c>
      <c r="I6018" s="6" t="s">
        <v>179</v>
      </c>
      <c r="J6018" s="15">
        <v>72.81666666666666</v>
      </c>
    </row>
    <row r="6019" spans="1:10">
      <c r="A6019" s="6" t="s">
        <v>148</v>
      </c>
      <c r="B6019" s="6" t="s">
        <v>99</v>
      </c>
      <c r="C6019" s="6" t="s">
        <v>271</v>
      </c>
      <c r="D6019" s="6">
        <v>164.37225</v>
      </c>
      <c r="E6019" s="6" t="s">
        <v>185</v>
      </c>
      <c r="F6019" s="6" t="s">
        <v>54</v>
      </c>
      <c r="G6019" s="7">
        <v>71251.68519479706</v>
      </c>
      <c r="H6019" s="6">
        <v>11711799.81176048</v>
      </c>
      <c r="I6019" s="6" t="s">
        <v>180</v>
      </c>
      <c r="J6019" s="15">
        <v>17.03053040549212</v>
      </c>
    </row>
    <row r="6020" spans="1:10">
      <c r="A6020" s="6" t="s">
        <v>148</v>
      </c>
      <c r="B6020" s="6" t="s">
        <v>44</v>
      </c>
      <c r="C6020" s="6" t="s">
        <v>273</v>
      </c>
      <c r="D6020" s="6">
        <v>29.27275</v>
      </c>
      <c r="E6020" s="6" t="s">
        <v>185</v>
      </c>
      <c r="F6020" s="6" t="s">
        <v>51</v>
      </c>
      <c r="G6020" s="7">
        <v>40826.03765706107</v>
      </c>
      <c r="H6020" s="6">
        <v>1195090.393825734</v>
      </c>
      <c r="I6020" s="6" t="s">
        <v>179</v>
      </c>
      <c r="J6020" s="15">
        <v>26.31666666666667</v>
      </c>
    </row>
    <row r="6021" spans="1:10">
      <c r="A6021" s="6" t="s">
        <v>148</v>
      </c>
      <c r="B6021" s="6" t="s">
        <v>92</v>
      </c>
      <c r="C6021" s="6" t="s">
        <v>278</v>
      </c>
      <c r="D6021" s="6">
        <v>63.04675</v>
      </c>
      <c r="E6021" s="6" t="s">
        <v>185</v>
      </c>
      <c r="F6021" s="6" t="s">
        <v>55</v>
      </c>
      <c r="G6021" s="7">
        <v>30336.77880022909</v>
      </c>
      <c r="H6021" s="6">
        <v>1912635.308823343</v>
      </c>
      <c r="I6021" s="6" t="s">
        <v>179</v>
      </c>
      <c r="J6021" s="15">
        <v>14</v>
      </c>
    </row>
    <row r="6022" spans="1:10">
      <c r="A6022" s="6" t="s">
        <v>148</v>
      </c>
      <c r="B6022" s="6" t="s">
        <v>99</v>
      </c>
      <c r="C6022" s="6" t="s">
        <v>281</v>
      </c>
      <c r="D6022" s="6">
        <v>62.257</v>
      </c>
      <c r="E6022" s="6" t="s">
        <v>185</v>
      </c>
      <c r="F6022" s="6" t="s">
        <v>57</v>
      </c>
      <c r="G6022" s="7">
        <v>35247.74734936949</v>
      </c>
      <c r="H6022" s="6">
        <v>2194419.006729696</v>
      </c>
      <c r="I6022" s="6" t="s">
        <v>180</v>
      </c>
      <c r="J6022" s="15">
        <v>5.008812304479592</v>
      </c>
    </row>
    <row r="6023" spans="1:10">
      <c r="A6023" s="6" t="s">
        <v>148</v>
      </c>
      <c r="B6023" s="6" t="s">
        <v>44</v>
      </c>
      <c r="C6023" s="6" t="s">
        <v>293</v>
      </c>
      <c r="D6023" s="6">
        <v>0.0035</v>
      </c>
      <c r="E6023" s="6" t="s">
        <v>185</v>
      </c>
      <c r="F6023" s="6" t="s">
        <v>53</v>
      </c>
      <c r="G6023" s="7">
        <v>36013.86577983866</v>
      </c>
      <c r="H6023" s="6">
        <v>126.0485302294353</v>
      </c>
      <c r="I6023" s="6" t="s">
        <v>179</v>
      </c>
      <c r="J6023" s="15">
        <v>16</v>
      </c>
    </row>
    <row r="6024" spans="1:10">
      <c r="A6024" s="6" t="s">
        <v>148</v>
      </c>
      <c r="B6024" s="6" t="s">
        <v>44</v>
      </c>
      <c r="C6024" s="6" t="s">
        <v>326</v>
      </c>
      <c r="D6024" s="6">
        <v>139.59775</v>
      </c>
      <c r="E6024" s="6" t="s">
        <v>185</v>
      </c>
      <c r="F6024" s="6" t="s">
        <v>54</v>
      </c>
      <c r="G6024" s="7">
        <v>88918.54864031605</v>
      </c>
      <c r="H6024" s="6">
        <v>12412829.32345368</v>
      </c>
      <c r="I6024" s="6" t="s">
        <v>179</v>
      </c>
      <c r="J6024" s="15">
        <v>66.75833333333333</v>
      </c>
    </row>
    <row r="6025" spans="1:10">
      <c r="A6025" s="6" t="s">
        <v>148</v>
      </c>
      <c r="B6025" s="6" t="s">
        <v>44</v>
      </c>
      <c r="C6025" s="6" t="s">
        <v>329</v>
      </c>
      <c r="D6025" s="6">
        <v>82.28516666666667</v>
      </c>
      <c r="E6025" s="6" t="s">
        <v>185</v>
      </c>
      <c r="F6025" s="6" t="s">
        <v>58</v>
      </c>
      <c r="G6025" s="7">
        <v>61073.72389180421</v>
      </c>
      <c r="H6025" s="6">
        <v>5025461.549391092</v>
      </c>
      <c r="I6025" s="6" t="s">
        <v>179</v>
      </c>
      <c r="J6025" s="15">
        <v>26</v>
      </c>
    </row>
    <row r="6026" spans="1:10">
      <c r="A6026" s="6" t="s">
        <v>148</v>
      </c>
      <c r="B6026" s="6" t="s">
        <v>92</v>
      </c>
      <c r="C6026" s="6" t="s">
        <v>194</v>
      </c>
      <c r="D6026" s="6">
        <v>0.4901666666666667</v>
      </c>
      <c r="E6026" s="6" t="s">
        <v>186</v>
      </c>
      <c r="F6026" s="6" t="s">
        <v>58</v>
      </c>
      <c r="G6026" s="7">
        <v>50041.91995236529</v>
      </c>
      <c r="H6026" s="6">
        <v>24528.88109665105</v>
      </c>
      <c r="I6026" s="6" t="s">
        <v>180</v>
      </c>
      <c r="J6026" s="15">
        <v>11.97643504980967</v>
      </c>
    </row>
    <row r="6027" spans="1:10">
      <c r="A6027" s="6" t="s">
        <v>148</v>
      </c>
      <c r="B6027" s="6" t="s">
        <v>90</v>
      </c>
      <c r="C6027" s="6" t="s">
        <v>195</v>
      </c>
      <c r="D6027" s="6">
        <v>59.225</v>
      </c>
      <c r="E6027" s="6" t="s">
        <v>186</v>
      </c>
      <c r="F6027" s="6" t="s">
        <v>54</v>
      </c>
      <c r="G6027" s="7">
        <v>56976.27849226169</v>
      </c>
      <c r="H6027" s="6">
        <v>3374420.093704199</v>
      </c>
      <c r="I6027" s="6" t="s">
        <v>180</v>
      </c>
      <c r="J6027" s="15">
        <v>11.49610447263148</v>
      </c>
    </row>
    <row r="6028" spans="1:10">
      <c r="A6028" s="6" t="s">
        <v>148</v>
      </c>
      <c r="B6028" s="6" t="s">
        <v>90</v>
      </c>
      <c r="C6028" s="6" t="s">
        <v>334</v>
      </c>
      <c r="D6028" s="6">
        <v>0.00425</v>
      </c>
      <c r="E6028" s="6" t="s">
        <v>186</v>
      </c>
      <c r="F6028" s="6" t="s">
        <v>54</v>
      </c>
      <c r="G6028" s="7">
        <v>73156.13365961002</v>
      </c>
      <c r="H6028" s="6">
        <v>310.9135680533426</v>
      </c>
      <c r="I6028" s="6" t="s">
        <v>180</v>
      </c>
      <c r="J6028" s="15">
        <v>16.68050450820028</v>
      </c>
    </row>
    <row r="6029" spans="1:10">
      <c r="A6029" s="6" t="s">
        <v>148</v>
      </c>
      <c r="B6029" s="6" t="s">
        <v>88</v>
      </c>
      <c r="C6029" s="6" t="s">
        <v>335</v>
      </c>
      <c r="D6029" s="6">
        <v>749.2335833333334</v>
      </c>
      <c r="E6029" s="6" t="s">
        <v>186</v>
      </c>
      <c r="F6029" s="6" t="s">
        <v>52</v>
      </c>
      <c r="G6029" s="7">
        <v>44280.88015614714</v>
      </c>
      <c r="H6029" s="6">
        <v>33176722.51254402</v>
      </c>
      <c r="I6029" s="6" t="s">
        <v>179</v>
      </c>
      <c r="J6029" s="15">
        <v>39</v>
      </c>
    </row>
    <row r="6030" spans="1:10">
      <c r="A6030" s="6" t="s">
        <v>148</v>
      </c>
      <c r="B6030" s="6" t="s">
        <v>90</v>
      </c>
      <c r="C6030" s="6" t="s">
        <v>197</v>
      </c>
      <c r="D6030" s="6">
        <v>68.64966666666666</v>
      </c>
      <c r="E6030" s="6" t="s">
        <v>186</v>
      </c>
      <c r="F6030" s="6" t="s">
        <v>53</v>
      </c>
      <c r="G6030" s="7">
        <v>24873.23941462196</v>
      </c>
      <c r="H6030" s="6">
        <v>1707539.594733992</v>
      </c>
      <c r="I6030" s="6" t="s">
        <v>179</v>
      </c>
      <c r="J6030" s="15">
        <v>27</v>
      </c>
    </row>
    <row r="6031" spans="1:10">
      <c r="A6031" s="6" t="s">
        <v>148</v>
      </c>
      <c r="B6031" s="6" t="s">
        <v>90</v>
      </c>
      <c r="C6031" s="6" t="s">
        <v>198</v>
      </c>
      <c r="D6031" s="6">
        <v>51.024</v>
      </c>
      <c r="E6031" s="6" t="s">
        <v>186</v>
      </c>
      <c r="F6031" s="6" t="s">
        <v>58</v>
      </c>
      <c r="G6031" s="7">
        <v>77672.91374469569</v>
      </c>
      <c r="H6031" s="6">
        <v>3963182.750909353</v>
      </c>
      <c r="I6031" s="6" t="s">
        <v>180</v>
      </c>
      <c r="J6031" s="15">
        <v>18.12778537638943</v>
      </c>
    </row>
    <row r="6032" spans="1:10">
      <c r="A6032" s="6" t="s">
        <v>148</v>
      </c>
      <c r="B6032" s="6" t="s">
        <v>86</v>
      </c>
      <c r="C6032" s="6" t="s">
        <v>199</v>
      </c>
      <c r="D6032" s="6">
        <v>87.42166666666667</v>
      </c>
      <c r="E6032" s="6" t="s">
        <v>186</v>
      </c>
      <c r="F6032" s="6" t="s">
        <v>57</v>
      </c>
      <c r="G6032" s="7">
        <v>52709.72675479725</v>
      </c>
      <c r="H6032" s="6">
        <v>4607972.162448967</v>
      </c>
      <c r="I6032" s="6" t="s">
        <v>179</v>
      </c>
      <c r="J6032" s="15">
        <v>49.53333333333333</v>
      </c>
    </row>
    <row r="6033" spans="1:10">
      <c r="A6033" s="6" t="s">
        <v>148</v>
      </c>
      <c r="B6033" s="6" t="s">
        <v>90</v>
      </c>
      <c r="C6033" s="6" t="s">
        <v>337</v>
      </c>
      <c r="D6033" s="6">
        <v>30.90733333333333</v>
      </c>
      <c r="E6033" s="6" t="s">
        <v>186</v>
      </c>
      <c r="F6033" s="6" t="s">
        <v>52</v>
      </c>
      <c r="G6033" s="7">
        <v>59918.03179942394</v>
      </c>
      <c r="H6033" s="6">
        <v>1851906.581502062</v>
      </c>
      <c r="I6033" s="6" t="s">
        <v>180</v>
      </c>
      <c r="J6033" s="15">
        <v>12.43871031134531</v>
      </c>
    </row>
    <row r="6034" spans="1:10">
      <c r="A6034" s="6" t="s">
        <v>148</v>
      </c>
      <c r="B6034" s="6" t="s">
        <v>90</v>
      </c>
      <c r="C6034" s="6" t="s">
        <v>200</v>
      </c>
      <c r="D6034" s="6">
        <v>62.6835</v>
      </c>
      <c r="E6034" s="6" t="s">
        <v>186</v>
      </c>
      <c r="F6034" s="6" t="s">
        <v>52</v>
      </c>
      <c r="G6034" s="7">
        <v>59918.03179942394</v>
      </c>
      <c r="H6034" s="6">
        <v>3755871.946299191</v>
      </c>
      <c r="I6034" s="6" t="s">
        <v>180</v>
      </c>
      <c r="J6034" s="15">
        <v>12.43871031134531</v>
      </c>
    </row>
    <row r="6035" spans="1:10">
      <c r="A6035" s="6" t="s">
        <v>148</v>
      </c>
      <c r="B6035" s="6" t="s">
        <v>90</v>
      </c>
      <c r="C6035" s="6" t="s">
        <v>201</v>
      </c>
      <c r="D6035" s="6">
        <v>70.24499999999999</v>
      </c>
      <c r="E6035" s="6" t="s">
        <v>186</v>
      </c>
      <c r="F6035" s="6" t="s">
        <v>56</v>
      </c>
      <c r="G6035" s="7">
        <v>47784.13759688608</v>
      </c>
      <c r="H6035" s="6">
        <v>3356596.745493263</v>
      </c>
      <c r="I6035" s="6" t="s">
        <v>180</v>
      </c>
      <c r="J6035" s="15">
        <v>8.550729801966316</v>
      </c>
    </row>
    <row r="6036" spans="1:10">
      <c r="A6036" s="6" t="s">
        <v>148</v>
      </c>
      <c r="B6036" s="6" t="s">
        <v>86</v>
      </c>
      <c r="C6036" s="6" t="s">
        <v>202</v>
      </c>
      <c r="D6036" s="6">
        <v>498.95925</v>
      </c>
      <c r="E6036" s="6" t="s">
        <v>186</v>
      </c>
      <c r="F6036" s="6" t="s">
        <v>54</v>
      </c>
      <c r="G6036" s="7">
        <v>90789.34185131452</v>
      </c>
      <c r="H6036" s="6">
        <v>45300181.9181255</v>
      </c>
      <c r="I6036" s="6" t="s">
        <v>179</v>
      </c>
      <c r="J6036" s="15">
        <v>65.125</v>
      </c>
    </row>
    <row r="6037" spans="1:10">
      <c r="A6037" s="6" t="s">
        <v>148</v>
      </c>
      <c r="B6037" s="6" t="s">
        <v>90</v>
      </c>
      <c r="C6037" s="6" t="s">
        <v>203</v>
      </c>
      <c r="D6037" s="6">
        <v>649.0079166666667</v>
      </c>
      <c r="E6037" s="6" t="s">
        <v>186</v>
      </c>
      <c r="F6037" s="6" t="s">
        <v>53</v>
      </c>
      <c r="G6037" s="7">
        <v>17844.00974373058</v>
      </c>
      <c r="H6037" s="6">
        <v>11580903.58875828</v>
      </c>
      <c r="I6037" s="6" t="s">
        <v>179</v>
      </c>
      <c r="J6037" s="15">
        <v>12</v>
      </c>
    </row>
    <row r="6038" spans="1:10">
      <c r="A6038" s="6" t="s">
        <v>148</v>
      </c>
      <c r="B6038" s="6" t="s">
        <v>86</v>
      </c>
      <c r="C6038" s="6" t="s">
        <v>204</v>
      </c>
      <c r="D6038" s="6">
        <v>1463.840916666667</v>
      </c>
      <c r="E6038" s="6" t="s">
        <v>186</v>
      </c>
      <c r="F6038" s="6" t="s">
        <v>51</v>
      </c>
      <c r="G6038" s="7">
        <v>46344.34011305719</v>
      </c>
      <c r="H6038" s="6">
        <v>67840741.31340942</v>
      </c>
      <c r="I6038" s="6" t="s">
        <v>179</v>
      </c>
      <c r="J6038" s="15">
        <v>45</v>
      </c>
    </row>
    <row r="6039" spans="1:10">
      <c r="A6039" s="6" t="s">
        <v>148</v>
      </c>
      <c r="B6039" s="6" t="s">
        <v>90</v>
      </c>
      <c r="C6039" s="6" t="s">
        <v>338</v>
      </c>
      <c r="D6039" s="6">
        <v>6.086416666666667</v>
      </c>
      <c r="E6039" s="6" t="s">
        <v>186</v>
      </c>
      <c r="F6039" s="6" t="s">
        <v>52</v>
      </c>
      <c r="G6039" s="7">
        <v>59918.03179942394</v>
      </c>
      <c r="H6039" s="6">
        <v>364686.1073778772</v>
      </c>
      <c r="I6039" s="6" t="s">
        <v>180</v>
      </c>
      <c r="J6039" s="15">
        <v>12.43871031134531</v>
      </c>
    </row>
    <row r="6040" spans="1:10">
      <c r="A6040" s="6" t="s">
        <v>148</v>
      </c>
      <c r="B6040" s="6" t="s">
        <v>90</v>
      </c>
      <c r="C6040" s="6" t="s">
        <v>339</v>
      </c>
      <c r="D6040" s="6">
        <v>7.29925</v>
      </c>
      <c r="E6040" s="6" t="s">
        <v>186</v>
      </c>
      <c r="F6040" s="6" t="s">
        <v>52</v>
      </c>
      <c r="G6040" s="7">
        <v>59918.03179942394</v>
      </c>
      <c r="H6040" s="6">
        <v>437356.6936119451</v>
      </c>
      <c r="I6040" s="6" t="s">
        <v>180</v>
      </c>
      <c r="J6040" s="15">
        <v>12.43871031134531</v>
      </c>
    </row>
    <row r="6041" spans="1:10">
      <c r="A6041" s="6" t="s">
        <v>148</v>
      </c>
      <c r="B6041" s="6" t="s">
        <v>90</v>
      </c>
      <c r="C6041" s="6" t="s">
        <v>205</v>
      </c>
      <c r="D6041" s="6">
        <v>105.2988333333333</v>
      </c>
      <c r="E6041" s="6" t="s">
        <v>186</v>
      </c>
      <c r="F6041" s="6" t="s">
        <v>56</v>
      </c>
      <c r="G6041" s="7">
        <v>54785.63728382858</v>
      </c>
      <c r="H6041" s="6">
        <v>5768863.689410317</v>
      </c>
      <c r="I6041" s="6" t="s">
        <v>180</v>
      </c>
      <c r="J6041" s="15">
        <v>10.79417233285323</v>
      </c>
    </row>
    <row r="6042" spans="1:10">
      <c r="A6042" s="6" t="s">
        <v>148</v>
      </c>
      <c r="B6042" s="6" t="s">
        <v>92</v>
      </c>
      <c r="C6042" s="6" t="s">
        <v>206</v>
      </c>
      <c r="D6042" s="6">
        <v>25.91233333333333</v>
      </c>
      <c r="E6042" s="6" t="s">
        <v>186</v>
      </c>
      <c r="F6042" s="6" t="s">
        <v>55</v>
      </c>
      <c r="G6042" s="7">
        <v>31981.7567354776</v>
      </c>
      <c r="H6042" s="6">
        <v>828721.9411152741</v>
      </c>
      <c r="I6042" s="6" t="s">
        <v>179</v>
      </c>
      <c r="J6042" s="15">
        <v>16</v>
      </c>
    </row>
    <row r="6043" spans="1:10">
      <c r="A6043" s="6" t="s">
        <v>148</v>
      </c>
      <c r="B6043" s="6" t="s">
        <v>92</v>
      </c>
      <c r="C6043" s="6" t="s">
        <v>340</v>
      </c>
      <c r="D6043" s="6">
        <v>254.0040833333333</v>
      </c>
      <c r="E6043" s="6" t="s">
        <v>186</v>
      </c>
      <c r="F6043" s="6" t="s">
        <v>52</v>
      </c>
      <c r="G6043" s="7">
        <v>30591.57365130842</v>
      </c>
      <c r="H6043" s="6">
        <v>7770384.623024748</v>
      </c>
      <c r="I6043" s="6" t="s">
        <v>180</v>
      </c>
      <c r="J6043" s="15">
        <v>4.69377687961323</v>
      </c>
    </row>
    <row r="6044" spans="1:10">
      <c r="A6044" s="6" t="s">
        <v>148</v>
      </c>
      <c r="B6044" s="6" t="s">
        <v>92</v>
      </c>
      <c r="C6044" s="6" t="s">
        <v>207</v>
      </c>
      <c r="D6044" s="6">
        <v>0.53325</v>
      </c>
      <c r="E6044" s="6" t="s">
        <v>186</v>
      </c>
      <c r="F6044" s="6" t="s">
        <v>55</v>
      </c>
      <c r="G6044" s="7">
        <v>35193.17601920018</v>
      </c>
      <c r="H6044" s="6">
        <v>18766.7611122385</v>
      </c>
      <c r="I6044" s="6" t="s">
        <v>180</v>
      </c>
      <c r="J6044" s="15">
        <v>6.416722916759179</v>
      </c>
    </row>
    <row r="6045" spans="1:10">
      <c r="A6045" s="6" t="s">
        <v>148</v>
      </c>
      <c r="B6045" s="6" t="s">
        <v>86</v>
      </c>
      <c r="C6045" s="6" t="s">
        <v>208</v>
      </c>
      <c r="D6045" s="6">
        <v>4.79325</v>
      </c>
      <c r="E6045" s="6" t="s">
        <v>186</v>
      </c>
      <c r="F6045" s="6" t="s">
        <v>51</v>
      </c>
      <c r="G6045" s="7">
        <v>52043.19496136486</v>
      </c>
      <c r="H6045" s="6">
        <v>249456.0442485621</v>
      </c>
      <c r="I6045" s="6" t="s">
        <v>180</v>
      </c>
      <c r="J6045" s="15">
        <v>8.879306790692469</v>
      </c>
    </row>
    <row r="6046" spans="1:10">
      <c r="A6046" s="6" t="s">
        <v>148</v>
      </c>
      <c r="B6046" s="6" t="s">
        <v>92</v>
      </c>
      <c r="C6046" s="6" t="s">
        <v>209</v>
      </c>
      <c r="D6046" s="6">
        <v>0.4534166666666667</v>
      </c>
      <c r="E6046" s="6" t="s">
        <v>186</v>
      </c>
      <c r="F6046" s="6" t="s">
        <v>57</v>
      </c>
      <c r="G6046" s="7">
        <v>37511.68520504731</v>
      </c>
      <c r="H6046" s="6">
        <v>17008.42326672187</v>
      </c>
      <c r="I6046" s="6" t="s">
        <v>180</v>
      </c>
      <c r="J6046" s="15">
        <v>7.284826219581484</v>
      </c>
    </row>
    <row r="6047" spans="1:10">
      <c r="A6047" s="6" t="s">
        <v>148</v>
      </c>
      <c r="B6047" s="6" t="s">
        <v>90</v>
      </c>
      <c r="C6047" s="6" t="s">
        <v>210</v>
      </c>
      <c r="D6047" s="6">
        <v>0.6648333333333333</v>
      </c>
      <c r="E6047" s="6" t="s">
        <v>186</v>
      </c>
      <c r="F6047" s="6" t="s">
        <v>53</v>
      </c>
      <c r="G6047" s="7">
        <v>33962.09735450833</v>
      </c>
      <c r="H6047" s="6">
        <v>22579.13439118896</v>
      </c>
      <c r="I6047" s="6" t="s">
        <v>180</v>
      </c>
      <c r="J6047" s="15">
        <v>12</v>
      </c>
    </row>
    <row r="6048" spans="1:10">
      <c r="A6048" s="6" t="s">
        <v>148</v>
      </c>
      <c r="B6048" s="6" t="s">
        <v>92</v>
      </c>
      <c r="C6048" s="6" t="s">
        <v>211</v>
      </c>
      <c r="D6048" s="6">
        <v>313.8860833333333</v>
      </c>
      <c r="E6048" s="6" t="s">
        <v>186</v>
      </c>
      <c r="F6048" s="6" t="s">
        <v>55</v>
      </c>
      <c r="G6048" s="7">
        <v>25336.04217074411</v>
      </c>
      <c r="H6048" s="6">
        <v>7952631.044143032</v>
      </c>
      <c r="I6048" s="6" t="s">
        <v>179</v>
      </c>
      <c r="J6048" s="15">
        <v>16</v>
      </c>
    </row>
    <row r="6049" spans="1:10">
      <c r="A6049" s="6" t="s">
        <v>148</v>
      </c>
      <c r="B6049" s="6" t="s">
        <v>92</v>
      </c>
      <c r="C6049" s="6" t="s">
        <v>212</v>
      </c>
      <c r="D6049" s="6">
        <v>82.69024999999999</v>
      </c>
      <c r="E6049" s="6" t="s">
        <v>186</v>
      </c>
      <c r="F6049" s="6" t="s">
        <v>55</v>
      </c>
      <c r="G6049" s="7">
        <v>23468.05749758728</v>
      </c>
      <c r="H6049" s="6">
        <v>1940579.541489866</v>
      </c>
      <c r="I6049" s="6" t="s">
        <v>179</v>
      </c>
      <c r="J6049" s="15">
        <v>15</v>
      </c>
    </row>
    <row r="6050" spans="1:10">
      <c r="A6050" s="6" t="s">
        <v>148</v>
      </c>
      <c r="B6050" s="6" t="s">
        <v>88</v>
      </c>
      <c r="C6050" s="6" t="s">
        <v>213</v>
      </c>
      <c r="D6050" s="6">
        <v>76.04158333333334</v>
      </c>
      <c r="E6050" s="6" t="s">
        <v>186</v>
      </c>
      <c r="F6050" s="6" t="s">
        <v>52</v>
      </c>
      <c r="G6050" s="7">
        <v>44335.59781697809</v>
      </c>
      <c r="H6050" s="6">
        <v>3371349.05603289</v>
      </c>
      <c r="I6050" s="6" t="s">
        <v>180</v>
      </c>
      <c r="J6050" s="15">
        <v>23.08823420331521</v>
      </c>
    </row>
    <row r="6051" spans="1:10">
      <c r="A6051" s="6" t="s">
        <v>148</v>
      </c>
      <c r="B6051" s="6" t="s">
        <v>90</v>
      </c>
      <c r="C6051" s="6" t="s">
        <v>214</v>
      </c>
      <c r="D6051" s="6">
        <v>0.6872499999999999</v>
      </c>
      <c r="E6051" s="6" t="s">
        <v>186</v>
      </c>
      <c r="F6051" s="6" t="s">
        <v>53</v>
      </c>
      <c r="G6051" s="7">
        <v>29230.07315219457</v>
      </c>
      <c r="H6051" s="6">
        <v>20088.36777384572</v>
      </c>
      <c r="I6051" s="6" t="s">
        <v>179</v>
      </c>
      <c r="J6051" s="15">
        <v>27</v>
      </c>
    </row>
    <row r="6052" spans="1:10">
      <c r="A6052" s="6" t="s">
        <v>148</v>
      </c>
      <c r="B6052" s="6" t="s">
        <v>88</v>
      </c>
      <c r="C6052" s="6" t="s">
        <v>215</v>
      </c>
      <c r="D6052" s="6">
        <v>278.1796666666667</v>
      </c>
      <c r="E6052" s="6" t="s">
        <v>186</v>
      </c>
      <c r="F6052" s="6" t="s">
        <v>54</v>
      </c>
      <c r="G6052" s="7">
        <v>49061.49876660256</v>
      </c>
      <c r="H6052" s="6">
        <v>13647911.37306058</v>
      </c>
      <c r="I6052" s="6" t="s">
        <v>180</v>
      </c>
      <c r="J6052" s="15">
        <v>26.26991575310344</v>
      </c>
    </row>
    <row r="6053" spans="1:10">
      <c r="A6053" s="6" t="s">
        <v>148</v>
      </c>
      <c r="B6053" s="6" t="s">
        <v>92</v>
      </c>
      <c r="C6053" s="6" t="s">
        <v>216</v>
      </c>
      <c r="D6053" s="6">
        <v>3.658166666666667</v>
      </c>
      <c r="E6053" s="6" t="s">
        <v>186</v>
      </c>
      <c r="F6053" s="6" t="s">
        <v>55</v>
      </c>
      <c r="G6053" s="7">
        <v>37794.08920614998</v>
      </c>
      <c r="H6053" s="6">
        <v>138257.0773309643</v>
      </c>
      <c r="I6053" s="6" t="s">
        <v>180</v>
      </c>
      <c r="J6053" s="15">
        <v>22.25</v>
      </c>
    </row>
    <row r="6054" spans="1:10">
      <c r="A6054" s="6" t="s">
        <v>148</v>
      </c>
      <c r="B6054" s="6" t="s">
        <v>90</v>
      </c>
      <c r="C6054" s="6" t="s">
        <v>341</v>
      </c>
      <c r="D6054" s="6">
        <v>2.890166666666667</v>
      </c>
      <c r="E6054" s="6" t="s">
        <v>186</v>
      </c>
      <c r="F6054" s="6" t="s">
        <v>52</v>
      </c>
      <c r="G6054" s="7">
        <v>59918.03179942394</v>
      </c>
      <c r="H6054" s="6">
        <v>173173.0982389684</v>
      </c>
      <c r="I6054" s="6" t="s">
        <v>180</v>
      </c>
      <c r="J6054" s="15">
        <v>12.43871031134531</v>
      </c>
    </row>
    <row r="6055" spans="1:10">
      <c r="A6055" s="6" t="s">
        <v>148</v>
      </c>
      <c r="B6055" s="6" t="s">
        <v>90</v>
      </c>
      <c r="C6055" s="6" t="s">
        <v>217</v>
      </c>
      <c r="D6055" s="6">
        <v>87.22533333333334</v>
      </c>
      <c r="E6055" s="6" t="s">
        <v>186</v>
      </c>
      <c r="F6055" s="6" t="s">
        <v>53</v>
      </c>
      <c r="G6055" s="7">
        <v>29595.99008532836</v>
      </c>
      <c r="H6055" s="6">
        <v>2581520.100522795</v>
      </c>
      <c r="I6055" s="6" t="s">
        <v>179</v>
      </c>
      <c r="J6055" s="15">
        <v>15</v>
      </c>
    </row>
    <row r="6056" spans="1:10">
      <c r="A6056" s="6" t="s">
        <v>148</v>
      </c>
      <c r="B6056" s="6" t="s">
        <v>90</v>
      </c>
      <c r="C6056" s="6" t="s">
        <v>218</v>
      </c>
      <c r="D6056" s="6">
        <v>10.42258333333333</v>
      </c>
      <c r="E6056" s="6" t="s">
        <v>186</v>
      </c>
      <c r="F6056" s="6" t="s">
        <v>54</v>
      </c>
      <c r="G6056" s="7">
        <v>55803.8509311504</v>
      </c>
      <c r="H6056" s="6">
        <v>581620.2866508259</v>
      </c>
      <c r="I6056" s="6" t="s">
        <v>180</v>
      </c>
      <c r="J6056" s="15">
        <v>11.12043154931672</v>
      </c>
    </row>
    <row r="6057" spans="1:10">
      <c r="A6057" s="6" t="s">
        <v>148</v>
      </c>
      <c r="B6057" s="6" t="s">
        <v>86</v>
      </c>
      <c r="C6057" s="6" t="s">
        <v>219</v>
      </c>
      <c r="D6057" s="6">
        <v>25.68025</v>
      </c>
      <c r="E6057" s="6" t="s">
        <v>186</v>
      </c>
      <c r="F6057" s="6" t="s">
        <v>51</v>
      </c>
      <c r="G6057" s="7">
        <v>52259.13647561446</v>
      </c>
      <c r="H6057" s="6">
        <v>1342027.689477898</v>
      </c>
      <c r="I6057" s="6" t="s">
        <v>180</v>
      </c>
      <c r="J6057" s="15">
        <v>8.944200287956821</v>
      </c>
    </row>
    <row r="6058" spans="1:10">
      <c r="A6058" s="6" t="s">
        <v>148</v>
      </c>
      <c r="B6058" s="6" t="s">
        <v>92</v>
      </c>
      <c r="C6058" s="6" t="s">
        <v>220</v>
      </c>
      <c r="D6058" s="6">
        <v>4.935833333333333</v>
      </c>
      <c r="E6058" s="6" t="s">
        <v>186</v>
      </c>
      <c r="F6058" s="6" t="s">
        <v>57</v>
      </c>
      <c r="G6058" s="7">
        <v>40832.06893400874</v>
      </c>
      <c r="H6058" s="6">
        <v>201540.2869134448</v>
      </c>
      <c r="I6058" s="6" t="s">
        <v>180</v>
      </c>
      <c r="J6058" s="15">
        <v>8.528054454062554</v>
      </c>
    </row>
    <row r="6059" spans="1:10">
      <c r="A6059" s="6" t="s">
        <v>148</v>
      </c>
      <c r="B6059" s="6" t="s">
        <v>86</v>
      </c>
      <c r="C6059" s="6" t="s">
        <v>221</v>
      </c>
      <c r="D6059" s="6">
        <v>54.69775</v>
      </c>
      <c r="E6059" s="6" t="s">
        <v>186</v>
      </c>
      <c r="F6059" s="6" t="s">
        <v>51</v>
      </c>
      <c r="G6059" s="7">
        <v>49959.47837571311</v>
      </c>
      <c r="H6059" s="6">
        <v>2732671.058325162</v>
      </c>
      <c r="I6059" s="6" t="s">
        <v>180</v>
      </c>
      <c r="J6059" s="15">
        <v>8.25312031135539</v>
      </c>
    </row>
    <row r="6060" spans="1:10">
      <c r="A6060" s="6" t="s">
        <v>148</v>
      </c>
      <c r="B6060" s="6" t="s">
        <v>92</v>
      </c>
      <c r="C6060" s="6" t="s">
        <v>222</v>
      </c>
      <c r="D6060" s="6">
        <v>0.50125</v>
      </c>
      <c r="E6060" s="6" t="s">
        <v>186</v>
      </c>
      <c r="F6060" s="6" t="s">
        <v>57</v>
      </c>
      <c r="G6060" s="7">
        <v>38127.89574884072</v>
      </c>
      <c r="H6060" s="6">
        <v>19111.60774410641</v>
      </c>
      <c r="I6060" s="6" t="s">
        <v>180</v>
      </c>
      <c r="J6060" s="15">
        <v>7.515549656679076</v>
      </c>
    </row>
    <row r="6061" spans="1:10">
      <c r="A6061" s="6" t="s">
        <v>148</v>
      </c>
      <c r="B6061" s="6" t="s">
        <v>86</v>
      </c>
      <c r="C6061" s="6" t="s">
        <v>342</v>
      </c>
      <c r="D6061" s="6">
        <v>50.37366666666667</v>
      </c>
      <c r="E6061" s="6" t="s">
        <v>186</v>
      </c>
      <c r="F6061" s="6" t="s">
        <v>53</v>
      </c>
      <c r="G6061" s="7">
        <v>33275.25972937583</v>
      </c>
      <c r="H6061" s="6">
        <v>1676196.841854335</v>
      </c>
      <c r="I6061" s="6" t="s">
        <v>179</v>
      </c>
      <c r="J6061" s="15">
        <v>8</v>
      </c>
    </row>
    <row r="6062" spans="1:10">
      <c r="A6062" s="6" t="s">
        <v>148</v>
      </c>
      <c r="B6062" s="6" t="s">
        <v>86</v>
      </c>
      <c r="C6062" s="6" t="s">
        <v>223</v>
      </c>
      <c r="D6062" s="6">
        <v>0.68675</v>
      </c>
      <c r="E6062" s="6" t="s">
        <v>186</v>
      </c>
      <c r="F6062" s="6" t="s">
        <v>53</v>
      </c>
      <c r="G6062" s="7">
        <v>24418.66320757394</v>
      </c>
      <c r="H6062" s="6">
        <v>16769.51695780141</v>
      </c>
      <c r="I6062" s="6" t="s">
        <v>179</v>
      </c>
      <c r="J6062" s="15">
        <v>7.983333333333333</v>
      </c>
    </row>
    <row r="6063" spans="1:10">
      <c r="A6063" s="6" t="s">
        <v>148</v>
      </c>
      <c r="B6063" s="6" t="s">
        <v>90</v>
      </c>
      <c r="C6063" s="6" t="s">
        <v>224</v>
      </c>
      <c r="D6063" s="6">
        <v>510.5061666666667</v>
      </c>
      <c r="E6063" s="6" t="s">
        <v>186</v>
      </c>
      <c r="F6063" s="6" t="s">
        <v>51</v>
      </c>
      <c r="G6063" s="7">
        <v>42799.40931898241</v>
      </c>
      <c r="H6063" s="6">
        <v>21849362.38703132</v>
      </c>
      <c r="I6063" s="6" t="s">
        <v>179</v>
      </c>
      <c r="J6063" s="15">
        <v>35.01666666666667</v>
      </c>
    </row>
    <row r="6064" spans="1:10">
      <c r="A6064" s="6" t="s">
        <v>148</v>
      </c>
      <c r="B6064" s="6" t="s">
        <v>90</v>
      </c>
      <c r="C6064" s="6" t="s">
        <v>225</v>
      </c>
      <c r="D6064" s="6">
        <v>0.006416666666666667</v>
      </c>
      <c r="E6064" s="6" t="s">
        <v>186</v>
      </c>
      <c r="F6064" s="6" t="s">
        <v>54</v>
      </c>
      <c r="G6064" s="7">
        <v>60801.11682439398</v>
      </c>
      <c r="H6064" s="6">
        <v>390.1404996231947</v>
      </c>
      <c r="I6064" s="6" t="s">
        <v>180</v>
      </c>
      <c r="J6064" s="15">
        <v>12.72167119001276</v>
      </c>
    </row>
    <row r="6065" spans="1:10">
      <c r="A6065" s="6" t="s">
        <v>148</v>
      </c>
      <c r="B6065" s="6" t="s">
        <v>90</v>
      </c>
      <c r="C6065" s="6" t="s">
        <v>226</v>
      </c>
      <c r="D6065" s="6">
        <v>305.8253333333333</v>
      </c>
      <c r="E6065" s="6" t="s">
        <v>186</v>
      </c>
      <c r="F6065" s="6" t="s">
        <v>56</v>
      </c>
      <c r="G6065" s="7">
        <v>63445.86444387945</v>
      </c>
      <c r="H6065" s="6">
        <v>19403352.64217091</v>
      </c>
      <c r="I6065" s="6" t="s">
        <v>180</v>
      </c>
      <c r="J6065" s="15">
        <v>13.56910953298392</v>
      </c>
    </row>
    <row r="6066" spans="1:10">
      <c r="A6066" s="6" t="s">
        <v>148</v>
      </c>
      <c r="B6066" s="6" t="s">
        <v>86</v>
      </c>
      <c r="C6066" s="6" t="s">
        <v>345</v>
      </c>
      <c r="D6066" s="6">
        <v>45.43775</v>
      </c>
      <c r="E6066" s="6" t="s">
        <v>186</v>
      </c>
      <c r="F6066" s="6" t="s">
        <v>53</v>
      </c>
      <c r="G6066" s="7">
        <v>31603.56115403747</v>
      </c>
      <c r="H6066" s="6">
        <v>1435994.710826866</v>
      </c>
      <c r="I6066" s="6" t="s">
        <v>179</v>
      </c>
      <c r="J6066" s="15">
        <v>8</v>
      </c>
    </row>
    <row r="6067" spans="1:10">
      <c r="A6067" s="6" t="s">
        <v>148</v>
      </c>
      <c r="B6067" s="6" t="s">
        <v>86</v>
      </c>
      <c r="C6067" s="6" t="s">
        <v>227</v>
      </c>
      <c r="D6067" s="6">
        <v>57.43591666666666</v>
      </c>
      <c r="E6067" s="6" t="s">
        <v>186</v>
      </c>
      <c r="F6067" s="6" t="s">
        <v>57</v>
      </c>
      <c r="G6067" s="7">
        <v>50057.03584104127</v>
      </c>
      <c r="H6067" s="6">
        <v>2875071.739146393</v>
      </c>
      <c r="I6067" s="6" t="s">
        <v>179</v>
      </c>
      <c r="J6067" s="15">
        <v>39</v>
      </c>
    </row>
    <row r="6068" spans="1:10">
      <c r="A6068" s="6" t="s">
        <v>148</v>
      </c>
      <c r="B6068" s="6" t="s">
        <v>92</v>
      </c>
      <c r="C6068" s="6" t="s">
        <v>228</v>
      </c>
      <c r="D6068" s="6">
        <v>101.14175</v>
      </c>
      <c r="E6068" s="6" t="s">
        <v>186</v>
      </c>
      <c r="F6068" s="6" t="s">
        <v>51</v>
      </c>
      <c r="G6068" s="7">
        <v>40082.62252520998</v>
      </c>
      <c r="H6068" s="6">
        <v>4054026.586789156</v>
      </c>
      <c r="I6068" s="6" t="s">
        <v>179</v>
      </c>
      <c r="J6068" s="15">
        <v>26.025</v>
      </c>
    </row>
    <row r="6069" spans="1:10">
      <c r="A6069" s="6" t="s">
        <v>148</v>
      </c>
      <c r="B6069" s="6" t="s">
        <v>86</v>
      </c>
      <c r="C6069" s="6" t="s">
        <v>229</v>
      </c>
      <c r="D6069" s="6">
        <v>54.12583333333333</v>
      </c>
      <c r="E6069" s="6" t="s">
        <v>186</v>
      </c>
      <c r="F6069" s="6" t="s">
        <v>53</v>
      </c>
      <c r="G6069" s="7">
        <v>21180.73880713652</v>
      </c>
      <c r="H6069" s="6">
        <v>1146425.138551936</v>
      </c>
      <c r="I6069" s="6" t="s">
        <v>179</v>
      </c>
      <c r="J6069" s="15">
        <v>5</v>
      </c>
    </row>
    <row r="6070" spans="1:10">
      <c r="A6070" s="6" t="s">
        <v>148</v>
      </c>
      <c r="B6070" s="6" t="s">
        <v>92</v>
      </c>
      <c r="C6070" s="6" t="s">
        <v>367</v>
      </c>
      <c r="D6070" s="6">
        <v>3.669666666666667</v>
      </c>
      <c r="E6070" s="6" t="s">
        <v>186</v>
      </c>
      <c r="F6070" s="6" t="s">
        <v>55</v>
      </c>
      <c r="G6070" s="7">
        <v>42283.6525693799</v>
      </c>
      <c r="H6070" s="6">
        <v>155166.9103787678</v>
      </c>
      <c r="I6070" s="6" t="s">
        <v>179</v>
      </c>
      <c r="J6070" s="15">
        <v>15</v>
      </c>
    </row>
    <row r="6071" spans="1:10">
      <c r="A6071" s="6" t="s">
        <v>148</v>
      </c>
      <c r="B6071" s="6" t="s">
        <v>90</v>
      </c>
      <c r="C6071" s="6" t="s">
        <v>230</v>
      </c>
      <c r="D6071" s="6">
        <v>50.435</v>
      </c>
      <c r="E6071" s="6" t="s">
        <v>186</v>
      </c>
      <c r="F6071" s="6" t="s">
        <v>53</v>
      </c>
      <c r="G6071" s="7">
        <v>26357.64880300622</v>
      </c>
      <c r="H6071" s="6">
        <v>1329348.017379619</v>
      </c>
      <c r="I6071" s="6" t="s">
        <v>179</v>
      </c>
      <c r="J6071" s="15">
        <v>20</v>
      </c>
    </row>
    <row r="6072" spans="1:10">
      <c r="A6072" s="6" t="s">
        <v>148</v>
      </c>
      <c r="B6072" s="6" t="s">
        <v>92</v>
      </c>
      <c r="C6072" s="6" t="s">
        <v>378</v>
      </c>
      <c r="D6072" s="6">
        <v>6.529833333333333</v>
      </c>
      <c r="E6072" s="6" t="s">
        <v>186</v>
      </c>
      <c r="F6072" s="6" t="s">
        <v>51</v>
      </c>
      <c r="G6072" s="7">
        <v>41089.89799783281</v>
      </c>
      <c r="H6072" s="6">
        <v>268310.1856095153</v>
      </c>
      <c r="I6072" s="6" t="s">
        <v>180</v>
      </c>
      <c r="J6072" s="15">
        <v>8.624591600965196</v>
      </c>
    </row>
    <row r="6073" spans="1:10">
      <c r="A6073" s="6" t="s">
        <v>148</v>
      </c>
      <c r="B6073" s="6" t="s">
        <v>88</v>
      </c>
      <c r="C6073" s="6" t="s">
        <v>231</v>
      </c>
      <c r="D6073" s="6">
        <v>25.45191666666667</v>
      </c>
      <c r="E6073" s="6" t="s">
        <v>186</v>
      </c>
      <c r="F6073" s="6" t="s">
        <v>52</v>
      </c>
      <c r="G6073" s="7">
        <v>44335.59781697809</v>
      </c>
      <c r="H6073" s="6">
        <v>1128425.941004575</v>
      </c>
      <c r="I6073" s="6" t="s">
        <v>180</v>
      </c>
      <c r="J6073" s="15">
        <v>23.08823420331521</v>
      </c>
    </row>
    <row r="6074" spans="1:10">
      <c r="A6074" s="6" t="s">
        <v>148</v>
      </c>
      <c r="B6074" s="6" t="s">
        <v>88</v>
      </c>
      <c r="C6074" s="6" t="s">
        <v>346</v>
      </c>
      <c r="D6074" s="6">
        <v>16.67658333333333</v>
      </c>
      <c r="E6074" s="6" t="s">
        <v>186</v>
      </c>
      <c r="F6074" s="6" t="s">
        <v>52</v>
      </c>
      <c r="G6074" s="7">
        <v>44335.59781697809</v>
      </c>
      <c r="H6074" s="6">
        <v>739366.2916279865</v>
      </c>
      <c r="I6074" s="6" t="s">
        <v>180</v>
      </c>
      <c r="J6074" s="15">
        <v>23.08823420331521</v>
      </c>
    </row>
    <row r="6075" spans="1:10">
      <c r="A6075" s="6" t="s">
        <v>148</v>
      </c>
      <c r="B6075" s="6" t="s">
        <v>86</v>
      </c>
      <c r="C6075" s="6" t="s">
        <v>232</v>
      </c>
      <c r="D6075" s="6">
        <v>13.70116666666667</v>
      </c>
      <c r="E6075" s="6" t="s">
        <v>186</v>
      </c>
      <c r="F6075" s="6" t="s">
        <v>51</v>
      </c>
      <c r="G6075" s="7">
        <v>50639.92494996203</v>
      </c>
      <c r="H6075" s="6">
        <v>693826.0517269215</v>
      </c>
      <c r="I6075" s="6" t="s">
        <v>180</v>
      </c>
      <c r="J6075" s="15">
        <v>8.457604187732773</v>
      </c>
    </row>
    <row r="6076" spans="1:10">
      <c r="A6076" s="6" t="s">
        <v>148</v>
      </c>
      <c r="B6076" s="6" t="s">
        <v>86</v>
      </c>
      <c r="C6076" s="6" t="s">
        <v>233</v>
      </c>
      <c r="D6076" s="6">
        <v>114.80575</v>
      </c>
      <c r="E6076" s="6" t="s">
        <v>186</v>
      </c>
      <c r="F6076" s="6" t="s">
        <v>59</v>
      </c>
      <c r="G6076" s="7">
        <v>42805.8355381377</v>
      </c>
      <c r="H6076" s="6">
        <v>4914356.053332552</v>
      </c>
      <c r="I6076" s="6" t="s">
        <v>179</v>
      </c>
      <c r="J6076" s="15">
        <v>27.26666666666667</v>
      </c>
    </row>
    <row r="6077" spans="1:10">
      <c r="A6077" s="6" t="s">
        <v>148</v>
      </c>
      <c r="B6077" s="6" t="s">
        <v>86</v>
      </c>
      <c r="C6077" s="6" t="s">
        <v>234</v>
      </c>
      <c r="D6077" s="6">
        <v>79.74975000000001</v>
      </c>
      <c r="E6077" s="6" t="s">
        <v>186</v>
      </c>
      <c r="F6077" s="6" t="s">
        <v>56</v>
      </c>
      <c r="G6077" s="7">
        <v>61798.18645536575</v>
      </c>
      <c r="H6077" s="6">
        <v>4928389.920268805</v>
      </c>
      <c r="I6077" s="6" t="s">
        <v>179</v>
      </c>
      <c r="J6077" s="15">
        <v>49</v>
      </c>
    </row>
    <row r="6078" spans="1:10">
      <c r="A6078" s="6" t="s">
        <v>148</v>
      </c>
      <c r="B6078" s="6" t="s">
        <v>86</v>
      </c>
      <c r="C6078" s="6" t="s">
        <v>235</v>
      </c>
      <c r="D6078" s="6">
        <v>0.1816666666666667</v>
      </c>
      <c r="E6078" s="6" t="s">
        <v>186</v>
      </c>
      <c r="F6078" s="6" t="s">
        <v>53</v>
      </c>
      <c r="G6078" s="7">
        <v>36703.49839619301</v>
      </c>
      <c r="H6078" s="6">
        <v>6667.80220864173</v>
      </c>
      <c r="I6078" s="6" t="s">
        <v>180</v>
      </c>
      <c r="J6078" s="15">
        <v>4.269509732692095</v>
      </c>
    </row>
    <row r="6079" spans="1:10">
      <c r="A6079" s="6" t="s">
        <v>148</v>
      </c>
      <c r="B6079" s="6" t="s">
        <v>86</v>
      </c>
      <c r="C6079" s="6" t="s">
        <v>236</v>
      </c>
      <c r="D6079" s="6">
        <v>576.4306666666666</v>
      </c>
      <c r="E6079" s="6" t="s">
        <v>186</v>
      </c>
      <c r="F6079" s="6" t="s">
        <v>51</v>
      </c>
      <c r="G6079" s="7">
        <v>45192.70977200848</v>
      </c>
      <c r="H6079" s="6">
        <v>26050463.82235203</v>
      </c>
      <c r="I6079" s="6" t="s">
        <v>179</v>
      </c>
      <c r="J6079" s="15">
        <v>44.98333333333333</v>
      </c>
    </row>
    <row r="6080" spans="1:10">
      <c r="A6080" s="6" t="s">
        <v>148</v>
      </c>
      <c r="B6080" s="6" t="s">
        <v>90</v>
      </c>
      <c r="C6080" s="6" t="s">
        <v>237</v>
      </c>
      <c r="D6080" s="6">
        <v>36.45558333333333</v>
      </c>
      <c r="E6080" s="6" t="s">
        <v>186</v>
      </c>
      <c r="F6080" s="6" t="s">
        <v>51</v>
      </c>
      <c r="G6080" s="7">
        <v>53666.69833269802</v>
      </c>
      <c r="H6080" s="6">
        <v>1956450.793292534</v>
      </c>
      <c r="I6080" s="6" t="s">
        <v>180</v>
      </c>
      <c r="J6080" s="15">
        <v>10.43563839802869</v>
      </c>
    </row>
    <row r="6081" spans="1:10">
      <c r="A6081" s="6" t="s">
        <v>148</v>
      </c>
      <c r="B6081" s="6" t="s">
        <v>86</v>
      </c>
      <c r="C6081" s="6" t="s">
        <v>238</v>
      </c>
      <c r="D6081" s="6">
        <v>137.38875</v>
      </c>
      <c r="E6081" s="6" t="s">
        <v>186</v>
      </c>
      <c r="F6081" s="6" t="s">
        <v>51</v>
      </c>
      <c r="G6081" s="7">
        <v>52817.93378501572</v>
      </c>
      <c r="H6081" s="6">
        <v>7256589.900306079</v>
      </c>
      <c r="I6081" s="6" t="s">
        <v>180</v>
      </c>
      <c r="J6081" s="15">
        <v>9.112126829525121</v>
      </c>
    </row>
    <row r="6082" spans="1:10">
      <c r="A6082" s="6" t="s">
        <v>148</v>
      </c>
      <c r="B6082" s="6" t="s">
        <v>90</v>
      </c>
      <c r="C6082" s="6" t="s">
        <v>239</v>
      </c>
      <c r="D6082" s="6">
        <v>187.1171666666667</v>
      </c>
      <c r="E6082" s="6" t="s">
        <v>186</v>
      </c>
      <c r="F6082" s="6" t="s">
        <v>54</v>
      </c>
      <c r="G6082" s="7">
        <v>77876.19751626256</v>
      </c>
      <c r="H6082" s="6">
        <v>14571973.43001675</v>
      </c>
      <c r="I6082" s="6" t="s">
        <v>179</v>
      </c>
      <c r="J6082" s="15">
        <v>17.61605692581799</v>
      </c>
    </row>
    <row r="6083" spans="1:10">
      <c r="A6083" s="6" t="s">
        <v>148</v>
      </c>
      <c r="B6083" s="6" t="s">
        <v>92</v>
      </c>
      <c r="C6083" s="6" t="s">
        <v>379</v>
      </c>
      <c r="D6083" s="6">
        <v>2.069166666666667</v>
      </c>
      <c r="E6083" s="6" t="s">
        <v>186</v>
      </c>
      <c r="F6083" s="6" t="s">
        <v>51</v>
      </c>
      <c r="G6083" s="7">
        <v>39736.55973566615</v>
      </c>
      <c r="H6083" s="6">
        <v>82221.5648530492</v>
      </c>
      <c r="I6083" s="6" t="s">
        <v>180</v>
      </c>
      <c r="J6083" s="15">
        <v>8.117870548318852</v>
      </c>
    </row>
    <row r="6084" spans="1:10">
      <c r="A6084" s="6" t="s">
        <v>148</v>
      </c>
      <c r="B6084" s="6" t="s">
        <v>90</v>
      </c>
      <c r="C6084" s="6" t="s">
        <v>347</v>
      </c>
      <c r="D6084" s="6">
        <v>1.9025</v>
      </c>
      <c r="E6084" s="6" t="s">
        <v>186</v>
      </c>
      <c r="F6084" s="6" t="s">
        <v>52</v>
      </c>
      <c r="G6084" s="7">
        <v>59918.03179942394</v>
      </c>
      <c r="H6084" s="6">
        <v>113994.0554984041</v>
      </c>
      <c r="I6084" s="6" t="s">
        <v>180</v>
      </c>
      <c r="J6084" s="15">
        <v>12.43871031134531</v>
      </c>
    </row>
    <row r="6085" spans="1:10">
      <c r="A6085" s="6" t="s">
        <v>148</v>
      </c>
      <c r="B6085" s="6" t="s">
        <v>92</v>
      </c>
      <c r="C6085" s="6" t="s">
        <v>368</v>
      </c>
      <c r="D6085" s="6">
        <v>0.8975833333333334</v>
      </c>
      <c r="E6085" s="6" t="s">
        <v>186</v>
      </c>
      <c r="F6085" s="6" t="s">
        <v>55</v>
      </c>
      <c r="G6085" s="7">
        <v>43717.6088593299</v>
      </c>
      <c r="H6085" s="6">
        <v>39240.1970853202</v>
      </c>
      <c r="I6085" s="6" t="s">
        <v>179</v>
      </c>
      <c r="J6085" s="15">
        <v>15</v>
      </c>
    </row>
    <row r="6086" spans="1:10">
      <c r="A6086" s="6" t="s">
        <v>148</v>
      </c>
      <c r="B6086" s="6" t="s">
        <v>92</v>
      </c>
      <c r="C6086" s="6" t="s">
        <v>240</v>
      </c>
      <c r="D6086" s="6">
        <v>5.036166666666666</v>
      </c>
      <c r="E6086" s="6" t="s">
        <v>186</v>
      </c>
      <c r="F6086" s="6" t="s">
        <v>51</v>
      </c>
      <c r="G6086" s="7">
        <v>42218.72021108094</v>
      </c>
      <c r="H6086" s="6">
        <v>212620.5114363722</v>
      </c>
      <c r="I6086" s="6" t="s">
        <v>180</v>
      </c>
      <c r="J6086" s="15">
        <v>9.04724866767069</v>
      </c>
    </row>
    <row r="6087" spans="1:10">
      <c r="A6087" s="6" t="s">
        <v>148</v>
      </c>
      <c r="B6087" s="6" t="s">
        <v>90</v>
      </c>
      <c r="C6087" s="6" t="s">
        <v>241</v>
      </c>
      <c r="D6087" s="6">
        <v>45.85525</v>
      </c>
      <c r="E6087" s="6" t="s">
        <v>186</v>
      </c>
      <c r="F6087" s="6" t="s">
        <v>53</v>
      </c>
      <c r="G6087" s="7">
        <v>26388.49277067184</v>
      </c>
      <c r="H6087" s="6">
        <v>1210050.93312235</v>
      </c>
      <c r="I6087" s="6" t="s">
        <v>179</v>
      </c>
      <c r="J6087" s="15">
        <v>14.36666666666667</v>
      </c>
    </row>
    <row r="6088" spans="1:10">
      <c r="A6088" s="6" t="s">
        <v>148</v>
      </c>
      <c r="B6088" s="6" t="s">
        <v>90</v>
      </c>
      <c r="C6088" s="6" t="s">
        <v>242</v>
      </c>
      <c r="D6088" s="6">
        <v>280.6869166666667</v>
      </c>
      <c r="E6088" s="6" t="s">
        <v>186</v>
      </c>
      <c r="F6088" s="6" t="s">
        <v>56</v>
      </c>
      <c r="G6088" s="7">
        <v>48613.69532428356</v>
      </c>
      <c r="H6088" s="6">
        <v>13645228.2483459</v>
      </c>
      <c r="I6088" s="6" t="s">
        <v>179</v>
      </c>
      <c r="J6088" s="15">
        <v>6.75</v>
      </c>
    </row>
    <row r="6089" spans="1:10">
      <c r="A6089" s="6" t="s">
        <v>148</v>
      </c>
      <c r="B6089" s="6" t="s">
        <v>92</v>
      </c>
      <c r="C6089" s="6" t="s">
        <v>243</v>
      </c>
      <c r="D6089" s="6">
        <v>0.27375</v>
      </c>
      <c r="E6089" s="6" t="s">
        <v>186</v>
      </c>
      <c r="F6089" s="6" t="s">
        <v>58</v>
      </c>
      <c r="G6089" s="7">
        <v>50145.16283380362</v>
      </c>
      <c r="H6089" s="6">
        <v>13727.23832575374</v>
      </c>
      <c r="I6089" s="6" t="s">
        <v>180</v>
      </c>
      <c r="J6089" s="15">
        <v>12.01509156534846</v>
      </c>
    </row>
    <row r="6090" spans="1:10">
      <c r="A6090" s="6" t="s">
        <v>148</v>
      </c>
      <c r="B6090" s="6" t="s">
        <v>92</v>
      </c>
      <c r="C6090" s="6" t="s">
        <v>369</v>
      </c>
      <c r="D6090" s="6">
        <v>1.968916666666667</v>
      </c>
      <c r="E6090" s="6" t="s">
        <v>186</v>
      </c>
      <c r="F6090" s="6" t="s">
        <v>55</v>
      </c>
      <c r="G6090" s="7">
        <v>40825.70263339478</v>
      </c>
      <c r="H6090" s="6">
        <v>80382.40634326822</v>
      </c>
      <c r="I6090" s="6" t="s">
        <v>179</v>
      </c>
      <c r="J6090" s="15">
        <v>15.5</v>
      </c>
    </row>
    <row r="6091" spans="1:10">
      <c r="A6091" s="6" t="s">
        <v>148</v>
      </c>
      <c r="B6091" s="6" t="s">
        <v>88</v>
      </c>
      <c r="C6091" s="6" t="s">
        <v>244</v>
      </c>
      <c r="D6091" s="6">
        <v>11.47916666666667</v>
      </c>
      <c r="E6091" s="6" t="s">
        <v>186</v>
      </c>
      <c r="F6091" s="6" t="s">
        <v>55</v>
      </c>
      <c r="G6091" s="7">
        <v>17856.91092671999</v>
      </c>
      <c r="H6091" s="6">
        <v>204982.4566796399</v>
      </c>
      <c r="I6091" s="6" t="s">
        <v>180</v>
      </c>
      <c r="J6091" s="15">
        <v>5.261633426155879</v>
      </c>
    </row>
    <row r="6092" spans="1:10">
      <c r="A6092" s="6" t="s">
        <v>148</v>
      </c>
      <c r="B6092" s="6" t="s">
        <v>90</v>
      </c>
      <c r="C6092" s="6" t="s">
        <v>245</v>
      </c>
      <c r="D6092" s="6">
        <v>43.47575</v>
      </c>
      <c r="E6092" s="6" t="s">
        <v>186</v>
      </c>
      <c r="F6092" s="6" t="s">
        <v>53</v>
      </c>
      <c r="G6092" s="7">
        <v>15981.96816829709</v>
      </c>
      <c r="H6092" s="6">
        <v>694828.0525928424</v>
      </c>
      <c r="I6092" s="6" t="s">
        <v>179</v>
      </c>
      <c r="J6092" s="15">
        <v>38</v>
      </c>
    </row>
    <row r="6093" spans="1:10">
      <c r="A6093" s="6" t="s">
        <v>148</v>
      </c>
      <c r="B6093" s="6" t="s">
        <v>86</v>
      </c>
      <c r="C6093" s="6" t="s">
        <v>246</v>
      </c>
      <c r="D6093" s="6">
        <v>0.09658333333333334</v>
      </c>
      <c r="E6093" s="6" t="s">
        <v>186</v>
      </c>
      <c r="F6093" s="6" t="s">
        <v>53</v>
      </c>
      <c r="G6093" s="7">
        <v>34748.35236673716</v>
      </c>
      <c r="H6093" s="6">
        <v>3356.111699420697</v>
      </c>
      <c r="I6093" s="6" t="s">
        <v>180</v>
      </c>
      <c r="J6093" s="15">
        <v>3.681960534684491</v>
      </c>
    </row>
    <row r="6094" spans="1:10">
      <c r="A6094" s="6" t="s">
        <v>148</v>
      </c>
      <c r="B6094" s="6" t="s">
        <v>88</v>
      </c>
      <c r="C6094" s="6" t="s">
        <v>348</v>
      </c>
      <c r="D6094" s="6">
        <v>141.7523333333333</v>
      </c>
      <c r="E6094" s="6" t="s">
        <v>186</v>
      </c>
      <c r="F6094" s="6" t="s">
        <v>52</v>
      </c>
      <c r="G6094" s="7">
        <v>44335.59781697809</v>
      </c>
      <c r="H6094" s="6">
        <v>6284674.440284883</v>
      </c>
      <c r="I6094" s="6" t="s">
        <v>180</v>
      </c>
      <c r="J6094" s="15">
        <v>23.08823420331521</v>
      </c>
    </row>
    <row r="6095" spans="1:10">
      <c r="A6095" s="6" t="s">
        <v>148</v>
      </c>
      <c r="B6095" s="6" t="s">
        <v>90</v>
      </c>
      <c r="C6095" s="6" t="s">
        <v>349</v>
      </c>
      <c r="D6095" s="6">
        <v>5.041250000000001</v>
      </c>
      <c r="E6095" s="6" t="s">
        <v>186</v>
      </c>
      <c r="F6095" s="6" t="s">
        <v>52</v>
      </c>
      <c r="G6095" s="7">
        <v>59918.03179942394</v>
      </c>
      <c r="H6095" s="6">
        <v>302061.777808846</v>
      </c>
      <c r="I6095" s="6" t="s">
        <v>180</v>
      </c>
      <c r="J6095" s="15">
        <v>12.43871031134531</v>
      </c>
    </row>
    <row r="6096" spans="1:10">
      <c r="A6096" s="6" t="s">
        <v>148</v>
      </c>
      <c r="B6096" s="6" t="s">
        <v>86</v>
      </c>
      <c r="C6096" s="6" t="s">
        <v>247</v>
      </c>
      <c r="D6096" s="6">
        <v>250.5895</v>
      </c>
      <c r="E6096" s="6" t="s">
        <v>186</v>
      </c>
      <c r="F6096" s="6" t="s">
        <v>51</v>
      </c>
      <c r="G6096" s="7">
        <v>47796.79242260937</v>
      </c>
      <c r="H6096" s="6">
        <v>11977374.31478547</v>
      </c>
      <c r="I6096" s="6" t="s">
        <v>179</v>
      </c>
      <c r="J6096" s="15">
        <v>27.70833333333334</v>
      </c>
    </row>
    <row r="6097" spans="1:10">
      <c r="A6097" s="6" t="s">
        <v>148</v>
      </c>
      <c r="B6097" s="6" t="s">
        <v>88</v>
      </c>
      <c r="C6097" s="6" t="s">
        <v>248</v>
      </c>
      <c r="D6097" s="6">
        <v>39.04766666666666</v>
      </c>
      <c r="E6097" s="6" t="s">
        <v>186</v>
      </c>
      <c r="F6097" s="6" t="s">
        <v>55</v>
      </c>
      <c r="G6097" s="7">
        <v>27248.6277312555</v>
      </c>
      <c r="H6097" s="6">
        <v>1063995.332774154</v>
      </c>
      <c r="I6097" s="6" t="s">
        <v>180</v>
      </c>
      <c r="J6097" s="15">
        <v>11.5845446332139</v>
      </c>
    </row>
    <row r="6098" spans="1:10">
      <c r="A6098" s="6" t="s">
        <v>148</v>
      </c>
      <c r="B6098" s="6" t="s">
        <v>86</v>
      </c>
      <c r="C6098" s="6" t="s">
        <v>249</v>
      </c>
      <c r="D6098" s="6">
        <v>189.8723333333333</v>
      </c>
      <c r="E6098" s="6" t="s">
        <v>186</v>
      </c>
      <c r="F6098" s="6" t="s">
        <v>53</v>
      </c>
      <c r="G6098" s="7">
        <v>26147.16905457934</v>
      </c>
      <c r="H6098" s="6">
        <v>4964623.998454106</v>
      </c>
      <c r="I6098" s="6" t="s">
        <v>179</v>
      </c>
      <c r="J6098" s="15">
        <v>8</v>
      </c>
    </row>
    <row r="6099" spans="1:10">
      <c r="A6099" s="6" t="s">
        <v>148</v>
      </c>
      <c r="B6099" s="6" t="s">
        <v>90</v>
      </c>
      <c r="C6099" s="6" t="s">
        <v>352</v>
      </c>
      <c r="D6099" s="6">
        <v>30.28408333333333</v>
      </c>
      <c r="E6099" s="6" t="s">
        <v>186</v>
      </c>
      <c r="F6099" s="6" t="s">
        <v>52</v>
      </c>
      <c r="G6099" s="7">
        <v>59918.03179942394</v>
      </c>
      <c r="H6099" s="6">
        <v>1814562.668183071</v>
      </c>
      <c r="I6099" s="6" t="s">
        <v>180</v>
      </c>
      <c r="J6099" s="15">
        <v>12.43871031134531</v>
      </c>
    </row>
    <row r="6100" spans="1:10">
      <c r="A6100" s="6" t="s">
        <v>148</v>
      </c>
      <c r="B6100" s="6" t="s">
        <v>92</v>
      </c>
      <c r="C6100" s="6" t="s">
        <v>250</v>
      </c>
      <c r="D6100" s="6">
        <v>10.44625</v>
      </c>
      <c r="E6100" s="6" t="s">
        <v>186</v>
      </c>
      <c r="F6100" s="6" t="s">
        <v>55</v>
      </c>
      <c r="G6100" s="7">
        <v>37321.61329653078</v>
      </c>
      <c r="H6100" s="6">
        <v>389870.9028988846</v>
      </c>
      <c r="I6100" s="6" t="s">
        <v>179</v>
      </c>
      <c r="J6100" s="15">
        <v>15</v>
      </c>
    </row>
    <row r="6101" spans="1:10">
      <c r="A6101" s="6" t="s">
        <v>148</v>
      </c>
      <c r="B6101" s="6" t="s">
        <v>90</v>
      </c>
      <c r="C6101" s="6" t="s">
        <v>251</v>
      </c>
      <c r="D6101" s="6">
        <v>1.867166666666667</v>
      </c>
      <c r="E6101" s="6" t="s">
        <v>186</v>
      </c>
      <c r="F6101" s="6" t="s">
        <v>53</v>
      </c>
      <c r="G6101" s="7">
        <v>23642.19568206914</v>
      </c>
      <c r="H6101" s="6">
        <v>44143.9197043701</v>
      </c>
      <c r="I6101" s="6" t="s">
        <v>179</v>
      </c>
      <c r="J6101" s="15">
        <v>18.675</v>
      </c>
    </row>
    <row r="6102" spans="1:10">
      <c r="A6102" s="6" t="s">
        <v>148</v>
      </c>
      <c r="B6102" s="6" t="s">
        <v>90</v>
      </c>
      <c r="C6102" s="6" t="s">
        <v>252</v>
      </c>
      <c r="D6102" s="6">
        <v>39.22533333333334</v>
      </c>
      <c r="E6102" s="6" t="s">
        <v>186</v>
      </c>
      <c r="F6102" s="6" t="s">
        <v>57</v>
      </c>
      <c r="G6102" s="7">
        <v>42694.47301830137</v>
      </c>
      <c r="H6102" s="6">
        <v>1674704.935633878</v>
      </c>
      <c r="I6102" s="6" t="s">
        <v>180</v>
      </c>
      <c r="J6102" s="15">
        <v>6.919883484163813</v>
      </c>
    </row>
    <row r="6103" spans="1:10">
      <c r="A6103" s="6" t="s">
        <v>148</v>
      </c>
      <c r="B6103" s="6" t="s">
        <v>90</v>
      </c>
      <c r="C6103" s="6" t="s">
        <v>253</v>
      </c>
      <c r="D6103" s="6">
        <v>26.13316666666667</v>
      </c>
      <c r="E6103" s="6" t="s">
        <v>186</v>
      </c>
      <c r="F6103" s="6" t="s">
        <v>53</v>
      </c>
      <c r="G6103" s="7">
        <v>32446.79249986879</v>
      </c>
      <c r="H6103" s="6">
        <v>847937.4361978211</v>
      </c>
      <c r="I6103" s="6" t="s">
        <v>179</v>
      </c>
      <c r="J6103" s="15">
        <v>16</v>
      </c>
    </row>
    <row r="6104" spans="1:10">
      <c r="A6104" s="6" t="s">
        <v>148</v>
      </c>
      <c r="B6104" s="6" t="s">
        <v>86</v>
      </c>
      <c r="C6104" s="6" t="s">
        <v>353</v>
      </c>
      <c r="D6104" s="6">
        <v>2.023333333333333</v>
      </c>
      <c r="E6104" s="6" t="s">
        <v>186</v>
      </c>
      <c r="F6104" s="6" t="s">
        <v>62</v>
      </c>
      <c r="G6104" s="7">
        <v>81005.34654028571</v>
      </c>
      <c r="H6104" s="6">
        <v>163900.8178331781</v>
      </c>
      <c r="I6104" s="6" t="s">
        <v>179</v>
      </c>
      <c r="J6104" s="15">
        <v>102.3</v>
      </c>
    </row>
    <row r="6105" spans="1:10">
      <c r="A6105" s="6" t="s">
        <v>148</v>
      </c>
      <c r="B6105" s="6" t="s">
        <v>86</v>
      </c>
      <c r="C6105" s="6" t="s">
        <v>254</v>
      </c>
      <c r="D6105" s="6">
        <v>0.9298333333333334</v>
      </c>
      <c r="E6105" s="6" t="s">
        <v>186</v>
      </c>
      <c r="F6105" s="6" t="s">
        <v>51</v>
      </c>
      <c r="G6105" s="7">
        <v>51614.23657191667</v>
      </c>
      <c r="H6105" s="6">
        <v>47992.63763912052</v>
      </c>
      <c r="I6105" s="6" t="s">
        <v>180</v>
      </c>
      <c r="J6105" s="15">
        <v>8.750398691807874</v>
      </c>
    </row>
    <row r="6106" spans="1:10">
      <c r="A6106" s="6" t="s">
        <v>148</v>
      </c>
      <c r="B6106" s="6" t="s">
        <v>92</v>
      </c>
      <c r="C6106" s="6" t="s">
        <v>255</v>
      </c>
      <c r="D6106" s="6">
        <v>10.604</v>
      </c>
      <c r="E6106" s="6" t="s">
        <v>186</v>
      </c>
      <c r="F6106" s="6" t="s">
        <v>51</v>
      </c>
      <c r="G6106" s="7">
        <v>37181.66036935381</v>
      </c>
      <c r="H6106" s="6">
        <v>394274.3265566277</v>
      </c>
      <c r="I6106" s="6" t="s">
        <v>180</v>
      </c>
      <c r="J6106" s="15">
        <v>7.161257310893189</v>
      </c>
    </row>
    <row r="6107" spans="1:10">
      <c r="A6107" s="6" t="s">
        <v>148</v>
      </c>
      <c r="B6107" s="6" t="s">
        <v>92</v>
      </c>
      <c r="C6107" s="6" t="s">
        <v>256</v>
      </c>
      <c r="D6107" s="6">
        <v>0.3091666666666666</v>
      </c>
      <c r="E6107" s="6" t="s">
        <v>186</v>
      </c>
      <c r="F6107" s="6" t="s">
        <v>57</v>
      </c>
      <c r="G6107" s="7">
        <v>36188.63012585403</v>
      </c>
      <c r="H6107" s="6">
        <v>11188.3181472432</v>
      </c>
      <c r="I6107" s="6" t="s">
        <v>180</v>
      </c>
      <c r="J6107" s="15">
        <v>6.789443888955148</v>
      </c>
    </row>
    <row r="6108" spans="1:10">
      <c r="A6108" s="6" t="s">
        <v>148</v>
      </c>
      <c r="B6108" s="6" t="s">
        <v>88</v>
      </c>
      <c r="C6108" s="6" t="s">
        <v>257</v>
      </c>
      <c r="D6108" s="6">
        <v>32.89891666666666</v>
      </c>
      <c r="E6108" s="6" t="s">
        <v>186</v>
      </c>
      <c r="F6108" s="6" t="s">
        <v>52</v>
      </c>
      <c r="G6108" s="7">
        <v>44335.59781697809</v>
      </c>
      <c r="H6108" s="6">
        <v>1458593.137947611</v>
      </c>
      <c r="I6108" s="6" t="s">
        <v>180</v>
      </c>
      <c r="J6108" s="15">
        <v>23.08823420331521</v>
      </c>
    </row>
    <row r="6109" spans="1:10">
      <c r="A6109" s="6" t="s">
        <v>148</v>
      </c>
      <c r="B6109" s="6" t="s">
        <v>88</v>
      </c>
      <c r="C6109" s="6" t="s">
        <v>258</v>
      </c>
      <c r="D6109" s="6">
        <v>14.81916666666667</v>
      </c>
      <c r="E6109" s="6" t="s">
        <v>186</v>
      </c>
      <c r="F6109" s="6" t="s">
        <v>52</v>
      </c>
      <c r="G6109" s="7">
        <v>44335.59781697809</v>
      </c>
      <c r="H6109" s="6">
        <v>657016.613316101</v>
      </c>
      <c r="I6109" s="6" t="s">
        <v>180</v>
      </c>
      <c r="J6109" s="15">
        <v>23.08823420331521</v>
      </c>
    </row>
    <row r="6110" spans="1:10">
      <c r="A6110" s="6" t="s">
        <v>148</v>
      </c>
      <c r="B6110" s="6" t="s">
        <v>90</v>
      </c>
      <c r="C6110" s="6" t="s">
        <v>259</v>
      </c>
      <c r="D6110" s="6">
        <v>44.29016666666667</v>
      </c>
      <c r="E6110" s="6" t="s">
        <v>186</v>
      </c>
      <c r="F6110" s="6" t="s">
        <v>56</v>
      </c>
      <c r="G6110" s="7">
        <v>53809.54610454979</v>
      </c>
      <c r="H6110" s="6">
        <v>2383233.765228195</v>
      </c>
      <c r="I6110" s="6" t="s">
        <v>180</v>
      </c>
      <c r="J6110" s="15">
        <v>10.48141012996383</v>
      </c>
    </row>
    <row r="6111" spans="1:10">
      <c r="A6111" s="6" t="s">
        <v>148</v>
      </c>
      <c r="B6111" s="6" t="s">
        <v>86</v>
      </c>
      <c r="C6111" s="6" t="s">
        <v>260</v>
      </c>
      <c r="D6111" s="6">
        <v>6335.719583333334</v>
      </c>
      <c r="E6111" s="6" t="s">
        <v>186</v>
      </c>
      <c r="F6111" s="6" t="s">
        <v>52</v>
      </c>
      <c r="G6111" s="7">
        <v>56913.67510083943</v>
      </c>
      <c r="H6111" s="6">
        <v>360589085.8958591</v>
      </c>
      <c r="I6111" s="6" t="s">
        <v>179</v>
      </c>
      <c r="J6111" s="15">
        <v>53.18333333333334</v>
      </c>
    </row>
    <row r="6112" spans="1:10">
      <c r="A6112" s="6" t="s">
        <v>148</v>
      </c>
      <c r="B6112" s="6" t="s">
        <v>90</v>
      </c>
      <c r="C6112" s="6" t="s">
        <v>261</v>
      </c>
      <c r="D6112" s="6">
        <v>0.5426666666666666</v>
      </c>
      <c r="E6112" s="6" t="s">
        <v>186</v>
      </c>
      <c r="F6112" s="6" t="s">
        <v>54</v>
      </c>
      <c r="G6112" s="7">
        <v>59278.32258850268</v>
      </c>
      <c r="H6112" s="6">
        <v>32168.36972469412</v>
      </c>
      <c r="I6112" s="6" t="s">
        <v>180</v>
      </c>
      <c r="J6112" s="15">
        <v>12.23373267578856</v>
      </c>
    </row>
    <row r="6113" spans="1:10">
      <c r="A6113" s="6" t="s">
        <v>148</v>
      </c>
      <c r="B6113" s="6" t="s">
        <v>86</v>
      </c>
      <c r="C6113" s="6" t="s">
        <v>262</v>
      </c>
      <c r="D6113" s="6">
        <v>91.84616666666668</v>
      </c>
      <c r="E6113" s="6" t="s">
        <v>186</v>
      </c>
      <c r="F6113" s="6" t="s">
        <v>51</v>
      </c>
      <c r="G6113" s="7">
        <v>49180.16248136549</v>
      </c>
      <c r="H6113" s="6">
        <v>4517009.399957242</v>
      </c>
      <c r="I6113" s="6" t="s">
        <v>179</v>
      </c>
      <c r="J6113" s="15">
        <v>85</v>
      </c>
    </row>
    <row r="6114" spans="1:10">
      <c r="A6114" s="6" t="s">
        <v>148</v>
      </c>
      <c r="B6114" s="6" t="s">
        <v>90</v>
      </c>
      <c r="C6114" s="6" t="s">
        <v>263</v>
      </c>
      <c r="D6114" s="6">
        <v>76.9515</v>
      </c>
      <c r="E6114" s="6" t="s">
        <v>186</v>
      </c>
      <c r="F6114" s="6" t="s">
        <v>54</v>
      </c>
      <c r="G6114" s="7">
        <v>65896.61824279206</v>
      </c>
      <c r="H6114" s="6">
        <v>5070843.618710212</v>
      </c>
      <c r="I6114" s="6" t="s">
        <v>179</v>
      </c>
      <c r="J6114" s="15">
        <v>46.91666666666666</v>
      </c>
    </row>
    <row r="6115" spans="1:10">
      <c r="A6115" s="6" t="s">
        <v>148</v>
      </c>
      <c r="B6115" s="6" t="s">
        <v>90</v>
      </c>
      <c r="C6115" s="6" t="s">
        <v>264</v>
      </c>
      <c r="D6115" s="6">
        <v>31.10358333333334</v>
      </c>
      <c r="E6115" s="6" t="s">
        <v>186</v>
      </c>
      <c r="F6115" s="6" t="s">
        <v>54</v>
      </c>
      <c r="G6115" s="7">
        <v>89766.53686395117</v>
      </c>
      <c r="H6115" s="6">
        <v>2792060.959892644</v>
      </c>
      <c r="I6115" s="6" t="s">
        <v>180</v>
      </c>
      <c r="J6115" s="15">
        <v>22.00286209871706</v>
      </c>
    </row>
    <row r="6116" spans="1:10">
      <c r="A6116" s="6" t="s">
        <v>148</v>
      </c>
      <c r="B6116" s="6" t="s">
        <v>86</v>
      </c>
      <c r="C6116" s="6" t="s">
        <v>265</v>
      </c>
      <c r="D6116" s="6">
        <v>122.8255833333333</v>
      </c>
      <c r="E6116" s="6" t="s">
        <v>186</v>
      </c>
      <c r="F6116" s="6" t="s">
        <v>54</v>
      </c>
      <c r="G6116" s="7">
        <v>88690.92662794892</v>
      </c>
      <c r="H6116" s="6">
        <v>10893514.79945169</v>
      </c>
      <c r="I6116" s="6" t="s">
        <v>179</v>
      </c>
      <c r="J6116" s="15">
        <v>70.31666666666666</v>
      </c>
    </row>
    <row r="6117" spans="1:10">
      <c r="A6117" s="6" t="s">
        <v>148</v>
      </c>
      <c r="B6117" s="6" t="s">
        <v>86</v>
      </c>
      <c r="C6117" s="6" t="s">
        <v>266</v>
      </c>
      <c r="D6117" s="6">
        <v>19.44666666666667</v>
      </c>
      <c r="E6117" s="6" t="s">
        <v>186</v>
      </c>
      <c r="F6117" s="6" t="s">
        <v>57</v>
      </c>
      <c r="G6117" s="7">
        <v>56598.40474601523</v>
      </c>
      <c r="H6117" s="6">
        <v>1100650.310960843</v>
      </c>
      <c r="I6117" s="6" t="s">
        <v>179</v>
      </c>
      <c r="J6117" s="15">
        <v>41.60833333333333</v>
      </c>
    </row>
    <row r="6118" spans="1:10">
      <c r="A6118" s="6" t="s">
        <v>148</v>
      </c>
      <c r="B6118" s="6" t="s">
        <v>86</v>
      </c>
      <c r="C6118" s="6" t="s">
        <v>354</v>
      </c>
      <c r="D6118" s="6">
        <v>0.05433333333333333</v>
      </c>
      <c r="E6118" s="6" t="s">
        <v>186</v>
      </c>
      <c r="F6118" s="6" t="s">
        <v>51</v>
      </c>
      <c r="G6118" s="7">
        <v>44088.02354954973</v>
      </c>
      <c r="H6118" s="6">
        <v>2395.449279525535</v>
      </c>
      <c r="I6118" s="6" t="s">
        <v>180</v>
      </c>
      <c r="J6118" s="15">
        <v>6.488664602023904</v>
      </c>
    </row>
    <row r="6119" spans="1:10">
      <c r="A6119" s="6" t="s">
        <v>148</v>
      </c>
      <c r="B6119" s="6" t="s">
        <v>90</v>
      </c>
      <c r="C6119" s="6" t="s">
        <v>355</v>
      </c>
      <c r="D6119" s="6">
        <v>38.13041666666666</v>
      </c>
      <c r="E6119" s="6" t="s">
        <v>186</v>
      </c>
      <c r="F6119" s="6" t="s">
        <v>52</v>
      </c>
      <c r="G6119" s="7">
        <v>59918.03179942394</v>
      </c>
      <c r="H6119" s="6">
        <v>2284699.518358618</v>
      </c>
      <c r="I6119" s="6" t="s">
        <v>180</v>
      </c>
      <c r="J6119" s="15">
        <v>12.43871031134531</v>
      </c>
    </row>
    <row r="6120" spans="1:10">
      <c r="A6120" s="6" t="s">
        <v>148</v>
      </c>
      <c r="B6120" s="6" t="s">
        <v>86</v>
      </c>
      <c r="C6120" s="6" t="s">
        <v>267</v>
      </c>
      <c r="D6120" s="6">
        <v>345.4546666666667</v>
      </c>
      <c r="E6120" s="6" t="s">
        <v>186</v>
      </c>
      <c r="F6120" s="6" t="s">
        <v>53</v>
      </c>
      <c r="G6120" s="7">
        <v>29372.68127915858</v>
      </c>
      <c r="H6120" s="6">
        <v>10146929.82039797</v>
      </c>
      <c r="I6120" s="6" t="s">
        <v>179</v>
      </c>
      <c r="J6120" s="15">
        <v>8</v>
      </c>
    </row>
    <row r="6121" spans="1:10">
      <c r="A6121" s="6" t="s">
        <v>148</v>
      </c>
      <c r="B6121" s="6" t="s">
        <v>86</v>
      </c>
      <c r="C6121" s="6" t="s">
        <v>366</v>
      </c>
      <c r="D6121" s="6">
        <v>22.40266666666666</v>
      </c>
      <c r="E6121" s="6" t="s">
        <v>186</v>
      </c>
      <c r="F6121" s="6" t="s">
        <v>52</v>
      </c>
      <c r="G6121" s="7">
        <v>65901.024793783</v>
      </c>
      <c r="H6121" s="6">
        <v>1476358.691446856</v>
      </c>
      <c r="I6121" s="6" t="s">
        <v>180</v>
      </c>
      <c r="J6121" s="15">
        <v>13.04378181275985</v>
      </c>
    </row>
    <row r="6122" spans="1:10">
      <c r="A6122" s="6" t="s">
        <v>148</v>
      </c>
      <c r="B6122" s="6" t="s">
        <v>92</v>
      </c>
      <c r="C6122" s="6" t="s">
        <v>268</v>
      </c>
      <c r="D6122" s="6">
        <v>0.9885833333333335</v>
      </c>
      <c r="E6122" s="6" t="s">
        <v>186</v>
      </c>
      <c r="F6122" s="6" t="s">
        <v>51</v>
      </c>
      <c r="G6122" s="7">
        <v>43172.09311535833</v>
      </c>
      <c r="H6122" s="6">
        <v>42679.21171895799</v>
      </c>
      <c r="I6122" s="6" t="s">
        <v>180</v>
      </c>
      <c r="J6122" s="15">
        <v>9.404213467325818</v>
      </c>
    </row>
    <row r="6123" spans="1:10">
      <c r="A6123" s="6" t="s">
        <v>148</v>
      </c>
      <c r="B6123" s="6" t="s">
        <v>88</v>
      </c>
      <c r="C6123" s="6" t="s">
        <v>269</v>
      </c>
      <c r="D6123" s="6">
        <v>28.02408333333333</v>
      </c>
      <c r="E6123" s="6" t="s">
        <v>186</v>
      </c>
      <c r="F6123" s="6" t="s">
        <v>52</v>
      </c>
      <c r="G6123" s="7">
        <v>44335.59781697809</v>
      </c>
      <c r="H6123" s="6">
        <v>1242464.487856145</v>
      </c>
      <c r="I6123" s="6" t="s">
        <v>180</v>
      </c>
      <c r="J6123" s="15">
        <v>23.08823420331521</v>
      </c>
    </row>
    <row r="6124" spans="1:10">
      <c r="A6124" s="6" t="s">
        <v>148</v>
      </c>
      <c r="B6124" s="6" t="s">
        <v>86</v>
      </c>
      <c r="C6124" s="6" t="s">
        <v>270</v>
      </c>
      <c r="D6124" s="6">
        <v>39.65683333333333</v>
      </c>
      <c r="E6124" s="6" t="s">
        <v>186</v>
      </c>
      <c r="F6124" s="6" t="s">
        <v>59</v>
      </c>
      <c r="G6124" s="7">
        <v>48832.25327446419</v>
      </c>
      <c r="H6124" s="6">
        <v>1936532.529396547</v>
      </c>
      <c r="I6124" s="6" t="s">
        <v>179</v>
      </c>
      <c r="J6124" s="15">
        <v>27.28333333333333</v>
      </c>
    </row>
    <row r="6125" spans="1:10">
      <c r="A6125" s="6" t="s">
        <v>148</v>
      </c>
      <c r="B6125" s="6" t="s">
        <v>88</v>
      </c>
      <c r="C6125" s="6" t="s">
        <v>271</v>
      </c>
      <c r="D6125" s="6">
        <v>299.81825</v>
      </c>
      <c r="E6125" s="6" t="s">
        <v>186</v>
      </c>
      <c r="F6125" s="6" t="s">
        <v>54</v>
      </c>
      <c r="G6125" s="7">
        <v>41071.74894263604</v>
      </c>
      <c r="H6125" s="6">
        <v>12314059.89242049</v>
      </c>
      <c r="I6125" s="6" t="s">
        <v>180</v>
      </c>
      <c r="J6125" s="15">
        <v>20.89086954089749</v>
      </c>
    </row>
    <row r="6126" spans="1:10">
      <c r="A6126" s="6" t="s">
        <v>148</v>
      </c>
      <c r="B6126" s="6" t="s">
        <v>86</v>
      </c>
      <c r="C6126" s="6" t="s">
        <v>272</v>
      </c>
      <c r="D6126" s="6">
        <v>13.59658333333333</v>
      </c>
      <c r="E6126" s="6" t="s">
        <v>186</v>
      </c>
      <c r="F6126" s="6" t="s">
        <v>51</v>
      </c>
      <c r="G6126" s="7">
        <v>35610.26336083005</v>
      </c>
      <c r="H6126" s="6">
        <v>484177.9133074724</v>
      </c>
      <c r="I6126" s="6" t="s">
        <v>179</v>
      </c>
      <c r="J6126" s="15">
        <v>8.94980137224452</v>
      </c>
    </row>
    <row r="6127" spans="1:10">
      <c r="A6127" s="6" t="s">
        <v>148</v>
      </c>
      <c r="B6127" s="6" t="s">
        <v>92</v>
      </c>
      <c r="C6127" s="6" t="s">
        <v>273</v>
      </c>
      <c r="D6127" s="6">
        <v>193.2585</v>
      </c>
      <c r="E6127" s="6" t="s">
        <v>186</v>
      </c>
      <c r="F6127" s="6" t="s">
        <v>51</v>
      </c>
      <c r="G6127" s="7">
        <v>39415.32644745876</v>
      </c>
      <c r="H6127" s="6">
        <v>7617346.866246207</v>
      </c>
      <c r="I6127" s="6" t="s">
        <v>179</v>
      </c>
      <c r="J6127" s="15">
        <v>27</v>
      </c>
    </row>
    <row r="6128" spans="1:10">
      <c r="A6128" s="6" t="s">
        <v>148</v>
      </c>
      <c r="B6128" s="6" t="s">
        <v>90</v>
      </c>
      <c r="C6128" s="6" t="s">
        <v>274</v>
      </c>
      <c r="D6128" s="6">
        <v>28.92208333333333</v>
      </c>
      <c r="E6128" s="6" t="s">
        <v>186</v>
      </c>
      <c r="F6128" s="6" t="s">
        <v>56</v>
      </c>
      <c r="G6128" s="7">
        <v>58346.71964656267</v>
      </c>
      <c r="H6128" s="6">
        <v>1687508.687844523</v>
      </c>
      <c r="I6128" s="6" t="s">
        <v>180</v>
      </c>
      <c r="J6128" s="15">
        <v>11.93522553370507</v>
      </c>
    </row>
    <row r="6129" spans="1:10">
      <c r="A6129" s="6" t="s">
        <v>148</v>
      </c>
      <c r="B6129" s="6" t="s">
        <v>90</v>
      </c>
      <c r="C6129" s="6" t="s">
        <v>275</v>
      </c>
      <c r="D6129" s="6">
        <v>3.349666666666667</v>
      </c>
      <c r="E6129" s="6" t="s">
        <v>186</v>
      </c>
      <c r="F6129" s="6" t="s">
        <v>51</v>
      </c>
      <c r="G6129" s="7">
        <v>54453.54162987976</v>
      </c>
      <c r="H6129" s="6">
        <v>182401.2132795539</v>
      </c>
      <c r="I6129" s="6" t="s">
        <v>180</v>
      </c>
      <c r="J6129" s="15">
        <v>10.68776119985255</v>
      </c>
    </row>
    <row r="6130" spans="1:10">
      <c r="A6130" s="6" t="s">
        <v>148</v>
      </c>
      <c r="B6130" s="6" t="s">
        <v>92</v>
      </c>
      <c r="C6130" s="6" t="s">
        <v>276</v>
      </c>
      <c r="D6130" s="6">
        <v>46.47741666666667</v>
      </c>
      <c r="E6130" s="6" t="s">
        <v>186</v>
      </c>
      <c r="F6130" s="6" t="s">
        <v>51</v>
      </c>
      <c r="G6130" s="7">
        <v>36785.44810286325</v>
      </c>
      <c r="H6130" s="6">
        <v>1709692.598746818</v>
      </c>
      <c r="I6130" s="6" t="s">
        <v>180</v>
      </c>
      <c r="J6130" s="15">
        <v>7.012906301866028</v>
      </c>
    </row>
    <row r="6131" spans="1:10">
      <c r="A6131" s="6" t="s">
        <v>148</v>
      </c>
      <c r="B6131" s="6" t="s">
        <v>86</v>
      </c>
      <c r="C6131" s="6" t="s">
        <v>277</v>
      </c>
      <c r="D6131" s="6">
        <v>0.3834166666666667</v>
      </c>
      <c r="E6131" s="6" t="s">
        <v>186</v>
      </c>
      <c r="F6131" s="6" t="s">
        <v>57</v>
      </c>
      <c r="G6131" s="7">
        <v>45163.47927531065</v>
      </c>
      <c r="H6131" s="6">
        <v>17316.43067880869</v>
      </c>
      <c r="I6131" s="6" t="s">
        <v>180</v>
      </c>
      <c r="J6131" s="15">
        <v>6.811854348285148</v>
      </c>
    </row>
    <row r="6132" spans="1:10">
      <c r="A6132" s="6" t="s">
        <v>148</v>
      </c>
      <c r="B6132" s="6" t="s">
        <v>92</v>
      </c>
      <c r="C6132" s="6" t="s">
        <v>278</v>
      </c>
      <c r="D6132" s="6">
        <v>519.5561666666667</v>
      </c>
      <c r="E6132" s="6" t="s">
        <v>186</v>
      </c>
      <c r="F6132" s="6" t="s">
        <v>55</v>
      </c>
      <c r="G6132" s="7">
        <v>30336.77880022909</v>
      </c>
      <c r="H6132" s="6">
        <v>15761660.50246163</v>
      </c>
      <c r="I6132" s="6" t="s">
        <v>179</v>
      </c>
      <c r="J6132" s="15">
        <v>14</v>
      </c>
    </row>
    <row r="6133" spans="1:10">
      <c r="A6133" s="6" t="s">
        <v>148</v>
      </c>
      <c r="B6133" s="6" t="s">
        <v>88</v>
      </c>
      <c r="C6133" s="6" t="s">
        <v>280</v>
      </c>
      <c r="D6133" s="6">
        <v>263.86075</v>
      </c>
      <c r="E6133" s="6" t="s">
        <v>186</v>
      </c>
      <c r="F6133" s="6" t="s">
        <v>55</v>
      </c>
      <c r="G6133" s="7">
        <v>24869.46250635056</v>
      </c>
      <c r="H6133" s="6">
        <v>6562075.029022538</v>
      </c>
      <c r="I6133" s="6" t="s">
        <v>180</v>
      </c>
      <c r="J6133" s="15">
        <v>9.982787385089743</v>
      </c>
    </row>
    <row r="6134" spans="1:10">
      <c r="A6134" s="6" t="s">
        <v>148</v>
      </c>
      <c r="B6134" s="6" t="s">
        <v>92</v>
      </c>
      <c r="C6134" s="6" t="s">
        <v>281</v>
      </c>
      <c r="D6134" s="6">
        <v>333.0588333333333</v>
      </c>
      <c r="E6134" s="6" t="s">
        <v>186</v>
      </c>
      <c r="F6134" s="6" t="s">
        <v>57</v>
      </c>
      <c r="G6134" s="7">
        <v>47725.16793448776</v>
      </c>
      <c r="H6134" s="6">
        <v>15895288.7528979</v>
      </c>
      <c r="I6134" s="6" t="s">
        <v>179</v>
      </c>
      <c r="J6134" s="15">
        <v>36</v>
      </c>
    </row>
    <row r="6135" spans="1:10">
      <c r="A6135" s="6" t="s">
        <v>148</v>
      </c>
      <c r="B6135" s="6" t="s">
        <v>90</v>
      </c>
      <c r="C6135" s="6" t="s">
        <v>282</v>
      </c>
      <c r="D6135" s="6">
        <v>0.5931666666666667</v>
      </c>
      <c r="E6135" s="6" t="s">
        <v>186</v>
      </c>
      <c r="F6135" s="6" t="s">
        <v>56</v>
      </c>
      <c r="G6135" s="7">
        <v>55102.56172936118</v>
      </c>
      <c r="H6135" s="6">
        <v>32685.00286579941</v>
      </c>
      <c r="I6135" s="6" t="s">
        <v>180</v>
      </c>
      <c r="J6135" s="15">
        <v>10.89572225957987</v>
      </c>
    </row>
    <row r="6136" spans="1:10">
      <c r="A6136" s="6" t="s">
        <v>148</v>
      </c>
      <c r="B6136" s="6" t="s">
        <v>90</v>
      </c>
      <c r="C6136" s="6" t="s">
        <v>283</v>
      </c>
      <c r="D6136" s="6">
        <v>158.66225</v>
      </c>
      <c r="E6136" s="6" t="s">
        <v>186</v>
      </c>
      <c r="F6136" s="6" t="s">
        <v>51</v>
      </c>
      <c r="G6136" s="7">
        <v>41673.53339700109</v>
      </c>
      <c r="H6136" s="6">
        <v>6612016.574218336</v>
      </c>
      <c r="I6136" s="6" t="s">
        <v>179</v>
      </c>
      <c r="J6136" s="15">
        <v>26.5</v>
      </c>
    </row>
    <row r="6137" spans="1:10">
      <c r="A6137" s="6" t="s">
        <v>148</v>
      </c>
      <c r="B6137" s="6" t="s">
        <v>92</v>
      </c>
      <c r="C6137" s="6" t="s">
        <v>284</v>
      </c>
      <c r="D6137" s="6">
        <v>97.70525000000001</v>
      </c>
      <c r="E6137" s="6" t="s">
        <v>186</v>
      </c>
      <c r="F6137" s="6" t="s">
        <v>55</v>
      </c>
      <c r="G6137" s="7">
        <v>36138.38846146646</v>
      </c>
      <c r="H6137" s="6">
        <v>3530910.279224697</v>
      </c>
      <c r="I6137" s="6" t="s">
        <v>179</v>
      </c>
      <c r="J6137" s="15">
        <v>40.2</v>
      </c>
    </row>
    <row r="6138" spans="1:10">
      <c r="A6138" s="6" t="s">
        <v>148</v>
      </c>
      <c r="B6138" s="6" t="s">
        <v>86</v>
      </c>
      <c r="C6138" s="6" t="s">
        <v>285</v>
      </c>
      <c r="D6138" s="6">
        <v>5.050249999999999</v>
      </c>
      <c r="E6138" s="6" t="s">
        <v>186</v>
      </c>
      <c r="F6138" s="6" t="s">
        <v>52</v>
      </c>
      <c r="G6138" s="7">
        <v>124592.4363366081</v>
      </c>
      <c r="H6138" s="6">
        <v>629222.9516089548</v>
      </c>
      <c r="I6138" s="6" t="s">
        <v>179</v>
      </c>
      <c r="J6138" s="15">
        <v>102.5583333333333</v>
      </c>
    </row>
    <row r="6139" spans="1:10">
      <c r="A6139" s="6" t="s">
        <v>148</v>
      </c>
      <c r="B6139" s="6" t="s">
        <v>92</v>
      </c>
      <c r="C6139" s="6" t="s">
        <v>286</v>
      </c>
      <c r="D6139" s="6">
        <v>20.194</v>
      </c>
      <c r="E6139" s="6" t="s">
        <v>186</v>
      </c>
      <c r="F6139" s="6" t="s">
        <v>59</v>
      </c>
      <c r="G6139" s="7">
        <v>51919.2206470298</v>
      </c>
      <c r="H6139" s="6">
        <v>1048456.74174612</v>
      </c>
      <c r="I6139" s="6" t="s">
        <v>180</v>
      </c>
      <c r="J6139" s="15">
        <v>12.67933971949008</v>
      </c>
    </row>
    <row r="6140" spans="1:10">
      <c r="A6140" s="6" t="s">
        <v>148</v>
      </c>
      <c r="B6140" s="6" t="s">
        <v>90</v>
      </c>
      <c r="C6140" s="6" t="s">
        <v>287</v>
      </c>
      <c r="D6140" s="6">
        <v>0.8125</v>
      </c>
      <c r="E6140" s="6" t="s">
        <v>186</v>
      </c>
      <c r="F6140" s="6" t="s">
        <v>53</v>
      </c>
      <c r="G6140" s="7">
        <v>25443.86066146324</v>
      </c>
      <c r="H6140" s="6">
        <v>20673.13678743888</v>
      </c>
      <c r="I6140" s="6" t="s">
        <v>179</v>
      </c>
      <c r="J6140" s="15">
        <v>16</v>
      </c>
    </row>
    <row r="6141" spans="1:10">
      <c r="A6141" s="6" t="s">
        <v>148</v>
      </c>
      <c r="B6141" s="6" t="s">
        <v>90</v>
      </c>
      <c r="C6141" s="6" t="s">
        <v>376</v>
      </c>
      <c r="D6141" s="6">
        <v>0.46125</v>
      </c>
      <c r="E6141" s="6" t="s">
        <v>186</v>
      </c>
      <c r="F6141" s="6" t="s">
        <v>54</v>
      </c>
      <c r="G6141" s="7">
        <v>76892.37004653887</v>
      </c>
      <c r="H6141" s="6">
        <v>35466.60568396605</v>
      </c>
      <c r="I6141" s="6" t="s">
        <v>180</v>
      </c>
      <c r="J6141" s="15">
        <v>17.87768111188072</v>
      </c>
    </row>
    <row r="6142" spans="1:10">
      <c r="A6142" s="6" t="s">
        <v>148</v>
      </c>
      <c r="B6142" s="6" t="s">
        <v>90</v>
      </c>
      <c r="C6142" s="6" t="s">
        <v>357</v>
      </c>
      <c r="D6142" s="6">
        <v>45.75291666666666</v>
      </c>
      <c r="E6142" s="6" t="s">
        <v>186</v>
      </c>
      <c r="F6142" s="6" t="s">
        <v>52</v>
      </c>
      <c r="G6142" s="7">
        <v>59918.03179942394</v>
      </c>
      <c r="H6142" s="6">
        <v>2741424.715749727</v>
      </c>
      <c r="I6142" s="6" t="s">
        <v>180</v>
      </c>
      <c r="J6142" s="15">
        <v>27</v>
      </c>
    </row>
    <row r="6143" spans="1:10">
      <c r="A6143" s="6" t="s">
        <v>148</v>
      </c>
      <c r="B6143" s="6" t="s">
        <v>90</v>
      </c>
      <c r="C6143" s="6" t="s">
        <v>288</v>
      </c>
      <c r="D6143" s="6">
        <v>0.4019166666666667</v>
      </c>
      <c r="E6143" s="6" t="s">
        <v>186</v>
      </c>
      <c r="F6143" s="6" t="s">
        <v>58</v>
      </c>
      <c r="G6143" s="7">
        <v>69966.42569413477</v>
      </c>
      <c r="H6143" s="6">
        <v>28120.67259356767</v>
      </c>
      <c r="I6143" s="6" t="s">
        <v>180</v>
      </c>
      <c r="J6143" s="15">
        <v>15.65844825870828</v>
      </c>
    </row>
    <row r="6144" spans="1:10">
      <c r="A6144" s="6" t="s">
        <v>148</v>
      </c>
      <c r="B6144" s="6" t="s">
        <v>88</v>
      </c>
      <c r="C6144" s="6" t="s">
        <v>370</v>
      </c>
      <c r="D6144" s="6">
        <v>1.551166666666667</v>
      </c>
      <c r="E6144" s="6" t="s">
        <v>186</v>
      </c>
      <c r="F6144" s="6" t="s">
        <v>55</v>
      </c>
      <c r="G6144" s="7">
        <v>14611.98013674237</v>
      </c>
      <c r="H6144" s="6">
        <v>22665.61652211021</v>
      </c>
      <c r="I6144" s="6" t="s">
        <v>180</v>
      </c>
      <c r="J6144" s="15">
        <v>3.077005238882525</v>
      </c>
    </row>
    <row r="6145" spans="1:10">
      <c r="A6145" s="6" t="s">
        <v>148</v>
      </c>
      <c r="B6145" s="6" t="s">
        <v>90</v>
      </c>
      <c r="C6145" s="6" t="s">
        <v>359</v>
      </c>
      <c r="D6145" s="6">
        <v>18.48325</v>
      </c>
      <c r="E6145" s="6" t="s">
        <v>186</v>
      </c>
      <c r="F6145" s="6" t="s">
        <v>60</v>
      </c>
      <c r="G6145" s="7">
        <v>44402.32112778664</v>
      </c>
      <c r="H6145" s="6">
        <v>820699.2019851623</v>
      </c>
      <c r="I6145" s="6" t="s">
        <v>180</v>
      </c>
      <c r="J6145" s="15">
        <v>7.467117542069946</v>
      </c>
    </row>
    <row r="6146" spans="1:10">
      <c r="A6146" s="6" t="s">
        <v>148</v>
      </c>
      <c r="B6146" s="6" t="s">
        <v>86</v>
      </c>
      <c r="C6146" s="6" t="s">
        <v>289</v>
      </c>
      <c r="D6146" s="6">
        <v>2110.7855</v>
      </c>
      <c r="E6146" s="6" t="s">
        <v>186</v>
      </c>
      <c r="F6146" s="6" t="s">
        <v>52</v>
      </c>
      <c r="G6146" s="7">
        <v>59342.46197897197</v>
      </c>
      <c r="H6146" s="6">
        <v>125259208.2795153</v>
      </c>
      <c r="I6146" s="6" t="s">
        <v>179</v>
      </c>
      <c r="J6146" s="15">
        <v>65</v>
      </c>
    </row>
    <row r="6147" spans="1:10">
      <c r="A6147" s="6" t="s">
        <v>148</v>
      </c>
      <c r="B6147" s="6" t="s">
        <v>86</v>
      </c>
      <c r="C6147" s="6" t="s">
        <v>290</v>
      </c>
      <c r="D6147" s="6">
        <v>0.02966666666666666</v>
      </c>
      <c r="E6147" s="6" t="s">
        <v>186</v>
      </c>
      <c r="F6147" s="6" t="s">
        <v>53</v>
      </c>
      <c r="G6147" s="7">
        <v>34427.13805641644</v>
      </c>
      <c r="H6147" s="6">
        <v>1021.338429007021</v>
      </c>
      <c r="I6147" s="6" t="s">
        <v>180</v>
      </c>
      <c r="J6147" s="15">
        <v>3.585431064468892</v>
      </c>
    </row>
    <row r="6148" spans="1:10">
      <c r="A6148" s="6" t="s">
        <v>148</v>
      </c>
      <c r="B6148" s="6" t="s">
        <v>90</v>
      </c>
      <c r="C6148" s="6" t="s">
        <v>360</v>
      </c>
      <c r="D6148" s="6">
        <v>90.59691666666667</v>
      </c>
      <c r="E6148" s="6" t="s">
        <v>186</v>
      </c>
      <c r="F6148" s="6" t="s">
        <v>52</v>
      </c>
      <c r="G6148" s="7">
        <v>59918.03179942394</v>
      </c>
      <c r="H6148" s="6">
        <v>5428388.933763094</v>
      </c>
      <c r="I6148" s="6" t="s">
        <v>180</v>
      </c>
      <c r="J6148" s="15">
        <v>12.43871031134531</v>
      </c>
    </row>
    <row r="6149" spans="1:10">
      <c r="A6149" s="6" t="s">
        <v>148</v>
      </c>
      <c r="B6149" s="6" t="s">
        <v>92</v>
      </c>
      <c r="C6149" s="6" t="s">
        <v>291</v>
      </c>
      <c r="D6149" s="6">
        <v>0.01041666666666667</v>
      </c>
      <c r="E6149" s="6" t="s">
        <v>186</v>
      </c>
      <c r="F6149" s="6" t="s">
        <v>51</v>
      </c>
      <c r="G6149" s="7">
        <v>42426.84693805363</v>
      </c>
      <c r="H6149" s="6">
        <v>441.9463222713919</v>
      </c>
      <c r="I6149" s="6" t="s">
        <v>180</v>
      </c>
      <c r="J6149" s="15">
        <v>9.125176113545601</v>
      </c>
    </row>
    <row r="6150" spans="1:10">
      <c r="A6150" s="6" t="s">
        <v>148</v>
      </c>
      <c r="B6150" s="6" t="s">
        <v>88</v>
      </c>
      <c r="C6150" s="6" t="s">
        <v>292</v>
      </c>
      <c r="D6150" s="6">
        <v>49.03716666666666</v>
      </c>
      <c r="E6150" s="6" t="s">
        <v>186</v>
      </c>
      <c r="F6150" s="6" t="s">
        <v>54</v>
      </c>
      <c r="G6150" s="7">
        <v>57587.50593880366</v>
      </c>
      <c r="H6150" s="6">
        <v>2823928.126638772</v>
      </c>
      <c r="I6150" s="6" t="s">
        <v>180</v>
      </c>
      <c r="J6150" s="15">
        <v>32.00999367735827</v>
      </c>
    </row>
    <row r="6151" spans="1:10">
      <c r="A6151" s="6" t="s">
        <v>148</v>
      </c>
      <c r="B6151" s="6" t="s">
        <v>86</v>
      </c>
      <c r="C6151" s="6" t="s">
        <v>293</v>
      </c>
      <c r="D6151" s="6">
        <v>557.5285833333334</v>
      </c>
      <c r="E6151" s="6" t="s">
        <v>186</v>
      </c>
      <c r="F6151" s="6" t="s">
        <v>53</v>
      </c>
      <c r="G6151" s="7">
        <v>41597.32934492987</v>
      </c>
      <c r="H6151" s="6">
        <v>23191700.10012884</v>
      </c>
      <c r="I6151" s="6" t="s">
        <v>179</v>
      </c>
      <c r="J6151" s="15">
        <v>8</v>
      </c>
    </row>
    <row r="6152" spans="1:10">
      <c r="A6152" s="6" t="s">
        <v>148</v>
      </c>
      <c r="B6152" s="6" t="s">
        <v>86</v>
      </c>
      <c r="C6152" s="6" t="s">
        <v>371</v>
      </c>
      <c r="D6152" s="6">
        <v>1.6405</v>
      </c>
      <c r="E6152" s="6" t="s">
        <v>186</v>
      </c>
      <c r="F6152" s="6" t="s">
        <v>55</v>
      </c>
      <c r="G6152" s="7">
        <v>53143.73619775795</v>
      </c>
      <c r="H6152" s="6">
        <v>87182.29923242191</v>
      </c>
      <c r="I6152" s="6" t="s">
        <v>180</v>
      </c>
      <c r="J6152" s="15">
        <v>9.210035089794005</v>
      </c>
    </row>
    <row r="6153" spans="1:10">
      <c r="A6153" s="6" t="s">
        <v>148</v>
      </c>
      <c r="B6153" s="6" t="s">
        <v>90</v>
      </c>
      <c r="C6153" s="6" t="s">
        <v>294</v>
      </c>
      <c r="D6153" s="6">
        <v>0.4306666666666667</v>
      </c>
      <c r="E6153" s="6" t="s">
        <v>186</v>
      </c>
      <c r="F6153" s="6" t="s">
        <v>54</v>
      </c>
      <c r="G6153" s="7">
        <v>73336.4313640656</v>
      </c>
      <c r="H6153" s="6">
        <v>31583.55644079092</v>
      </c>
      <c r="I6153" s="6" t="s">
        <v>180</v>
      </c>
      <c r="J6153" s="15">
        <v>16.73827606522132</v>
      </c>
    </row>
    <row r="6154" spans="1:10">
      <c r="A6154" s="6" t="s">
        <v>148</v>
      </c>
      <c r="B6154" s="6" t="s">
        <v>90</v>
      </c>
      <c r="C6154" s="6" t="s">
        <v>295</v>
      </c>
      <c r="D6154" s="6">
        <v>12.92775</v>
      </c>
      <c r="E6154" s="6" t="s">
        <v>186</v>
      </c>
      <c r="F6154" s="6" t="s">
        <v>53</v>
      </c>
      <c r="G6154" s="7">
        <v>29529.16394109224</v>
      </c>
      <c r="H6154" s="6">
        <v>381745.6491394552</v>
      </c>
      <c r="I6154" s="6" t="s">
        <v>179</v>
      </c>
      <c r="J6154" s="15">
        <v>15</v>
      </c>
    </row>
    <row r="6155" spans="1:10">
      <c r="A6155" s="6" t="s">
        <v>148</v>
      </c>
      <c r="B6155" s="6" t="s">
        <v>90</v>
      </c>
      <c r="C6155" s="6" t="s">
        <v>296</v>
      </c>
      <c r="D6155" s="6">
        <v>39.225</v>
      </c>
      <c r="E6155" s="6" t="s">
        <v>186</v>
      </c>
      <c r="F6155" s="6" t="s">
        <v>61</v>
      </c>
      <c r="G6155" s="7">
        <v>58003.92647416519</v>
      </c>
      <c r="H6155" s="6">
        <v>2275204.01594913</v>
      </c>
      <c r="I6155" s="6" t="s">
        <v>179</v>
      </c>
      <c r="J6155" s="15">
        <v>13</v>
      </c>
    </row>
    <row r="6156" spans="1:10">
      <c r="A6156" s="6" t="s">
        <v>148</v>
      </c>
      <c r="B6156" s="6" t="s">
        <v>88</v>
      </c>
      <c r="C6156" s="6" t="s">
        <v>297</v>
      </c>
      <c r="D6156" s="6">
        <v>13.85375</v>
      </c>
      <c r="E6156" s="6" t="s">
        <v>186</v>
      </c>
      <c r="F6156" s="6" t="s">
        <v>52</v>
      </c>
      <c r="G6156" s="7">
        <v>44335.59781697809</v>
      </c>
      <c r="H6156" s="6">
        <v>614214.2882569601</v>
      </c>
      <c r="I6156" s="6" t="s">
        <v>180</v>
      </c>
      <c r="J6156" s="15">
        <v>23.08823420331521</v>
      </c>
    </row>
    <row r="6157" spans="1:10">
      <c r="A6157" s="6" t="s">
        <v>148</v>
      </c>
      <c r="B6157" s="6" t="s">
        <v>90</v>
      </c>
      <c r="C6157" s="6" t="s">
        <v>298</v>
      </c>
      <c r="D6157" s="6">
        <v>54.49166666666666</v>
      </c>
      <c r="E6157" s="6" t="s">
        <v>186</v>
      </c>
      <c r="F6157" s="6" t="s">
        <v>56</v>
      </c>
      <c r="G6157" s="7">
        <v>48595.16583801468</v>
      </c>
      <c r="H6157" s="6">
        <v>2648031.578456483</v>
      </c>
      <c r="I6157" s="6" t="s">
        <v>179</v>
      </c>
      <c r="J6157" s="15">
        <v>63.75</v>
      </c>
    </row>
    <row r="6158" spans="1:10">
      <c r="A6158" s="6" t="s">
        <v>148</v>
      </c>
      <c r="B6158" s="6" t="s">
        <v>90</v>
      </c>
      <c r="C6158" s="6" t="s">
        <v>299</v>
      </c>
      <c r="D6158" s="6">
        <v>0.6800833333333334</v>
      </c>
      <c r="E6158" s="6" t="s">
        <v>186</v>
      </c>
      <c r="F6158" s="6" t="s">
        <v>53</v>
      </c>
      <c r="G6158" s="7">
        <v>25973.79370043561</v>
      </c>
      <c r="H6158" s="6">
        <v>17664.34419910458</v>
      </c>
      <c r="I6158" s="6" t="s">
        <v>179</v>
      </c>
      <c r="J6158" s="15">
        <v>14</v>
      </c>
    </row>
    <row r="6159" spans="1:10">
      <c r="A6159" s="6" t="s">
        <v>148</v>
      </c>
      <c r="B6159" s="6" t="s">
        <v>92</v>
      </c>
      <c r="C6159" s="6" t="s">
        <v>301</v>
      </c>
      <c r="D6159" s="6">
        <v>9.585166666666668</v>
      </c>
      <c r="E6159" s="6" t="s">
        <v>186</v>
      </c>
      <c r="F6159" s="6" t="s">
        <v>59</v>
      </c>
      <c r="G6159" s="7">
        <v>60287.5334728343</v>
      </c>
      <c r="H6159" s="6">
        <v>577866.0562593623</v>
      </c>
      <c r="I6159" s="6" t="s">
        <v>180</v>
      </c>
      <c r="J6159" s="15">
        <v>15.81262901050354</v>
      </c>
    </row>
    <row r="6160" spans="1:10">
      <c r="A6160" s="6" t="s">
        <v>148</v>
      </c>
      <c r="B6160" s="6" t="s">
        <v>88</v>
      </c>
      <c r="C6160" s="6" t="s">
        <v>302</v>
      </c>
      <c r="D6160" s="6">
        <v>560.1428333333333</v>
      </c>
      <c r="E6160" s="6" t="s">
        <v>186</v>
      </c>
      <c r="F6160" s="6" t="s">
        <v>52</v>
      </c>
      <c r="G6160" s="7">
        <v>33240.74338740388</v>
      </c>
      <c r="H6160" s="6">
        <v>18619564.18312668</v>
      </c>
      <c r="I6160" s="6" t="s">
        <v>179</v>
      </c>
      <c r="J6160" s="15">
        <v>34</v>
      </c>
    </row>
    <row r="6161" spans="1:10">
      <c r="A6161" s="6" t="s">
        <v>148</v>
      </c>
      <c r="B6161" s="6" t="s">
        <v>90</v>
      </c>
      <c r="C6161" s="6" t="s">
        <v>303</v>
      </c>
      <c r="D6161" s="6">
        <v>0.353</v>
      </c>
      <c r="E6161" s="6" t="s">
        <v>186</v>
      </c>
      <c r="F6161" s="6" t="s">
        <v>53</v>
      </c>
      <c r="G6161" s="7">
        <v>31792.00581425614</v>
      </c>
      <c r="H6161" s="6">
        <v>11222.57805243242</v>
      </c>
      <c r="I6161" s="6" t="s">
        <v>180</v>
      </c>
      <c r="J6161" s="15">
        <v>14</v>
      </c>
    </row>
    <row r="6162" spans="1:10">
      <c r="A6162" s="6" t="s">
        <v>148</v>
      </c>
      <c r="B6162" s="6" t="s">
        <v>90</v>
      </c>
      <c r="C6162" s="6" t="s">
        <v>304</v>
      </c>
      <c r="D6162" s="6">
        <v>139.6424166666667</v>
      </c>
      <c r="E6162" s="6" t="s">
        <v>186</v>
      </c>
      <c r="F6162" s="6" t="s">
        <v>52</v>
      </c>
      <c r="G6162" s="7">
        <v>59918.03179942394</v>
      </c>
      <c r="H6162" s="6">
        <v>8367098.76238174</v>
      </c>
      <c r="I6162" s="6" t="s">
        <v>180</v>
      </c>
      <c r="J6162" s="15">
        <v>12.43871031134531</v>
      </c>
    </row>
    <row r="6163" spans="1:10">
      <c r="A6163" s="6" t="s">
        <v>148</v>
      </c>
      <c r="B6163" s="6" t="s">
        <v>86</v>
      </c>
      <c r="C6163" s="6" t="s">
        <v>361</v>
      </c>
      <c r="D6163" s="6">
        <v>640.07575</v>
      </c>
      <c r="E6163" s="6" t="s">
        <v>186</v>
      </c>
      <c r="F6163" s="6" t="s">
        <v>52</v>
      </c>
      <c r="G6163" s="7">
        <v>58941.63635603187</v>
      </c>
      <c r="H6163" s="6">
        <v>37727112.09681436</v>
      </c>
      <c r="I6163" s="6" t="s">
        <v>179</v>
      </c>
      <c r="J6163" s="15">
        <v>64.18333333333334</v>
      </c>
    </row>
    <row r="6164" spans="1:10">
      <c r="A6164" s="6" t="s">
        <v>148</v>
      </c>
      <c r="B6164" s="6" t="s">
        <v>88</v>
      </c>
      <c r="C6164" s="6" t="s">
        <v>305</v>
      </c>
      <c r="D6164" s="6">
        <v>144.666</v>
      </c>
      <c r="E6164" s="6" t="s">
        <v>186</v>
      </c>
      <c r="F6164" s="6" t="s">
        <v>54</v>
      </c>
      <c r="G6164" s="7">
        <v>54240.54060127008</v>
      </c>
      <c r="H6164" s="6">
        <v>7846762.046623337</v>
      </c>
      <c r="I6164" s="6" t="s">
        <v>180</v>
      </c>
      <c r="J6164" s="15">
        <v>29.75667140595994</v>
      </c>
    </row>
    <row r="6165" spans="1:10">
      <c r="A6165" s="6" t="s">
        <v>148</v>
      </c>
      <c r="B6165" s="6" t="s">
        <v>92</v>
      </c>
      <c r="C6165" s="6" t="s">
        <v>306</v>
      </c>
      <c r="D6165" s="6">
        <v>6.96075</v>
      </c>
      <c r="E6165" s="6" t="s">
        <v>186</v>
      </c>
      <c r="F6165" s="6" t="s">
        <v>57</v>
      </c>
      <c r="G6165" s="7">
        <v>39936.89263645957</v>
      </c>
      <c r="H6165" s="6">
        <v>277990.7254192359</v>
      </c>
      <c r="I6165" s="6" t="s">
        <v>180</v>
      </c>
      <c r="J6165" s="15">
        <v>8.192879805950582</v>
      </c>
    </row>
    <row r="6166" spans="1:10">
      <c r="A6166" s="6" t="s">
        <v>148</v>
      </c>
      <c r="B6166" s="6" t="s">
        <v>90</v>
      </c>
      <c r="C6166" s="6" t="s">
        <v>307</v>
      </c>
      <c r="D6166" s="6">
        <v>0.2185</v>
      </c>
      <c r="E6166" s="6" t="s">
        <v>186</v>
      </c>
      <c r="F6166" s="6" t="s">
        <v>53</v>
      </c>
      <c r="G6166" s="7">
        <v>34610.3479059413</v>
      </c>
      <c r="H6166" s="6">
        <v>7562.361017448174</v>
      </c>
      <c r="I6166" s="6" t="s">
        <v>180</v>
      </c>
      <c r="J6166" s="15">
        <v>13.5</v>
      </c>
    </row>
    <row r="6167" spans="1:10">
      <c r="A6167" s="6" t="s">
        <v>148</v>
      </c>
      <c r="B6167" s="6" t="s">
        <v>86</v>
      </c>
      <c r="C6167" s="6" t="s">
        <v>362</v>
      </c>
      <c r="D6167" s="6">
        <v>2439.1675</v>
      </c>
      <c r="E6167" s="6" t="s">
        <v>186</v>
      </c>
      <c r="F6167" s="6" t="s">
        <v>52</v>
      </c>
      <c r="G6167" s="7">
        <v>57401.5078649952</v>
      </c>
      <c r="H6167" s="6">
        <v>140011892.4352907</v>
      </c>
      <c r="I6167" s="6" t="s">
        <v>179</v>
      </c>
      <c r="J6167" s="15">
        <v>50.76666666666667</v>
      </c>
    </row>
    <row r="6168" spans="1:10">
      <c r="A6168" s="6" t="s">
        <v>148</v>
      </c>
      <c r="B6168" s="6" t="s">
        <v>90</v>
      </c>
      <c r="C6168" s="6" t="s">
        <v>308</v>
      </c>
      <c r="D6168" s="6">
        <v>0.3351666666666667</v>
      </c>
      <c r="E6168" s="6" t="s">
        <v>186</v>
      </c>
      <c r="F6168" s="6" t="s">
        <v>54</v>
      </c>
      <c r="G6168" s="7">
        <v>61958.4525384317</v>
      </c>
      <c r="H6168" s="6">
        <v>20766.40800913102</v>
      </c>
      <c r="I6168" s="6" t="s">
        <v>180</v>
      </c>
      <c r="J6168" s="15">
        <v>13.09250833626427</v>
      </c>
    </row>
    <row r="6169" spans="1:10">
      <c r="A6169" s="6" t="s">
        <v>148</v>
      </c>
      <c r="B6169" s="6" t="s">
        <v>90</v>
      </c>
      <c r="C6169" s="6" t="s">
        <v>309</v>
      </c>
      <c r="D6169" s="6">
        <v>1137.381833333333</v>
      </c>
      <c r="E6169" s="6" t="s">
        <v>186</v>
      </c>
      <c r="F6169" s="6" t="s">
        <v>52</v>
      </c>
      <c r="G6169" s="7">
        <v>73075.41331885532</v>
      </c>
      <c r="H6169" s="6">
        <v>83114647.57219076</v>
      </c>
      <c r="I6169" s="6" t="s">
        <v>179</v>
      </c>
      <c r="J6169" s="15">
        <v>52</v>
      </c>
    </row>
    <row r="6170" spans="1:10">
      <c r="A6170" s="6" t="s">
        <v>148</v>
      </c>
      <c r="B6170" s="6" t="s">
        <v>90</v>
      </c>
      <c r="C6170" s="6" t="s">
        <v>310</v>
      </c>
      <c r="D6170" s="6">
        <v>84.54491666666667</v>
      </c>
      <c r="E6170" s="6" t="s">
        <v>186</v>
      </c>
      <c r="F6170" s="6" t="s">
        <v>52</v>
      </c>
      <c r="G6170" s="7">
        <v>72589.43692380768</v>
      </c>
      <c r="H6170" s="6">
        <v>6137067.895603577</v>
      </c>
      <c r="I6170" s="6" t="s">
        <v>179</v>
      </c>
      <c r="J6170" s="15">
        <v>75.54166666666666</v>
      </c>
    </row>
    <row r="6171" spans="1:10">
      <c r="A6171" s="6" t="s">
        <v>148</v>
      </c>
      <c r="B6171" s="6" t="s">
        <v>86</v>
      </c>
      <c r="C6171" s="6" t="s">
        <v>311</v>
      </c>
      <c r="D6171" s="6">
        <v>78.78075</v>
      </c>
      <c r="E6171" s="6" t="s">
        <v>186</v>
      </c>
      <c r="F6171" s="6" t="s">
        <v>51</v>
      </c>
      <c r="G6171" s="7">
        <v>45054.61286131107</v>
      </c>
      <c r="H6171" s="6">
        <v>3549436.192173732</v>
      </c>
      <c r="I6171" s="6" t="s">
        <v>179</v>
      </c>
      <c r="J6171" s="15">
        <v>50.35</v>
      </c>
    </row>
    <row r="6172" spans="1:10">
      <c r="A6172" s="6" t="s">
        <v>148</v>
      </c>
      <c r="B6172" s="6" t="s">
        <v>86</v>
      </c>
      <c r="C6172" s="6" t="s">
        <v>312</v>
      </c>
      <c r="D6172" s="6">
        <v>123.4861666666667</v>
      </c>
      <c r="E6172" s="6" t="s">
        <v>186</v>
      </c>
      <c r="F6172" s="6" t="s">
        <v>54</v>
      </c>
      <c r="G6172" s="7">
        <v>81169.23103268788</v>
      </c>
      <c r="H6172" s="6">
        <v>10023277.19150767</v>
      </c>
      <c r="I6172" s="6" t="s">
        <v>179</v>
      </c>
      <c r="J6172" s="15">
        <v>47.825</v>
      </c>
    </row>
    <row r="6173" spans="1:10">
      <c r="A6173" s="6" t="s">
        <v>148</v>
      </c>
      <c r="B6173" s="6" t="s">
        <v>86</v>
      </c>
      <c r="C6173" s="6" t="s">
        <v>313</v>
      </c>
      <c r="D6173" s="6">
        <v>12.2005</v>
      </c>
      <c r="E6173" s="6" t="s">
        <v>186</v>
      </c>
      <c r="F6173" s="6" t="s">
        <v>51</v>
      </c>
      <c r="G6173" s="7">
        <v>53462.78643120329</v>
      </c>
      <c r="H6173" s="6">
        <v>652272.7258538958</v>
      </c>
      <c r="I6173" s="6" t="s">
        <v>180</v>
      </c>
      <c r="J6173" s="15">
        <v>9.305914224119906</v>
      </c>
    </row>
    <row r="6174" spans="1:10">
      <c r="A6174" s="6" t="s">
        <v>148</v>
      </c>
      <c r="B6174" s="6" t="s">
        <v>90</v>
      </c>
      <c r="C6174" s="6" t="s">
        <v>314</v>
      </c>
      <c r="D6174" s="6">
        <v>7.283583333333333</v>
      </c>
      <c r="E6174" s="6" t="s">
        <v>186</v>
      </c>
      <c r="F6174" s="6" t="s">
        <v>51</v>
      </c>
      <c r="G6174" s="7">
        <v>58052.11180989485</v>
      </c>
      <c r="H6174" s="6">
        <v>422827.3940433533</v>
      </c>
      <c r="I6174" s="6" t="s">
        <v>180</v>
      </c>
      <c r="J6174" s="15">
        <v>11.84082636491759</v>
      </c>
    </row>
    <row r="6175" spans="1:10">
      <c r="A6175" s="6" t="s">
        <v>148</v>
      </c>
      <c r="B6175" s="6" t="s">
        <v>86</v>
      </c>
      <c r="C6175" s="6" t="s">
        <v>315</v>
      </c>
      <c r="D6175" s="6">
        <v>12.118</v>
      </c>
      <c r="E6175" s="6" t="s">
        <v>186</v>
      </c>
      <c r="F6175" s="6" t="s">
        <v>51</v>
      </c>
      <c r="G6175" s="7">
        <v>37464.72792440534</v>
      </c>
      <c r="H6175" s="6">
        <v>453997.5729879439</v>
      </c>
      <c r="I6175" s="6" t="s">
        <v>179</v>
      </c>
      <c r="J6175" s="15">
        <v>14</v>
      </c>
    </row>
    <row r="6176" spans="1:10">
      <c r="A6176" s="6" t="s">
        <v>148</v>
      </c>
      <c r="B6176" s="6" t="s">
        <v>86</v>
      </c>
      <c r="C6176" s="6" t="s">
        <v>316</v>
      </c>
      <c r="D6176" s="6">
        <v>3.3975</v>
      </c>
      <c r="E6176" s="6" t="s">
        <v>186</v>
      </c>
      <c r="F6176" s="6" t="s">
        <v>54</v>
      </c>
      <c r="G6176" s="7">
        <v>83552.76780903985</v>
      </c>
      <c r="H6176" s="6">
        <v>283870.5286312129</v>
      </c>
      <c r="I6176" s="6" t="s">
        <v>180</v>
      </c>
      <c r="J6176" s="15">
        <v>18.34838172284276</v>
      </c>
    </row>
    <row r="6177" spans="1:10">
      <c r="A6177" s="6" t="s">
        <v>148</v>
      </c>
      <c r="B6177" s="6" t="s">
        <v>86</v>
      </c>
      <c r="C6177" s="6" t="s">
        <v>317</v>
      </c>
      <c r="D6177" s="6">
        <v>0.54</v>
      </c>
      <c r="E6177" s="6" t="s">
        <v>186</v>
      </c>
      <c r="F6177" s="6" t="s">
        <v>51</v>
      </c>
      <c r="G6177" s="7">
        <v>52842.46544157674</v>
      </c>
      <c r="H6177" s="6">
        <v>28534.93133845144</v>
      </c>
      <c r="I6177" s="6" t="s">
        <v>180</v>
      </c>
      <c r="J6177" s="15">
        <v>9.119498941337266</v>
      </c>
    </row>
    <row r="6178" spans="1:10">
      <c r="A6178" s="6" t="s">
        <v>148</v>
      </c>
      <c r="B6178" s="6" t="s">
        <v>90</v>
      </c>
      <c r="C6178" s="6" t="s">
        <v>319</v>
      </c>
      <c r="D6178" s="6">
        <v>102.5013333333333</v>
      </c>
      <c r="E6178" s="6" t="s">
        <v>186</v>
      </c>
      <c r="F6178" s="6" t="s">
        <v>52</v>
      </c>
      <c r="G6178" s="7">
        <v>59918.03179942394</v>
      </c>
      <c r="H6178" s="6">
        <v>6141678.15015002</v>
      </c>
      <c r="I6178" s="6" t="s">
        <v>180</v>
      </c>
      <c r="J6178" s="15">
        <v>12.43871031134531</v>
      </c>
    </row>
    <row r="6179" spans="1:10">
      <c r="A6179" s="6" t="s">
        <v>148</v>
      </c>
      <c r="B6179" s="6" t="s">
        <v>86</v>
      </c>
      <c r="C6179" s="6" t="s">
        <v>320</v>
      </c>
      <c r="D6179" s="6">
        <v>8.949166666666667</v>
      </c>
      <c r="E6179" s="6" t="s">
        <v>186</v>
      </c>
      <c r="F6179" s="6" t="s">
        <v>51</v>
      </c>
      <c r="G6179" s="7">
        <v>52021.16753243782</v>
      </c>
      <c r="H6179" s="6">
        <v>465546.0984423747</v>
      </c>
      <c r="I6179" s="6" t="s">
        <v>179</v>
      </c>
      <c r="J6179" s="15">
        <v>101.05</v>
      </c>
    </row>
    <row r="6180" spans="1:10">
      <c r="A6180" s="6" t="s">
        <v>148</v>
      </c>
      <c r="B6180" s="6" t="s">
        <v>90</v>
      </c>
      <c r="C6180" s="6" t="s">
        <v>321</v>
      </c>
      <c r="D6180" s="6">
        <v>6.539833333333333</v>
      </c>
      <c r="E6180" s="6" t="s">
        <v>186</v>
      </c>
      <c r="F6180" s="6" t="s">
        <v>54</v>
      </c>
      <c r="G6180" s="7">
        <v>49362.0809529337</v>
      </c>
      <c r="H6180" s="6">
        <v>322819.7824186942</v>
      </c>
      <c r="I6180" s="6" t="s">
        <v>180</v>
      </c>
      <c r="J6180" s="15">
        <v>9.05633937056912</v>
      </c>
    </row>
    <row r="6181" spans="1:10">
      <c r="A6181" s="6" t="s">
        <v>148</v>
      </c>
      <c r="B6181" s="6" t="s">
        <v>86</v>
      </c>
      <c r="C6181" s="6" t="s">
        <v>322</v>
      </c>
      <c r="D6181" s="6">
        <v>36.38691666666666</v>
      </c>
      <c r="E6181" s="6" t="s">
        <v>186</v>
      </c>
      <c r="F6181" s="6" t="s">
        <v>51</v>
      </c>
      <c r="G6181" s="7">
        <v>45195.78581875691</v>
      </c>
      <c r="H6181" s="6">
        <v>1644535.292271623</v>
      </c>
      <c r="I6181" s="6" t="s">
        <v>179</v>
      </c>
      <c r="J6181" s="15">
        <v>55</v>
      </c>
    </row>
    <row r="6182" spans="1:10">
      <c r="A6182" s="6" t="s">
        <v>148</v>
      </c>
      <c r="B6182" s="6" t="s">
        <v>92</v>
      </c>
      <c r="C6182" s="6" t="s">
        <v>323</v>
      </c>
      <c r="D6182" s="6">
        <v>64.89491666666667</v>
      </c>
      <c r="E6182" s="6" t="s">
        <v>186</v>
      </c>
      <c r="F6182" s="6" t="s">
        <v>55</v>
      </c>
      <c r="G6182" s="7">
        <v>37901.84707720344</v>
      </c>
      <c r="H6182" s="6">
        <v>2459637.207587861</v>
      </c>
      <c r="I6182" s="6" t="s">
        <v>179</v>
      </c>
      <c r="J6182" s="15">
        <v>17</v>
      </c>
    </row>
    <row r="6183" spans="1:10">
      <c r="A6183" s="6" t="s">
        <v>148</v>
      </c>
      <c r="B6183" s="6" t="s">
        <v>90</v>
      </c>
      <c r="C6183" s="6" t="s">
        <v>324</v>
      </c>
      <c r="D6183" s="6">
        <v>100.58375</v>
      </c>
      <c r="E6183" s="6" t="s">
        <v>186</v>
      </c>
      <c r="F6183" s="6" t="s">
        <v>51</v>
      </c>
      <c r="G6183" s="7">
        <v>52939.45685818696</v>
      </c>
      <c r="H6183" s="6">
        <v>5324849.093759663</v>
      </c>
      <c r="I6183" s="6" t="s">
        <v>180</v>
      </c>
      <c r="J6183" s="15">
        <v>10.20261339951505</v>
      </c>
    </row>
    <row r="6184" spans="1:10">
      <c r="A6184" s="6" t="s">
        <v>148</v>
      </c>
      <c r="B6184" s="6" t="s">
        <v>88</v>
      </c>
      <c r="C6184" s="6" t="s">
        <v>372</v>
      </c>
      <c r="D6184" s="6">
        <v>2.671166666666667</v>
      </c>
      <c r="E6184" s="6" t="s">
        <v>186</v>
      </c>
      <c r="F6184" s="6" t="s">
        <v>55</v>
      </c>
      <c r="G6184" s="7">
        <v>26107.48186832325</v>
      </c>
      <c r="H6184" s="6">
        <v>69737.43531726945</v>
      </c>
      <c r="I6184" s="6" t="s">
        <v>180</v>
      </c>
      <c r="J6184" s="15">
        <v>10.81627573032942</v>
      </c>
    </row>
    <row r="6185" spans="1:10">
      <c r="A6185" s="6" t="s">
        <v>148</v>
      </c>
      <c r="B6185" s="6" t="s">
        <v>90</v>
      </c>
      <c r="C6185" s="6" t="s">
        <v>325</v>
      </c>
      <c r="D6185" s="6">
        <v>0.7650833333333333</v>
      </c>
      <c r="E6185" s="6" t="s">
        <v>186</v>
      </c>
      <c r="F6185" s="6" t="s">
        <v>53</v>
      </c>
      <c r="G6185" s="7">
        <v>27183.84720656899</v>
      </c>
      <c r="H6185" s="6">
        <v>20797.90843362582</v>
      </c>
      <c r="I6185" s="6" t="s">
        <v>179</v>
      </c>
      <c r="J6185" s="15">
        <v>16</v>
      </c>
    </row>
    <row r="6186" spans="1:10">
      <c r="A6186" s="6" t="s">
        <v>148</v>
      </c>
      <c r="B6186" s="6" t="s">
        <v>90</v>
      </c>
      <c r="C6186" s="6" t="s">
        <v>364</v>
      </c>
      <c r="D6186" s="6">
        <v>19.82358333333333</v>
      </c>
      <c r="E6186" s="6" t="s">
        <v>186</v>
      </c>
      <c r="F6186" s="6" t="s">
        <v>52</v>
      </c>
      <c r="G6186" s="7">
        <v>51274.29567237874</v>
      </c>
      <c r="H6186" s="6">
        <v>1016440.273119373</v>
      </c>
      <c r="I6186" s="6" t="s">
        <v>179</v>
      </c>
      <c r="J6186" s="15">
        <v>65</v>
      </c>
    </row>
    <row r="6187" spans="1:10">
      <c r="A6187" s="6" t="s">
        <v>148</v>
      </c>
      <c r="B6187" s="6" t="s">
        <v>90</v>
      </c>
      <c r="C6187" s="6" t="s">
        <v>326</v>
      </c>
      <c r="D6187" s="6">
        <v>272.3894166666667</v>
      </c>
      <c r="E6187" s="6" t="s">
        <v>186</v>
      </c>
      <c r="F6187" s="6" t="s">
        <v>54</v>
      </c>
      <c r="G6187" s="7">
        <v>73204.69251441542</v>
      </c>
      <c r="H6187" s="6">
        <v>19940183.49126432</v>
      </c>
      <c r="I6187" s="6" t="s">
        <v>179</v>
      </c>
      <c r="J6187" s="15">
        <v>50.55</v>
      </c>
    </row>
    <row r="6188" spans="1:10">
      <c r="A6188" s="6" t="s">
        <v>148</v>
      </c>
      <c r="B6188" s="6" t="s">
        <v>88</v>
      </c>
      <c r="C6188" s="6" t="s">
        <v>373</v>
      </c>
      <c r="D6188" s="6">
        <v>0.5991666666666667</v>
      </c>
      <c r="E6188" s="6" t="s">
        <v>186</v>
      </c>
      <c r="F6188" s="6" t="s">
        <v>55</v>
      </c>
      <c r="G6188" s="7">
        <v>16856.45138564954</v>
      </c>
      <c r="H6188" s="6">
        <v>10099.82378856835</v>
      </c>
      <c r="I6188" s="6" t="s">
        <v>180</v>
      </c>
      <c r="J6188" s="15">
        <v>4.588080658744115</v>
      </c>
    </row>
    <row r="6189" spans="1:10">
      <c r="A6189" s="6" t="s">
        <v>148</v>
      </c>
      <c r="B6189" s="6" t="s">
        <v>92</v>
      </c>
      <c r="C6189" s="6" t="s">
        <v>374</v>
      </c>
      <c r="D6189" s="6">
        <v>0.2330833333333334</v>
      </c>
      <c r="E6189" s="6" t="s">
        <v>186</v>
      </c>
      <c r="F6189" s="6" t="s">
        <v>55</v>
      </c>
      <c r="G6189" s="7">
        <v>29054.37866544401</v>
      </c>
      <c r="H6189" s="6">
        <v>6772.091427270575</v>
      </c>
      <c r="I6189" s="6" t="s">
        <v>180</v>
      </c>
      <c r="J6189" s="15">
        <v>15.81666666666667</v>
      </c>
    </row>
    <row r="6190" spans="1:10">
      <c r="A6190" s="6" t="s">
        <v>148</v>
      </c>
      <c r="B6190" s="6" t="s">
        <v>86</v>
      </c>
      <c r="C6190" s="6" t="s">
        <v>327</v>
      </c>
      <c r="D6190" s="6">
        <v>91.66291666666666</v>
      </c>
      <c r="E6190" s="6" t="s">
        <v>186</v>
      </c>
      <c r="F6190" s="6" t="s">
        <v>57</v>
      </c>
      <c r="G6190" s="7">
        <v>42782.89879327323</v>
      </c>
      <c r="H6190" s="6">
        <v>3921605.286846237</v>
      </c>
      <c r="I6190" s="6" t="s">
        <v>179</v>
      </c>
      <c r="J6190" s="15">
        <v>30.675</v>
      </c>
    </row>
    <row r="6191" spans="1:10">
      <c r="A6191" s="6" t="s">
        <v>148</v>
      </c>
      <c r="B6191" s="6" t="s">
        <v>90</v>
      </c>
      <c r="C6191" s="6" t="s">
        <v>328</v>
      </c>
      <c r="D6191" s="6">
        <v>0.7628333333333333</v>
      </c>
      <c r="E6191" s="6" t="s">
        <v>186</v>
      </c>
      <c r="F6191" s="6" t="s">
        <v>58</v>
      </c>
      <c r="G6191" s="7">
        <v>61261.16637247237</v>
      </c>
      <c r="H6191" s="6">
        <v>46732.059747801</v>
      </c>
      <c r="I6191" s="6" t="s">
        <v>180</v>
      </c>
      <c r="J6191" s="15">
        <v>12.86908171184699</v>
      </c>
    </row>
    <row r="6192" spans="1:10">
      <c r="A6192" s="6" t="s">
        <v>148</v>
      </c>
      <c r="B6192" s="6" t="s">
        <v>90</v>
      </c>
      <c r="C6192" s="6" t="s">
        <v>329</v>
      </c>
      <c r="D6192" s="6">
        <v>284.9365833333333</v>
      </c>
      <c r="E6192" s="6" t="s">
        <v>186</v>
      </c>
      <c r="F6192" s="6" t="s">
        <v>58</v>
      </c>
      <c r="G6192" s="7">
        <v>59375.40509749136</v>
      </c>
      <c r="H6192" s="6">
        <v>16918225.06251177</v>
      </c>
      <c r="I6192" s="6" t="s">
        <v>180</v>
      </c>
      <c r="J6192" s="15">
        <v>12.2648401583864</v>
      </c>
    </row>
    <row r="6193" spans="1:10">
      <c r="A6193" s="6" t="s">
        <v>148</v>
      </c>
      <c r="B6193" s="6" t="s">
        <v>90</v>
      </c>
      <c r="C6193" s="6" t="s">
        <v>330</v>
      </c>
      <c r="D6193" s="6">
        <v>21.95058333333333</v>
      </c>
      <c r="E6193" s="6" t="s">
        <v>186</v>
      </c>
      <c r="F6193" s="6" t="s">
        <v>52</v>
      </c>
      <c r="G6193" s="7">
        <v>59918.03179942394</v>
      </c>
      <c r="H6193" s="6">
        <v>1315235.750182572</v>
      </c>
      <c r="I6193" s="6" t="s">
        <v>180</v>
      </c>
      <c r="J6193" s="15">
        <v>47.43333333333333</v>
      </c>
    </row>
    <row r="6194" spans="1:10">
      <c r="A6194" s="6" t="s">
        <v>148</v>
      </c>
      <c r="B6194" s="6" t="s">
        <v>92</v>
      </c>
      <c r="C6194" s="6" t="s">
        <v>331</v>
      </c>
      <c r="D6194" s="6">
        <v>89.94374999999999</v>
      </c>
      <c r="E6194" s="6" t="s">
        <v>186</v>
      </c>
      <c r="F6194" s="6" t="s">
        <v>58</v>
      </c>
      <c r="G6194" s="7">
        <v>52490.82308035896</v>
      </c>
      <c r="H6194" s="6">
        <v>4721221.468434036</v>
      </c>
      <c r="I6194" s="6" t="s">
        <v>179</v>
      </c>
      <c r="J6194" s="15">
        <v>17.40719355741339</v>
      </c>
    </row>
    <row r="6195" spans="1:10">
      <c r="A6195" s="6" t="s">
        <v>148</v>
      </c>
      <c r="B6195" s="6" t="s">
        <v>92</v>
      </c>
      <c r="C6195" s="6" t="s">
        <v>332</v>
      </c>
      <c r="D6195" s="6">
        <v>355.303</v>
      </c>
      <c r="E6195" s="6" t="s">
        <v>186</v>
      </c>
      <c r="F6195" s="6" t="s">
        <v>55</v>
      </c>
      <c r="G6195" s="7">
        <v>18935.91078298569</v>
      </c>
      <c r="H6195" s="6">
        <v>6727985.908927164</v>
      </c>
      <c r="I6195" s="6" t="s">
        <v>179</v>
      </c>
      <c r="J6195" s="15">
        <v>13</v>
      </c>
    </row>
    <row r="6196" spans="1:10">
      <c r="A6196" s="6" t="s">
        <v>148</v>
      </c>
      <c r="B6196" s="6" t="s">
        <v>86</v>
      </c>
      <c r="C6196" s="6" t="s">
        <v>375</v>
      </c>
      <c r="D6196" s="6">
        <v>1.612416666666667</v>
      </c>
      <c r="E6196" s="6" t="s">
        <v>186</v>
      </c>
      <c r="F6196" s="6" t="s">
        <v>55</v>
      </c>
      <c r="G6196" s="7">
        <v>53013.0959774591</v>
      </c>
      <c r="H6196" s="6">
        <v>85479.19950565467</v>
      </c>
      <c r="I6196" s="6" t="s">
        <v>180</v>
      </c>
      <c r="J6196" s="15">
        <v>9.170775844956172</v>
      </c>
    </row>
    <row r="6197" spans="1:10">
      <c r="A6197" s="6" t="s">
        <v>148</v>
      </c>
      <c r="B6197" s="6" t="s">
        <v>86</v>
      </c>
      <c r="C6197" s="6" t="s">
        <v>333</v>
      </c>
      <c r="D6197" s="6">
        <v>71.28241666666668</v>
      </c>
      <c r="E6197" s="6" t="s">
        <v>186</v>
      </c>
      <c r="F6197" s="6" t="s">
        <v>51</v>
      </c>
      <c r="G6197" s="7">
        <v>51556.63499677741</v>
      </c>
      <c r="H6197" s="6">
        <v>3675081.537771537</v>
      </c>
      <c r="I6197" s="6" t="s">
        <v>180</v>
      </c>
      <c r="J6197" s="15">
        <v>8.73308859897227</v>
      </c>
    </row>
    <row r="6198" spans="1:10">
      <c r="A6198" s="6" t="s">
        <v>148</v>
      </c>
      <c r="B6198" s="6" t="s">
        <v>90</v>
      </c>
      <c r="C6198" s="6" t="s">
        <v>197</v>
      </c>
      <c r="D6198" s="6">
        <v>50.49124999999999</v>
      </c>
      <c r="E6198" s="6" t="s">
        <v>187</v>
      </c>
      <c r="F6198" s="6" t="s">
        <v>53</v>
      </c>
      <c r="G6198" s="7">
        <v>24873.23941462196</v>
      </c>
      <c r="H6198" s="6">
        <v>1255880.949593531</v>
      </c>
      <c r="I6198" s="6" t="s">
        <v>179</v>
      </c>
      <c r="J6198" s="15">
        <v>27</v>
      </c>
    </row>
    <row r="6199" spans="1:10">
      <c r="A6199" s="6" t="s">
        <v>148</v>
      </c>
      <c r="B6199" s="6" t="s">
        <v>86</v>
      </c>
      <c r="C6199" s="6" t="s">
        <v>202</v>
      </c>
      <c r="D6199" s="6">
        <v>200.87275</v>
      </c>
      <c r="E6199" s="6" t="s">
        <v>187</v>
      </c>
      <c r="F6199" s="6" t="s">
        <v>54</v>
      </c>
      <c r="G6199" s="7">
        <v>90789.34185131452</v>
      </c>
      <c r="H6199" s="6">
        <v>18237104.76836364</v>
      </c>
      <c r="I6199" s="6" t="s">
        <v>179</v>
      </c>
      <c r="J6199" s="15">
        <v>65.125</v>
      </c>
    </row>
    <row r="6200" spans="1:10">
      <c r="A6200" s="6" t="s">
        <v>148</v>
      </c>
      <c r="B6200" s="6" t="s">
        <v>90</v>
      </c>
      <c r="C6200" s="6" t="s">
        <v>203</v>
      </c>
      <c r="D6200" s="6">
        <v>250.5205833333334</v>
      </c>
      <c r="E6200" s="6" t="s">
        <v>187</v>
      </c>
      <c r="F6200" s="6" t="s">
        <v>53</v>
      </c>
      <c r="G6200" s="7">
        <v>17844.00974373058</v>
      </c>
      <c r="H6200" s="6">
        <v>4470291.730005069</v>
      </c>
      <c r="I6200" s="6" t="s">
        <v>179</v>
      </c>
      <c r="J6200" s="15">
        <v>12</v>
      </c>
    </row>
    <row r="6201" spans="1:10">
      <c r="A6201" s="6" t="s">
        <v>148</v>
      </c>
      <c r="B6201" s="6" t="s">
        <v>90</v>
      </c>
      <c r="C6201" s="6" t="s">
        <v>226</v>
      </c>
      <c r="D6201" s="6">
        <v>108.018</v>
      </c>
      <c r="E6201" s="6" t="s">
        <v>187</v>
      </c>
      <c r="F6201" s="6" t="s">
        <v>56</v>
      </c>
      <c r="G6201" s="7">
        <v>63445.86444387945</v>
      </c>
      <c r="H6201" s="6">
        <v>6853295.385498972</v>
      </c>
      <c r="I6201" s="6" t="s">
        <v>180</v>
      </c>
      <c r="J6201" s="15">
        <v>13.56910953298392</v>
      </c>
    </row>
    <row r="6202" spans="1:10">
      <c r="A6202" s="6" t="s">
        <v>148</v>
      </c>
      <c r="B6202" s="6" t="s">
        <v>86</v>
      </c>
      <c r="C6202" s="6" t="s">
        <v>236</v>
      </c>
      <c r="D6202" s="6">
        <v>311.7499166666666</v>
      </c>
      <c r="E6202" s="6" t="s">
        <v>187</v>
      </c>
      <c r="F6202" s="6" t="s">
        <v>51</v>
      </c>
      <c r="G6202" s="7">
        <v>45192.70977200848</v>
      </c>
      <c r="H6202" s="6">
        <v>14088823.50536449</v>
      </c>
      <c r="I6202" s="6" t="s">
        <v>179</v>
      </c>
      <c r="J6202" s="15">
        <v>44.98333333333333</v>
      </c>
    </row>
    <row r="6203" spans="1:10">
      <c r="A6203" s="6" t="s">
        <v>148</v>
      </c>
      <c r="B6203" s="6" t="s">
        <v>90</v>
      </c>
      <c r="C6203" s="6" t="s">
        <v>245</v>
      </c>
      <c r="D6203" s="6">
        <v>149.0316666666667</v>
      </c>
      <c r="E6203" s="6" t="s">
        <v>187</v>
      </c>
      <c r="F6203" s="6" t="s">
        <v>53</v>
      </c>
      <c r="G6203" s="7">
        <v>15981.96816829709</v>
      </c>
      <c r="H6203" s="6">
        <v>2381819.35273493</v>
      </c>
      <c r="I6203" s="6" t="s">
        <v>179</v>
      </c>
      <c r="J6203" s="15">
        <v>38</v>
      </c>
    </row>
    <row r="6204" spans="1:10">
      <c r="A6204" s="6" t="s">
        <v>148</v>
      </c>
      <c r="B6204" s="6" t="s">
        <v>86</v>
      </c>
      <c r="C6204" s="6" t="s">
        <v>247</v>
      </c>
      <c r="D6204" s="6">
        <v>155.83725</v>
      </c>
      <c r="E6204" s="6" t="s">
        <v>187</v>
      </c>
      <c r="F6204" s="6" t="s">
        <v>51</v>
      </c>
      <c r="G6204" s="7">
        <v>47796.79242260937</v>
      </c>
      <c r="H6204" s="6">
        <v>7448520.689960282</v>
      </c>
      <c r="I6204" s="6" t="s">
        <v>179</v>
      </c>
      <c r="J6204" s="15">
        <v>27.70833333333334</v>
      </c>
    </row>
    <row r="6205" spans="1:10">
      <c r="A6205" s="6" t="s">
        <v>148</v>
      </c>
      <c r="B6205" s="6" t="s">
        <v>86</v>
      </c>
      <c r="C6205" s="6" t="s">
        <v>249</v>
      </c>
      <c r="D6205" s="6">
        <v>160.4496666666667</v>
      </c>
      <c r="E6205" s="6" t="s">
        <v>187</v>
      </c>
      <c r="F6205" s="6" t="s">
        <v>53</v>
      </c>
      <c r="G6205" s="7">
        <v>26147.16905457934</v>
      </c>
      <c r="H6205" s="6">
        <v>4195304.559084237</v>
      </c>
      <c r="I6205" s="6" t="s">
        <v>179</v>
      </c>
      <c r="J6205" s="15">
        <v>8</v>
      </c>
    </row>
    <row r="6206" spans="1:10">
      <c r="A6206" s="6" t="s">
        <v>148</v>
      </c>
      <c r="B6206" s="6" t="s">
        <v>90</v>
      </c>
      <c r="C6206" s="6" t="s">
        <v>259</v>
      </c>
      <c r="D6206" s="6">
        <v>158.2684166666667</v>
      </c>
      <c r="E6206" s="6" t="s">
        <v>187</v>
      </c>
      <c r="F6206" s="6" t="s">
        <v>56</v>
      </c>
      <c r="G6206" s="7">
        <v>53809.54610454979</v>
      </c>
      <c r="H6206" s="6">
        <v>8516351.663519097</v>
      </c>
      <c r="I6206" s="6" t="s">
        <v>180</v>
      </c>
      <c r="J6206" s="15">
        <v>10.48141012996383</v>
      </c>
    </row>
    <row r="6207" spans="1:10">
      <c r="A6207" s="6" t="s">
        <v>148</v>
      </c>
      <c r="B6207" s="6" t="s">
        <v>86</v>
      </c>
      <c r="C6207" s="6" t="s">
        <v>265</v>
      </c>
      <c r="D6207" s="6">
        <v>15.78208333333333</v>
      </c>
      <c r="E6207" s="6" t="s">
        <v>187</v>
      </c>
      <c r="F6207" s="6" t="s">
        <v>54</v>
      </c>
      <c r="G6207" s="7">
        <v>88690.92662794892</v>
      </c>
      <c r="H6207" s="6">
        <v>1399727.594952842</v>
      </c>
      <c r="I6207" s="6" t="s">
        <v>179</v>
      </c>
      <c r="J6207" s="15">
        <v>70.31666666666666</v>
      </c>
    </row>
    <row r="6208" spans="1:10">
      <c r="A6208" s="6" t="s">
        <v>148</v>
      </c>
      <c r="B6208" s="6" t="s">
        <v>88</v>
      </c>
      <c r="C6208" s="6" t="s">
        <v>271</v>
      </c>
      <c r="D6208" s="6">
        <v>155.3224166666667</v>
      </c>
      <c r="E6208" s="6" t="s">
        <v>187</v>
      </c>
      <c r="F6208" s="6" t="s">
        <v>54</v>
      </c>
      <c r="G6208" s="7">
        <v>41071.74894263604</v>
      </c>
      <c r="H6208" s="6">
        <v>6379363.302496841</v>
      </c>
      <c r="I6208" s="6" t="s">
        <v>180</v>
      </c>
      <c r="J6208" s="15">
        <v>20.89086954089749</v>
      </c>
    </row>
    <row r="6209" spans="1:10">
      <c r="A6209" s="6" t="s">
        <v>148</v>
      </c>
      <c r="B6209" s="6" t="s">
        <v>92</v>
      </c>
      <c r="C6209" s="6" t="s">
        <v>281</v>
      </c>
      <c r="D6209" s="6">
        <v>220.8063333333333</v>
      </c>
      <c r="E6209" s="6" t="s">
        <v>187</v>
      </c>
      <c r="F6209" s="6" t="s">
        <v>57</v>
      </c>
      <c r="G6209" s="7">
        <v>47725.16793448776</v>
      </c>
      <c r="H6209" s="6">
        <v>10538019.33933182</v>
      </c>
      <c r="I6209" s="6" t="s">
        <v>179</v>
      </c>
      <c r="J6209" s="15">
        <v>36</v>
      </c>
    </row>
    <row r="6210" spans="1:10">
      <c r="A6210" s="6" t="s">
        <v>148</v>
      </c>
      <c r="B6210" s="6" t="s">
        <v>86</v>
      </c>
      <c r="C6210" s="6" t="s">
        <v>293</v>
      </c>
      <c r="D6210" s="6">
        <v>0.5928333333333333</v>
      </c>
      <c r="E6210" s="6" t="s">
        <v>187</v>
      </c>
      <c r="F6210" s="6" t="s">
        <v>53</v>
      </c>
      <c r="G6210" s="7">
        <v>41597.32934492987</v>
      </c>
      <c r="H6210" s="6">
        <v>24660.28341331926</v>
      </c>
      <c r="I6210" s="6" t="s">
        <v>179</v>
      </c>
      <c r="J6210" s="15">
        <v>8</v>
      </c>
    </row>
    <row r="6211" spans="1:10">
      <c r="A6211" s="6" t="s">
        <v>148</v>
      </c>
      <c r="B6211" s="6" t="s">
        <v>86</v>
      </c>
      <c r="C6211" s="6" t="s">
        <v>311</v>
      </c>
      <c r="D6211" s="6">
        <v>304.5531666666667</v>
      </c>
      <c r="E6211" s="6" t="s">
        <v>187</v>
      </c>
      <c r="F6211" s="6" t="s">
        <v>51</v>
      </c>
      <c r="G6211" s="7">
        <v>45054.61286131107</v>
      </c>
      <c r="H6211" s="6">
        <v>13721525.01985301</v>
      </c>
      <c r="I6211" s="6" t="s">
        <v>179</v>
      </c>
      <c r="J6211" s="15">
        <v>50.35</v>
      </c>
    </row>
    <row r="6212" spans="1:10">
      <c r="A6212" s="6" t="s">
        <v>148</v>
      </c>
      <c r="B6212" s="6" t="s">
        <v>86</v>
      </c>
      <c r="C6212" s="6" t="s">
        <v>322</v>
      </c>
      <c r="D6212" s="6">
        <v>118.9665833333333</v>
      </c>
      <c r="E6212" s="6" t="s">
        <v>187</v>
      </c>
      <c r="F6212" s="6" t="s">
        <v>51</v>
      </c>
      <c r="G6212" s="7">
        <v>45195.78581875691</v>
      </c>
      <c r="H6212" s="6">
        <v>5376788.219922628</v>
      </c>
      <c r="I6212" s="6" t="s">
        <v>179</v>
      </c>
      <c r="J6212" s="15">
        <v>55</v>
      </c>
    </row>
    <row r="6213" spans="1:10">
      <c r="A6213" s="6" t="s">
        <v>148</v>
      </c>
      <c r="B6213" s="6" t="s">
        <v>90</v>
      </c>
      <c r="C6213" s="6" t="s">
        <v>324</v>
      </c>
      <c r="D6213" s="6">
        <v>105.2025833333333</v>
      </c>
      <c r="E6213" s="6" t="s">
        <v>187</v>
      </c>
      <c r="F6213" s="6" t="s">
        <v>51</v>
      </c>
      <c r="G6213" s="7">
        <v>52939.45685818696</v>
      </c>
      <c r="H6213" s="6">
        <v>5569367.621744819</v>
      </c>
      <c r="I6213" s="6" t="s">
        <v>180</v>
      </c>
      <c r="J6213" s="15">
        <v>10.20261339951505</v>
      </c>
    </row>
    <row r="6214" spans="1:10">
      <c r="A6214" s="6" t="s">
        <v>148</v>
      </c>
      <c r="B6214" s="6" t="s">
        <v>90</v>
      </c>
      <c r="C6214" s="6" t="s">
        <v>326</v>
      </c>
      <c r="D6214" s="6">
        <v>113.0993333333333</v>
      </c>
      <c r="E6214" s="6" t="s">
        <v>187</v>
      </c>
      <c r="F6214" s="6" t="s">
        <v>54</v>
      </c>
      <c r="G6214" s="7">
        <v>73204.69251441542</v>
      </c>
      <c r="H6214" s="6">
        <v>8279401.920252042</v>
      </c>
      <c r="I6214" s="6" t="s">
        <v>179</v>
      </c>
      <c r="J6214" s="15">
        <v>50.55</v>
      </c>
    </row>
    <row r="6215" spans="1:10">
      <c r="A6215" s="6" t="s">
        <v>148</v>
      </c>
      <c r="B6215" s="6" t="s">
        <v>92</v>
      </c>
      <c r="C6215" s="6" t="s">
        <v>332</v>
      </c>
      <c r="D6215" s="6">
        <v>313.3825833333333</v>
      </c>
      <c r="E6215" s="6" t="s">
        <v>187</v>
      </c>
      <c r="F6215" s="6" t="s">
        <v>55</v>
      </c>
      <c r="G6215" s="7">
        <v>18935.91078298569</v>
      </c>
      <c r="H6215" s="6">
        <v>5934184.638941578</v>
      </c>
      <c r="I6215" s="6" t="s">
        <v>179</v>
      </c>
      <c r="J6215" s="15">
        <v>13</v>
      </c>
    </row>
    <row r="6216" spans="1:10">
      <c r="A6216" s="6" t="s">
        <v>148</v>
      </c>
      <c r="B6216" s="6" t="s">
        <v>86</v>
      </c>
      <c r="C6216" s="6" t="s">
        <v>199</v>
      </c>
      <c r="D6216" s="6">
        <v>2.491916666666667</v>
      </c>
      <c r="E6216" s="6" t="s">
        <v>188</v>
      </c>
      <c r="F6216" s="6" t="s">
        <v>57</v>
      </c>
      <c r="G6216" s="7">
        <v>52709.72675479725</v>
      </c>
      <c r="H6216" s="6">
        <v>131348.2465957252</v>
      </c>
      <c r="I6216" s="6" t="s">
        <v>179</v>
      </c>
      <c r="J6216" s="15">
        <v>49.53333333333333</v>
      </c>
    </row>
    <row r="6217" spans="1:10">
      <c r="A6217" s="6" t="s">
        <v>148</v>
      </c>
      <c r="B6217" s="6" t="s">
        <v>86</v>
      </c>
      <c r="C6217" s="6" t="s">
        <v>202</v>
      </c>
      <c r="D6217" s="6">
        <v>824.9232499999999</v>
      </c>
      <c r="E6217" s="6" t="s">
        <v>188</v>
      </c>
      <c r="F6217" s="6" t="s">
        <v>54</v>
      </c>
      <c r="G6217" s="7">
        <v>90789.34185131452</v>
      </c>
      <c r="H6217" s="6">
        <v>74894238.94534738</v>
      </c>
      <c r="I6217" s="6" t="s">
        <v>179</v>
      </c>
      <c r="J6217" s="15">
        <v>65.125</v>
      </c>
    </row>
    <row r="6218" spans="1:10">
      <c r="A6218" s="6" t="s">
        <v>148</v>
      </c>
      <c r="B6218" s="6" t="s">
        <v>86</v>
      </c>
      <c r="C6218" s="6" t="s">
        <v>204</v>
      </c>
      <c r="D6218" s="6">
        <v>1263.88875</v>
      </c>
      <c r="E6218" s="6" t="s">
        <v>188</v>
      </c>
      <c r="F6218" s="6" t="s">
        <v>51</v>
      </c>
      <c r="G6218" s="7">
        <v>46344.34011305719</v>
      </c>
      <c r="H6218" s="6">
        <v>58574090.09506673</v>
      </c>
      <c r="I6218" s="6" t="s">
        <v>179</v>
      </c>
      <c r="J6218" s="15">
        <v>45</v>
      </c>
    </row>
    <row r="6219" spans="1:10">
      <c r="A6219" s="6" t="s">
        <v>148</v>
      </c>
      <c r="B6219" s="6" t="s">
        <v>90</v>
      </c>
      <c r="C6219" s="6" t="s">
        <v>205</v>
      </c>
      <c r="D6219" s="6">
        <v>647.5679166666667</v>
      </c>
      <c r="E6219" s="6" t="s">
        <v>188</v>
      </c>
      <c r="F6219" s="6" t="s">
        <v>56</v>
      </c>
      <c r="G6219" s="7">
        <v>54785.63728382858</v>
      </c>
      <c r="H6219" s="6">
        <v>35477420.99914453</v>
      </c>
      <c r="I6219" s="6" t="s">
        <v>180</v>
      </c>
      <c r="J6219" s="15">
        <v>10.79417233285323</v>
      </c>
    </row>
    <row r="6220" spans="1:10">
      <c r="A6220" s="6" t="s">
        <v>148</v>
      </c>
      <c r="B6220" s="6" t="s">
        <v>92</v>
      </c>
      <c r="C6220" s="6" t="s">
        <v>211</v>
      </c>
      <c r="D6220" s="6">
        <v>204.1403333333333</v>
      </c>
      <c r="E6220" s="6" t="s">
        <v>188</v>
      </c>
      <c r="F6220" s="6" t="s">
        <v>55</v>
      </c>
      <c r="G6220" s="7">
        <v>25336.04217074411</v>
      </c>
      <c r="H6220" s="6">
        <v>5172108.094083092</v>
      </c>
      <c r="I6220" s="6" t="s">
        <v>179</v>
      </c>
      <c r="J6220" s="15">
        <v>16</v>
      </c>
    </row>
    <row r="6221" spans="1:10">
      <c r="A6221" s="6" t="s">
        <v>148</v>
      </c>
      <c r="B6221" s="6" t="s">
        <v>92</v>
      </c>
      <c r="C6221" s="6" t="s">
        <v>377</v>
      </c>
      <c r="D6221" s="6">
        <v>4.917083333333334</v>
      </c>
      <c r="E6221" s="6" t="s">
        <v>188</v>
      </c>
      <c r="F6221" s="6" t="s">
        <v>51</v>
      </c>
      <c r="G6221" s="7">
        <v>38568.74339775931</v>
      </c>
      <c r="H6221" s="6">
        <v>189645.7253487324</v>
      </c>
      <c r="I6221" s="6" t="s">
        <v>180</v>
      </c>
      <c r="J6221" s="15">
        <v>7.680613182156479</v>
      </c>
    </row>
    <row r="6222" spans="1:10">
      <c r="A6222" s="6" t="s">
        <v>148</v>
      </c>
      <c r="B6222" s="6" t="s">
        <v>88</v>
      </c>
      <c r="C6222" s="6" t="s">
        <v>215</v>
      </c>
      <c r="D6222" s="6">
        <v>1.084166666666667</v>
      </c>
      <c r="E6222" s="6" t="s">
        <v>188</v>
      </c>
      <c r="F6222" s="6" t="s">
        <v>54</v>
      </c>
      <c r="G6222" s="7">
        <v>49061.49876660256</v>
      </c>
      <c r="H6222" s="6">
        <v>53190.84157945828</v>
      </c>
      <c r="I6222" s="6" t="s">
        <v>180</v>
      </c>
      <c r="J6222" s="15">
        <v>26.26991575310344</v>
      </c>
    </row>
    <row r="6223" spans="1:10">
      <c r="A6223" s="6" t="s">
        <v>148</v>
      </c>
      <c r="B6223" s="6" t="s">
        <v>86</v>
      </c>
      <c r="C6223" s="6" t="s">
        <v>221</v>
      </c>
      <c r="D6223" s="6">
        <v>18.54175</v>
      </c>
      <c r="E6223" s="6" t="s">
        <v>188</v>
      </c>
      <c r="F6223" s="6" t="s">
        <v>51</v>
      </c>
      <c r="G6223" s="7">
        <v>49959.47837571311</v>
      </c>
      <c r="H6223" s="6">
        <v>926336.1581728786</v>
      </c>
      <c r="I6223" s="6" t="s">
        <v>180</v>
      </c>
      <c r="J6223" s="15">
        <v>8.25312031135539</v>
      </c>
    </row>
    <row r="6224" spans="1:10">
      <c r="A6224" s="6" t="s">
        <v>148</v>
      </c>
      <c r="B6224" s="6" t="s">
        <v>86</v>
      </c>
      <c r="C6224" s="6" t="s">
        <v>223</v>
      </c>
      <c r="D6224" s="6">
        <v>60.62425</v>
      </c>
      <c r="E6224" s="6" t="s">
        <v>188</v>
      </c>
      <c r="F6224" s="6" t="s">
        <v>53</v>
      </c>
      <c r="G6224" s="7">
        <v>24418.66320757394</v>
      </c>
      <c r="H6224" s="6">
        <v>1480363.142961765</v>
      </c>
      <c r="I6224" s="6" t="s">
        <v>179</v>
      </c>
      <c r="J6224" s="15">
        <v>7.983333333333333</v>
      </c>
    </row>
    <row r="6225" spans="1:10">
      <c r="A6225" s="6" t="s">
        <v>148</v>
      </c>
      <c r="B6225" s="6" t="s">
        <v>90</v>
      </c>
      <c r="C6225" s="6" t="s">
        <v>226</v>
      </c>
      <c r="D6225" s="6">
        <v>35.71625</v>
      </c>
      <c r="E6225" s="6" t="s">
        <v>188</v>
      </c>
      <c r="F6225" s="6" t="s">
        <v>56</v>
      </c>
      <c r="G6225" s="7">
        <v>63445.86444387945</v>
      </c>
      <c r="H6225" s="6">
        <v>2266048.35594371</v>
      </c>
      <c r="I6225" s="6" t="s">
        <v>180</v>
      </c>
      <c r="J6225" s="15">
        <v>13.56910953298392</v>
      </c>
    </row>
    <row r="6226" spans="1:10">
      <c r="A6226" s="6" t="s">
        <v>148</v>
      </c>
      <c r="B6226" s="6" t="s">
        <v>92</v>
      </c>
      <c r="C6226" s="6" t="s">
        <v>228</v>
      </c>
      <c r="D6226" s="6">
        <v>22.62125</v>
      </c>
      <c r="E6226" s="6" t="s">
        <v>188</v>
      </c>
      <c r="F6226" s="6" t="s">
        <v>51</v>
      </c>
      <c r="G6226" s="7">
        <v>40082.62252520998</v>
      </c>
      <c r="H6226" s="6">
        <v>906719.0247984062</v>
      </c>
      <c r="I6226" s="6" t="s">
        <v>179</v>
      </c>
      <c r="J6226" s="15">
        <v>26.025</v>
      </c>
    </row>
    <row r="6227" spans="1:10">
      <c r="A6227" s="6" t="s">
        <v>148</v>
      </c>
      <c r="B6227" s="6" t="s">
        <v>86</v>
      </c>
      <c r="C6227" s="6" t="s">
        <v>233</v>
      </c>
      <c r="D6227" s="6">
        <v>9.264916666666666</v>
      </c>
      <c r="E6227" s="6" t="s">
        <v>188</v>
      </c>
      <c r="F6227" s="6" t="s">
        <v>59</v>
      </c>
      <c r="G6227" s="7">
        <v>42805.8355381377</v>
      </c>
      <c r="H6227" s="6">
        <v>396592.4991078842</v>
      </c>
      <c r="I6227" s="6" t="s">
        <v>179</v>
      </c>
      <c r="J6227" s="15">
        <v>27.26666666666667</v>
      </c>
    </row>
    <row r="6228" spans="1:10">
      <c r="A6228" s="6" t="s">
        <v>148</v>
      </c>
      <c r="B6228" s="6" t="s">
        <v>86</v>
      </c>
      <c r="C6228" s="6" t="s">
        <v>236</v>
      </c>
      <c r="D6228" s="6">
        <v>906.1426666666665</v>
      </c>
      <c r="E6228" s="6" t="s">
        <v>188</v>
      </c>
      <c r="F6228" s="6" t="s">
        <v>51</v>
      </c>
      <c r="G6228" s="7">
        <v>45192.70977200848</v>
      </c>
      <c r="H6228" s="6">
        <v>40951042.54670048</v>
      </c>
      <c r="I6228" s="6" t="s">
        <v>179</v>
      </c>
      <c r="J6228" s="15">
        <v>44.98333333333333</v>
      </c>
    </row>
    <row r="6229" spans="1:10">
      <c r="A6229" s="6" t="s">
        <v>148</v>
      </c>
      <c r="B6229" s="6" t="s">
        <v>92</v>
      </c>
      <c r="C6229" s="6" t="s">
        <v>379</v>
      </c>
      <c r="D6229" s="6">
        <v>10.16966666666667</v>
      </c>
      <c r="E6229" s="6" t="s">
        <v>188</v>
      </c>
      <c r="F6229" s="6" t="s">
        <v>51</v>
      </c>
      <c r="G6229" s="7">
        <v>39736.55973566615</v>
      </c>
      <c r="H6229" s="6">
        <v>404107.5669918128</v>
      </c>
      <c r="I6229" s="6" t="s">
        <v>180</v>
      </c>
      <c r="J6229" s="15">
        <v>8.117870548318852</v>
      </c>
    </row>
    <row r="6230" spans="1:10">
      <c r="A6230" s="6" t="s">
        <v>148</v>
      </c>
      <c r="B6230" s="6" t="s">
        <v>86</v>
      </c>
      <c r="C6230" s="6" t="s">
        <v>247</v>
      </c>
      <c r="D6230" s="6">
        <v>29.17341666666667</v>
      </c>
      <c r="E6230" s="6" t="s">
        <v>188</v>
      </c>
      <c r="F6230" s="6" t="s">
        <v>51</v>
      </c>
      <c r="G6230" s="7">
        <v>47796.79242260937</v>
      </c>
      <c r="H6230" s="6">
        <v>1394395.740674959</v>
      </c>
      <c r="I6230" s="6" t="s">
        <v>179</v>
      </c>
      <c r="J6230" s="15">
        <v>27.70833333333334</v>
      </c>
    </row>
    <row r="6231" spans="1:10">
      <c r="A6231" s="6" t="s">
        <v>148</v>
      </c>
      <c r="B6231" s="6" t="s">
        <v>90</v>
      </c>
      <c r="C6231" s="6" t="s">
        <v>251</v>
      </c>
      <c r="D6231" s="6">
        <v>1.931666666666667</v>
      </c>
      <c r="E6231" s="6" t="s">
        <v>188</v>
      </c>
      <c r="F6231" s="6" t="s">
        <v>53</v>
      </c>
      <c r="G6231" s="7">
        <v>23642.19568206914</v>
      </c>
      <c r="H6231" s="6">
        <v>45668.84132586356</v>
      </c>
      <c r="I6231" s="6" t="s">
        <v>179</v>
      </c>
      <c r="J6231" s="15">
        <v>18.675</v>
      </c>
    </row>
    <row r="6232" spans="1:10">
      <c r="A6232" s="6" t="s">
        <v>148</v>
      </c>
      <c r="B6232" s="6" t="s">
        <v>90</v>
      </c>
      <c r="C6232" s="6" t="s">
        <v>252</v>
      </c>
      <c r="D6232" s="6">
        <v>11.08425</v>
      </c>
      <c r="E6232" s="6" t="s">
        <v>188</v>
      </c>
      <c r="F6232" s="6" t="s">
        <v>57</v>
      </c>
      <c r="G6232" s="7">
        <v>42694.47301830137</v>
      </c>
      <c r="H6232" s="6">
        <v>473236.2125531069</v>
      </c>
      <c r="I6232" s="6" t="s">
        <v>180</v>
      </c>
      <c r="J6232" s="15">
        <v>6.919883484163813</v>
      </c>
    </row>
    <row r="6233" spans="1:10">
      <c r="A6233" s="6" t="s">
        <v>148</v>
      </c>
      <c r="B6233" s="6" t="s">
        <v>92</v>
      </c>
      <c r="C6233" s="6" t="s">
        <v>255</v>
      </c>
      <c r="D6233" s="6">
        <v>7.246583333333334</v>
      </c>
      <c r="E6233" s="6" t="s">
        <v>188</v>
      </c>
      <c r="F6233" s="6" t="s">
        <v>51</v>
      </c>
      <c r="G6233" s="7">
        <v>37181.66036935381</v>
      </c>
      <c r="H6233" s="6">
        <v>269440.0003382198</v>
      </c>
      <c r="I6233" s="6" t="s">
        <v>180</v>
      </c>
      <c r="J6233" s="15">
        <v>7.161257310893189</v>
      </c>
    </row>
    <row r="6234" spans="1:10">
      <c r="A6234" s="6" t="s">
        <v>148</v>
      </c>
      <c r="B6234" s="6" t="s">
        <v>86</v>
      </c>
      <c r="C6234" s="6" t="s">
        <v>267</v>
      </c>
      <c r="D6234" s="6">
        <v>99.28966666666666</v>
      </c>
      <c r="E6234" s="6" t="s">
        <v>188</v>
      </c>
      <c r="F6234" s="6" t="s">
        <v>53</v>
      </c>
      <c r="G6234" s="7">
        <v>29372.68127915858</v>
      </c>
      <c r="H6234" s="6">
        <v>2916403.733313896</v>
      </c>
      <c r="I6234" s="6" t="s">
        <v>179</v>
      </c>
      <c r="J6234" s="15">
        <v>8</v>
      </c>
    </row>
    <row r="6235" spans="1:10">
      <c r="A6235" s="6" t="s">
        <v>148</v>
      </c>
      <c r="B6235" s="6" t="s">
        <v>88</v>
      </c>
      <c r="C6235" s="6" t="s">
        <v>271</v>
      </c>
      <c r="D6235" s="6">
        <v>2.105</v>
      </c>
      <c r="E6235" s="6" t="s">
        <v>188</v>
      </c>
      <c r="F6235" s="6" t="s">
        <v>54</v>
      </c>
      <c r="G6235" s="7">
        <v>41071.74894263604</v>
      </c>
      <c r="H6235" s="6">
        <v>86456.03152424886</v>
      </c>
      <c r="I6235" s="6" t="s">
        <v>180</v>
      </c>
      <c r="J6235" s="15">
        <v>20.89086954089749</v>
      </c>
    </row>
    <row r="6236" spans="1:10">
      <c r="A6236" s="6" t="s">
        <v>148</v>
      </c>
      <c r="B6236" s="6" t="s">
        <v>92</v>
      </c>
      <c r="C6236" s="6" t="s">
        <v>273</v>
      </c>
      <c r="D6236" s="6">
        <v>361.91475</v>
      </c>
      <c r="E6236" s="6" t="s">
        <v>188</v>
      </c>
      <c r="F6236" s="6" t="s">
        <v>51</v>
      </c>
      <c r="G6236" s="7">
        <v>39415.32644745876</v>
      </c>
      <c r="H6236" s="6">
        <v>14264988.01740042</v>
      </c>
      <c r="I6236" s="6" t="s">
        <v>179</v>
      </c>
      <c r="J6236" s="15">
        <v>27</v>
      </c>
    </row>
    <row r="6237" spans="1:10">
      <c r="A6237" s="6" t="s">
        <v>148</v>
      </c>
      <c r="B6237" s="6" t="s">
        <v>92</v>
      </c>
      <c r="C6237" s="6" t="s">
        <v>278</v>
      </c>
      <c r="D6237" s="6">
        <v>1.955583333333333</v>
      </c>
      <c r="E6237" s="6" t="s">
        <v>188</v>
      </c>
      <c r="F6237" s="6" t="s">
        <v>55</v>
      </c>
      <c r="G6237" s="7">
        <v>30336.77880022909</v>
      </c>
      <c r="H6237" s="6">
        <v>59326.099008748</v>
      </c>
      <c r="I6237" s="6" t="s">
        <v>179</v>
      </c>
      <c r="J6237" s="15">
        <v>14</v>
      </c>
    </row>
    <row r="6238" spans="1:10">
      <c r="A6238" s="6" t="s">
        <v>148</v>
      </c>
      <c r="B6238" s="6" t="s">
        <v>88</v>
      </c>
      <c r="C6238" s="6" t="s">
        <v>280</v>
      </c>
      <c r="D6238" s="6">
        <v>11.0895</v>
      </c>
      <c r="E6238" s="6" t="s">
        <v>188</v>
      </c>
      <c r="F6238" s="6" t="s">
        <v>55</v>
      </c>
      <c r="G6238" s="7">
        <v>24869.46250635056</v>
      </c>
      <c r="H6238" s="6">
        <v>275789.9044641745</v>
      </c>
      <c r="I6238" s="6" t="s">
        <v>180</v>
      </c>
      <c r="J6238" s="15">
        <v>9.982787385089743</v>
      </c>
    </row>
    <row r="6239" spans="1:10">
      <c r="A6239" s="6" t="s">
        <v>148</v>
      </c>
      <c r="B6239" s="6" t="s">
        <v>92</v>
      </c>
      <c r="C6239" s="6" t="s">
        <v>281</v>
      </c>
      <c r="D6239" s="6">
        <v>150.4996666666667</v>
      </c>
      <c r="E6239" s="6" t="s">
        <v>188</v>
      </c>
      <c r="F6239" s="6" t="s">
        <v>57</v>
      </c>
      <c r="G6239" s="7">
        <v>47725.16793448776</v>
      </c>
      <c r="H6239" s="6">
        <v>7182621.865751096</v>
      </c>
      <c r="I6239" s="6" t="s">
        <v>179</v>
      </c>
      <c r="J6239" s="15">
        <v>36</v>
      </c>
    </row>
    <row r="6240" spans="1:10">
      <c r="A6240" s="6" t="s">
        <v>148</v>
      </c>
      <c r="B6240" s="6" t="s">
        <v>90</v>
      </c>
      <c r="C6240" s="6" t="s">
        <v>283</v>
      </c>
      <c r="D6240" s="6">
        <v>97.07841666666667</v>
      </c>
      <c r="E6240" s="6" t="s">
        <v>188</v>
      </c>
      <c r="F6240" s="6" t="s">
        <v>51</v>
      </c>
      <c r="G6240" s="7">
        <v>41673.53339700109</v>
      </c>
      <c r="H6240" s="6">
        <v>4045600.639086321</v>
      </c>
      <c r="I6240" s="6" t="s">
        <v>179</v>
      </c>
      <c r="J6240" s="15">
        <v>26.5</v>
      </c>
    </row>
    <row r="6241" spans="1:10">
      <c r="A6241" s="6" t="s">
        <v>148</v>
      </c>
      <c r="B6241" s="6" t="s">
        <v>92</v>
      </c>
      <c r="C6241" s="6" t="s">
        <v>284</v>
      </c>
      <c r="D6241" s="6">
        <v>0.5683333333333334</v>
      </c>
      <c r="E6241" s="6" t="s">
        <v>188</v>
      </c>
      <c r="F6241" s="6" t="s">
        <v>55</v>
      </c>
      <c r="G6241" s="7">
        <v>36138.38846146646</v>
      </c>
      <c r="H6241" s="6">
        <v>20538.65077560011</v>
      </c>
      <c r="I6241" s="6" t="s">
        <v>179</v>
      </c>
      <c r="J6241" s="15">
        <v>40.2</v>
      </c>
    </row>
    <row r="6242" spans="1:10">
      <c r="A6242" s="6" t="s">
        <v>148</v>
      </c>
      <c r="B6242" s="6" t="s">
        <v>86</v>
      </c>
      <c r="C6242" s="6" t="s">
        <v>293</v>
      </c>
      <c r="D6242" s="6">
        <v>0.2810833333333333</v>
      </c>
      <c r="E6242" s="6" t="s">
        <v>188</v>
      </c>
      <c r="F6242" s="6" t="s">
        <v>53</v>
      </c>
      <c r="G6242" s="7">
        <v>41597.32934492987</v>
      </c>
      <c r="H6242" s="6">
        <v>11692.31599003737</v>
      </c>
      <c r="I6242" s="6" t="s">
        <v>179</v>
      </c>
      <c r="J6242" s="15">
        <v>8</v>
      </c>
    </row>
    <row r="6243" spans="1:10">
      <c r="A6243" s="6" t="s">
        <v>148</v>
      </c>
      <c r="B6243" s="6" t="s">
        <v>90</v>
      </c>
      <c r="C6243" s="6" t="s">
        <v>295</v>
      </c>
      <c r="D6243" s="6">
        <v>37.58175</v>
      </c>
      <c r="E6243" s="6" t="s">
        <v>188</v>
      </c>
      <c r="F6243" s="6" t="s">
        <v>53</v>
      </c>
      <c r="G6243" s="7">
        <v>29529.16394109224</v>
      </c>
      <c r="H6243" s="6">
        <v>1109757.656943143</v>
      </c>
      <c r="I6243" s="6" t="s">
        <v>179</v>
      </c>
      <c r="J6243" s="15">
        <v>15</v>
      </c>
    </row>
    <row r="6244" spans="1:10">
      <c r="A6244" s="6" t="s">
        <v>148</v>
      </c>
      <c r="B6244" s="6" t="s">
        <v>88</v>
      </c>
      <c r="C6244" s="6" t="s">
        <v>302</v>
      </c>
      <c r="D6244" s="6">
        <v>618.5338333333334</v>
      </c>
      <c r="E6244" s="6" t="s">
        <v>188</v>
      </c>
      <c r="F6244" s="6" t="s">
        <v>52</v>
      </c>
      <c r="G6244" s="7">
        <v>33240.74338740388</v>
      </c>
      <c r="H6244" s="6">
        <v>20560524.43026058</v>
      </c>
      <c r="I6244" s="6" t="s">
        <v>179</v>
      </c>
      <c r="J6244" s="15">
        <v>34</v>
      </c>
    </row>
    <row r="6245" spans="1:10">
      <c r="A6245" s="6" t="s">
        <v>148</v>
      </c>
      <c r="B6245" s="6" t="s">
        <v>86</v>
      </c>
      <c r="C6245" s="6" t="s">
        <v>315</v>
      </c>
      <c r="D6245" s="6">
        <v>38.58533333333333</v>
      </c>
      <c r="E6245" s="6" t="s">
        <v>188</v>
      </c>
      <c r="F6245" s="6" t="s">
        <v>51</v>
      </c>
      <c r="G6245" s="7">
        <v>37464.72792440534</v>
      </c>
      <c r="H6245" s="6">
        <v>1445589.015205821</v>
      </c>
      <c r="I6245" s="6" t="s">
        <v>179</v>
      </c>
      <c r="J6245" s="15">
        <v>14</v>
      </c>
    </row>
    <row r="6246" spans="1:10">
      <c r="A6246" s="6" t="s">
        <v>148</v>
      </c>
      <c r="B6246" s="6" t="s">
        <v>86</v>
      </c>
      <c r="C6246" s="6" t="s">
        <v>320</v>
      </c>
      <c r="D6246" s="6">
        <v>474.05225</v>
      </c>
      <c r="E6246" s="6" t="s">
        <v>188</v>
      </c>
      <c r="F6246" s="6" t="s">
        <v>51</v>
      </c>
      <c r="G6246" s="7">
        <v>52021.16753243782</v>
      </c>
      <c r="H6246" s="6">
        <v>24660751.51637909</v>
      </c>
      <c r="I6246" s="6" t="s">
        <v>179</v>
      </c>
      <c r="J6246" s="15">
        <v>101.05</v>
      </c>
    </row>
    <row r="6247" spans="1:10">
      <c r="A6247" s="6" t="s">
        <v>148</v>
      </c>
      <c r="B6247" s="6" t="s">
        <v>92</v>
      </c>
      <c r="C6247" s="6" t="s">
        <v>323</v>
      </c>
      <c r="D6247" s="6">
        <v>2.824083333333333</v>
      </c>
      <c r="E6247" s="6" t="s">
        <v>188</v>
      </c>
      <c r="F6247" s="6" t="s">
        <v>55</v>
      </c>
      <c r="G6247" s="7">
        <v>37901.84707720344</v>
      </c>
      <c r="H6247" s="6">
        <v>107037.974633279</v>
      </c>
      <c r="I6247" s="6" t="s">
        <v>179</v>
      </c>
      <c r="J6247" s="15">
        <v>17</v>
      </c>
    </row>
    <row r="6248" spans="1:10">
      <c r="A6248" s="6" t="s">
        <v>148</v>
      </c>
      <c r="B6248" s="6" t="s">
        <v>90</v>
      </c>
      <c r="C6248" s="6" t="s">
        <v>324</v>
      </c>
      <c r="D6248" s="6">
        <v>153.04275</v>
      </c>
      <c r="E6248" s="6" t="s">
        <v>188</v>
      </c>
      <c r="F6248" s="6" t="s">
        <v>51</v>
      </c>
      <c r="G6248" s="7">
        <v>52939.45685818696</v>
      </c>
      <c r="H6248" s="6">
        <v>8102000.061083294</v>
      </c>
      <c r="I6248" s="6" t="s">
        <v>180</v>
      </c>
      <c r="J6248" s="15">
        <v>10.20261339951505</v>
      </c>
    </row>
    <row r="6249" spans="1:10">
      <c r="A6249" s="6" t="s">
        <v>148</v>
      </c>
      <c r="B6249" s="6" t="s">
        <v>90</v>
      </c>
      <c r="C6249" s="6" t="s">
        <v>326</v>
      </c>
      <c r="D6249" s="6">
        <v>24.50908333333333</v>
      </c>
      <c r="E6249" s="6" t="s">
        <v>188</v>
      </c>
      <c r="F6249" s="6" t="s">
        <v>54</v>
      </c>
      <c r="G6249" s="7">
        <v>73204.69251441542</v>
      </c>
      <c r="H6249" s="6">
        <v>1794179.90922685</v>
      </c>
      <c r="I6249" s="6" t="s">
        <v>179</v>
      </c>
      <c r="J6249" s="15">
        <v>50.55</v>
      </c>
    </row>
    <row r="6250" spans="1:10">
      <c r="A6250" s="6" t="s">
        <v>148</v>
      </c>
      <c r="B6250" s="6" t="s">
        <v>90</v>
      </c>
      <c r="C6250" s="6" t="s">
        <v>329</v>
      </c>
      <c r="D6250" s="6">
        <v>92.43708333333333</v>
      </c>
      <c r="E6250" s="6" t="s">
        <v>188</v>
      </c>
      <c r="F6250" s="6" t="s">
        <v>58</v>
      </c>
      <c r="G6250" s="7">
        <v>59375.40509749136</v>
      </c>
      <c r="H6250" s="6">
        <v>5488489.268947233</v>
      </c>
      <c r="I6250" s="6" t="s">
        <v>180</v>
      </c>
      <c r="J6250" s="15">
        <v>12.2648401583864</v>
      </c>
    </row>
    <row r="6251" spans="1:10">
      <c r="A6251" s="6" t="s">
        <v>148</v>
      </c>
      <c r="B6251" s="6" t="s">
        <v>92</v>
      </c>
      <c r="C6251" s="6" t="s">
        <v>331</v>
      </c>
      <c r="D6251" s="6">
        <v>18.84666666666667</v>
      </c>
      <c r="E6251" s="6" t="s">
        <v>188</v>
      </c>
      <c r="F6251" s="6" t="s">
        <v>58</v>
      </c>
      <c r="G6251" s="7">
        <v>52490.82308035896</v>
      </c>
      <c r="H6251" s="6">
        <v>989277.0456544986</v>
      </c>
      <c r="I6251" s="6" t="s">
        <v>179</v>
      </c>
      <c r="J6251" s="15">
        <v>17.40719355741339</v>
      </c>
    </row>
    <row r="6252" spans="1:10">
      <c r="A6252" s="6" t="s">
        <v>148</v>
      </c>
      <c r="B6252" s="6" t="s">
        <v>92</v>
      </c>
      <c r="C6252" s="6" t="s">
        <v>332</v>
      </c>
      <c r="D6252" s="6">
        <v>529.6951666666666</v>
      </c>
      <c r="E6252" s="6" t="s">
        <v>188</v>
      </c>
      <c r="F6252" s="6" t="s">
        <v>55</v>
      </c>
      <c r="G6252" s="7">
        <v>18935.91078298569</v>
      </c>
      <c r="H6252" s="6">
        <v>10030260.41817873</v>
      </c>
      <c r="I6252" s="6" t="s">
        <v>179</v>
      </c>
      <c r="J6252" s="15">
        <v>13</v>
      </c>
    </row>
    <row r="6253" spans="1:10">
      <c r="A6253" s="6" t="s">
        <v>148</v>
      </c>
      <c r="B6253" s="6" t="s">
        <v>44</v>
      </c>
      <c r="C6253" s="6" t="s">
        <v>194</v>
      </c>
      <c r="D6253" s="6">
        <v>0.1460833333333333</v>
      </c>
      <c r="E6253" s="6" t="s">
        <v>189</v>
      </c>
      <c r="F6253" s="6" t="s">
        <v>58</v>
      </c>
      <c r="G6253" s="7">
        <v>20829.42392802728</v>
      </c>
      <c r="H6253" s="6">
        <v>3042.831678819319</v>
      </c>
      <c r="I6253" s="6" t="s">
        <v>179</v>
      </c>
      <c r="J6253" s="15">
        <v>14.33333333333333</v>
      </c>
    </row>
    <row r="6254" spans="1:10">
      <c r="A6254" s="6" t="s">
        <v>148</v>
      </c>
      <c r="B6254" s="6" t="s">
        <v>90</v>
      </c>
      <c r="C6254" s="6" t="s">
        <v>195</v>
      </c>
      <c r="D6254" s="6">
        <v>3.563083333333334</v>
      </c>
      <c r="E6254" s="6" t="s">
        <v>189</v>
      </c>
      <c r="F6254" s="6" t="s">
        <v>54</v>
      </c>
      <c r="G6254" s="7">
        <v>56976.27849226169</v>
      </c>
      <c r="H6254" s="6">
        <v>203011.2282911361</v>
      </c>
      <c r="I6254" s="6" t="s">
        <v>180</v>
      </c>
      <c r="J6254" s="15">
        <v>11.49610447263148</v>
      </c>
    </row>
    <row r="6255" spans="1:10">
      <c r="A6255" s="6" t="s">
        <v>148</v>
      </c>
      <c r="B6255" s="6" t="s">
        <v>44</v>
      </c>
      <c r="C6255" s="6" t="s">
        <v>335</v>
      </c>
      <c r="D6255" s="6">
        <v>664.9020833333334</v>
      </c>
      <c r="E6255" s="6" t="s">
        <v>189</v>
      </c>
      <c r="F6255" s="6" t="s">
        <v>52</v>
      </c>
      <c r="G6255" s="7">
        <v>64169.74384104699</v>
      </c>
      <c r="H6255" s="6">
        <v>42666596.36687849</v>
      </c>
      <c r="I6255" s="6" t="s">
        <v>180</v>
      </c>
      <c r="J6255" s="15">
        <v>17.01155042897912</v>
      </c>
    </row>
    <row r="6256" spans="1:10">
      <c r="A6256" s="6" t="s">
        <v>148</v>
      </c>
      <c r="B6256" s="6" t="s">
        <v>90</v>
      </c>
      <c r="C6256" s="6" t="s">
        <v>336</v>
      </c>
      <c r="D6256" s="6">
        <v>1595.194083333333</v>
      </c>
      <c r="E6256" s="6" t="s">
        <v>189</v>
      </c>
      <c r="F6256" s="6" t="s">
        <v>52</v>
      </c>
      <c r="G6256" s="7">
        <v>59918.03179942394</v>
      </c>
      <c r="H6256" s="6">
        <v>95580889.81141958</v>
      </c>
      <c r="I6256" s="6" t="s">
        <v>180</v>
      </c>
      <c r="J6256" s="15">
        <v>12.43871031134531</v>
      </c>
    </row>
    <row r="6257" spans="1:10">
      <c r="A6257" s="6" t="s">
        <v>148</v>
      </c>
      <c r="B6257" s="6" t="s">
        <v>90</v>
      </c>
      <c r="C6257" s="6" t="s">
        <v>197</v>
      </c>
      <c r="D6257" s="6">
        <v>5.48725</v>
      </c>
      <c r="E6257" s="6" t="s">
        <v>189</v>
      </c>
      <c r="F6257" s="6" t="s">
        <v>53</v>
      </c>
      <c r="G6257" s="7">
        <v>24873.23941462196</v>
      </c>
      <c r="H6257" s="6">
        <v>136485.6829778843</v>
      </c>
      <c r="I6257" s="6" t="s">
        <v>179</v>
      </c>
      <c r="J6257" s="15">
        <v>27</v>
      </c>
    </row>
    <row r="6258" spans="1:10">
      <c r="A6258" s="6" t="s">
        <v>148</v>
      </c>
      <c r="B6258" s="6" t="s">
        <v>90</v>
      </c>
      <c r="C6258" s="6" t="s">
        <v>198</v>
      </c>
      <c r="D6258" s="6">
        <v>1.477</v>
      </c>
      <c r="E6258" s="6" t="s">
        <v>189</v>
      </c>
      <c r="F6258" s="6" t="s">
        <v>58</v>
      </c>
      <c r="G6258" s="7">
        <v>77672.91374469569</v>
      </c>
      <c r="H6258" s="6">
        <v>114722.8936009155</v>
      </c>
      <c r="I6258" s="6" t="s">
        <v>180</v>
      </c>
      <c r="J6258" s="15">
        <v>18.12778537638943</v>
      </c>
    </row>
    <row r="6259" spans="1:10">
      <c r="A6259" s="6" t="s">
        <v>148</v>
      </c>
      <c r="B6259" s="6" t="s">
        <v>44</v>
      </c>
      <c r="C6259" s="6" t="s">
        <v>199</v>
      </c>
      <c r="D6259" s="6">
        <v>24.51791666666666</v>
      </c>
      <c r="E6259" s="6" t="s">
        <v>189</v>
      </c>
      <c r="F6259" s="6" t="s">
        <v>57</v>
      </c>
      <c r="G6259" s="7">
        <v>42727.16197460723</v>
      </c>
      <c r="H6259" s="6">
        <v>1047580.996696589</v>
      </c>
      <c r="I6259" s="6" t="s">
        <v>179</v>
      </c>
      <c r="J6259" s="15">
        <v>44.83333333333334</v>
      </c>
    </row>
    <row r="6260" spans="1:10">
      <c r="A6260" s="6" t="s">
        <v>148</v>
      </c>
      <c r="B6260" s="6" t="s">
        <v>90</v>
      </c>
      <c r="C6260" s="6" t="s">
        <v>200</v>
      </c>
      <c r="D6260" s="6">
        <v>153.6914166666667</v>
      </c>
      <c r="E6260" s="6" t="s">
        <v>189</v>
      </c>
      <c r="F6260" s="6" t="s">
        <v>52</v>
      </c>
      <c r="G6260" s="7">
        <v>59918.03179942394</v>
      </c>
      <c r="H6260" s="6">
        <v>9208887.191131847</v>
      </c>
      <c r="I6260" s="6" t="s">
        <v>180</v>
      </c>
      <c r="J6260" s="15">
        <v>12.43871031134531</v>
      </c>
    </row>
    <row r="6261" spans="1:10">
      <c r="A6261" s="6" t="s">
        <v>148</v>
      </c>
      <c r="B6261" s="6" t="s">
        <v>90</v>
      </c>
      <c r="C6261" s="6" t="s">
        <v>201</v>
      </c>
      <c r="D6261" s="6">
        <v>3.52475</v>
      </c>
      <c r="E6261" s="6" t="s">
        <v>189</v>
      </c>
      <c r="F6261" s="6" t="s">
        <v>56</v>
      </c>
      <c r="G6261" s="7">
        <v>47784.13759688608</v>
      </c>
      <c r="H6261" s="6">
        <v>168427.1389946242</v>
      </c>
      <c r="I6261" s="6" t="s">
        <v>180</v>
      </c>
      <c r="J6261" s="15">
        <v>8.550729801966316</v>
      </c>
    </row>
    <row r="6262" spans="1:10">
      <c r="A6262" s="6" t="s">
        <v>148</v>
      </c>
      <c r="B6262" s="6" t="s">
        <v>86</v>
      </c>
      <c r="C6262" s="6" t="s">
        <v>202</v>
      </c>
      <c r="D6262" s="6">
        <v>384.1364166666667</v>
      </c>
      <c r="E6262" s="6" t="s">
        <v>189</v>
      </c>
      <c r="F6262" s="6" t="s">
        <v>54</v>
      </c>
      <c r="G6262" s="7">
        <v>90789.34185131452</v>
      </c>
      <c r="H6262" s="6">
        <v>34875492.45028899</v>
      </c>
      <c r="I6262" s="6" t="s">
        <v>179</v>
      </c>
      <c r="J6262" s="15">
        <v>65.125</v>
      </c>
    </row>
    <row r="6263" spans="1:10">
      <c r="A6263" s="6" t="s">
        <v>148</v>
      </c>
      <c r="B6263" s="6" t="s">
        <v>90</v>
      </c>
      <c r="C6263" s="6" t="s">
        <v>203</v>
      </c>
      <c r="D6263" s="6">
        <v>260.9469166666667</v>
      </c>
      <c r="E6263" s="6" t="s">
        <v>189</v>
      </c>
      <c r="F6263" s="6" t="s">
        <v>53</v>
      </c>
      <c r="G6263" s="7">
        <v>17844.00974373058</v>
      </c>
      <c r="H6263" s="6">
        <v>4656339.323596451</v>
      </c>
      <c r="I6263" s="6" t="s">
        <v>179</v>
      </c>
      <c r="J6263" s="15">
        <v>12</v>
      </c>
    </row>
    <row r="6264" spans="1:10">
      <c r="A6264" s="6" t="s">
        <v>148</v>
      </c>
      <c r="B6264" s="6" t="s">
        <v>44</v>
      </c>
      <c r="C6264" s="6" t="s">
        <v>204</v>
      </c>
      <c r="D6264" s="6">
        <v>1308.527083333333</v>
      </c>
      <c r="E6264" s="6" t="s">
        <v>189</v>
      </c>
      <c r="F6264" s="6" t="s">
        <v>51</v>
      </c>
      <c r="G6264" s="7">
        <v>22075.51100893869</v>
      </c>
      <c r="H6264" s="6">
        <v>28886404.03361944</v>
      </c>
      <c r="I6264" s="6" t="s">
        <v>179</v>
      </c>
      <c r="J6264" s="15">
        <v>17.73333333333333</v>
      </c>
    </row>
    <row r="6265" spans="1:10">
      <c r="A6265" s="6" t="s">
        <v>148</v>
      </c>
      <c r="B6265" s="6" t="s">
        <v>44</v>
      </c>
      <c r="C6265" s="6" t="s">
        <v>205</v>
      </c>
      <c r="D6265" s="6">
        <v>83.92191666666666</v>
      </c>
      <c r="E6265" s="6" t="s">
        <v>189</v>
      </c>
      <c r="F6265" s="6" t="s">
        <v>56</v>
      </c>
      <c r="G6265" s="7">
        <v>54049.79733429672</v>
      </c>
      <c r="H6265" s="6">
        <v>4535962.587739071</v>
      </c>
      <c r="I6265" s="6" t="s">
        <v>179</v>
      </c>
      <c r="J6265" s="15">
        <v>22.35</v>
      </c>
    </row>
    <row r="6266" spans="1:10">
      <c r="A6266" s="6" t="s">
        <v>148</v>
      </c>
      <c r="B6266" s="6" t="s">
        <v>92</v>
      </c>
      <c r="C6266" s="6" t="s">
        <v>206</v>
      </c>
      <c r="D6266" s="6">
        <v>2.936916666666667</v>
      </c>
      <c r="E6266" s="6" t="s">
        <v>189</v>
      </c>
      <c r="F6266" s="6" t="s">
        <v>55</v>
      </c>
      <c r="G6266" s="7">
        <v>31981.7567354776</v>
      </c>
      <c r="H6266" s="6">
        <v>93927.7543857031</v>
      </c>
      <c r="I6266" s="6" t="s">
        <v>179</v>
      </c>
      <c r="J6266" s="15">
        <v>16</v>
      </c>
    </row>
    <row r="6267" spans="1:10">
      <c r="A6267" s="6" t="s">
        <v>148</v>
      </c>
      <c r="B6267" s="6" t="s">
        <v>92</v>
      </c>
      <c r="C6267" s="6" t="s">
        <v>340</v>
      </c>
      <c r="D6267" s="6">
        <v>356.72775</v>
      </c>
      <c r="E6267" s="6" t="s">
        <v>189</v>
      </c>
      <c r="F6267" s="6" t="s">
        <v>52</v>
      </c>
      <c r="G6267" s="7">
        <v>30591.57365130842</v>
      </c>
      <c r="H6267" s="6">
        <v>10912863.23759054</v>
      </c>
      <c r="I6267" s="6" t="s">
        <v>180</v>
      </c>
      <c r="J6267" s="15">
        <v>4.69377687961323</v>
      </c>
    </row>
    <row r="6268" spans="1:10">
      <c r="A6268" s="6" t="s">
        <v>148</v>
      </c>
      <c r="B6268" s="6" t="s">
        <v>44</v>
      </c>
      <c r="C6268" s="6" t="s">
        <v>207</v>
      </c>
      <c r="D6268" s="6">
        <v>0.14425</v>
      </c>
      <c r="E6268" s="6" t="s">
        <v>189</v>
      </c>
      <c r="F6268" s="6" t="s">
        <v>55</v>
      </c>
      <c r="G6268" s="7">
        <v>43102.17610390013</v>
      </c>
      <c r="H6268" s="6">
        <v>6217.488902987594</v>
      </c>
      <c r="I6268" s="6" t="s">
        <v>180</v>
      </c>
      <c r="J6268" s="15">
        <v>106.2666666666667</v>
      </c>
    </row>
    <row r="6269" spans="1:10">
      <c r="A6269" s="6" t="s">
        <v>148</v>
      </c>
      <c r="B6269" s="6" t="s">
        <v>44</v>
      </c>
      <c r="C6269" s="6" t="s">
        <v>208</v>
      </c>
      <c r="D6269" s="6">
        <v>0.8885833333333333</v>
      </c>
      <c r="E6269" s="6" t="s">
        <v>189</v>
      </c>
      <c r="F6269" s="6" t="s">
        <v>51</v>
      </c>
      <c r="G6269" s="7">
        <v>21097.10902947491</v>
      </c>
      <c r="H6269" s="6">
        <v>18746.53946510758</v>
      </c>
      <c r="I6269" s="6" t="s">
        <v>179</v>
      </c>
      <c r="J6269" s="15">
        <v>30</v>
      </c>
    </row>
    <row r="6270" spans="1:10">
      <c r="A6270" s="6" t="s">
        <v>148</v>
      </c>
      <c r="B6270" s="6" t="s">
        <v>44</v>
      </c>
      <c r="C6270" s="6" t="s">
        <v>209</v>
      </c>
      <c r="D6270" s="6">
        <v>0.1896666666666667</v>
      </c>
      <c r="E6270" s="6" t="s">
        <v>189</v>
      </c>
      <c r="F6270" s="6" t="s">
        <v>57</v>
      </c>
      <c r="G6270" s="7">
        <v>41050.93445745452</v>
      </c>
      <c r="H6270" s="6">
        <v>7785.993902097207</v>
      </c>
      <c r="I6270" s="6" t="s">
        <v>180</v>
      </c>
      <c r="J6270" s="15">
        <v>8.447085698826186</v>
      </c>
    </row>
    <row r="6271" spans="1:10">
      <c r="A6271" s="6" t="s">
        <v>148</v>
      </c>
      <c r="B6271" s="6" t="s">
        <v>90</v>
      </c>
      <c r="C6271" s="6" t="s">
        <v>210</v>
      </c>
      <c r="D6271" s="6">
        <v>0.1005</v>
      </c>
      <c r="E6271" s="6" t="s">
        <v>189</v>
      </c>
      <c r="F6271" s="6" t="s">
        <v>53</v>
      </c>
      <c r="G6271" s="7">
        <v>33962.09735450833</v>
      </c>
      <c r="H6271" s="6">
        <v>3413.190784128088</v>
      </c>
      <c r="I6271" s="6" t="s">
        <v>180</v>
      </c>
      <c r="J6271" s="15">
        <v>12</v>
      </c>
    </row>
    <row r="6272" spans="1:10">
      <c r="A6272" s="6" t="s">
        <v>148</v>
      </c>
      <c r="B6272" s="6" t="s">
        <v>92</v>
      </c>
      <c r="C6272" s="6" t="s">
        <v>211</v>
      </c>
      <c r="D6272" s="6">
        <v>195.6109166666667</v>
      </c>
      <c r="E6272" s="6" t="s">
        <v>189</v>
      </c>
      <c r="F6272" s="6" t="s">
        <v>55</v>
      </c>
      <c r="G6272" s="7">
        <v>25336.04217074411</v>
      </c>
      <c r="H6272" s="6">
        <v>4956006.433724578</v>
      </c>
      <c r="I6272" s="6" t="s">
        <v>179</v>
      </c>
      <c r="J6272" s="15">
        <v>16</v>
      </c>
    </row>
    <row r="6273" spans="1:10">
      <c r="A6273" s="6" t="s">
        <v>148</v>
      </c>
      <c r="B6273" s="6" t="s">
        <v>92</v>
      </c>
      <c r="C6273" s="6" t="s">
        <v>212</v>
      </c>
      <c r="D6273" s="6">
        <v>6.828416666666667</v>
      </c>
      <c r="E6273" s="6" t="s">
        <v>189</v>
      </c>
      <c r="F6273" s="6" t="s">
        <v>55</v>
      </c>
      <c r="G6273" s="7">
        <v>23468.05749758728</v>
      </c>
      <c r="H6273" s="6">
        <v>160249.6749508166</v>
      </c>
      <c r="I6273" s="6" t="s">
        <v>179</v>
      </c>
      <c r="J6273" s="15">
        <v>15</v>
      </c>
    </row>
    <row r="6274" spans="1:10">
      <c r="A6274" s="6" t="s">
        <v>148</v>
      </c>
      <c r="B6274" s="6" t="s">
        <v>44</v>
      </c>
      <c r="C6274" s="6" t="s">
        <v>213</v>
      </c>
      <c r="D6274" s="6">
        <v>25.69558333333333</v>
      </c>
      <c r="E6274" s="6" t="s">
        <v>189</v>
      </c>
      <c r="F6274" s="6" t="s">
        <v>52</v>
      </c>
      <c r="G6274" s="7">
        <v>64169.74384104699</v>
      </c>
      <c r="H6274" s="6">
        <v>1648879.000346276</v>
      </c>
      <c r="I6274" s="6" t="s">
        <v>180</v>
      </c>
      <c r="J6274" s="15">
        <v>68</v>
      </c>
    </row>
    <row r="6275" spans="1:10">
      <c r="A6275" s="6" t="s">
        <v>148</v>
      </c>
      <c r="B6275" s="6" t="s">
        <v>90</v>
      </c>
      <c r="C6275" s="6" t="s">
        <v>214</v>
      </c>
      <c r="D6275" s="6">
        <v>0.13225</v>
      </c>
      <c r="E6275" s="6" t="s">
        <v>189</v>
      </c>
      <c r="F6275" s="6" t="s">
        <v>53</v>
      </c>
      <c r="G6275" s="7">
        <v>29230.07315219457</v>
      </c>
      <c r="H6275" s="6">
        <v>3865.677174377731</v>
      </c>
      <c r="I6275" s="6" t="s">
        <v>179</v>
      </c>
      <c r="J6275" s="15">
        <v>27</v>
      </c>
    </row>
    <row r="6276" spans="1:10">
      <c r="A6276" s="6" t="s">
        <v>148</v>
      </c>
      <c r="B6276" s="6" t="s">
        <v>88</v>
      </c>
      <c r="C6276" s="6" t="s">
        <v>215</v>
      </c>
      <c r="D6276" s="6">
        <v>92.72241666666667</v>
      </c>
      <c r="E6276" s="6" t="s">
        <v>189</v>
      </c>
      <c r="F6276" s="6" t="s">
        <v>54</v>
      </c>
      <c r="G6276" s="7">
        <v>49061.49876660256</v>
      </c>
      <c r="H6276" s="6">
        <v>4549100.730928075</v>
      </c>
      <c r="I6276" s="6" t="s">
        <v>180</v>
      </c>
      <c r="J6276" s="15">
        <v>26.26991575310344</v>
      </c>
    </row>
    <row r="6277" spans="1:10">
      <c r="A6277" s="6" t="s">
        <v>148</v>
      </c>
      <c r="B6277" s="6" t="s">
        <v>44</v>
      </c>
      <c r="C6277" s="6" t="s">
        <v>216</v>
      </c>
      <c r="D6277" s="6">
        <v>1.273583333333333</v>
      </c>
      <c r="E6277" s="6" t="s">
        <v>189</v>
      </c>
      <c r="F6277" s="6" t="s">
        <v>55</v>
      </c>
      <c r="G6277" s="7">
        <v>42969.13562366418</v>
      </c>
      <c r="H6277" s="6">
        <v>54724.7749780383</v>
      </c>
      <c r="I6277" s="6" t="s">
        <v>180</v>
      </c>
      <c r="J6277" s="15">
        <v>9.157691766844557</v>
      </c>
    </row>
    <row r="6278" spans="1:10">
      <c r="A6278" s="6" t="s">
        <v>148</v>
      </c>
      <c r="B6278" s="6" t="s">
        <v>90</v>
      </c>
      <c r="C6278" s="6" t="s">
        <v>341</v>
      </c>
      <c r="D6278" s="6">
        <v>11.81733333333333</v>
      </c>
      <c r="E6278" s="6" t="s">
        <v>189</v>
      </c>
      <c r="F6278" s="6" t="s">
        <v>52</v>
      </c>
      <c r="G6278" s="7">
        <v>59918.03179942394</v>
      </c>
      <c r="H6278" s="6">
        <v>708071.3544510591</v>
      </c>
      <c r="I6278" s="6" t="s">
        <v>180</v>
      </c>
      <c r="J6278" s="15">
        <v>12.43871031134531</v>
      </c>
    </row>
    <row r="6279" spans="1:10">
      <c r="A6279" s="6" t="s">
        <v>148</v>
      </c>
      <c r="B6279" s="6" t="s">
        <v>90</v>
      </c>
      <c r="C6279" s="6" t="s">
        <v>217</v>
      </c>
      <c r="D6279" s="6">
        <v>5.422</v>
      </c>
      <c r="E6279" s="6" t="s">
        <v>189</v>
      </c>
      <c r="F6279" s="6" t="s">
        <v>53</v>
      </c>
      <c r="G6279" s="7">
        <v>29595.99008532836</v>
      </c>
      <c r="H6279" s="6">
        <v>160469.4582426503</v>
      </c>
      <c r="I6279" s="6" t="s">
        <v>179</v>
      </c>
      <c r="J6279" s="15">
        <v>15</v>
      </c>
    </row>
    <row r="6280" spans="1:10">
      <c r="A6280" s="6" t="s">
        <v>148</v>
      </c>
      <c r="B6280" s="6" t="s">
        <v>90</v>
      </c>
      <c r="C6280" s="6" t="s">
        <v>218</v>
      </c>
      <c r="D6280" s="6">
        <v>0.06183333333333333</v>
      </c>
      <c r="E6280" s="6" t="s">
        <v>189</v>
      </c>
      <c r="F6280" s="6" t="s">
        <v>54</v>
      </c>
      <c r="G6280" s="7">
        <v>55803.8509311504</v>
      </c>
      <c r="H6280" s="6">
        <v>3450.538115909466</v>
      </c>
      <c r="I6280" s="6" t="s">
        <v>180</v>
      </c>
      <c r="J6280" s="15">
        <v>11.12043154931672</v>
      </c>
    </row>
    <row r="6281" spans="1:10">
      <c r="A6281" s="6" t="s">
        <v>148</v>
      </c>
      <c r="B6281" s="6" t="s">
        <v>44</v>
      </c>
      <c r="C6281" s="6" t="s">
        <v>219</v>
      </c>
      <c r="D6281" s="6">
        <v>7.206833333333333</v>
      </c>
      <c r="E6281" s="6" t="s">
        <v>189</v>
      </c>
      <c r="F6281" s="6" t="s">
        <v>51</v>
      </c>
      <c r="G6281" s="7">
        <v>24699.68371704026</v>
      </c>
      <c r="H6281" s="6">
        <v>178006.5039347563</v>
      </c>
      <c r="I6281" s="6" t="s">
        <v>179</v>
      </c>
      <c r="J6281" s="15">
        <v>13.96666666666667</v>
      </c>
    </row>
    <row r="6282" spans="1:10">
      <c r="A6282" s="6" t="s">
        <v>148</v>
      </c>
      <c r="B6282" s="6" t="s">
        <v>44</v>
      </c>
      <c r="C6282" s="6" t="s">
        <v>220</v>
      </c>
      <c r="D6282" s="6">
        <v>0.6285833333333333</v>
      </c>
      <c r="E6282" s="6" t="s">
        <v>189</v>
      </c>
      <c r="F6282" s="6" t="s">
        <v>57</v>
      </c>
      <c r="G6282" s="7">
        <v>40154.70104495549</v>
      </c>
      <c r="H6282" s="6">
        <v>25240.5758318416</v>
      </c>
      <c r="I6282" s="6" t="s">
        <v>180</v>
      </c>
      <c r="J6282" s="15">
        <v>8.115072084977196</v>
      </c>
    </row>
    <row r="6283" spans="1:10">
      <c r="A6283" s="6" t="s">
        <v>148</v>
      </c>
      <c r="B6283" s="6" t="s">
        <v>44</v>
      </c>
      <c r="C6283" s="6" t="s">
        <v>221</v>
      </c>
      <c r="D6283" s="6">
        <v>7.3515</v>
      </c>
      <c r="E6283" s="6" t="s">
        <v>189</v>
      </c>
      <c r="F6283" s="6" t="s">
        <v>51</v>
      </c>
      <c r="G6283" s="7">
        <v>26492.73446871235</v>
      </c>
      <c r="H6283" s="6">
        <v>194761.3374467388</v>
      </c>
      <c r="I6283" s="6" t="s">
        <v>179</v>
      </c>
      <c r="J6283" s="15">
        <v>21.28333333333333</v>
      </c>
    </row>
    <row r="6284" spans="1:10">
      <c r="A6284" s="6" t="s">
        <v>148</v>
      </c>
      <c r="B6284" s="6" t="s">
        <v>44</v>
      </c>
      <c r="C6284" s="6" t="s">
        <v>222</v>
      </c>
      <c r="D6284" s="6">
        <v>0.2380833333333333</v>
      </c>
      <c r="E6284" s="6" t="s">
        <v>189</v>
      </c>
      <c r="F6284" s="6" t="s">
        <v>57</v>
      </c>
      <c r="G6284" s="7">
        <v>40818.44055788575</v>
      </c>
      <c r="H6284" s="6">
        <v>9718.190389489964</v>
      </c>
      <c r="I6284" s="6" t="s">
        <v>180</v>
      </c>
      <c r="J6284" s="15">
        <v>8.360957310041353</v>
      </c>
    </row>
    <row r="6285" spans="1:10">
      <c r="A6285" s="6" t="s">
        <v>148</v>
      </c>
      <c r="B6285" s="6" t="s">
        <v>86</v>
      </c>
      <c r="C6285" s="6" t="s">
        <v>342</v>
      </c>
      <c r="D6285" s="6">
        <v>7.810333333333333</v>
      </c>
      <c r="E6285" s="6" t="s">
        <v>189</v>
      </c>
      <c r="F6285" s="6" t="s">
        <v>53</v>
      </c>
      <c r="G6285" s="7">
        <v>33275.25972937583</v>
      </c>
      <c r="H6285" s="6">
        <v>259890.8702396684</v>
      </c>
      <c r="I6285" s="6" t="s">
        <v>179</v>
      </c>
      <c r="J6285" s="15">
        <v>8</v>
      </c>
    </row>
    <row r="6286" spans="1:10">
      <c r="A6286" s="6" t="s">
        <v>148</v>
      </c>
      <c r="B6286" s="6" t="s">
        <v>90</v>
      </c>
      <c r="C6286" s="6" t="s">
        <v>343</v>
      </c>
      <c r="D6286" s="6">
        <v>11.10891666666667</v>
      </c>
      <c r="E6286" s="6" t="s">
        <v>189</v>
      </c>
      <c r="F6286" s="6" t="s">
        <v>52</v>
      </c>
      <c r="G6286" s="7">
        <v>59918.03179942394</v>
      </c>
      <c r="H6286" s="6">
        <v>665624.4220904838</v>
      </c>
      <c r="I6286" s="6" t="s">
        <v>180</v>
      </c>
      <c r="J6286" s="15">
        <v>12.43871031134531</v>
      </c>
    </row>
    <row r="6287" spans="1:10">
      <c r="A6287" s="6" t="s">
        <v>148</v>
      </c>
      <c r="B6287" s="6" t="s">
        <v>86</v>
      </c>
      <c r="C6287" s="6" t="s">
        <v>223</v>
      </c>
      <c r="D6287" s="6">
        <v>3.68275</v>
      </c>
      <c r="E6287" s="6" t="s">
        <v>189</v>
      </c>
      <c r="F6287" s="6" t="s">
        <v>53</v>
      </c>
      <c r="G6287" s="7">
        <v>24418.66320757394</v>
      </c>
      <c r="H6287" s="6">
        <v>89927.83192769295</v>
      </c>
      <c r="I6287" s="6" t="s">
        <v>179</v>
      </c>
      <c r="J6287" s="15">
        <v>7.983333333333333</v>
      </c>
    </row>
    <row r="6288" spans="1:10">
      <c r="A6288" s="6" t="s">
        <v>148</v>
      </c>
      <c r="B6288" s="6" t="s">
        <v>44</v>
      </c>
      <c r="C6288" s="6" t="s">
        <v>224</v>
      </c>
      <c r="D6288" s="6">
        <v>664.4300000000001</v>
      </c>
      <c r="E6288" s="6" t="s">
        <v>189</v>
      </c>
      <c r="F6288" s="6" t="s">
        <v>51</v>
      </c>
      <c r="G6288" s="7">
        <v>20842.13163725611</v>
      </c>
      <c r="H6288" s="6">
        <v>13848137.52374208</v>
      </c>
      <c r="I6288" s="6" t="s">
        <v>179</v>
      </c>
      <c r="J6288" s="15">
        <v>11</v>
      </c>
    </row>
    <row r="6289" spans="1:10">
      <c r="A6289" s="6" t="s">
        <v>148</v>
      </c>
      <c r="B6289" s="6" t="s">
        <v>90</v>
      </c>
      <c r="C6289" s="6" t="s">
        <v>225</v>
      </c>
      <c r="D6289" s="6">
        <v>0.003833333333333333</v>
      </c>
      <c r="E6289" s="6" t="s">
        <v>189</v>
      </c>
      <c r="F6289" s="6" t="s">
        <v>54</v>
      </c>
      <c r="G6289" s="7">
        <v>60801.11682439398</v>
      </c>
      <c r="H6289" s="6">
        <v>233.0709478268436</v>
      </c>
      <c r="I6289" s="6" t="s">
        <v>180</v>
      </c>
      <c r="J6289" s="15">
        <v>12.72167119001276</v>
      </c>
    </row>
    <row r="6290" spans="1:10">
      <c r="A6290" s="6" t="s">
        <v>148</v>
      </c>
      <c r="B6290" s="6" t="s">
        <v>44</v>
      </c>
      <c r="C6290" s="6" t="s">
        <v>226</v>
      </c>
      <c r="D6290" s="6">
        <v>47.30008333333333</v>
      </c>
      <c r="E6290" s="6" t="s">
        <v>189</v>
      </c>
      <c r="F6290" s="6" t="s">
        <v>56</v>
      </c>
      <c r="G6290" s="7">
        <v>59921.09743873261</v>
      </c>
      <c r="H6290" s="6">
        <v>2834272.902276839</v>
      </c>
      <c r="I6290" s="6" t="s">
        <v>179</v>
      </c>
      <c r="J6290" s="15">
        <v>47.875</v>
      </c>
    </row>
    <row r="6291" spans="1:10">
      <c r="A6291" s="6" t="s">
        <v>148</v>
      </c>
      <c r="B6291" s="6" t="s">
        <v>90</v>
      </c>
      <c r="C6291" s="6" t="s">
        <v>344</v>
      </c>
      <c r="D6291" s="6">
        <v>70.14216666666667</v>
      </c>
      <c r="E6291" s="6" t="s">
        <v>189</v>
      </c>
      <c r="F6291" s="6" t="s">
        <v>52</v>
      </c>
      <c r="G6291" s="7">
        <v>59918.03179942394</v>
      </c>
      <c r="H6291" s="6">
        <v>4202780.572813828</v>
      </c>
      <c r="I6291" s="6" t="s">
        <v>180</v>
      </c>
      <c r="J6291" s="15">
        <v>12.43871031134531</v>
      </c>
    </row>
    <row r="6292" spans="1:10">
      <c r="A6292" s="6" t="s">
        <v>148</v>
      </c>
      <c r="B6292" s="6" t="s">
        <v>86</v>
      </c>
      <c r="C6292" s="6" t="s">
        <v>345</v>
      </c>
      <c r="D6292" s="6">
        <v>6.25525</v>
      </c>
      <c r="E6292" s="6" t="s">
        <v>189</v>
      </c>
      <c r="F6292" s="6" t="s">
        <v>53</v>
      </c>
      <c r="G6292" s="7">
        <v>31603.56115403747</v>
      </c>
      <c r="H6292" s="6">
        <v>197688.1759087929</v>
      </c>
      <c r="I6292" s="6" t="s">
        <v>179</v>
      </c>
      <c r="J6292" s="15">
        <v>8</v>
      </c>
    </row>
    <row r="6293" spans="1:10">
      <c r="A6293" s="6" t="s">
        <v>148</v>
      </c>
      <c r="B6293" s="6" t="s">
        <v>44</v>
      </c>
      <c r="C6293" s="6" t="s">
        <v>227</v>
      </c>
      <c r="D6293" s="6">
        <v>13.93825</v>
      </c>
      <c r="E6293" s="6" t="s">
        <v>189</v>
      </c>
      <c r="F6293" s="6" t="s">
        <v>57</v>
      </c>
      <c r="G6293" s="7">
        <v>47608.30251275475</v>
      </c>
      <c r="H6293" s="6">
        <v>663576.4224984039</v>
      </c>
      <c r="I6293" s="6" t="s">
        <v>179</v>
      </c>
      <c r="J6293" s="15">
        <v>51.93333333333333</v>
      </c>
    </row>
    <row r="6294" spans="1:10">
      <c r="A6294" s="6" t="s">
        <v>148</v>
      </c>
      <c r="B6294" s="6" t="s">
        <v>44</v>
      </c>
      <c r="C6294" s="6" t="s">
        <v>228</v>
      </c>
      <c r="D6294" s="6">
        <v>8.818666666666667</v>
      </c>
      <c r="E6294" s="6" t="s">
        <v>189</v>
      </c>
      <c r="F6294" s="6" t="s">
        <v>51</v>
      </c>
      <c r="G6294" s="7">
        <v>36404.73502976458</v>
      </c>
      <c r="H6294" s="6">
        <v>321041.2233158173</v>
      </c>
      <c r="I6294" s="6" t="s">
        <v>179</v>
      </c>
      <c r="J6294" s="15">
        <v>21</v>
      </c>
    </row>
    <row r="6295" spans="1:10">
      <c r="A6295" s="6" t="s">
        <v>148</v>
      </c>
      <c r="B6295" s="6" t="s">
        <v>86</v>
      </c>
      <c r="C6295" s="6" t="s">
        <v>229</v>
      </c>
      <c r="D6295" s="6">
        <v>7.767333333333333</v>
      </c>
      <c r="E6295" s="6" t="s">
        <v>189</v>
      </c>
      <c r="F6295" s="6" t="s">
        <v>53</v>
      </c>
      <c r="G6295" s="7">
        <v>21180.73880713652</v>
      </c>
      <c r="H6295" s="6">
        <v>164517.8585612984</v>
      </c>
      <c r="I6295" s="6" t="s">
        <v>179</v>
      </c>
      <c r="J6295" s="15">
        <v>5</v>
      </c>
    </row>
    <row r="6296" spans="1:10">
      <c r="A6296" s="6" t="s">
        <v>148</v>
      </c>
      <c r="B6296" s="6" t="s">
        <v>44</v>
      </c>
      <c r="C6296" s="6" t="s">
        <v>367</v>
      </c>
      <c r="D6296" s="6">
        <v>0.3951666666666667</v>
      </c>
      <c r="E6296" s="6" t="s">
        <v>189</v>
      </c>
      <c r="F6296" s="6" t="s">
        <v>55</v>
      </c>
      <c r="G6296" s="7">
        <v>49244.11517900768</v>
      </c>
      <c r="H6296" s="6">
        <v>19459.63284823787</v>
      </c>
      <c r="I6296" s="6" t="s">
        <v>180</v>
      </c>
      <c r="J6296" s="15">
        <v>11.48228557236773</v>
      </c>
    </row>
    <row r="6297" spans="1:10">
      <c r="A6297" s="6" t="s">
        <v>148</v>
      </c>
      <c r="B6297" s="6" t="s">
        <v>90</v>
      </c>
      <c r="C6297" s="6" t="s">
        <v>230</v>
      </c>
      <c r="D6297" s="6">
        <v>80.07116666666667</v>
      </c>
      <c r="E6297" s="6" t="s">
        <v>189</v>
      </c>
      <c r="F6297" s="6" t="s">
        <v>53</v>
      </c>
      <c r="G6297" s="7">
        <v>26357.64880300622</v>
      </c>
      <c r="H6297" s="6">
        <v>2110487.690246978</v>
      </c>
      <c r="I6297" s="6" t="s">
        <v>179</v>
      </c>
      <c r="J6297" s="15">
        <v>20</v>
      </c>
    </row>
    <row r="6298" spans="1:10">
      <c r="A6298" s="6" t="s">
        <v>148</v>
      </c>
      <c r="B6298" s="6" t="s">
        <v>44</v>
      </c>
      <c r="C6298" s="6" t="s">
        <v>378</v>
      </c>
      <c r="D6298" s="6">
        <v>1.010083333333333</v>
      </c>
      <c r="E6298" s="6" t="s">
        <v>189</v>
      </c>
      <c r="F6298" s="6" t="s">
        <v>51</v>
      </c>
      <c r="G6298" s="7">
        <v>36833.11874185415</v>
      </c>
      <c r="H6298" s="6">
        <v>37204.51935583452</v>
      </c>
      <c r="I6298" s="6" t="s">
        <v>180</v>
      </c>
      <c r="J6298" s="15">
        <v>6.884577295595829</v>
      </c>
    </row>
    <row r="6299" spans="1:10">
      <c r="A6299" s="6" t="s">
        <v>148</v>
      </c>
      <c r="B6299" s="6" t="s">
        <v>88</v>
      </c>
      <c r="C6299" s="6" t="s">
        <v>231</v>
      </c>
      <c r="D6299" s="6">
        <v>0.8343333333333334</v>
      </c>
      <c r="E6299" s="6" t="s">
        <v>189</v>
      </c>
      <c r="F6299" s="6" t="s">
        <v>52</v>
      </c>
      <c r="G6299" s="7">
        <v>44335.59781697809</v>
      </c>
      <c r="H6299" s="6">
        <v>36990.66711196538</v>
      </c>
      <c r="I6299" s="6" t="s">
        <v>180</v>
      </c>
      <c r="J6299" s="15">
        <v>23.08823420331521</v>
      </c>
    </row>
    <row r="6300" spans="1:10">
      <c r="A6300" s="6" t="s">
        <v>148</v>
      </c>
      <c r="B6300" s="6" t="s">
        <v>44</v>
      </c>
      <c r="C6300" s="6" t="s">
        <v>346</v>
      </c>
      <c r="D6300" s="6">
        <v>0.2555833333333333</v>
      </c>
      <c r="E6300" s="6" t="s">
        <v>189</v>
      </c>
      <c r="F6300" s="6" t="s">
        <v>52</v>
      </c>
      <c r="G6300" s="7">
        <v>64169.74384104699</v>
      </c>
      <c r="H6300" s="6">
        <v>16400.71703004093</v>
      </c>
      <c r="I6300" s="6" t="s">
        <v>180</v>
      </c>
      <c r="J6300" s="15">
        <v>17.01155042897912</v>
      </c>
    </row>
    <row r="6301" spans="1:10">
      <c r="A6301" s="6" t="s">
        <v>148</v>
      </c>
      <c r="B6301" s="6" t="s">
        <v>44</v>
      </c>
      <c r="C6301" s="6" t="s">
        <v>232</v>
      </c>
      <c r="D6301" s="6">
        <v>11.28616666666667</v>
      </c>
      <c r="E6301" s="6" t="s">
        <v>189</v>
      </c>
      <c r="F6301" s="6" t="s">
        <v>51</v>
      </c>
      <c r="G6301" s="7">
        <v>28201.41411980885</v>
      </c>
      <c r="H6301" s="6">
        <v>318285.8599918493</v>
      </c>
      <c r="I6301" s="6" t="s">
        <v>179</v>
      </c>
      <c r="J6301" s="15">
        <v>20</v>
      </c>
    </row>
    <row r="6302" spans="1:10">
      <c r="A6302" s="6" t="s">
        <v>148</v>
      </c>
      <c r="B6302" s="6" t="s">
        <v>86</v>
      </c>
      <c r="C6302" s="6" t="s">
        <v>233</v>
      </c>
      <c r="D6302" s="6">
        <v>16.43525</v>
      </c>
      <c r="E6302" s="6" t="s">
        <v>189</v>
      </c>
      <c r="F6302" s="6" t="s">
        <v>59</v>
      </c>
      <c r="G6302" s="7">
        <v>42805.8355381377</v>
      </c>
      <c r="H6302" s="6">
        <v>703524.6085281774</v>
      </c>
      <c r="I6302" s="6" t="s">
        <v>179</v>
      </c>
      <c r="J6302" s="15">
        <v>27.26666666666667</v>
      </c>
    </row>
    <row r="6303" spans="1:10">
      <c r="A6303" s="6" t="s">
        <v>148</v>
      </c>
      <c r="B6303" s="6" t="s">
        <v>44</v>
      </c>
      <c r="C6303" s="6" t="s">
        <v>234</v>
      </c>
      <c r="D6303" s="6">
        <v>167.5665</v>
      </c>
      <c r="E6303" s="6" t="s">
        <v>189</v>
      </c>
      <c r="F6303" s="6" t="s">
        <v>56</v>
      </c>
      <c r="G6303" s="7">
        <v>60675.69596540061</v>
      </c>
      <c r="H6303" s="6">
        <v>10167214.0079863</v>
      </c>
      <c r="I6303" s="6" t="s">
        <v>179</v>
      </c>
      <c r="J6303" s="15">
        <v>37.40833333333333</v>
      </c>
    </row>
    <row r="6304" spans="1:10">
      <c r="A6304" s="6" t="s">
        <v>148</v>
      </c>
      <c r="B6304" s="6" t="s">
        <v>86</v>
      </c>
      <c r="C6304" s="6" t="s">
        <v>235</v>
      </c>
      <c r="D6304" s="6">
        <v>0.02675</v>
      </c>
      <c r="E6304" s="6" t="s">
        <v>189</v>
      </c>
      <c r="F6304" s="6" t="s">
        <v>53</v>
      </c>
      <c r="G6304" s="7">
        <v>36703.49839619301</v>
      </c>
      <c r="H6304" s="6">
        <v>981.818582098163</v>
      </c>
      <c r="I6304" s="6" t="s">
        <v>180</v>
      </c>
      <c r="J6304" s="15">
        <v>4.269509732692095</v>
      </c>
    </row>
    <row r="6305" spans="1:10">
      <c r="A6305" s="6" t="s">
        <v>148</v>
      </c>
      <c r="B6305" s="6" t="s">
        <v>44</v>
      </c>
      <c r="C6305" s="6" t="s">
        <v>236</v>
      </c>
      <c r="D6305" s="6">
        <v>132.6753333333333</v>
      </c>
      <c r="E6305" s="6" t="s">
        <v>189</v>
      </c>
      <c r="F6305" s="6" t="s">
        <v>51</v>
      </c>
      <c r="G6305" s="7">
        <v>16875.52434086435</v>
      </c>
      <c r="H6305" s="6">
        <v>2238965.817098958</v>
      </c>
      <c r="I6305" s="6" t="s">
        <v>179</v>
      </c>
      <c r="J6305" s="15">
        <v>16.31666666666667</v>
      </c>
    </row>
    <row r="6306" spans="1:10">
      <c r="A6306" s="6" t="s">
        <v>148</v>
      </c>
      <c r="B6306" s="6" t="s">
        <v>44</v>
      </c>
      <c r="C6306" s="6" t="s">
        <v>237</v>
      </c>
      <c r="D6306" s="6">
        <v>10.2615</v>
      </c>
      <c r="E6306" s="6" t="s">
        <v>189</v>
      </c>
      <c r="F6306" s="6" t="s">
        <v>51</v>
      </c>
      <c r="G6306" s="7">
        <v>25931.08338799715</v>
      </c>
      <c r="H6306" s="6">
        <v>266091.8121859328</v>
      </c>
      <c r="I6306" s="6" t="s">
        <v>179</v>
      </c>
      <c r="J6306" s="15">
        <v>20</v>
      </c>
    </row>
    <row r="6307" spans="1:10">
      <c r="A6307" s="6" t="s">
        <v>148</v>
      </c>
      <c r="B6307" s="6" t="s">
        <v>44</v>
      </c>
      <c r="C6307" s="6" t="s">
        <v>238</v>
      </c>
      <c r="D6307" s="6">
        <v>0.3090833333333333</v>
      </c>
      <c r="E6307" s="6" t="s">
        <v>189</v>
      </c>
      <c r="F6307" s="6" t="s">
        <v>51</v>
      </c>
      <c r="G6307" s="7">
        <v>21509.06685400382</v>
      </c>
      <c r="H6307" s="6">
        <v>6648.094080125014</v>
      </c>
      <c r="I6307" s="6" t="s">
        <v>179</v>
      </c>
      <c r="J6307" s="15">
        <v>11</v>
      </c>
    </row>
    <row r="6308" spans="1:10">
      <c r="A6308" s="6" t="s">
        <v>148</v>
      </c>
      <c r="B6308" s="6" t="s">
        <v>90</v>
      </c>
      <c r="C6308" s="6" t="s">
        <v>239</v>
      </c>
      <c r="D6308" s="6">
        <v>3.712499999999999</v>
      </c>
      <c r="E6308" s="6" t="s">
        <v>189</v>
      </c>
      <c r="F6308" s="6" t="s">
        <v>54</v>
      </c>
      <c r="G6308" s="7">
        <v>77876.19751626256</v>
      </c>
      <c r="H6308" s="6">
        <v>289115.3832791247</v>
      </c>
      <c r="I6308" s="6" t="s">
        <v>179</v>
      </c>
      <c r="J6308" s="15">
        <v>17.61605692581799</v>
      </c>
    </row>
    <row r="6309" spans="1:10">
      <c r="A6309" s="6" t="s">
        <v>148</v>
      </c>
      <c r="B6309" s="6" t="s">
        <v>92</v>
      </c>
      <c r="C6309" s="6" t="s">
        <v>379</v>
      </c>
      <c r="D6309" s="6">
        <v>0.1803333333333333</v>
      </c>
      <c r="E6309" s="6" t="s">
        <v>189</v>
      </c>
      <c r="F6309" s="6" t="s">
        <v>51</v>
      </c>
      <c r="G6309" s="7">
        <v>39736.55973566615</v>
      </c>
      <c r="H6309" s="6">
        <v>7165.826272331796</v>
      </c>
      <c r="I6309" s="6" t="s">
        <v>180</v>
      </c>
      <c r="J6309" s="15">
        <v>8.117870548318852</v>
      </c>
    </row>
    <row r="6310" spans="1:10">
      <c r="A6310" s="6" t="s">
        <v>148</v>
      </c>
      <c r="B6310" s="6" t="s">
        <v>44</v>
      </c>
      <c r="C6310" s="6" t="s">
        <v>368</v>
      </c>
      <c r="D6310" s="6">
        <v>0.1613333333333333</v>
      </c>
      <c r="E6310" s="6" t="s">
        <v>189</v>
      </c>
      <c r="F6310" s="6" t="s">
        <v>55</v>
      </c>
      <c r="G6310" s="7">
        <v>48770.50191399889</v>
      </c>
      <c r="H6310" s="6">
        <v>7868.307642125154</v>
      </c>
      <c r="I6310" s="6" t="s">
        <v>180</v>
      </c>
      <c r="J6310" s="15">
        <v>11.30683345298744</v>
      </c>
    </row>
    <row r="6311" spans="1:10">
      <c r="A6311" s="6" t="s">
        <v>148</v>
      </c>
      <c r="B6311" s="6" t="s">
        <v>44</v>
      </c>
      <c r="C6311" s="6" t="s">
        <v>240</v>
      </c>
      <c r="D6311" s="6">
        <v>2.949333333333333</v>
      </c>
      <c r="E6311" s="6" t="s">
        <v>189</v>
      </c>
      <c r="F6311" s="6" t="s">
        <v>51</v>
      </c>
      <c r="G6311" s="7">
        <v>18174.39388396715</v>
      </c>
      <c r="H6311" s="6">
        <v>53602.34569511378</v>
      </c>
      <c r="I6311" s="6" t="s">
        <v>179</v>
      </c>
      <c r="J6311" s="15">
        <v>18</v>
      </c>
    </row>
    <row r="6312" spans="1:10">
      <c r="A6312" s="6" t="s">
        <v>148</v>
      </c>
      <c r="B6312" s="6" t="s">
        <v>90</v>
      </c>
      <c r="C6312" s="6" t="s">
        <v>241</v>
      </c>
      <c r="D6312" s="6">
        <v>1.146666666666667</v>
      </c>
      <c r="E6312" s="6" t="s">
        <v>189</v>
      </c>
      <c r="F6312" s="6" t="s">
        <v>53</v>
      </c>
      <c r="G6312" s="7">
        <v>26388.49277067184</v>
      </c>
      <c r="H6312" s="6">
        <v>30258.80504370371</v>
      </c>
      <c r="I6312" s="6" t="s">
        <v>179</v>
      </c>
      <c r="J6312" s="15">
        <v>14.36666666666667</v>
      </c>
    </row>
    <row r="6313" spans="1:10">
      <c r="A6313" s="6" t="s">
        <v>148</v>
      </c>
      <c r="B6313" s="6" t="s">
        <v>44</v>
      </c>
      <c r="C6313" s="6" t="s">
        <v>242</v>
      </c>
      <c r="D6313" s="6">
        <v>46.12908333333333</v>
      </c>
      <c r="E6313" s="6" t="s">
        <v>189</v>
      </c>
      <c r="F6313" s="6" t="s">
        <v>56</v>
      </c>
      <c r="G6313" s="7">
        <v>41454.84700212286</v>
      </c>
      <c r="H6313" s="6">
        <v>1912274.091931509</v>
      </c>
      <c r="I6313" s="6" t="s">
        <v>179</v>
      </c>
      <c r="J6313" s="15">
        <v>28.81666666666667</v>
      </c>
    </row>
    <row r="6314" spans="1:10">
      <c r="A6314" s="6" t="s">
        <v>148</v>
      </c>
      <c r="B6314" s="6" t="s">
        <v>44</v>
      </c>
      <c r="C6314" s="6" t="s">
        <v>243</v>
      </c>
      <c r="D6314" s="6">
        <v>0.02733333333333333</v>
      </c>
      <c r="E6314" s="6" t="s">
        <v>189</v>
      </c>
      <c r="F6314" s="6" t="s">
        <v>58</v>
      </c>
      <c r="G6314" s="7">
        <v>39072.48177856206</v>
      </c>
      <c r="H6314" s="6">
        <v>1067.98116861403</v>
      </c>
      <c r="I6314" s="6" t="s">
        <v>180</v>
      </c>
      <c r="J6314" s="15">
        <v>7.714159192642155</v>
      </c>
    </row>
    <row r="6315" spans="1:10">
      <c r="A6315" s="6" t="s">
        <v>148</v>
      </c>
      <c r="B6315" s="6" t="s">
        <v>44</v>
      </c>
      <c r="C6315" s="6" t="s">
        <v>369</v>
      </c>
      <c r="D6315" s="6">
        <v>0.05291666666666667</v>
      </c>
      <c r="E6315" s="6" t="s">
        <v>189</v>
      </c>
      <c r="F6315" s="6" t="s">
        <v>55</v>
      </c>
      <c r="G6315" s="7">
        <v>49104.86498874119</v>
      </c>
      <c r="H6315" s="6">
        <v>2598.465772320888</v>
      </c>
      <c r="I6315" s="6" t="s">
        <v>180</v>
      </c>
      <c r="J6315" s="15">
        <v>11.43069972625358</v>
      </c>
    </row>
    <row r="6316" spans="1:10">
      <c r="A6316" s="6" t="s">
        <v>148</v>
      </c>
      <c r="B6316" s="6" t="s">
        <v>44</v>
      </c>
      <c r="C6316" s="6" t="s">
        <v>244</v>
      </c>
      <c r="D6316" s="6">
        <v>3.029583333333333</v>
      </c>
      <c r="E6316" s="6" t="s">
        <v>189</v>
      </c>
      <c r="F6316" s="6" t="s">
        <v>55</v>
      </c>
      <c r="G6316" s="7">
        <v>48324.15434814322</v>
      </c>
      <c r="H6316" s="6">
        <v>146402.0526105622</v>
      </c>
      <c r="I6316" s="6" t="s">
        <v>180</v>
      </c>
      <c r="J6316" s="15">
        <v>25.75</v>
      </c>
    </row>
    <row r="6317" spans="1:10">
      <c r="A6317" s="6" t="s">
        <v>148</v>
      </c>
      <c r="B6317" s="6" t="s">
        <v>86</v>
      </c>
      <c r="C6317" s="6" t="s">
        <v>246</v>
      </c>
      <c r="D6317" s="6">
        <v>0.00825</v>
      </c>
      <c r="E6317" s="6" t="s">
        <v>189</v>
      </c>
      <c r="F6317" s="6" t="s">
        <v>53</v>
      </c>
      <c r="G6317" s="7">
        <v>34748.35236673716</v>
      </c>
      <c r="H6317" s="6">
        <v>286.6739070255816</v>
      </c>
      <c r="I6317" s="6" t="s">
        <v>180</v>
      </c>
      <c r="J6317" s="15">
        <v>3.681960534684491</v>
      </c>
    </row>
    <row r="6318" spans="1:10">
      <c r="A6318" s="6" t="s">
        <v>148</v>
      </c>
      <c r="B6318" s="6" t="s">
        <v>44</v>
      </c>
      <c r="C6318" s="6" t="s">
        <v>348</v>
      </c>
      <c r="D6318" s="6">
        <v>66.79541666666667</v>
      </c>
      <c r="E6318" s="6" t="s">
        <v>189</v>
      </c>
      <c r="F6318" s="6" t="s">
        <v>52</v>
      </c>
      <c r="G6318" s="7">
        <v>64169.74384104699</v>
      </c>
      <c r="H6318" s="6">
        <v>4286244.777256001</v>
      </c>
      <c r="I6318" s="6" t="s">
        <v>180</v>
      </c>
      <c r="J6318" s="15">
        <v>17.01155042897912</v>
      </c>
    </row>
    <row r="6319" spans="1:10">
      <c r="A6319" s="6" t="s">
        <v>148</v>
      </c>
      <c r="B6319" s="6" t="s">
        <v>90</v>
      </c>
      <c r="C6319" s="6" t="s">
        <v>350</v>
      </c>
      <c r="D6319" s="6">
        <v>34.47208333333333</v>
      </c>
      <c r="E6319" s="6" t="s">
        <v>189</v>
      </c>
      <c r="F6319" s="6" t="s">
        <v>52</v>
      </c>
      <c r="G6319" s="7">
        <v>59918.03179942394</v>
      </c>
      <c r="H6319" s="6">
        <v>2065499.385359058</v>
      </c>
      <c r="I6319" s="6" t="s">
        <v>180</v>
      </c>
      <c r="J6319" s="15">
        <v>12.43871031134531</v>
      </c>
    </row>
    <row r="6320" spans="1:10">
      <c r="A6320" s="6" t="s">
        <v>148</v>
      </c>
      <c r="B6320" s="6" t="s">
        <v>44</v>
      </c>
      <c r="C6320" s="6" t="s">
        <v>247</v>
      </c>
      <c r="D6320" s="6">
        <v>43.99241666666666</v>
      </c>
      <c r="E6320" s="6" t="s">
        <v>189</v>
      </c>
      <c r="F6320" s="6" t="s">
        <v>51</v>
      </c>
      <c r="G6320" s="7">
        <v>30572.38239922268</v>
      </c>
      <c r="H6320" s="6">
        <v>1344952.98499927</v>
      </c>
      <c r="I6320" s="6" t="s">
        <v>179</v>
      </c>
      <c r="J6320" s="15">
        <v>25.55</v>
      </c>
    </row>
    <row r="6321" spans="1:10">
      <c r="A6321" s="6" t="s">
        <v>148</v>
      </c>
      <c r="B6321" s="6" t="s">
        <v>88</v>
      </c>
      <c r="C6321" s="6" t="s">
        <v>248</v>
      </c>
      <c r="D6321" s="6">
        <v>3.714416666666667</v>
      </c>
      <c r="E6321" s="6" t="s">
        <v>189</v>
      </c>
      <c r="F6321" s="6" t="s">
        <v>55</v>
      </c>
      <c r="G6321" s="7">
        <v>27248.6277312555</v>
      </c>
      <c r="H6321" s="6">
        <v>101212.756988771</v>
      </c>
      <c r="I6321" s="6" t="s">
        <v>180</v>
      </c>
      <c r="J6321" s="15">
        <v>11.5845446332139</v>
      </c>
    </row>
    <row r="6322" spans="1:10">
      <c r="A6322" s="6" t="s">
        <v>148</v>
      </c>
      <c r="B6322" s="6" t="s">
        <v>86</v>
      </c>
      <c r="C6322" s="6" t="s">
        <v>249</v>
      </c>
      <c r="D6322" s="6">
        <v>103.0111666666667</v>
      </c>
      <c r="E6322" s="6" t="s">
        <v>189</v>
      </c>
      <c r="F6322" s="6" t="s">
        <v>53</v>
      </c>
      <c r="G6322" s="7">
        <v>26147.16905457934</v>
      </c>
      <c r="H6322" s="6">
        <v>2693450.389342781</v>
      </c>
      <c r="I6322" s="6" t="s">
        <v>179</v>
      </c>
      <c r="J6322" s="15">
        <v>8</v>
      </c>
    </row>
    <row r="6323" spans="1:10">
      <c r="A6323" s="6" t="s">
        <v>148</v>
      </c>
      <c r="B6323" s="6" t="s">
        <v>90</v>
      </c>
      <c r="C6323" s="6" t="s">
        <v>352</v>
      </c>
      <c r="D6323" s="6">
        <v>27.59858333333333</v>
      </c>
      <c r="E6323" s="6" t="s">
        <v>189</v>
      </c>
      <c r="F6323" s="6" t="s">
        <v>52</v>
      </c>
      <c r="G6323" s="7">
        <v>59918.03179942394</v>
      </c>
      <c r="H6323" s="6">
        <v>1653652.793785718</v>
      </c>
      <c r="I6323" s="6" t="s">
        <v>180</v>
      </c>
      <c r="J6323" s="15">
        <v>12.43871031134531</v>
      </c>
    </row>
    <row r="6324" spans="1:10">
      <c r="A6324" s="6" t="s">
        <v>148</v>
      </c>
      <c r="B6324" s="6" t="s">
        <v>92</v>
      </c>
      <c r="C6324" s="6" t="s">
        <v>250</v>
      </c>
      <c r="D6324" s="6">
        <v>1.178916666666667</v>
      </c>
      <c r="E6324" s="6" t="s">
        <v>189</v>
      </c>
      <c r="F6324" s="6" t="s">
        <v>55</v>
      </c>
      <c r="G6324" s="7">
        <v>37321.61329653078</v>
      </c>
      <c r="H6324" s="6">
        <v>43999.0719421684</v>
      </c>
      <c r="I6324" s="6" t="s">
        <v>179</v>
      </c>
      <c r="J6324" s="15">
        <v>15</v>
      </c>
    </row>
    <row r="6325" spans="1:10">
      <c r="A6325" s="6" t="s">
        <v>148</v>
      </c>
      <c r="B6325" s="6" t="s">
        <v>90</v>
      </c>
      <c r="C6325" s="6" t="s">
        <v>251</v>
      </c>
      <c r="D6325" s="6">
        <v>1.11125</v>
      </c>
      <c r="E6325" s="6" t="s">
        <v>189</v>
      </c>
      <c r="F6325" s="6" t="s">
        <v>53</v>
      </c>
      <c r="G6325" s="7">
        <v>23642.19568206914</v>
      </c>
      <c r="H6325" s="6">
        <v>26272.38995169933</v>
      </c>
      <c r="I6325" s="6" t="s">
        <v>179</v>
      </c>
      <c r="J6325" s="15">
        <v>18.675</v>
      </c>
    </row>
    <row r="6326" spans="1:10">
      <c r="A6326" s="6" t="s">
        <v>148</v>
      </c>
      <c r="B6326" s="6" t="s">
        <v>44</v>
      </c>
      <c r="C6326" s="6" t="s">
        <v>252</v>
      </c>
      <c r="D6326" s="6">
        <v>5.93575</v>
      </c>
      <c r="E6326" s="6" t="s">
        <v>189</v>
      </c>
      <c r="F6326" s="6" t="s">
        <v>57</v>
      </c>
      <c r="G6326" s="7">
        <v>29402.0465874927</v>
      </c>
      <c r="H6326" s="6">
        <v>174523.1980317098</v>
      </c>
      <c r="I6326" s="6" t="s">
        <v>179</v>
      </c>
      <c r="J6326" s="15">
        <v>20</v>
      </c>
    </row>
    <row r="6327" spans="1:10">
      <c r="A6327" s="6" t="s">
        <v>148</v>
      </c>
      <c r="B6327" s="6" t="s">
        <v>90</v>
      </c>
      <c r="C6327" s="6" t="s">
        <v>253</v>
      </c>
      <c r="D6327" s="6">
        <v>0.305</v>
      </c>
      <c r="E6327" s="6" t="s">
        <v>189</v>
      </c>
      <c r="F6327" s="6" t="s">
        <v>53</v>
      </c>
      <c r="G6327" s="7">
        <v>32446.79249986879</v>
      </c>
      <c r="H6327" s="6">
        <v>9896.271712459982</v>
      </c>
      <c r="I6327" s="6" t="s">
        <v>179</v>
      </c>
      <c r="J6327" s="15">
        <v>16</v>
      </c>
    </row>
    <row r="6328" spans="1:10">
      <c r="A6328" s="6" t="s">
        <v>148</v>
      </c>
      <c r="B6328" s="6" t="s">
        <v>86</v>
      </c>
      <c r="C6328" s="6" t="s">
        <v>353</v>
      </c>
      <c r="D6328" s="6">
        <v>0.2055</v>
      </c>
      <c r="E6328" s="6" t="s">
        <v>189</v>
      </c>
      <c r="F6328" s="6" t="s">
        <v>62</v>
      </c>
      <c r="G6328" s="7">
        <v>81005.34654028571</v>
      </c>
      <c r="H6328" s="6">
        <v>16646.59871402871</v>
      </c>
      <c r="I6328" s="6" t="s">
        <v>179</v>
      </c>
      <c r="J6328" s="15">
        <v>102.3</v>
      </c>
    </row>
    <row r="6329" spans="1:10">
      <c r="A6329" s="6" t="s">
        <v>148</v>
      </c>
      <c r="B6329" s="6" t="s">
        <v>86</v>
      </c>
      <c r="C6329" s="6" t="s">
        <v>254</v>
      </c>
      <c r="D6329" s="6">
        <v>0.6831666666666667</v>
      </c>
      <c r="E6329" s="6" t="s">
        <v>189</v>
      </c>
      <c r="F6329" s="6" t="s">
        <v>51</v>
      </c>
      <c r="G6329" s="7">
        <v>51614.23657191667</v>
      </c>
      <c r="H6329" s="6">
        <v>35261.12595138107</v>
      </c>
      <c r="I6329" s="6" t="s">
        <v>180</v>
      </c>
      <c r="J6329" s="15">
        <v>8.750398691807874</v>
      </c>
    </row>
    <row r="6330" spans="1:10">
      <c r="A6330" s="6" t="s">
        <v>148</v>
      </c>
      <c r="B6330" s="6" t="s">
        <v>44</v>
      </c>
      <c r="C6330" s="6" t="s">
        <v>255</v>
      </c>
      <c r="D6330" s="6">
        <v>0.4369166666666667</v>
      </c>
      <c r="E6330" s="6" t="s">
        <v>189</v>
      </c>
      <c r="F6330" s="6" t="s">
        <v>51</v>
      </c>
      <c r="G6330" s="7">
        <v>32463.72189421727</v>
      </c>
      <c r="H6330" s="6">
        <v>14183.94115761509</v>
      </c>
      <c r="I6330" s="6" t="s">
        <v>179</v>
      </c>
      <c r="J6330" s="15">
        <v>13.29939623747558</v>
      </c>
    </row>
    <row r="6331" spans="1:10">
      <c r="A6331" s="6" t="s">
        <v>148</v>
      </c>
      <c r="B6331" s="6" t="s">
        <v>44</v>
      </c>
      <c r="C6331" s="6" t="s">
        <v>256</v>
      </c>
      <c r="D6331" s="6">
        <v>0.09683333333333333</v>
      </c>
      <c r="E6331" s="6" t="s">
        <v>189</v>
      </c>
      <c r="F6331" s="6" t="s">
        <v>57</v>
      </c>
      <c r="G6331" s="7">
        <v>42467.27080588165</v>
      </c>
      <c r="H6331" s="6">
        <v>4112.247389702873</v>
      </c>
      <c r="I6331" s="6" t="s">
        <v>180</v>
      </c>
      <c r="J6331" s="15">
        <v>25.26666666666667</v>
      </c>
    </row>
    <row r="6332" spans="1:10">
      <c r="A6332" s="6" t="s">
        <v>148</v>
      </c>
      <c r="B6332" s="6" t="s">
        <v>88</v>
      </c>
      <c r="C6332" s="6" t="s">
        <v>257</v>
      </c>
      <c r="D6332" s="6">
        <v>1.3925</v>
      </c>
      <c r="E6332" s="6" t="s">
        <v>189</v>
      </c>
      <c r="F6332" s="6" t="s">
        <v>52</v>
      </c>
      <c r="G6332" s="7">
        <v>44335.59781697809</v>
      </c>
      <c r="H6332" s="6">
        <v>61737.31996014199</v>
      </c>
      <c r="I6332" s="6" t="s">
        <v>180</v>
      </c>
      <c r="J6332" s="15">
        <v>23.08823420331521</v>
      </c>
    </row>
    <row r="6333" spans="1:10">
      <c r="A6333" s="6" t="s">
        <v>148</v>
      </c>
      <c r="B6333" s="6" t="s">
        <v>88</v>
      </c>
      <c r="C6333" s="6" t="s">
        <v>258</v>
      </c>
      <c r="D6333" s="6">
        <v>0.2108333333333333</v>
      </c>
      <c r="E6333" s="6" t="s">
        <v>189</v>
      </c>
      <c r="F6333" s="6" t="s">
        <v>52</v>
      </c>
      <c r="G6333" s="7">
        <v>44335.59781697809</v>
      </c>
      <c r="H6333" s="6">
        <v>9347.421873079546</v>
      </c>
      <c r="I6333" s="6" t="s">
        <v>180</v>
      </c>
      <c r="J6333" s="15">
        <v>23.08823420331521</v>
      </c>
    </row>
    <row r="6334" spans="1:10">
      <c r="A6334" s="6" t="s">
        <v>148</v>
      </c>
      <c r="B6334" s="6" t="s">
        <v>44</v>
      </c>
      <c r="C6334" s="6" t="s">
        <v>260</v>
      </c>
      <c r="D6334" s="6">
        <v>1009.998666666667</v>
      </c>
      <c r="E6334" s="6" t="s">
        <v>189</v>
      </c>
      <c r="F6334" s="6" t="s">
        <v>52</v>
      </c>
      <c r="G6334" s="7">
        <v>54560.56274648917</v>
      </c>
      <c r="H6334" s="6">
        <v>55106095.62653707</v>
      </c>
      <c r="I6334" s="6" t="s">
        <v>179</v>
      </c>
      <c r="J6334" s="15">
        <v>53</v>
      </c>
    </row>
    <row r="6335" spans="1:10">
      <c r="A6335" s="6" t="s">
        <v>148</v>
      </c>
      <c r="B6335" s="6" t="s">
        <v>90</v>
      </c>
      <c r="C6335" s="6" t="s">
        <v>261</v>
      </c>
      <c r="D6335" s="6">
        <v>0.2483333333333334</v>
      </c>
      <c r="E6335" s="6" t="s">
        <v>189</v>
      </c>
      <c r="F6335" s="6" t="s">
        <v>54</v>
      </c>
      <c r="G6335" s="7">
        <v>59278.32258850268</v>
      </c>
      <c r="H6335" s="6">
        <v>14720.7834428115</v>
      </c>
      <c r="I6335" s="6" t="s">
        <v>180</v>
      </c>
      <c r="J6335" s="15">
        <v>12.23373267578856</v>
      </c>
    </row>
    <row r="6336" spans="1:10">
      <c r="A6336" s="6" t="s">
        <v>148</v>
      </c>
      <c r="B6336" s="6" t="s">
        <v>44</v>
      </c>
      <c r="C6336" s="6" t="s">
        <v>262</v>
      </c>
      <c r="D6336" s="6">
        <v>11.034</v>
      </c>
      <c r="E6336" s="6" t="s">
        <v>189</v>
      </c>
      <c r="F6336" s="6" t="s">
        <v>51</v>
      </c>
      <c r="G6336" s="7">
        <v>21698.35157241016</v>
      </c>
      <c r="H6336" s="6">
        <v>239419.6112499737</v>
      </c>
      <c r="I6336" s="6" t="s">
        <v>179</v>
      </c>
      <c r="J6336" s="15">
        <v>22.96666666666667</v>
      </c>
    </row>
    <row r="6337" spans="1:10">
      <c r="A6337" s="6" t="s">
        <v>148</v>
      </c>
      <c r="B6337" s="6" t="s">
        <v>90</v>
      </c>
      <c r="C6337" s="6" t="s">
        <v>263</v>
      </c>
      <c r="D6337" s="6">
        <v>2.556416666666667</v>
      </c>
      <c r="E6337" s="6" t="s">
        <v>189</v>
      </c>
      <c r="F6337" s="6" t="s">
        <v>54</v>
      </c>
      <c r="G6337" s="7">
        <v>65896.61824279206</v>
      </c>
      <c r="H6337" s="6">
        <v>168459.2131528443</v>
      </c>
      <c r="I6337" s="6" t="s">
        <v>179</v>
      </c>
      <c r="J6337" s="15">
        <v>46.91666666666666</v>
      </c>
    </row>
    <row r="6338" spans="1:10">
      <c r="A6338" s="6" t="s">
        <v>148</v>
      </c>
      <c r="B6338" s="6" t="s">
        <v>90</v>
      </c>
      <c r="C6338" s="6" t="s">
        <v>264</v>
      </c>
      <c r="D6338" s="6">
        <v>9.555583333333335</v>
      </c>
      <c r="E6338" s="6" t="s">
        <v>189</v>
      </c>
      <c r="F6338" s="6" t="s">
        <v>54</v>
      </c>
      <c r="G6338" s="7">
        <v>89766.53686395117</v>
      </c>
      <c r="H6338" s="6">
        <v>857771.6235482242</v>
      </c>
      <c r="I6338" s="6" t="s">
        <v>180</v>
      </c>
      <c r="J6338" s="15">
        <v>22.00286209871706</v>
      </c>
    </row>
    <row r="6339" spans="1:10">
      <c r="A6339" s="6" t="s">
        <v>148</v>
      </c>
      <c r="B6339" s="6" t="s">
        <v>86</v>
      </c>
      <c r="C6339" s="6" t="s">
        <v>265</v>
      </c>
      <c r="D6339" s="6">
        <v>44.34658333333334</v>
      </c>
      <c r="E6339" s="6" t="s">
        <v>189</v>
      </c>
      <c r="F6339" s="6" t="s">
        <v>54</v>
      </c>
      <c r="G6339" s="7">
        <v>88690.92662794892</v>
      </c>
      <c r="H6339" s="6">
        <v>3933139.568616889</v>
      </c>
      <c r="I6339" s="6" t="s">
        <v>179</v>
      </c>
      <c r="J6339" s="15">
        <v>70.31666666666666</v>
      </c>
    </row>
    <row r="6340" spans="1:10">
      <c r="A6340" s="6" t="s">
        <v>148</v>
      </c>
      <c r="B6340" s="6" t="s">
        <v>44</v>
      </c>
      <c r="C6340" s="6" t="s">
        <v>266</v>
      </c>
      <c r="D6340" s="6">
        <v>10.87808333333333</v>
      </c>
      <c r="E6340" s="6" t="s">
        <v>189</v>
      </c>
      <c r="F6340" s="6" t="s">
        <v>57</v>
      </c>
      <c r="G6340" s="7">
        <v>50415.37206732162</v>
      </c>
      <c r="H6340" s="6">
        <v>548422.6186293301</v>
      </c>
      <c r="I6340" s="6" t="s">
        <v>179</v>
      </c>
      <c r="J6340" s="15">
        <v>51.35</v>
      </c>
    </row>
    <row r="6341" spans="1:10">
      <c r="A6341" s="6" t="s">
        <v>148</v>
      </c>
      <c r="B6341" s="6" t="s">
        <v>44</v>
      </c>
      <c r="C6341" s="6" t="s">
        <v>354</v>
      </c>
      <c r="D6341" s="6">
        <v>0.04533333333333334</v>
      </c>
      <c r="E6341" s="6" t="s">
        <v>189</v>
      </c>
      <c r="F6341" s="6" t="s">
        <v>51</v>
      </c>
      <c r="G6341" s="7">
        <v>34245.1170714133</v>
      </c>
      <c r="H6341" s="6">
        <v>1552.445307237403</v>
      </c>
      <c r="I6341" s="6" t="s">
        <v>180</v>
      </c>
      <c r="J6341" s="15">
        <v>5.925840681598826</v>
      </c>
    </row>
    <row r="6342" spans="1:10">
      <c r="A6342" s="6" t="s">
        <v>148</v>
      </c>
      <c r="B6342" s="6" t="s">
        <v>86</v>
      </c>
      <c r="C6342" s="6" t="s">
        <v>267</v>
      </c>
      <c r="D6342" s="6">
        <v>293.1785</v>
      </c>
      <c r="E6342" s="6" t="s">
        <v>189</v>
      </c>
      <c r="F6342" s="6" t="s">
        <v>53</v>
      </c>
      <c r="G6342" s="7">
        <v>29372.68127915858</v>
      </c>
      <c r="H6342" s="6">
        <v>8611438.638401793</v>
      </c>
      <c r="I6342" s="6" t="s">
        <v>179</v>
      </c>
      <c r="J6342" s="15">
        <v>8</v>
      </c>
    </row>
    <row r="6343" spans="1:10">
      <c r="A6343" s="6" t="s">
        <v>148</v>
      </c>
      <c r="B6343" s="6" t="s">
        <v>44</v>
      </c>
      <c r="C6343" s="6" t="s">
        <v>268</v>
      </c>
      <c r="D6343" s="6">
        <v>0.1875833333333334</v>
      </c>
      <c r="E6343" s="6" t="s">
        <v>189</v>
      </c>
      <c r="F6343" s="6" t="s">
        <v>51</v>
      </c>
      <c r="G6343" s="7">
        <v>19920.3047306236</v>
      </c>
      <c r="H6343" s="6">
        <v>3736.717162386145</v>
      </c>
      <c r="I6343" s="6" t="s">
        <v>179</v>
      </c>
      <c r="J6343" s="15">
        <v>6.233478833728606</v>
      </c>
    </row>
    <row r="6344" spans="1:10">
      <c r="A6344" s="6" t="s">
        <v>148</v>
      </c>
      <c r="B6344" s="6" t="s">
        <v>88</v>
      </c>
      <c r="C6344" s="6" t="s">
        <v>269</v>
      </c>
      <c r="D6344" s="6">
        <v>0.8165833333333333</v>
      </c>
      <c r="E6344" s="6" t="s">
        <v>189</v>
      </c>
      <c r="F6344" s="6" t="s">
        <v>52</v>
      </c>
      <c r="G6344" s="7">
        <v>44335.59781697809</v>
      </c>
      <c r="H6344" s="6">
        <v>36203.71025071402</v>
      </c>
      <c r="I6344" s="6" t="s">
        <v>180</v>
      </c>
      <c r="J6344" s="15">
        <v>23.08823420331521</v>
      </c>
    </row>
    <row r="6345" spans="1:10">
      <c r="A6345" s="6" t="s">
        <v>148</v>
      </c>
      <c r="B6345" s="6" t="s">
        <v>86</v>
      </c>
      <c r="C6345" s="6" t="s">
        <v>356</v>
      </c>
      <c r="D6345" s="6">
        <v>28.51858333333334</v>
      </c>
      <c r="E6345" s="6" t="s">
        <v>189</v>
      </c>
      <c r="F6345" s="6" t="s">
        <v>52</v>
      </c>
      <c r="G6345" s="7">
        <v>55062.04930703079</v>
      </c>
      <c r="H6345" s="6">
        <v>1570291.641666667</v>
      </c>
      <c r="I6345" s="6" t="s">
        <v>179</v>
      </c>
      <c r="J6345" s="15">
        <v>48.93333333333333</v>
      </c>
    </row>
    <row r="6346" spans="1:10">
      <c r="A6346" s="6" t="s">
        <v>148</v>
      </c>
      <c r="B6346" s="6" t="s">
        <v>86</v>
      </c>
      <c r="C6346" s="6" t="s">
        <v>270</v>
      </c>
      <c r="D6346" s="6">
        <v>5.721</v>
      </c>
      <c r="E6346" s="6" t="s">
        <v>189</v>
      </c>
      <c r="F6346" s="6" t="s">
        <v>59</v>
      </c>
      <c r="G6346" s="7">
        <v>48832.25327446419</v>
      </c>
      <c r="H6346" s="6">
        <v>279369.3209832096</v>
      </c>
      <c r="I6346" s="6" t="s">
        <v>179</v>
      </c>
      <c r="J6346" s="15">
        <v>27.28333333333333</v>
      </c>
    </row>
    <row r="6347" spans="1:10">
      <c r="A6347" s="6" t="s">
        <v>148</v>
      </c>
      <c r="B6347" s="6" t="s">
        <v>88</v>
      </c>
      <c r="C6347" s="6" t="s">
        <v>271</v>
      </c>
      <c r="D6347" s="6">
        <v>67.23308333333333</v>
      </c>
      <c r="E6347" s="6" t="s">
        <v>189</v>
      </c>
      <c r="F6347" s="6" t="s">
        <v>54</v>
      </c>
      <c r="G6347" s="7">
        <v>41071.74894263604</v>
      </c>
      <c r="H6347" s="6">
        <v>2761380.319305994</v>
      </c>
      <c r="I6347" s="6" t="s">
        <v>180</v>
      </c>
      <c r="J6347" s="15">
        <v>20.89086954089749</v>
      </c>
    </row>
    <row r="6348" spans="1:10">
      <c r="A6348" s="6" t="s">
        <v>148</v>
      </c>
      <c r="B6348" s="6" t="s">
        <v>44</v>
      </c>
      <c r="C6348" s="6" t="s">
        <v>272</v>
      </c>
      <c r="D6348" s="6">
        <v>4.861666666666666</v>
      </c>
      <c r="E6348" s="6" t="s">
        <v>189</v>
      </c>
      <c r="F6348" s="6" t="s">
        <v>51</v>
      </c>
      <c r="G6348" s="7">
        <v>25556.23235325186</v>
      </c>
      <c r="H6348" s="6">
        <v>124245.8829573928</v>
      </c>
      <c r="I6348" s="6" t="s">
        <v>179</v>
      </c>
      <c r="J6348" s="15">
        <v>19</v>
      </c>
    </row>
    <row r="6349" spans="1:10">
      <c r="A6349" s="6" t="s">
        <v>148</v>
      </c>
      <c r="B6349" s="6" t="s">
        <v>44</v>
      </c>
      <c r="C6349" s="6" t="s">
        <v>273</v>
      </c>
      <c r="D6349" s="6">
        <v>23.57675</v>
      </c>
      <c r="E6349" s="6" t="s">
        <v>189</v>
      </c>
      <c r="F6349" s="6" t="s">
        <v>51</v>
      </c>
      <c r="G6349" s="7">
        <v>40826.03765706107</v>
      </c>
      <c r="H6349" s="6">
        <v>962545.2833311146</v>
      </c>
      <c r="I6349" s="6" t="s">
        <v>179</v>
      </c>
      <c r="J6349" s="15">
        <v>26.31666666666667</v>
      </c>
    </row>
    <row r="6350" spans="1:10">
      <c r="A6350" s="6" t="s">
        <v>148</v>
      </c>
      <c r="B6350" s="6" t="s">
        <v>90</v>
      </c>
      <c r="C6350" s="6" t="s">
        <v>274</v>
      </c>
      <c r="D6350" s="6">
        <v>2.322916666666667</v>
      </c>
      <c r="E6350" s="6" t="s">
        <v>189</v>
      </c>
      <c r="F6350" s="6" t="s">
        <v>56</v>
      </c>
      <c r="G6350" s="7">
        <v>58346.71964656267</v>
      </c>
      <c r="H6350" s="6">
        <v>135534.5675123279</v>
      </c>
      <c r="I6350" s="6" t="s">
        <v>180</v>
      </c>
      <c r="J6350" s="15">
        <v>11.93522553370507</v>
      </c>
    </row>
    <row r="6351" spans="1:10">
      <c r="A6351" s="6" t="s">
        <v>148</v>
      </c>
      <c r="B6351" s="6" t="s">
        <v>90</v>
      </c>
      <c r="C6351" s="6" t="s">
        <v>275</v>
      </c>
      <c r="D6351" s="6">
        <v>0.4044166666666666</v>
      </c>
      <c r="E6351" s="6" t="s">
        <v>189</v>
      </c>
      <c r="F6351" s="6" t="s">
        <v>51</v>
      </c>
      <c r="G6351" s="7">
        <v>54453.54162987976</v>
      </c>
      <c r="H6351" s="6">
        <v>22021.91979415054</v>
      </c>
      <c r="I6351" s="6" t="s">
        <v>180</v>
      </c>
      <c r="J6351" s="15">
        <v>10.68776119985255</v>
      </c>
    </row>
    <row r="6352" spans="1:10">
      <c r="A6352" s="6" t="s">
        <v>148</v>
      </c>
      <c r="B6352" s="6" t="s">
        <v>44</v>
      </c>
      <c r="C6352" s="6" t="s">
        <v>276</v>
      </c>
      <c r="D6352" s="6">
        <v>7.15925</v>
      </c>
      <c r="E6352" s="6" t="s">
        <v>189</v>
      </c>
      <c r="F6352" s="6" t="s">
        <v>51</v>
      </c>
      <c r="G6352" s="7">
        <v>39632.99974164585</v>
      </c>
      <c r="H6352" s="6">
        <v>283742.553400378</v>
      </c>
      <c r="I6352" s="6" t="s">
        <v>179</v>
      </c>
      <c r="J6352" s="15">
        <v>46</v>
      </c>
    </row>
    <row r="6353" spans="1:10">
      <c r="A6353" s="6" t="s">
        <v>148</v>
      </c>
      <c r="B6353" s="6" t="s">
        <v>44</v>
      </c>
      <c r="C6353" s="6" t="s">
        <v>277</v>
      </c>
      <c r="D6353" s="6">
        <v>0.1318333333333333</v>
      </c>
      <c r="E6353" s="6" t="s">
        <v>189</v>
      </c>
      <c r="F6353" s="6" t="s">
        <v>57</v>
      </c>
      <c r="G6353" s="7">
        <v>40351.08108770724</v>
      </c>
      <c r="H6353" s="6">
        <v>5319.617523396071</v>
      </c>
      <c r="I6353" s="6" t="s">
        <v>180</v>
      </c>
      <c r="J6353" s="15">
        <v>8.187821936491906</v>
      </c>
    </row>
    <row r="6354" spans="1:10">
      <c r="A6354" s="6" t="s">
        <v>148</v>
      </c>
      <c r="B6354" s="6" t="s">
        <v>92</v>
      </c>
      <c r="C6354" s="6" t="s">
        <v>278</v>
      </c>
      <c r="D6354" s="6">
        <v>217.6859166666667</v>
      </c>
      <c r="E6354" s="6" t="s">
        <v>189</v>
      </c>
      <c r="F6354" s="6" t="s">
        <v>55</v>
      </c>
      <c r="G6354" s="7">
        <v>30336.77880022909</v>
      </c>
      <c r="H6354" s="6">
        <v>6603889.50184177</v>
      </c>
      <c r="I6354" s="6" t="s">
        <v>179</v>
      </c>
      <c r="J6354" s="15">
        <v>14</v>
      </c>
    </row>
    <row r="6355" spans="1:10">
      <c r="A6355" s="6" t="s">
        <v>148</v>
      </c>
      <c r="B6355" s="6" t="s">
        <v>88</v>
      </c>
      <c r="C6355" s="6" t="s">
        <v>280</v>
      </c>
      <c r="D6355" s="6">
        <v>40.50925</v>
      </c>
      <c r="E6355" s="6" t="s">
        <v>189</v>
      </c>
      <c r="F6355" s="6" t="s">
        <v>55</v>
      </c>
      <c r="G6355" s="7">
        <v>24869.46250635056</v>
      </c>
      <c r="H6355" s="6">
        <v>1007443.274035381</v>
      </c>
      <c r="I6355" s="6" t="s">
        <v>180</v>
      </c>
      <c r="J6355" s="15">
        <v>9.982787385089743</v>
      </c>
    </row>
    <row r="6356" spans="1:10">
      <c r="A6356" s="6" t="s">
        <v>148</v>
      </c>
      <c r="B6356" s="6" t="s">
        <v>92</v>
      </c>
      <c r="C6356" s="6" t="s">
        <v>281</v>
      </c>
      <c r="D6356" s="6">
        <v>272.89025</v>
      </c>
      <c r="E6356" s="6" t="s">
        <v>189</v>
      </c>
      <c r="F6356" s="6" t="s">
        <v>57</v>
      </c>
      <c r="G6356" s="7">
        <v>47725.16793448776</v>
      </c>
      <c r="H6356" s="6">
        <v>13023733.00893435</v>
      </c>
      <c r="I6356" s="6" t="s">
        <v>179</v>
      </c>
      <c r="J6356" s="15">
        <v>36</v>
      </c>
    </row>
    <row r="6357" spans="1:10">
      <c r="A6357" s="6" t="s">
        <v>148</v>
      </c>
      <c r="B6357" s="6" t="s">
        <v>90</v>
      </c>
      <c r="C6357" s="6" t="s">
        <v>282</v>
      </c>
      <c r="D6357" s="6">
        <v>0.1311666666666667</v>
      </c>
      <c r="E6357" s="6" t="s">
        <v>189</v>
      </c>
      <c r="F6357" s="6" t="s">
        <v>56</v>
      </c>
      <c r="G6357" s="7">
        <v>55102.56172936118</v>
      </c>
      <c r="H6357" s="6">
        <v>7227.619346834541</v>
      </c>
      <c r="I6357" s="6" t="s">
        <v>180</v>
      </c>
      <c r="J6357" s="15">
        <v>10.89572225957987</v>
      </c>
    </row>
    <row r="6358" spans="1:10">
      <c r="A6358" s="6" t="s">
        <v>148</v>
      </c>
      <c r="B6358" s="6" t="s">
        <v>90</v>
      </c>
      <c r="C6358" s="6" t="s">
        <v>283</v>
      </c>
      <c r="D6358" s="6">
        <v>10.33933333333333</v>
      </c>
      <c r="E6358" s="6" t="s">
        <v>189</v>
      </c>
      <c r="F6358" s="6" t="s">
        <v>51</v>
      </c>
      <c r="G6358" s="7">
        <v>41673.53339700109</v>
      </c>
      <c r="H6358" s="6">
        <v>430876.5529693933</v>
      </c>
      <c r="I6358" s="6" t="s">
        <v>179</v>
      </c>
      <c r="J6358" s="15">
        <v>26.5</v>
      </c>
    </row>
    <row r="6359" spans="1:10">
      <c r="A6359" s="6" t="s">
        <v>148</v>
      </c>
      <c r="B6359" s="6" t="s">
        <v>92</v>
      </c>
      <c r="C6359" s="6" t="s">
        <v>284</v>
      </c>
      <c r="D6359" s="6">
        <v>22.50525</v>
      </c>
      <c r="E6359" s="6" t="s">
        <v>189</v>
      </c>
      <c r="F6359" s="6" t="s">
        <v>55</v>
      </c>
      <c r="G6359" s="7">
        <v>36138.38846146646</v>
      </c>
      <c r="H6359" s="6">
        <v>813303.466922418</v>
      </c>
      <c r="I6359" s="6" t="s">
        <v>179</v>
      </c>
      <c r="J6359" s="15">
        <v>40.2</v>
      </c>
    </row>
    <row r="6360" spans="1:10">
      <c r="A6360" s="6" t="s">
        <v>148</v>
      </c>
      <c r="B6360" s="6" t="s">
        <v>92</v>
      </c>
      <c r="C6360" s="6" t="s">
        <v>286</v>
      </c>
      <c r="D6360" s="6">
        <v>3.7315</v>
      </c>
      <c r="E6360" s="6" t="s">
        <v>189</v>
      </c>
      <c r="F6360" s="6" t="s">
        <v>59</v>
      </c>
      <c r="G6360" s="7">
        <v>51919.2206470298</v>
      </c>
      <c r="H6360" s="6">
        <v>193736.5718443917</v>
      </c>
      <c r="I6360" s="6" t="s">
        <v>180</v>
      </c>
      <c r="J6360" s="15">
        <v>12.67933971949008</v>
      </c>
    </row>
    <row r="6361" spans="1:10">
      <c r="A6361" s="6" t="s">
        <v>148</v>
      </c>
      <c r="B6361" s="6" t="s">
        <v>90</v>
      </c>
      <c r="C6361" s="6" t="s">
        <v>287</v>
      </c>
      <c r="D6361" s="6">
        <v>0.09183333333333334</v>
      </c>
      <c r="E6361" s="6" t="s">
        <v>189</v>
      </c>
      <c r="F6361" s="6" t="s">
        <v>53</v>
      </c>
      <c r="G6361" s="7">
        <v>25443.86066146324</v>
      </c>
      <c r="H6361" s="6">
        <v>2336.594537411041</v>
      </c>
      <c r="I6361" s="6" t="s">
        <v>179</v>
      </c>
      <c r="J6361" s="15">
        <v>16</v>
      </c>
    </row>
    <row r="6362" spans="1:10">
      <c r="A6362" s="6" t="s">
        <v>148</v>
      </c>
      <c r="B6362" s="6" t="s">
        <v>90</v>
      </c>
      <c r="C6362" s="6" t="s">
        <v>376</v>
      </c>
      <c r="D6362" s="6">
        <v>0.05541666666666667</v>
      </c>
      <c r="E6362" s="6" t="s">
        <v>189</v>
      </c>
      <c r="F6362" s="6" t="s">
        <v>54</v>
      </c>
      <c r="G6362" s="7">
        <v>76892.37004653887</v>
      </c>
      <c r="H6362" s="6">
        <v>4261.118840079029</v>
      </c>
      <c r="I6362" s="6" t="s">
        <v>180</v>
      </c>
      <c r="J6362" s="15">
        <v>17.87768111188072</v>
      </c>
    </row>
    <row r="6363" spans="1:10">
      <c r="A6363" s="6" t="s">
        <v>148</v>
      </c>
      <c r="B6363" s="6" t="s">
        <v>44</v>
      </c>
      <c r="C6363" s="6" t="s">
        <v>288</v>
      </c>
      <c r="D6363" s="6">
        <v>0.0915</v>
      </c>
      <c r="E6363" s="6" t="s">
        <v>189</v>
      </c>
      <c r="F6363" s="6" t="s">
        <v>58</v>
      </c>
      <c r="G6363" s="7">
        <v>43931.19520815281</v>
      </c>
      <c r="H6363" s="6">
        <v>4019.704361545982</v>
      </c>
      <c r="I6363" s="6" t="s">
        <v>180</v>
      </c>
      <c r="J6363" s="15">
        <v>17</v>
      </c>
    </row>
    <row r="6364" spans="1:10">
      <c r="A6364" s="6" t="s">
        <v>148</v>
      </c>
      <c r="B6364" s="6" t="s">
        <v>44</v>
      </c>
      <c r="C6364" s="6" t="s">
        <v>370</v>
      </c>
      <c r="D6364" s="6">
        <v>0.08866666666666667</v>
      </c>
      <c r="E6364" s="6" t="s">
        <v>189</v>
      </c>
      <c r="F6364" s="6" t="s">
        <v>55</v>
      </c>
      <c r="G6364" s="7">
        <v>52208.58507995072</v>
      </c>
      <c r="H6364" s="6">
        <v>4629.161210422297</v>
      </c>
      <c r="I6364" s="6" t="s">
        <v>180</v>
      </c>
      <c r="J6364" s="15">
        <v>12.58048649997455</v>
      </c>
    </row>
    <row r="6365" spans="1:10">
      <c r="A6365" s="6" t="s">
        <v>148</v>
      </c>
      <c r="B6365" s="6" t="s">
        <v>86</v>
      </c>
      <c r="C6365" s="6" t="s">
        <v>358</v>
      </c>
      <c r="D6365" s="6">
        <v>17.17558333333333</v>
      </c>
      <c r="E6365" s="6" t="s">
        <v>189</v>
      </c>
      <c r="F6365" s="6" t="s">
        <v>52</v>
      </c>
      <c r="G6365" s="7">
        <v>54855.48768358183</v>
      </c>
      <c r="H6365" s="6">
        <v>942174.9999999999</v>
      </c>
      <c r="I6365" s="6" t="s">
        <v>179</v>
      </c>
      <c r="J6365" s="15">
        <v>46.81666666666667</v>
      </c>
    </row>
    <row r="6366" spans="1:10">
      <c r="A6366" s="6" t="s">
        <v>148</v>
      </c>
      <c r="B6366" s="6" t="s">
        <v>90</v>
      </c>
      <c r="C6366" s="6" t="s">
        <v>359</v>
      </c>
      <c r="D6366" s="6">
        <v>0.1969166666666667</v>
      </c>
      <c r="E6366" s="6" t="s">
        <v>189</v>
      </c>
      <c r="F6366" s="6" t="s">
        <v>60</v>
      </c>
      <c r="G6366" s="7">
        <v>44402.32112778664</v>
      </c>
      <c r="H6366" s="6">
        <v>8743.557068746653</v>
      </c>
      <c r="I6366" s="6" t="s">
        <v>180</v>
      </c>
      <c r="J6366" s="15">
        <v>7.467117542069946</v>
      </c>
    </row>
    <row r="6367" spans="1:10">
      <c r="A6367" s="6" t="s">
        <v>148</v>
      </c>
      <c r="B6367" s="6" t="s">
        <v>44</v>
      </c>
      <c r="C6367" s="6" t="s">
        <v>289</v>
      </c>
      <c r="D6367" s="6">
        <v>1213.147416666667</v>
      </c>
      <c r="E6367" s="6" t="s">
        <v>189</v>
      </c>
      <c r="F6367" s="6" t="s">
        <v>52</v>
      </c>
      <c r="G6367" s="7">
        <v>53667.82982646869</v>
      </c>
      <c r="H6367" s="6">
        <v>65106989.11208677</v>
      </c>
      <c r="I6367" s="6" t="s">
        <v>179</v>
      </c>
      <c r="J6367" s="15">
        <v>70</v>
      </c>
    </row>
    <row r="6368" spans="1:10">
      <c r="A6368" s="6" t="s">
        <v>148</v>
      </c>
      <c r="B6368" s="6" t="s">
        <v>86</v>
      </c>
      <c r="C6368" s="6" t="s">
        <v>290</v>
      </c>
      <c r="D6368" s="6">
        <v>0.01358333333333333</v>
      </c>
      <c r="E6368" s="6" t="s">
        <v>189</v>
      </c>
      <c r="F6368" s="6" t="s">
        <v>53</v>
      </c>
      <c r="G6368" s="7">
        <v>34427.13805641644</v>
      </c>
      <c r="H6368" s="6">
        <v>467.63529193299</v>
      </c>
      <c r="I6368" s="6" t="s">
        <v>180</v>
      </c>
      <c r="J6368" s="15">
        <v>3.585431064468892</v>
      </c>
    </row>
    <row r="6369" spans="1:10">
      <c r="A6369" s="6" t="s">
        <v>148</v>
      </c>
      <c r="B6369" s="6" t="s">
        <v>44</v>
      </c>
      <c r="C6369" s="6" t="s">
        <v>291</v>
      </c>
      <c r="D6369" s="6">
        <v>0.005750000000000001</v>
      </c>
      <c r="E6369" s="6" t="s">
        <v>189</v>
      </c>
      <c r="F6369" s="6" t="s">
        <v>51</v>
      </c>
      <c r="G6369" s="7">
        <v>35329.77696152869</v>
      </c>
      <c r="H6369" s="6">
        <v>203.14621752879</v>
      </c>
      <c r="I6369" s="6" t="s">
        <v>180</v>
      </c>
      <c r="J6369" s="15">
        <v>6.327657713737932</v>
      </c>
    </row>
    <row r="6370" spans="1:10">
      <c r="A6370" s="6" t="s">
        <v>148</v>
      </c>
      <c r="B6370" s="6" t="s">
        <v>88</v>
      </c>
      <c r="C6370" s="6" t="s">
        <v>292</v>
      </c>
      <c r="D6370" s="6">
        <v>5.202500000000001</v>
      </c>
      <c r="E6370" s="6" t="s">
        <v>189</v>
      </c>
      <c r="F6370" s="6" t="s">
        <v>54</v>
      </c>
      <c r="G6370" s="7">
        <v>57587.50593880366</v>
      </c>
      <c r="H6370" s="6">
        <v>299598.9996466261</v>
      </c>
      <c r="I6370" s="6" t="s">
        <v>180</v>
      </c>
      <c r="J6370" s="15">
        <v>32.00999367735827</v>
      </c>
    </row>
    <row r="6371" spans="1:10">
      <c r="A6371" s="6" t="s">
        <v>148</v>
      </c>
      <c r="B6371" s="6" t="s">
        <v>44</v>
      </c>
      <c r="C6371" s="6" t="s">
        <v>293</v>
      </c>
      <c r="D6371" s="6">
        <v>82.14641666666667</v>
      </c>
      <c r="E6371" s="6" t="s">
        <v>189</v>
      </c>
      <c r="F6371" s="6" t="s">
        <v>53</v>
      </c>
      <c r="G6371" s="7">
        <v>36013.86577983866</v>
      </c>
      <c r="H6371" s="6">
        <v>2958410.024128035</v>
      </c>
      <c r="I6371" s="6" t="s">
        <v>179</v>
      </c>
      <c r="J6371" s="15">
        <v>16</v>
      </c>
    </row>
    <row r="6372" spans="1:10">
      <c r="A6372" s="6" t="s">
        <v>148</v>
      </c>
      <c r="B6372" s="6" t="s">
        <v>44</v>
      </c>
      <c r="C6372" s="6" t="s">
        <v>371</v>
      </c>
      <c r="D6372" s="6">
        <v>0.22225</v>
      </c>
      <c r="E6372" s="6" t="s">
        <v>189</v>
      </c>
      <c r="F6372" s="6" t="s">
        <v>55</v>
      </c>
      <c r="G6372" s="7">
        <v>45569.36787795558</v>
      </c>
      <c r="H6372" s="6">
        <v>10127.79201087563</v>
      </c>
      <c r="I6372" s="6" t="s">
        <v>180</v>
      </c>
      <c r="J6372" s="15">
        <v>10.12095925448125</v>
      </c>
    </row>
    <row r="6373" spans="1:10">
      <c r="A6373" s="6" t="s">
        <v>148</v>
      </c>
      <c r="B6373" s="6" t="s">
        <v>90</v>
      </c>
      <c r="C6373" s="6" t="s">
        <v>294</v>
      </c>
      <c r="D6373" s="6">
        <v>0.1403333333333333</v>
      </c>
      <c r="E6373" s="6" t="s">
        <v>189</v>
      </c>
      <c r="F6373" s="6" t="s">
        <v>54</v>
      </c>
      <c r="G6373" s="7">
        <v>73336.4313640656</v>
      </c>
      <c r="H6373" s="6">
        <v>10291.54586809054</v>
      </c>
      <c r="I6373" s="6" t="s">
        <v>180</v>
      </c>
      <c r="J6373" s="15">
        <v>16.73827606522132</v>
      </c>
    </row>
    <row r="6374" spans="1:10">
      <c r="A6374" s="6" t="s">
        <v>148</v>
      </c>
      <c r="B6374" s="6" t="s">
        <v>90</v>
      </c>
      <c r="C6374" s="6" t="s">
        <v>295</v>
      </c>
      <c r="D6374" s="6">
        <v>14.14858333333333</v>
      </c>
      <c r="E6374" s="6" t="s">
        <v>189</v>
      </c>
      <c r="F6374" s="6" t="s">
        <v>53</v>
      </c>
      <c r="G6374" s="7">
        <v>29529.16394109224</v>
      </c>
      <c r="H6374" s="6">
        <v>417795.8367842052</v>
      </c>
      <c r="I6374" s="6" t="s">
        <v>179</v>
      </c>
      <c r="J6374" s="15">
        <v>15</v>
      </c>
    </row>
    <row r="6375" spans="1:10">
      <c r="A6375" s="6" t="s">
        <v>148</v>
      </c>
      <c r="B6375" s="6" t="s">
        <v>90</v>
      </c>
      <c r="C6375" s="6" t="s">
        <v>296</v>
      </c>
      <c r="D6375" s="6">
        <v>10.2925</v>
      </c>
      <c r="E6375" s="6" t="s">
        <v>189</v>
      </c>
      <c r="F6375" s="6" t="s">
        <v>61</v>
      </c>
      <c r="G6375" s="7">
        <v>58003.92647416519</v>
      </c>
      <c r="H6375" s="6">
        <v>597005.4132353453</v>
      </c>
      <c r="I6375" s="6" t="s">
        <v>179</v>
      </c>
      <c r="J6375" s="15">
        <v>13</v>
      </c>
    </row>
    <row r="6376" spans="1:10">
      <c r="A6376" s="6" t="s">
        <v>148</v>
      </c>
      <c r="B6376" s="6" t="s">
        <v>88</v>
      </c>
      <c r="C6376" s="6" t="s">
        <v>297</v>
      </c>
      <c r="D6376" s="6">
        <v>0.3114166666666667</v>
      </c>
      <c r="E6376" s="6" t="s">
        <v>189</v>
      </c>
      <c r="F6376" s="6" t="s">
        <v>52</v>
      </c>
      <c r="G6376" s="7">
        <v>44335.59781697809</v>
      </c>
      <c r="H6376" s="6">
        <v>13806.84408683726</v>
      </c>
      <c r="I6376" s="6" t="s">
        <v>180</v>
      </c>
      <c r="J6376" s="15">
        <v>23.08823420331521</v>
      </c>
    </row>
    <row r="6377" spans="1:10">
      <c r="A6377" s="6" t="s">
        <v>148</v>
      </c>
      <c r="B6377" s="6" t="s">
        <v>44</v>
      </c>
      <c r="C6377" s="6" t="s">
        <v>298</v>
      </c>
      <c r="D6377" s="6">
        <v>4.955333333333333</v>
      </c>
      <c r="E6377" s="6" t="s">
        <v>189</v>
      </c>
      <c r="F6377" s="6" t="s">
        <v>56</v>
      </c>
      <c r="G6377" s="7">
        <v>36500.00929252619</v>
      </c>
      <c r="H6377" s="6">
        <v>180869.7127142314</v>
      </c>
      <c r="I6377" s="6" t="s">
        <v>179</v>
      </c>
      <c r="J6377" s="15">
        <v>21</v>
      </c>
    </row>
    <row r="6378" spans="1:10">
      <c r="A6378" s="6" t="s">
        <v>148</v>
      </c>
      <c r="B6378" s="6" t="s">
        <v>90</v>
      </c>
      <c r="C6378" s="6" t="s">
        <v>299</v>
      </c>
      <c r="D6378" s="6">
        <v>0.1858333333333333</v>
      </c>
      <c r="E6378" s="6" t="s">
        <v>189</v>
      </c>
      <c r="F6378" s="6" t="s">
        <v>53</v>
      </c>
      <c r="G6378" s="7">
        <v>25973.79370043561</v>
      </c>
      <c r="H6378" s="6">
        <v>4826.796662664284</v>
      </c>
      <c r="I6378" s="6" t="s">
        <v>179</v>
      </c>
      <c r="J6378" s="15">
        <v>14</v>
      </c>
    </row>
    <row r="6379" spans="1:10">
      <c r="A6379" s="6" t="s">
        <v>148</v>
      </c>
      <c r="B6379" s="6" t="s">
        <v>86</v>
      </c>
      <c r="C6379" s="6" t="s">
        <v>300</v>
      </c>
      <c r="D6379" s="6">
        <v>56.0885</v>
      </c>
      <c r="E6379" s="6" t="s">
        <v>189</v>
      </c>
      <c r="F6379" s="6" t="s">
        <v>52</v>
      </c>
      <c r="G6379" s="7">
        <v>60613.11558221976</v>
      </c>
      <c r="H6379" s="6">
        <v>3399698.733333333</v>
      </c>
      <c r="I6379" s="6" t="s">
        <v>179</v>
      </c>
      <c r="J6379" s="15">
        <v>39.13333333333333</v>
      </c>
    </row>
    <row r="6380" spans="1:10">
      <c r="A6380" s="6" t="s">
        <v>148</v>
      </c>
      <c r="B6380" s="6" t="s">
        <v>44</v>
      </c>
      <c r="C6380" s="6" t="s">
        <v>301</v>
      </c>
      <c r="D6380" s="6">
        <v>1.174333333333333</v>
      </c>
      <c r="E6380" s="6" t="s">
        <v>189</v>
      </c>
      <c r="F6380" s="6" t="s">
        <v>59</v>
      </c>
      <c r="G6380" s="7">
        <v>69390.77724405598</v>
      </c>
      <c r="H6380" s="6">
        <v>81487.90274360307</v>
      </c>
      <c r="I6380" s="6" t="s">
        <v>179</v>
      </c>
      <c r="J6380" s="15">
        <v>26.65</v>
      </c>
    </row>
    <row r="6381" spans="1:10">
      <c r="A6381" s="6" t="s">
        <v>148</v>
      </c>
      <c r="B6381" s="6" t="s">
        <v>88</v>
      </c>
      <c r="C6381" s="6" t="s">
        <v>302</v>
      </c>
      <c r="D6381" s="6">
        <v>670.4321666666666</v>
      </c>
      <c r="E6381" s="6" t="s">
        <v>189</v>
      </c>
      <c r="F6381" s="6" t="s">
        <v>52</v>
      </c>
      <c r="G6381" s="7">
        <v>33240.74338740388</v>
      </c>
      <c r="H6381" s="6">
        <v>22285663.61082786</v>
      </c>
      <c r="I6381" s="6" t="s">
        <v>179</v>
      </c>
      <c r="J6381" s="15">
        <v>34</v>
      </c>
    </row>
    <row r="6382" spans="1:10">
      <c r="A6382" s="6" t="s">
        <v>148</v>
      </c>
      <c r="B6382" s="6" t="s">
        <v>90</v>
      </c>
      <c r="C6382" s="6" t="s">
        <v>303</v>
      </c>
      <c r="D6382" s="6">
        <v>0.1113333333333333</v>
      </c>
      <c r="E6382" s="6" t="s">
        <v>189</v>
      </c>
      <c r="F6382" s="6" t="s">
        <v>53</v>
      </c>
      <c r="G6382" s="7">
        <v>31792.00581425614</v>
      </c>
      <c r="H6382" s="6">
        <v>3539.509980653851</v>
      </c>
      <c r="I6382" s="6" t="s">
        <v>180</v>
      </c>
      <c r="J6382" s="15">
        <v>14</v>
      </c>
    </row>
    <row r="6383" spans="1:10">
      <c r="A6383" s="6" t="s">
        <v>148</v>
      </c>
      <c r="B6383" s="6" t="s">
        <v>44</v>
      </c>
      <c r="C6383" s="6" t="s">
        <v>304</v>
      </c>
      <c r="D6383" s="6">
        <v>9.856666666666667</v>
      </c>
      <c r="E6383" s="6" t="s">
        <v>189</v>
      </c>
      <c r="F6383" s="6" t="s">
        <v>52</v>
      </c>
      <c r="G6383" s="7">
        <v>50330.3901944117</v>
      </c>
      <c r="H6383" s="6">
        <v>496089.8793495847</v>
      </c>
      <c r="I6383" s="6" t="s">
        <v>179</v>
      </c>
      <c r="J6383" s="15">
        <v>49.75</v>
      </c>
    </row>
    <row r="6384" spans="1:10">
      <c r="A6384" s="6" t="s">
        <v>148</v>
      </c>
      <c r="B6384" s="6" t="s">
        <v>86</v>
      </c>
      <c r="C6384" s="6" t="s">
        <v>361</v>
      </c>
      <c r="D6384" s="6">
        <v>35.163</v>
      </c>
      <c r="E6384" s="6" t="s">
        <v>189</v>
      </c>
      <c r="F6384" s="6" t="s">
        <v>52</v>
      </c>
      <c r="G6384" s="7">
        <v>58941.63635603187</v>
      </c>
      <c r="H6384" s="6">
        <v>2072564.759187149</v>
      </c>
      <c r="I6384" s="6" t="s">
        <v>179</v>
      </c>
      <c r="J6384" s="15">
        <v>64.18333333333334</v>
      </c>
    </row>
    <row r="6385" spans="1:10">
      <c r="A6385" s="6" t="s">
        <v>148</v>
      </c>
      <c r="B6385" s="6" t="s">
        <v>88</v>
      </c>
      <c r="C6385" s="6" t="s">
        <v>305</v>
      </c>
      <c r="D6385" s="6">
        <v>15.65016666666667</v>
      </c>
      <c r="E6385" s="6" t="s">
        <v>189</v>
      </c>
      <c r="F6385" s="6" t="s">
        <v>54</v>
      </c>
      <c r="G6385" s="7">
        <v>54240.54060127008</v>
      </c>
      <c r="H6385" s="6">
        <v>848873.500499977</v>
      </c>
      <c r="I6385" s="6" t="s">
        <v>180</v>
      </c>
      <c r="J6385" s="15">
        <v>29.75667140595994</v>
      </c>
    </row>
    <row r="6386" spans="1:10">
      <c r="A6386" s="6" t="s">
        <v>148</v>
      </c>
      <c r="B6386" s="6" t="s">
        <v>44</v>
      </c>
      <c r="C6386" s="6" t="s">
        <v>306</v>
      </c>
      <c r="D6386" s="6">
        <v>3.967583333333334</v>
      </c>
      <c r="E6386" s="6" t="s">
        <v>189</v>
      </c>
      <c r="F6386" s="6" t="s">
        <v>57</v>
      </c>
      <c r="G6386" s="7">
        <v>40370.17715309708</v>
      </c>
      <c r="H6386" s="6">
        <v>160172.0420363421</v>
      </c>
      <c r="I6386" s="6" t="s">
        <v>180</v>
      </c>
      <c r="J6386" s="15">
        <v>8.194896157997103</v>
      </c>
    </row>
    <row r="6387" spans="1:10">
      <c r="A6387" s="6" t="s">
        <v>148</v>
      </c>
      <c r="B6387" s="6" t="s">
        <v>90</v>
      </c>
      <c r="C6387" s="6" t="s">
        <v>307</v>
      </c>
      <c r="D6387" s="6">
        <v>0.03791666666666667</v>
      </c>
      <c r="E6387" s="6" t="s">
        <v>189</v>
      </c>
      <c r="F6387" s="6" t="s">
        <v>53</v>
      </c>
      <c r="G6387" s="7">
        <v>34610.3479059413</v>
      </c>
      <c r="H6387" s="6">
        <v>1312.309024766941</v>
      </c>
      <c r="I6387" s="6" t="s">
        <v>180</v>
      </c>
      <c r="J6387" s="15">
        <v>13.5</v>
      </c>
    </row>
    <row r="6388" spans="1:10">
      <c r="A6388" s="6" t="s">
        <v>148</v>
      </c>
      <c r="B6388" s="6" t="s">
        <v>86</v>
      </c>
      <c r="C6388" s="6" t="s">
        <v>362</v>
      </c>
      <c r="D6388" s="6">
        <v>773.9759166666668</v>
      </c>
      <c r="E6388" s="6" t="s">
        <v>189</v>
      </c>
      <c r="F6388" s="6" t="s">
        <v>52</v>
      </c>
      <c r="G6388" s="7">
        <v>57401.5078649952</v>
      </c>
      <c r="H6388" s="6">
        <v>44427384.66785855</v>
      </c>
      <c r="I6388" s="6" t="s">
        <v>179</v>
      </c>
      <c r="J6388" s="15">
        <v>50.76666666666667</v>
      </c>
    </row>
    <row r="6389" spans="1:10">
      <c r="A6389" s="6" t="s">
        <v>148</v>
      </c>
      <c r="B6389" s="6" t="s">
        <v>90</v>
      </c>
      <c r="C6389" s="6" t="s">
        <v>308</v>
      </c>
      <c r="D6389" s="6">
        <v>0.09258333333333332</v>
      </c>
      <c r="E6389" s="6" t="s">
        <v>189</v>
      </c>
      <c r="F6389" s="6" t="s">
        <v>54</v>
      </c>
      <c r="G6389" s="7">
        <v>61958.4525384317</v>
      </c>
      <c r="H6389" s="6">
        <v>5736.320064183134</v>
      </c>
      <c r="I6389" s="6" t="s">
        <v>180</v>
      </c>
      <c r="J6389" s="15">
        <v>13.09250833626427</v>
      </c>
    </row>
    <row r="6390" spans="1:10">
      <c r="A6390" s="6" t="s">
        <v>148</v>
      </c>
      <c r="B6390" s="6" t="s">
        <v>90</v>
      </c>
      <c r="C6390" s="6" t="s">
        <v>309</v>
      </c>
      <c r="D6390" s="6">
        <v>234.5270833333334</v>
      </c>
      <c r="E6390" s="6" t="s">
        <v>189</v>
      </c>
      <c r="F6390" s="6" t="s">
        <v>52</v>
      </c>
      <c r="G6390" s="7">
        <v>73075.41331885532</v>
      </c>
      <c r="H6390" s="6">
        <v>17138163.54904896</v>
      </c>
      <c r="I6390" s="6" t="s">
        <v>179</v>
      </c>
      <c r="J6390" s="15">
        <v>52</v>
      </c>
    </row>
    <row r="6391" spans="1:10">
      <c r="A6391" s="6" t="s">
        <v>148</v>
      </c>
      <c r="B6391" s="6" t="s">
        <v>90</v>
      </c>
      <c r="C6391" s="6" t="s">
        <v>310</v>
      </c>
      <c r="D6391" s="6">
        <v>33.38983333333333</v>
      </c>
      <c r="E6391" s="6" t="s">
        <v>189</v>
      </c>
      <c r="F6391" s="6" t="s">
        <v>52</v>
      </c>
      <c r="G6391" s="7">
        <v>72589.43692380768</v>
      </c>
      <c r="H6391" s="6">
        <v>2423749.200646451</v>
      </c>
      <c r="I6391" s="6" t="s">
        <v>179</v>
      </c>
      <c r="J6391" s="15">
        <v>75.54166666666666</v>
      </c>
    </row>
    <row r="6392" spans="1:10">
      <c r="A6392" s="6" t="s">
        <v>148</v>
      </c>
      <c r="B6392" s="6" t="s">
        <v>86</v>
      </c>
      <c r="C6392" s="6" t="s">
        <v>312</v>
      </c>
      <c r="D6392" s="6">
        <v>45.49683333333333</v>
      </c>
      <c r="E6392" s="6" t="s">
        <v>189</v>
      </c>
      <c r="F6392" s="6" t="s">
        <v>54</v>
      </c>
      <c r="G6392" s="7">
        <v>81169.23103268788</v>
      </c>
      <c r="H6392" s="6">
        <v>3692942.976089028</v>
      </c>
      <c r="I6392" s="6" t="s">
        <v>179</v>
      </c>
      <c r="J6392" s="15">
        <v>47.825</v>
      </c>
    </row>
    <row r="6393" spans="1:10">
      <c r="A6393" s="6" t="s">
        <v>148</v>
      </c>
      <c r="B6393" s="6" t="s">
        <v>44</v>
      </c>
      <c r="C6393" s="6" t="s">
        <v>313</v>
      </c>
      <c r="D6393" s="6">
        <v>3.286333333333333</v>
      </c>
      <c r="E6393" s="6" t="s">
        <v>189</v>
      </c>
      <c r="F6393" s="6" t="s">
        <v>51</v>
      </c>
      <c r="G6393" s="7">
        <v>28821.66810714348</v>
      </c>
      <c r="H6393" s="6">
        <v>94717.60862277586</v>
      </c>
      <c r="I6393" s="6" t="s">
        <v>179</v>
      </c>
      <c r="J6393" s="15">
        <v>17</v>
      </c>
    </row>
    <row r="6394" spans="1:10">
      <c r="A6394" s="6" t="s">
        <v>148</v>
      </c>
      <c r="B6394" s="6" t="s">
        <v>44</v>
      </c>
      <c r="C6394" s="6" t="s">
        <v>314</v>
      </c>
      <c r="D6394" s="6">
        <v>0.4825</v>
      </c>
      <c r="E6394" s="6" t="s">
        <v>189</v>
      </c>
      <c r="F6394" s="6" t="s">
        <v>51</v>
      </c>
      <c r="G6394" s="7">
        <v>57290.59885869359</v>
      </c>
      <c r="H6394" s="6">
        <v>27642.71394931966</v>
      </c>
      <c r="I6394" s="6" t="s">
        <v>179</v>
      </c>
      <c r="J6394" s="15">
        <v>17.49166666666667</v>
      </c>
    </row>
    <row r="6395" spans="1:10">
      <c r="A6395" s="6" t="s">
        <v>148</v>
      </c>
      <c r="B6395" s="6" t="s">
        <v>86</v>
      </c>
      <c r="C6395" s="6" t="s">
        <v>315</v>
      </c>
      <c r="D6395" s="6">
        <v>2.762666666666667</v>
      </c>
      <c r="E6395" s="6" t="s">
        <v>189</v>
      </c>
      <c r="F6395" s="6" t="s">
        <v>51</v>
      </c>
      <c r="G6395" s="7">
        <v>37464.72792440534</v>
      </c>
      <c r="H6395" s="6">
        <v>103502.5550124905</v>
      </c>
      <c r="I6395" s="6" t="s">
        <v>179</v>
      </c>
      <c r="J6395" s="15">
        <v>14</v>
      </c>
    </row>
    <row r="6396" spans="1:10">
      <c r="A6396" s="6" t="s">
        <v>148</v>
      </c>
      <c r="B6396" s="6" t="s">
        <v>44</v>
      </c>
      <c r="C6396" s="6" t="s">
        <v>316</v>
      </c>
      <c r="D6396" s="6">
        <v>1.22225</v>
      </c>
      <c r="E6396" s="6" t="s">
        <v>189</v>
      </c>
      <c r="F6396" s="6" t="s">
        <v>54</v>
      </c>
      <c r="G6396" s="7">
        <v>78233.00759152489</v>
      </c>
      <c r="H6396" s="6">
        <v>95620.2935287413</v>
      </c>
      <c r="I6396" s="6" t="s">
        <v>180</v>
      </c>
      <c r="J6396" s="15">
        <v>22.22134840703962</v>
      </c>
    </row>
    <row r="6397" spans="1:10">
      <c r="A6397" s="6" t="s">
        <v>148</v>
      </c>
      <c r="B6397" s="6" t="s">
        <v>44</v>
      </c>
      <c r="C6397" s="6" t="s">
        <v>317</v>
      </c>
      <c r="D6397" s="6">
        <v>0.2035</v>
      </c>
      <c r="E6397" s="6" t="s">
        <v>189</v>
      </c>
      <c r="F6397" s="6" t="s">
        <v>51</v>
      </c>
      <c r="G6397" s="7">
        <v>21140.95965465714</v>
      </c>
      <c r="H6397" s="6">
        <v>4302.185289722729</v>
      </c>
      <c r="I6397" s="6" t="s">
        <v>179</v>
      </c>
      <c r="J6397" s="15">
        <v>17</v>
      </c>
    </row>
    <row r="6398" spans="1:10">
      <c r="A6398" s="6" t="s">
        <v>148</v>
      </c>
      <c r="B6398" s="6" t="s">
        <v>90</v>
      </c>
      <c r="C6398" s="6" t="s">
        <v>319</v>
      </c>
      <c r="D6398" s="6">
        <v>6.6665</v>
      </c>
      <c r="E6398" s="6" t="s">
        <v>189</v>
      </c>
      <c r="F6398" s="6" t="s">
        <v>52</v>
      </c>
      <c r="G6398" s="7">
        <v>59918.03179942394</v>
      </c>
      <c r="H6398" s="6">
        <v>399443.5589908597</v>
      </c>
      <c r="I6398" s="6" t="s">
        <v>180</v>
      </c>
      <c r="J6398" s="15">
        <v>12.43871031134531</v>
      </c>
    </row>
    <row r="6399" spans="1:10">
      <c r="A6399" s="6" t="s">
        <v>148</v>
      </c>
      <c r="B6399" s="6" t="s">
        <v>90</v>
      </c>
      <c r="C6399" s="6" t="s">
        <v>363</v>
      </c>
      <c r="D6399" s="6">
        <v>28.19275</v>
      </c>
      <c r="E6399" s="6" t="s">
        <v>189</v>
      </c>
      <c r="F6399" s="6" t="s">
        <v>52</v>
      </c>
      <c r="G6399" s="7">
        <v>59918.03179942394</v>
      </c>
      <c r="H6399" s="6">
        <v>1689254.091013209</v>
      </c>
      <c r="I6399" s="6" t="s">
        <v>180</v>
      </c>
      <c r="J6399" s="15">
        <v>12.43871031134531</v>
      </c>
    </row>
    <row r="6400" spans="1:10">
      <c r="A6400" s="6" t="s">
        <v>148</v>
      </c>
      <c r="B6400" s="6" t="s">
        <v>44</v>
      </c>
      <c r="C6400" s="6" t="s">
        <v>320</v>
      </c>
      <c r="D6400" s="6">
        <v>2.608166666666667</v>
      </c>
      <c r="E6400" s="6" t="s">
        <v>189</v>
      </c>
      <c r="F6400" s="6" t="s">
        <v>51</v>
      </c>
      <c r="G6400" s="7">
        <v>19671.04087638638</v>
      </c>
      <c r="H6400" s="6">
        <v>51305.35311242841</v>
      </c>
      <c r="I6400" s="6" t="s">
        <v>179</v>
      </c>
      <c r="J6400" s="15">
        <v>13.5</v>
      </c>
    </row>
    <row r="6401" spans="1:10">
      <c r="A6401" s="6" t="s">
        <v>148</v>
      </c>
      <c r="B6401" s="6" t="s">
        <v>90</v>
      </c>
      <c r="C6401" s="6" t="s">
        <v>321</v>
      </c>
      <c r="D6401" s="6">
        <v>0.01775</v>
      </c>
      <c r="E6401" s="6" t="s">
        <v>189</v>
      </c>
      <c r="F6401" s="6" t="s">
        <v>54</v>
      </c>
      <c r="G6401" s="7">
        <v>49362.0809529337</v>
      </c>
      <c r="H6401" s="6">
        <v>876.1769369145733</v>
      </c>
      <c r="I6401" s="6" t="s">
        <v>180</v>
      </c>
      <c r="J6401" s="15">
        <v>9.05633937056912</v>
      </c>
    </row>
    <row r="6402" spans="1:10">
      <c r="A6402" s="6" t="s">
        <v>148</v>
      </c>
      <c r="B6402" s="6" t="s">
        <v>44</v>
      </c>
      <c r="C6402" s="6" t="s">
        <v>322</v>
      </c>
      <c r="D6402" s="6">
        <v>0.0435</v>
      </c>
      <c r="E6402" s="6" t="s">
        <v>189</v>
      </c>
      <c r="F6402" s="6" t="s">
        <v>51</v>
      </c>
      <c r="G6402" s="7">
        <v>17287.61454620521</v>
      </c>
      <c r="H6402" s="6">
        <v>752.0112327599265</v>
      </c>
      <c r="I6402" s="6" t="s">
        <v>179</v>
      </c>
      <c r="J6402" s="15">
        <v>34.25833333333333</v>
      </c>
    </row>
    <row r="6403" spans="1:10">
      <c r="A6403" s="6" t="s">
        <v>148</v>
      </c>
      <c r="B6403" s="6" t="s">
        <v>44</v>
      </c>
      <c r="C6403" s="6" t="s">
        <v>323</v>
      </c>
      <c r="D6403" s="6">
        <v>6.798249999999999</v>
      </c>
      <c r="E6403" s="6" t="s">
        <v>189</v>
      </c>
      <c r="F6403" s="6" t="s">
        <v>55</v>
      </c>
      <c r="G6403" s="7">
        <v>44740.69956922525</v>
      </c>
      <c r="H6403" s="6">
        <v>304158.4608464855</v>
      </c>
      <c r="I6403" s="6" t="s">
        <v>179</v>
      </c>
      <c r="J6403" s="15">
        <v>49</v>
      </c>
    </row>
    <row r="6404" spans="1:10">
      <c r="A6404" s="6" t="s">
        <v>148</v>
      </c>
      <c r="B6404" s="6" t="s">
        <v>44</v>
      </c>
      <c r="C6404" s="6" t="s">
        <v>324</v>
      </c>
      <c r="D6404" s="6">
        <v>13.55158333333333</v>
      </c>
      <c r="E6404" s="6" t="s">
        <v>189</v>
      </c>
      <c r="F6404" s="6" t="s">
        <v>51</v>
      </c>
      <c r="G6404" s="7">
        <v>24363.28610429227</v>
      </c>
      <c r="H6404" s="6">
        <v>330161.1019161588</v>
      </c>
      <c r="I6404" s="6" t="s">
        <v>179</v>
      </c>
      <c r="J6404" s="15">
        <v>23</v>
      </c>
    </row>
    <row r="6405" spans="1:10">
      <c r="A6405" s="6" t="s">
        <v>148</v>
      </c>
      <c r="B6405" s="6" t="s">
        <v>88</v>
      </c>
      <c r="C6405" s="6" t="s">
        <v>372</v>
      </c>
      <c r="D6405" s="6">
        <v>0.1864166666666667</v>
      </c>
      <c r="E6405" s="6" t="s">
        <v>189</v>
      </c>
      <c r="F6405" s="6" t="s">
        <v>55</v>
      </c>
      <c r="G6405" s="7">
        <v>26107.48186832325</v>
      </c>
      <c r="H6405" s="6">
        <v>4866.86974495326</v>
      </c>
      <c r="I6405" s="6" t="s">
        <v>180</v>
      </c>
      <c r="J6405" s="15">
        <v>10.81627573032942</v>
      </c>
    </row>
    <row r="6406" spans="1:10">
      <c r="A6406" s="6" t="s">
        <v>148</v>
      </c>
      <c r="B6406" s="6" t="s">
        <v>90</v>
      </c>
      <c r="C6406" s="6" t="s">
        <v>325</v>
      </c>
      <c r="D6406" s="6">
        <v>0.17175</v>
      </c>
      <c r="E6406" s="6" t="s">
        <v>189</v>
      </c>
      <c r="F6406" s="6" t="s">
        <v>53</v>
      </c>
      <c r="G6406" s="7">
        <v>27183.84720656899</v>
      </c>
      <c r="H6406" s="6">
        <v>4668.825757728224</v>
      </c>
      <c r="I6406" s="6" t="s">
        <v>179</v>
      </c>
      <c r="J6406" s="15">
        <v>16</v>
      </c>
    </row>
    <row r="6407" spans="1:10">
      <c r="A6407" s="6" t="s">
        <v>148</v>
      </c>
      <c r="B6407" s="6" t="s">
        <v>90</v>
      </c>
      <c r="C6407" s="6" t="s">
        <v>364</v>
      </c>
      <c r="D6407" s="6">
        <v>0.8479166666666667</v>
      </c>
      <c r="E6407" s="6" t="s">
        <v>189</v>
      </c>
      <c r="F6407" s="6" t="s">
        <v>52</v>
      </c>
      <c r="G6407" s="7">
        <v>51274.29567237874</v>
      </c>
      <c r="H6407" s="6">
        <v>43476.32987220448</v>
      </c>
      <c r="I6407" s="6" t="s">
        <v>179</v>
      </c>
      <c r="J6407" s="15">
        <v>65</v>
      </c>
    </row>
    <row r="6408" spans="1:10">
      <c r="A6408" s="6" t="s">
        <v>148</v>
      </c>
      <c r="B6408" s="6" t="s">
        <v>90</v>
      </c>
      <c r="C6408" s="6" t="s">
        <v>326</v>
      </c>
      <c r="D6408" s="6">
        <v>77.10116666666667</v>
      </c>
      <c r="E6408" s="6" t="s">
        <v>189</v>
      </c>
      <c r="F6408" s="6" t="s">
        <v>54</v>
      </c>
      <c r="G6408" s="7">
        <v>73204.69251441542</v>
      </c>
      <c r="H6408" s="6">
        <v>5644167.198336029</v>
      </c>
      <c r="I6408" s="6" t="s">
        <v>179</v>
      </c>
      <c r="J6408" s="15">
        <v>50.55</v>
      </c>
    </row>
    <row r="6409" spans="1:10">
      <c r="A6409" s="6" t="s">
        <v>148</v>
      </c>
      <c r="B6409" s="6" t="s">
        <v>44</v>
      </c>
      <c r="C6409" s="6" t="s">
        <v>373</v>
      </c>
      <c r="D6409" s="6">
        <v>0.07958333333333334</v>
      </c>
      <c r="E6409" s="6" t="s">
        <v>189</v>
      </c>
      <c r="F6409" s="6" t="s">
        <v>55</v>
      </c>
      <c r="G6409" s="7">
        <v>50189.50053381042</v>
      </c>
      <c r="H6409" s="6">
        <v>3994.247750815747</v>
      </c>
      <c r="I6409" s="6" t="s">
        <v>180</v>
      </c>
      <c r="J6409" s="15">
        <v>11.83250773966314</v>
      </c>
    </row>
    <row r="6410" spans="1:10">
      <c r="A6410" s="6" t="s">
        <v>148</v>
      </c>
      <c r="B6410" s="6" t="s">
        <v>92</v>
      </c>
      <c r="C6410" s="6" t="s">
        <v>374</v>
      </c>
      <c r="D6410" s="6">
        <v>0.001833333333333333</v>
      </c>
      <c r="E6410" s="6" t="s">
        <v>189</v>
      </c>
      <c r="F6410" s="6" t="s">
        <v>55</v>
      </c>
      <c r="G6410" s="7">
        <v>29054.37866544401</v>
      </c>
      <c r="H6410" s="6">
        <v>53.26636088664735</v>
      </c>
      <c r="I6410" s="6" t="s">
        <v>180</v>
      </c>
      <c r="J6410" s="15">
        <v>15.81666666666667</v>
      </c>
    </row>
    <row r="6411" spans="1:10">
      <c r="A6411" s="6" t="s">
        <v>148</v>
      </c>
      <c r="B6411" s="6" t="s">
        <v>44</v>
      </c>
      <c r="C6411" s="6" t="s">
        <v>327</v>
      </c>
      <c r="D6411" s="6">
        <v>23.06558333333333</v>
      </c>
      <c r="E6411" s="6" t="s">
        <v>189</v>
      </c>
      <c r="F6411" s="6" t="s">
        <v>57</v>
      </c>
      <c r="G6411" s="7">
        <v>40979.35428179214</v>
      </c>
      <c r="H6411" s="6">
        <v>945212.7111328668</v>
      </c>
      <c r="I6411" s="6" t="s">
        <v>179</v>
      </c>
      <c r="J6411" s="15">
        <v>43.75</v>
      </c>
    </row>
    <row r="6412" spans="1:10">
      <c r="A6412" s="6" t="s">
        <v>148</v>
      </c>
      <c r="B6412" s="6" t="s">
        <v>90</v>
      </c>
      <c r="C6412" s="6" t="s">
        <v>328</v>
      </c>
      <c r="D6412" s="6">
        <v>0.04583333333333334</v>
      </c>
      <c r="E6412" s="6" t="s">
        <v>189</v>
      </c>
      <c r="F6412" s="6" t="s">
        <v>58</v>
      </c>
      <c r="G6412" s="7">
        <v>61261.16637247237</v>
      </c>
      <c r="H6412" s="6">
        <v>2807.803458738317</v>
      </c>
      <c r="I6412" s="6" t="s">
        <v>180</v>
      </c>
      <c r="J6412" s="15">
        <v>12.86908171184699</v>
      </c>
    </row>
    <row r="6413" spans="1:10">
      <c r="A6413" s="6" t="s">
        <v>148</v>
      </c>
      <c r="B6413" s="6" t="s">
        <v>44</v>
      </c>
      <c r="C6413" s="6" t="s">
        <v>329</v>
      </c>
      <c r="D6413" s="6">
        <v>27.00491666666667</v>
      </c>
      <c r="E6413" s="6" t="s">
        <v>189</v>
      </c>
      <c r="F6413" s="6" t="s">
        <v>58</v>
      </c>
      <c r="G6413" s="7">
        <v>61073.72389180421</v>
      </c>
      <c r="H6413" s="6">
        <v>1649290.824221182</v>
      </c>
      <c r="I6413" s="6" t="s">
        <v>179</v>
      </c>
      <c r="J6413" s="15">
        <v>26</v>
      </c>
    </row>
    <row r="6414" spans="1:10">
      <c r="A6414" s="6" t="s">
        <v>148</v>
      </c>
      <c r="B6414" s="6" t="s">
        <v>44</v>
      </c>
      <c r="C6414" s="6" t="s">
        <v>331</v>
      </c>
      <c r="D6414" s="6">
        <v>8.289833333333334</v>
      </c>
      <c r="E6414" s="6" t="s">
        <v>189</v>
      </c>
      <c r="F6414" s="6" t="s">
        <v>58</v>
      </c>
      <c r="G6414" s="7">
        <v>57688.3500255051</v>
      </c>
      <c r="H6414" s="6">
        <v>478226.806986433</v>
      </c>
      <c r="I6414" s="6" t="s">
        <v>179</v>
      </c>
      <c r="J6414" s="15">
        <v>27.625</v>
      </c>
    </row>
    <row r="6415" spans="1:10">
      <c r="A6415" s="6" t="s">
        <v>148</v>
      </c>
      <c r="B6415" s="6" t="s">
        <v>92</v>
      </c>
      <c r="C6415" s="6" t="s">
        <v>332</v>
      </c>
      <c r="D6415" s="6">
        <v>85.11766666666666</v>
      </c>
      <c r="E6415" s="6" t="s">
        <v>189</v>
      </c>
      <c r="F6415" s="6" t="s">
        <v>55</v>
      </c>
      <c r="G6415" s="7">
        <v>18935.91078298569</v>
      </c>
      <c r="H6415" s="6">
        <v>1611780.542055915</v>
      </c>
      <c r="I6415" s="6" t="s">
        <v>179</v>
      </c>
      <c r="J6415" s="15">
        <v>13</v>
      </c>
    </row>
    <row r="6416" spans="1:10">
      <c r="A6416" s="6" t="s">
        <v>148</v>
      </c>
      <c r="B6416" s="6" t="s">
        <v>44</v>
      </c>
      <c r="C6416" s="6" t="s">
        <v>375</v>
      </c>
      <c r="D6416" s="6">
        <v>0.24</v>
      </c>
      <c r="E6416" s="6" t="s">
        <v>189</v>
      </c>
      <c r="F6416" s="6" t="s">
        <v>55</v>
      </c>
      <c r="G6416" s="7">
        <v>44949.97309867274</v>
      </c>
      <c r="H6416" s="6">
        <v>10787.99354368146</v>
      </c>
      <c r="I6416" s="6" t="s">
        <v>180</v>
      </c>
      <c r="J6416" s="15">
        <v>9.891501731250248</v>
      </c>
    </row>
    <row r="6417" spans="1:10">
      <c r="A6417" s="6" t="s">
        <v>148</v>
      </c>
      <c r="B6417" s="6" t="s">
        <v>44</v>
      </c>
      <c r="C6417" s="6" t="s">
        <v>333</v>
      </c>
      <c r="D6417" s="6">
        <v>5.354416666666666</v>
      </c>
      <c r="E6417" s="6" t="s">
        <v>189</v>
      </c>
      <c r="F6417" s="6" t="s">
        <v>51</v>
      </c>
      <c r="G6417" s="7">
        <v>14927.02860564678</v>
      </c>
      <c r="H6417" s="6">
        <v>79925.53074988522</v>
      </c>
      <c r="I6417" s="6" t="s">
        <v>179</v>
      </c>
      <c r="J6417" s="15">
        <v>17</v>
      </c>
    </row>
    <row r="6418" spans="1:10">
      <c r="A6418" s="6" t="s">
        <v>148</v>
      </c>
      <c r="B6418" s="6" t="s">
        <v>90</v>
      </c>
      <c r="C6418" s="6" t="s">
        <v>195</v>
      </c>
      <c r="D6418" s="6">
        <v>5.4375</v>
      </c>
      <c r="E6418" s="6" t="s">
        <v>190</v>
      </c>
      <c r="F6418" s="6" t="s">
        <v>54</v>
      </c>
      <c r="G6418" s="7">
        <v>56976.27849226169</v>
      </c>
      <c r="H6418" s="6">
        <v>309808.5143016729</v>
      </c>
      <c r="I6418" s="6" t="s">
        <v>180</v>
      </c>
      <c r="J6418" s="15">
        <v>11.49610447263148</v>
      </c>
    </row>
    <row r="6419" spans="1:10">
      <c r="A6419" s="6" t="s">
        <v>148</v>
      </c>
      <c r="B6419" s="6" t="s">
        <v>90</v>
      </c>
      <c r="C6419" s="6" t="s">
        <v>196</v>
      </c>
      <c r="D6419" s="6">
        <v>10.6975</v>
      </c>
      <c r="E6419" s="6" t="s">
        <v>190</v>
      </c>
      <c r="F6419" s="6" t="s">
        <v>52</v>
      </c>
      <c r="G6419" s="7">
        <v>59918.03179942394</v>
      </c>
      <c r="H6419" s="6">
        <v>640973.1451743376</v>
      </c>
      <c r="I6419" s="6" t="s">
        <v>180</v>
      </c>
      <c r="J6419" s="15">
        <v>12.43871031134531</v>
      </c>
    </row>
    <row r="6420" spans="1:10">
      <c r="A6420" s="6" t="s">
        <v>148</v>
      </c>
      <c r="B6420" s="6" t="s">
        <v>90</v>
      </c>
      <c r="C6420" s="6" t="s">
        <v>197</v>
      </c>
      <c r="D6420" s="6">
        <v>44.08208333333333</v>
      </c>
      <c r="E6420" s="6" t="s">
        <v>190</v>
      </c>
      <c r="F6420" s="6" t="s">
        <v>53</v>
      </c>
      <c r="G6420" s="7">
        <v>24873.23941462196</v>
      </c>
      <c r="H6420" s="6">
        <v>1096464.212645316</v>
      </c>
      <c r="I6420" s="6" t="s">
        <v>179</v>
      </c>
      <c r="J6420" s="15">
        <v>27</v>
      </c>
    </row>
    <row r="6421" spans="1:10">
      <c r="A6421" s="6" t="s">
        <v>148</v>
      </c>
      <c r="B6421" s="6" t="s">
        <v>44</v>
      </c>
      <c r="C6421" s="6" t="s">
        <v>199</v>
      </c>
      <c r="D6421" s="6">
        <v>38.40941666666667</v>
      </c>
      <c r="E6421" s="6" t="s">
        <v>190</v>
      </c>
      <c r="F6421" s="6" t="s">
        <v>57</v>
      </c>
      <c r="G6421" s="7">
        <v>42727.16197460723</v>
      </c>
      <c r="H6421" s="6">
        <v>1641125.367266845</v>
      </c>
      <c r="I6421" s="6" t="s">
        <v>179</v>
      </c>
      <c r="J6421" s="15">
        <v>44.83333333333334</v>
      </c>
    </row>
    <row r="6422" spans="1:10">
      <c r="A6422" s="6" t="s">
        <v>148</v>
      </c>
      <c r="B6422" s="6" t="s">
        <v>90</v>
      </c>
      <c r="C6422" s="6" t="s">
        <v>337</v>
      </c>
      <c r="D6422" s="6">
        <v>0.05125</v>
      </c>
      <c r="E6422" s="6" t="s">
        <v>190</v>
      </c>
      <c r="F6422" s="6" t="s">
        <v>52</v>
      </c>
      <c r="G6422" s="7">
        <v>59918.03179942394</v>
      </c>
      <c r="H6422" s="6">
        <v>3070.799129720477</v>
      </c>
      <c r="I6422" s="6" t="s">
        <v>180</v>
      </c>
      <c r="J6422" s="15">
        <v>12.43871031134531</v>
      </c>
    </row>
    <row r="6423" spans="1:10">
      <c r="A6423" s="6" t="s">
        <v>148</v>
      </c>
      <c r="B6423" s="6" t="s">
        <v>90</v>
      </c>
      <c r="C6423" s="6" t="s">
        <v>200</v>
      </c>
      <c r="D6423" s="6">
        <v>5.959333333333334</v>
      </c>
      <c r="E6423" s="6" t="s">
        <v>190</v>
      </c>
      <c r="F6423" s="6" t="s">
        <v>52</v>
      </c>
      <c r="G6423" s="7">
        <v>59918.03179942394</v>
      </c>
      <c r="H6423" s="6">
        <v>357071.5241700338</v>
      </c>
      <c r="I6423" s="6" t="s">
        <v>180</v>
      </c>
      <c r="J6423" s="15">
        <v>12.43871031134531</v>
      </c>
    </row>
    <row r="6424" spans="1:10">
      <c r="A6424" s="6" t="s">
        <v>148</v>
      </c>
      <c r="B6424" s="6" t="s">
        <v>90</v>
      </c>
      <c r="C6424" s="6" t="s">
        <v>201</v>
      </c>
      <c r="D6424" s="6">
        <v>8.178083333333333</v>
      </c>
      <c r="E6424" s="6" t="s">
        <v>190</v>
      </c>
      <c r="F6424" s="6" t="s">
        <v>56</v>
      </c>
      <c r="G6424" s="7">
        <v>47784.13759688608</v>
      </c>
      <c r="H6424" s="6">
        <v>390782.6592788008</v>
      </c>
      <c r="I6424" s="6" t="s">
        <v>180</v>
      </c>
      <c r="J6424" s="15">
        <v>8.550729801966316</v>
      </c>
    </row>
    <row r="6425" spans="1:10">
      <c r="A6425" s="6" t="s">
        <v>148</v>
      </c>
      <c r="B6425" s="6" t="s">
        <v>86</v>
      </c>
      <c r="C6425" s="6" t="s">
        <v>202</v>
      </c>
      <c r="D6425" s="6">
        <v>538.0893333333333</v>
      </c>
      <c r="E6425" s="6" t="s">
        <v>190</v>
      </c>
      <c r="F6425" s="6" t="s">
        <v>54</v>
      </c>
      <c r="G6425" s="7">
        <v>90789.34185131452</v>
      </c>
      <c r="H6425" s="6">
        <v>48852776.43054593</v>
      </c>
      <c r="I6425" s="6" t="s">
        <v>179</v>
      </c>
      <c r="J6425" s="15">
        <v>65.125</v>
      </c>
    </row>
    <row r="6426" spans="1:10">
      <c r="A6426" s="6" t="s">
        <v>148</v>
      </c>
      <c r="B6426" s="6" t="s">
        <v>90</v>
      </c>
      <c r="C6426" s="6" t="s">
        <v>203</v>
      </c>
      <c r="D6426" s="6">
        <v>20.85716666666667</v>
      </c>
      <c r="E6426" s="6" t="s">
        <v>190</v>
      </c>
      <c r="F6426" s="6" t="s">
        <v>53</v>
      </c>
      <c r="G6426" s="7">
        <v>17844.00974373058</v>
      </c>
      <c r="H6426" s="6">
        <v>372175.4852266127</v>
      </c>
      <c r="I6426" s="6" t="s">
        <v>179</v>
      </c>
      <c r="J6426" s="15">
        <v>12</v>
      </c>
    </row>
    <row r="6427" spans="1:10">
      <c r="A6427" s="6" t="s">
        <v>148</v>
      </c>
      <c r="B6427" s="6" t="s">
        <v>44</v>
      </c>
      <c r="C6427" s="6" t="s">
        <v>204</v>
      </c>
      <c r="D6427" s="6">
        <v>2017.247583333333</v>
      </c>
      <c r="E6427" s="6" t="s">
        <v>190</v>
      </c>
      <c r="F6427" s="6" t="s">
        <v>51</v>
      </c>
      <c r="G6427" s="7">
        <v>22075.51100893869</v>
      </c>
      <c r="H6427" s="6">
        <v>44531771.23362997</v>
      </c>
      <c r="I6427" s="6" t="s">
        <v>179</v>
      </c>
      <c r="J6427" s="15">
        <v>17.73333333333333</v>
      </c>
    </row>
    <row r="6428" spans="1:10">
      <c r="A6428" s="6" t="s">
        <v>148</v>
      </c>
      <c r="B6428" s="6" t="s">
        <v>90</v>
      </c>
      <c r="C6428" s="6" t="s">
        <v>338</v>
      </c>
      <c r="D6428" s="6">
        <v>9.232916666666666</v>
      </c>
      <c r="E6428" s="6" t="s">
        <v>190</v>
      </c>
      <c r="F6428" s="6" t="s">
        <v>52</v>
      </c>
      <c r="G6428" s="7">
        <v>59918.03179942394</v>
      </c>
      <c r="H6428" s="6">
        <v>553218.1944347646</v>
      </c>
      <c r="I6428" s="6" t="s">
        <v>180</v>
      </c>
      <c r="J6428" s="15">
        <v>12.43871031134531</v>
      </c>
    </row>
    <row r="6429" spans="1:10">
      <c r="A6429" s="6" t="s">
        <v>148</v>
      </c>
      <c r="B6429" s="6" t="s">
        <v>44</v>
      </c>
      <c r="C6429" s="6" t="s">
        <v>205</v>
      </c>
      <c r="D6429" s="6">
        <v>462.4846666666667</v>
      </c>
      <c r="E6429" s="6" t="s">
        <v>190</v>
      </c>
      <c r="F6429" s="6" t="s">
        <v>56</v>
      </c>
      <c r="G6429" s="7">
        <v>54049.79733429672</v>
      </c>
      <c r="H6429" s="6">
        <v>24997202.5035531</v>
      </c>
      <c r="I6429" s="6" t="s">
        <v>179</v>
      </c>
      <c r="J6429" s="15">
        <v>22.35</v>
      </c>
    </row>
    <row r="6430" spans="1:10">
      <c r="A6430" s="6" t="s">
        <v>148</v>
      </c>
      <c r="B6430" s="6" t="s">
        <v>44</v>
      </c>
      <c r="C6430" s="6" t="s">
        <v>208</v>
      </c>
      <c r="D6430" s="6">
        <v>2.96625</v>
      </c>
      <c r="E6430" s="6" t="s">
        <v>190</v>
      </c>
      <c r="F6430" s="6" t="s">
        <v>51</v>
      </c>
      <c r="G6430" s="7">
        <v>21097.10902947491</v>
      </c>
      <c r="H6430" s="6">
        <v>62579.29965867996</v>
      </c>
      <c r="I6430" s="6" t="s">
        <v>179</v>
      </c>
      <c r="J6430" s="15">
        <v>30</v>
      </c>
    </row>
    <row r="6431" spans="1:10">
      <c r="A6431" s="6" t="s">
        <v>148</v>
      </c>
      <c r="B6431" s="6" t="s">
        <v>92</v>
      </c>
      <c r="C6431" s="6" t="s">
        <v>211</v>
      </c>
      <c r="D6431" s="6">
        <v>1131.286166666667</v>
      </c>
      <c r="E6431" s="6" t="s">
        <v>190</v>
      </c>
      <c r="F6431" s="6" t="s">
        <v>55</v>
      </c>
      <c r="G6431" s="7">
        <v>25336.04217074411</v>
      </c>
      <c r="H6431" s="6">
        <v>28662314.02584611</v>
      </c>
      <c r="I6431" s="6" t="s">
        <v>179</v>
      </c>
      <c r="J6431" s="15">
        <v>16</v>
      </c>
    </row>
    <row r="6432" spans="1:10">
      <c r="A6432" s="6" t="s">
        <v>148</v>
      </c>
      <c r="B6432" s="6" t="s">
        <v>92</v>
      </c>
      <c r="C6432" s="6" t="s">
        <v>212</v>
      </c>
      <c r="D6432" s="6">
        <v>29.34833333333333</v>
      </c>
      <c r="E6432" s="6" t="s">
        <v>190</v>
      </c>
      <c r="F6432" s="6" t="s">
        <v>55</v>
      </c>
      <c r="G6432" s="7">
        <v>23468.05749758728</v>
      </c>
      <c r="H6432" s="6">
        <v>688748.374125024</v>
      </c>
      <c r="I6432" s="6" t="s">
        <v>179</v>
      </c>
      <c r="J6432" s="15">
        <v>15</v>
      </c>
    </row>
    <row r="6433" spans="1:10">
      <c r="A6433" s="6" t="s">
        <v>148</v>
      </c>
      <c r="B6433" s="6" t="s">
        <v>90</v>
      </c>
      <c r="C6433" s="6" t="s">
        <v>214</v>
      </c>
      <c r="D6433" s="6">
        <v>4.325583333333333</v>
      </c>
      <c r="E6433" s="6" t="s">
        <v>190</v>
      </c>
      <c r="F6433" s="6" t="s">
        <v>53</v>
      </c>
      <c r="G6433" s="7">
        <v>29230.07315219457</v>
      </c>
      <c r="H6433" s="6">
        <v>126437.117259247</v>
      </c>
      <c r="I6433" s="6" t="s">
        <v>179</v>
      </c>
      <c r="J6433" s="15">
        <v>27</v>
      </c>
    </row>
    <row r="6434" spans="1:10">
      <c r="A6434" s="6" t="s">
        <v>148</v>
      </c>
      <c r="B6434" s="6" t="s">
        <v>92</v>
      </c>
      <c r="C6434" s="6" t="s">
        <v>215</v>
      </c>
      <c r="D6434" s="6">
        <v>388.8105</v>
      </c>
      <c r="E6434" s="6" t="s">
        <v>190</v>
      </c>
      <c r="F6434" s="6" t="s">
        <v>54</v>
      </c>
      <c r="G6434" s="7">
        <v>85640.90773693185</v>
      </c>
      <c r="H6434" s="6">
        <v>33298084.15765034</v>
      </c>
      <c r="I6434" s="6" t="s">
        <v>180</v>
      </c>
      <c r="J6434" s="15">
        <v>25.30551697088117</v>
      </c>
    </row>
    <row r="6435" spans="1:10">
      <c r="A6435" s="6" t="s">
        <v>148</v>
      </c>
      <c r="B6435" s="6" t="s">
        <v>92</v>
      </c>
      <c r="C6435" s="6" t="s">
        <v>216</v>
      </c>
      <c r="D6435" s="6">
        <v>0.268</v>
      </c>
      <c r="E6435" s="6" t="s">
        <v>190</v>
      </c>
      <c r="F6435" s="6" t="s">
        <v>55</v>
      </c>
      <c r="G6435" s="7">
        <v>37794.08920614998</v>
      </c>
      <c r="H6435" s="6">
        <v>10128.81590724819</v>
      </c>
      <c r="I6435" s="6" t="s">
        <v>180</v>
      </c>
      <c r="J6435" s="15">
        <v>22.25</v>
      </c>
    </row>
    <row r="6436" spans="1:10">
      <c r="A6436" s="6" t="s">
        <v>148</v>
      </c>
      <c r="B6436" s="6" t="s">
        <v>90</v>
      </c>
      <c r="C6436" s="6" t="s">
        <v>217</v>
      </c>
      <c r="D6436" s="6">
        <v>15.28491666666667</v>
      </c>
      <c r="E6436" s="6" t="s">
        <v>190</v>
      </c>
      <c r="F6436" s="6" t="s">
        <v>53</v>
      </c>
      <c r="G6436" s="7">
        <v>29595.99008532836</v>
      </c>
      <c r="H6436" s="6">
        <v>452372.2421217368</v>
      </c>
      <c r="I6436" s="6" t="s">
        <v>179</v>
      </c>
      <c r="J6436" s="15">
        <v>15</v>
      </c>
    </row>
    <row r="6437" spans="1:10">
      <c r="A6437" s="6" t="s">
        <v>148</v>
      </c>
      <c r="B6437" s="6" t="s">
        <v>44</v>
      </c>
      <c r="C6437" s="6" t="s">
        <v>219</v>
      </c>
      <c r="D6437" s="6">
        <v>6.205166666666667</v>
      </c>
      <c r="E6437" s="6" t="s">
        <v>190</v>
      </c>
      <c r="F6437" s="6" t="s">
        <v>51</v>
      </c>
      <c r="G6437" s="7">
        <v>24699.68371704026</v>
      </c>
      <c r="H6437" s="6">
        <v>153265.6540781877</v>
      </c>
      <c r="I6437" s="6" t="s">
        <v>179</v>
      </c>
      <c r="J6437" s="15">
        <v>13.96666666666667</v>
      </c>
    </row>
    <row r="6438" spans="1:10">
      <c r="A6438" s="6" t="s">
        <v>148</v>
      </c>
      <c r="B6438" s="6" t="s">
        <v>44</v>
      </c>
      <c r="C6438" s="6" t="s">
        <v>221</v>
      </c>
      <c r="D6438" s="6">
        <v>1.391</v>
      </c>
      <c r="E6438" s="6" t="s">
        <v>190</v>
      </c>
      <c r="F6438" s="6" t="s">
        <v>51</v>
      </c>
      <c r="G6438" s="7">
        <v>26492.73446871235</v>
      </c>
      <c r="H6438" s="6">
        <v>36851.39364597887</v>
      </c>
      <c r="I6438" s="6" t="s">
        <v>179</v>
      </c>
      <c r="J6438" s="15">
        <v>21.28333333333333</v>
      </c>
    </row>
    <row r="6439" spans="1:10">
      <c r="A6439" s="6" t="s">
        <v>148</v>
      </c>
      <c r="B6439" s="6" t="s">
        <v>86</v>
      </c>
      <c r="C6439" s="6" t="s">
        <v>342</v>
      </c>
      <c r="D6439" s="6">
        <v>32.40741666666666</v>
      </c>
      <c r="E6439" s="6" t="s">
        <v>190</v>
      </c>
      <c r="F6439" s="6" t="s">
        <v>53</v>
      </c>
      <c r="G6439" s="7">
        <v>33275.25972937583</v>
      </c>
      <c r="H6439" s="6">
        <v>1078365.206741436</v>
      </c>
      <c r="I6439" s="6" t="s">
        <v>179</v>
      </c>
      <c r="J6439" s="15">
        <v>8</v>
      </c>
    </row>
    <row r="6440" spans="1:10">
      <c r="A6440" s="6" t="s">
        <v>148</v>
      </c>
      <c r="B6440" s="6" t="s">
        <v>86</v>
      </c>
      <c r="C6440" s="6" t="s">
        <v>223</v>
      </c>
      <c r="D6440" s="6">
        <v>806.7171666666667</v>
      </c>
      <c r="E6440" s="6" t="s">
        <v>190</v>
      </c>
      <c r="F6440" s="6" t="s">
        <v>53</v>
      </c>
      <c r="G6440" s="7">
        <v>24418.66320757394</v>
      </c>
      <c r="H6440" s="6">
        <v>19698954.79660163</v>
      </c>
      <c r="I6440" s="6" t="s">
        <v>179</v>
      </c>
      <c r="J6440" s="15">
        <v>7.983333333333333</v>
      </c>
    </row>
    <row r="6441" spans="1:10">
      <c r="A6441" s="6" t="s">
        <v>148</v>
      </c>
      <c r="B6441" s="6" t="s">
        <v>44</v>
      </c>
      <c r="C6441" s="6" t="s">
        <v>224</v>
      </c>
      <c r="D6441" s="6">
        <v>598.5404166666666</v>
      </c>
      <c r="E6441" s="6" t="s">
        <v>190</v>
      </c>
      <c r="F6441" s="6" t="s">
        <v>51</v>
      </c>
      <c r="G6441" s="7">
        <v>20842.13163725611</v>
      </c>
      <c r="H6441" s="6">
        <v>12474858.15438479</v>
      </c>
      <c r="I6441" s="6" t="s">
        <v>179</v>
      </c>
      <c r="J6441" s="15">
        <v>11</v>
      </c>
    </row>
    <row r="6442" spans="1:10">
      <c r="A6442" s="6" t="s">
        <v>148</v>
      </c>
      <c r="B6442" s="6" t="s">
        <v>44</v>
      </c>
      <c r="C6442" s="6" t="s">
        <v>226</v>
      </c>
      <c r="D6442" s="6">
        <v>132.7999166666667</v>
      </c>
      <c r="E6442" s="6" t="s">
        <v>190</v>
      </c>
      <c r="F6442" s="6" t="s">
        <v>56</v>
      </c>
      <c r="G6442" s="7">
        <v>59921.09743873261</v>
      </c>
      <c r="H6442" s="6">
        <v>7957516.746438903</v>
      </c>
      <c r="I6442" s="6" t="s">
        <v>179</v>
      </c>
      <c r="J6442" s="15">
        <v>47.875</v>
      </c>
    </row>
    <row r="6443" spans="1:10">
      <c r="A6443" s="6" t="s">
        <v>148</v>
      </c>
      <c r="B6443" s="6" t="s">
        <v>44</v>
      </c>
      <c r="C6443" s="6" t="s">
        <v>227</v>
      </c>
      <c r="D6443" s="6">
        <v>167.0733333333333</v>
      </c>
      <c r="E6443" s="6" t="s">
        <v>190</v>
      </c>
      <c r="F6443" s="6" t="s">
        <v>57</v>
      </c>
      <c r="G6443" s="7">
        <v>47608.30251275475</v>
      </c>
      <c r="H6443" s="6">
        <v>7954077.795147645</v>
      </c>
      <c r="I6443" s="6" t="s">
        <v>179</v>
      </c>
      <c r="J6443" s="15">
        <v>51.93333333333333</v>
      </c>
    </row>
    <row r="6444" spans="1:10">
      <c r="A6444" s="6" t="s">
        <v>148</v>
      </c>
      <c r="B6444" s="6" t="s">
        <v>44</v>
      </c>
      <c r="C6444" s="6" t="s">
        <v>228</v>
      </c>
      <c r="D6444" s="6">
        <v>0.331</v>
      </c>
      <c r="E6444" s="6" t="s">
        <v>190</v>
      </c>
      <c r="F6444" s="6" t="s">
        <v>51</v>
      </c>
      <c r="G6444" s="7">
        <v>36404.73502976458</v>
      </c>
      <c r="H6444" s="6">
        <v>12049.96729485208</v>
      </c>
      <c r="I6444" s="6" t="s">
        <v>179</v>
      </c>
      <c r="J6444" s="15">
        <v>21</v>
      </c>
    </row>
    <row r="6445" spans="1:10">
      <c r="A6445" s="6" t="s">
        <v>148</v>
      </c>
      <c r="B6445" s="6" t="s">
        <v>86</v>
      </c>
      <c r="C6445" s="6" t="s">
        <v>229</v>
      </c>
      <c r="D6445" s="6">
        <v>17.94383333333333</v>
      </c>
      <c r="E6445" s="6" t="s">
        <v>190</v>
      </c>
      <c r="F6445" s="6" t="s">
        <v>53</v>
      </c>
      <c r="G6445" s="7">
        <v>21180.73880713652</v>
      </c>
      <c r="H6445" s="6">
        <v>380063.6470321231</v>
      </c>
      <c r="I6445" s="6" t="s">
        <v>179</v>
      </c>
      <c r="J6445" s="15">
        <v>5</v>
      </c>
    </row>
    <row r="6446" spans="1:10">
      <c r="A6446" s="6" t="s">
        <v>148</v>
      </c>
      <c r="B6446" s="6" t="s">
        <v>90</v>
      </c>
      <c r="C6446" s="6" t="s">
        <v>230</v>
      </c>
      <c r="D6446" s="6">
        <v>114.8776666666667</v>
      </c>
      <c r="E6446" s="6" t="s">
        <v>190</v>
      </c>
      <c r="F6446" s="6" t="s">
        <v>53</v>
      </c>
      <c r="G6446" s="7">
        <v>26357.64880300622</v>
      </c>
      <c r="H6446" s="6">
        <v>3027905.193308814</v>
      </c>
      <c r="I6446" s="6" t="s">
        <v>179</v>
      </c>
      <c r="J6446" s="15">
        <v>20</v>
      </c>
    </row>
    <row r="6447" spans="1:10">
      <c r="A6447" s="6" t="s">
        <v>148</v>
      </c>
      <c r="B6447" s="6" t="s">
        <v>44</v>
      </c>
      <c r="C6447" s="6" t="s">
        <v>232</v>
      </c>
      <c r="D6447" s="6">
        <v>0.2446666666666666</v>
      </c>
      <c r="E6447" s="6" t="s">
        <v>190</v>
      </c>
      <c r="F6447" s="6" t="s">
        <v>51</v>
      </c>
      <c r="G6447" s="7">
        <v>28201.41411980885</v>
      </c>
      <c r="H6447" s="6">
        <v>6899.945987979899</v>
      </c>
      <c r="I6447" s="6" t="s">
        <v>179</v>
      </c>
      <c r="J6447" s="15">
        <v>20</v>
      </c>
    </row>
    <row r="6448" spans="1:10">
      <c r="A6448" s="6" t="s">
        <v>148</v>
      </c>
      <c r="B6448" s="6" t="s">
        <v>44</v>
      </c>
      <c r="C6448" s="6" t="s">
        <v>234</v>
      </c>
      <c r="D6448" s="6">
        <v>3.101833333333333</v>
      </c>
      <c r="E6448" s="6" t="s">
        <v>190</v>
      </c>
      <c r="F6448" s="6" t="s">
        <v>56</v>
      </c>
      <c r="G6448" s="7">
        <v>60675.69596540061</v>
      </c>
      <c r="H6448" s="6">
        <v>188205.8962686785</v>
      </c>
      <c r="I6448" s="6" t="s">
        <v>179</v>
      </c>
      <c r="J6448" s="15">
        <v>37.40833333333333</v>
      </c>
    </row>
    <row r="6449" spans="1:10">
      <c r="A6449" s="6" t="s">
        <v>148</v>
      </c>
      <c r="B6449" s="6" t="s">
        <v>44</v>
      </c>
      <c r="C6449" s="6" t="s">
        <v>236</v>
      </c>
      <c r="D6449" s="6">
        <v>490.58025</v>
      </c>
      <c r="E6449" s="6" t="s">
        <v>190</v>
      </c>
      <c r="F6449" s="6" t="s">
        <v>51</v>
      </c>
      <c r="G6449" s="7">
        <v>16875.52434086435</v>
      </c>
      <c r="H6449" s="6">
        <v>8278798.950022321</v>
      </c>
      <c r="I6449" s="6" t="s">
        <v>179</v>
      </c>
      <c r="J6449" s="15">
        <v>16.31666666666667</v>
      </c>
    </row>
    <row r="6450" spans="1:10">
      <c r="A6450" s="6" t="s">
        <v>148</v>
      </c>
      <c r="B6450" s="6" t="s">
        <v>44</v>
      </c>
      <c r="C6450" s="6" t="s">
        <v>237</v>
      </c>
      <c r="D6450" s="6">
        <v>1.8105</v>
      </c>
      <c r="E6450" s="6" t="s">
        <v>190</v>
      </c>
      <c r="F6450" s="6" t="s">
        <v>51</v>
      </c>
      <c r="G6450" s="7">
        <v>25931.08338799715</v>
      </c>
      <c r="H6450" s="6">
        <v>46948.22647396885</v>
      </c>
      <c r="I6450" s="6" t="s">
        <v>179</v>
      </c>
      <c r="J6450" s="15">
        <v>20</v>
      </c>
    </row>
    <row r="6451" spans="1:10">
      <c r="A6451" s="6" t="s">
        <v>148</v>
      </c>
      <c r="B6451" s="6" t="s">
        <v>90</v>
      </c>
      <c r="C6451" s="6" t="s">
        <v>239</v>
      </c>
      <c r="D6451" s="6">
        <v>86.55083333333333</v>
      </c>
      <c r="E6451" s="6" t="s">
        <v>190</v>
      </c>
      <c r="F6451" s="6" t="s">
        <v>54</v>
      </c>
      <c r="G6451" s="7">
        <v>77876.19751626256</v>
      </c>
      <c r="H6451" s="6">
        <v>6740249.791863788</v>
      </c>
      <c r="I6451" s="6" t="s">
        <v>179</v>
      </c>
      <c r="J6451" s="15">
        <v>17.61605692581799</v>
      </c>
    </row>
    <row r="6452" spans="1:10">
      <c r="A6452" s="6" t="s">
        <v>148</v>
      </c>
      <c r="B6452" s="6" t="s">
        <v>44</v>
      </c>
      <c r="C6452" s="6" t="s">
        <v>240</v>
      </c>
      <c r="D6452" s="6">
        <v>1.1185</v>
      </c>
      <c r="E6452" s="6" t="s">
        <v>190</v>
      </c>
      <c r="F6452" s="6" t="s">
        <v>51</v>
      </c>
      <c r="G6452" s="7">
        <v>18174.39388396715</v>
      </c>
      <c r="H6452" s="6">
        <v>20328.05955921726</v>
      </c>
      <c r="I6452" s="6" t="s">
        <v>179</v>
      </c>
      <c r="J6452" s="15">
        <v>18</v>
      </c>
    </row>
    <row r="6453" spans="1:10">
      <c r="A6453" s="6" t="s">
        <v>148</v>
      </c>
      <c r="B6453" s="6" t="s">
        <v>90</v>
      </c>
      <c r="C6453" s="6" t="s">
        <v>241</v>
      </c>
      <c r="D6453" s="6">
        <v>122.06675</v>
      </c>
      <c r="E6453" s="6" t="s">
        <v>190</v>
      </c>
      <c r="F6453" s="6" t="s">
        <v>53</v>
      </c>
      <c r="G6453" s="7">
        <v>26388.49277067184</v>
      </c>
      <c r="H6453" s="6">
        <v>3221157.549914407</v>
      </c>
      <c r="I6453" s="6" t="s">
        <v>179</v>
      </c>
      <c r="J6453" s="15">
        <v>14.36666666666667</v>
      </c>
    </row>
    <row r="6454" spans="1:10">
      <c r="A6454" s="6" t="s">
        <v>148</v>
      </c>
      <c r="B6454" s="6" t="s">
        <v>44</v>
      </c>
      <c r="C6454" s="6" t="s">
        <v>242</v>
      </c>
      <c r="D6454" s="6">
        <v>0.01366666666666667</v>
      </c>
      <c r="E6454" s="6" t="s">
        <v>190</v>
      </c>
      <c r="F6454" s="6" t="s">
        <v>56</v>
      </c>
      <c r="G6454" s="7">
        <v>41454.84700212286</v>
      </c>
      <c r="H6454" s="6">
        <v>566.5495756956792</v>
      </c>
      <c r="I6454" s="6" t="s">
        <v>179</v>
      </c>
      <c r="J6454" s="15">
        <v>28.81666666666667</v>
      </c>
    </row>
    <row r="6455" spans="1:10">
      <c r="A6455" s="6" t="s">
        <v>148</v>
      </c>
      <c r="B6455" s="6" t="s">
        <v>44</v>
      </c>
      <c r="C6455" s="6" t="s">
        <v>244</v>
      </c>
      <c r="D6455" s="6">
        <v>0.211</v>
      </c>
      <c r="E6455" s="6" t="s">
        <v>190</v>
      </c>
      <c r="F6455" s="6" t="s">
        <v>55</v>
      </c>
      <c r="G6455" s="7">
        <v>48324.15434814322</v>
      </c>
      <c r="H6455" s="6">
        <v>10196.39656745822</v>
      </c>
      <c r="I6455" s="6" t="s">
        <v>180</v>
      </c>
      <c r="J6455" s="15">
        <v>25.75</v>
      </c>
    </row>
    <row r="6456" spans="1:10">
      <c r="A6456" s="6" t="s">
        <v>148</v>
      </c>
      <c r="B6456" s="6" t="s">
        <v>90</v>
      </c>
      <c r="C6456" s="6" t="s">
        <v>245</v>
      </c>
      <c r="D6456" s="6">
        <v>175.5323333333333</v>
      </c>
      <c r="E6456" s="6" t="s">
        <v>190</v>
      </c>
      <c r="F6456" s="6" t="s">
        <v>53</v>
      </c>
      <c r="G6456" s="7">
        <v>15981.96816829709</v>
      </c>
      <c r="H6456" s="6">
        <v>2805352.163840248</v>
      </c>
      <c r="I6456" s="6" t="s">
        <v>179</v>
      </c>
      <c r="J6456" s="15">
        <v>38</v>
      </c>
    </row>
    <row r="6457" spans="1:10">
      <c r="A6457" s="6" t="s">
        <v>148</v>
      </c>
      <c r="B6457" s="6" t="s">
        <v>44</v>
      </c>
      <c r="C6457" s="6" t="s">
        <v>348</v>
      </c>
      <c r="D6457" s="6">
        <v>1.770833333333333</v>
      </c>
      <c r="E6457" s="6" t="s">
        <v>190</v>
      </c>
      <c r="F6457" s="6" t="s">
        <v>52</v>
      </c>
      <c r="G6457" s="7">
        <v>64169.74384104699</v>
      </c>
      <c r="H6457" s="6">
        <v>113633.9213851874</v>
      </c>
      <c r="I6457" s="6" t="s">
        <v>180</v>
      </c>
      <c r="J6457" s="15">
        <v>17.01155042897912</v>
      </c>
    </row>
    <row r="6458" spans="1:10">
      <c r="A6458" s="6" t="s">
        <v>148</v>
      </c>
      <c r="B6458" s="6" t="s">
        <v>44</v>
      </c>
      <c r="C6458" s="6" t="s">
        <v>247</v>
      </c>
      <c r="D6458" s="6">
        <v>83.88158333333334</v>
      </c>
      <c r="E6458" s="6" t="s">
        <v>190</v>
      </c>
      <c r="F6458" s="6" t="s">
        <v>51</v>
      </c>
      <c r="G6458" s="7">
        <v>30572.38239922268</v>
      </c>
      <c r="H6458" s="6">
        <v>2564459.841918931</v>
      </c>
      <c r="I6458" s="6" t="s">
        <v>179</v>
      </c>
      <c r="J6458" s="15">
        <v>25.55</v>
      </c>
    </row>
    <row r="6459" spans="1:10">
      <c r="A6459" s="6" t="s">
        <v>148</v>
      </c>
      <c r="B6459" s="6" t="s">
        <v>86</v>
      </c>
      <c r="C6459" s="6" t="s">
        <v>249</v>
      </c>
      <c r="D6459" s="6">
        <v>510.8158333333333</v>
      </c>
      <c r="E6459" s="6" t="s">
        <v>190</v>
      </c>
      <c r="F6459" s="6" t="s">
        <v>53</v>
      </c>
      <c r="G6459" s="7">
        <v>26147.16905457934</v>
      </c>
      <c r="H6459" s="6">
        <v>13356387.94992249</v>
      </c>
      <c r="I6459" s="6" t="s">
        <v>179</v>
      </c>
      <c r="J6459" s="15">
        <v>8</v>
      </c>
    </row>
    <row r="6460" spans="1:10">
      <c r="A6460" s="6" t="s">
        <v>148</v>
      </c>
      <c r="B6460" s="6" t="s">
        <v>90</v>
      </c>
      <c r="C6460" s="6" t="s">
        <v>351</v>
      </c>
      <c r="D6460" s="6">
        <v>13.6555</v>
      </c>
      <c r="E6460" s="6" t="s">
        <v>190</v>
      </c>
      <c r="F6460" s="6" t="s">
        <v>53</v>
      </c>
      <c r="G6460" s="7">
        <v>38920.81072942021</v>
      </c>
      <c r="H6460" s="6">
        <v>531483.1309155977</v>
      </c>
      <c r="I6460" s="6" t="s">
        <v>180</v>
      </c>
      <c r="J6460" s="15">
        <v>57</v>
      </c>
    </row>
    <row r="6461" spans="1:10">
      <c r="A6461" s="6" t="s">
        <v>148</v>
      </c>
      <c r="B6461" s="6" t="s">
        <v>90</v>
      </c>
      <c r="C6461" s="6" t="s">
        <v>251</v>
      </c>
      <c r="D6461" s="6">
        <v>0.8452500000000001</v>
      </c>
      <c r="E6461" s="6" t="s">
        <v>190</v>
      </c>
      <c r="F6461" s="6" t="s">
        <v>53</v>
      </c>
      <c r="G6461" s="7">
        <v>23642.19568206914</v>
      </c>
      <c r="H6461" s="6">
        <v>19983.56590026894</v>
      </c>
      <c r="I6461" s="6" t="s">
        <v>179</v>
      </c>
      <c r="J6461" s="15">
        <v>18.675</v>
      </c>
    </row>
    <row r="6462" spans="1:10">
      <c r="A6462" s="6" t="s">
        <v>148</v>
      </c>
      <c r="B6462" s="6" t="s">
        <v>90</v>
      </c>
      <c r="C6462" s="6" t="s">
        <v>253</v>
      </c>
      <c r="D6462" s="6">
        <v>366.5180833333333</v>
      </c>
      <c r="E6462" s="6" t="s">
        <v>190</v>
      </c>
      <c r="F6462" s="6" t="s">
        <v>53</v>
      </c>
      <c r="G6462" s="7">
        <v>32446.79249986879</v>
      </c>
      <c r="H6462" s="6">
        <v>11892336.19736628</v>
      </c>
      <c r="I6462" s="6" t="s">
        <v>179</v>
      </c>
      <c r="J6462" s="15">
        <v>16</v>
      </c>
    </row>
    <row r="6463" spans="1:10">
      <c r="A6463" s="6" t="s">
        <v>148</v>
      </c>
      <c r="B6463" s="6" t="s">
        <v>92</v>
      </c>
      <c r="C6463" s="6" t="s">
        <v>254</v>
      </c>
      <c r="D6463" s="6">
        <v>0.07308333333333333</v>
      </c>
      <c r="E6463" s="6" t="s">
        <v>190</v>
      </c>
      <c r="F6463" s="6" t="s">
        <v>51</v>
      </c>
      <c r="G6463" s="7">
        <v>46071.76246643075</v>
      </c>
      <c r="H6463" s="6">
        <v>3367.077973588314</v>
      </c>
      <c r="I6463" s="6" t="s">
        <v>180</v>
      </c>
      <c r="J6463" s="15">
        <v>10.48991653726593</v>
      </c>
    </row>
    <row r="6464" spans="1:10">
      <c r="A6464" s="6" t="s">
        <v>148</v>
      </c>
      <c r="B6464" s="6" t="s">
        <v>44</v>
      </c>
      <c r="C6464" s="6" t="s">
        <v>260</v>
      </c>
      <c r="D6464" s="6">
        <v>846.7019166666666</v>
      </c>
      <c r="E6464" s="6" t="s">
        <v>190</v>
      </c>
      <c r="F6464" s="6" t="s">
        <v>52</v>
      </c>
      <c r="G6464" s="7">
        <v>54560.56274648917</v>
      </c>
      <c r="H6464" s="6">
        <v>46196533.05186431</v>
      </c>
      <c r="I6464" s="6" t="s">
        <v>179</v>
      </c>
      <c r="J6464" s="15">
        <v>53</v>
      </c>
    </row>
    <row r="6465" spans="1:10">
      <c r="A6465" s="6" t="s">
        <v>148</v>
      </c>
      <c r="B6465" s="6" t="s">
        <v>86</v>
      </c>
      <c r="C6465" s="6" t="s">
        <v>265</v>
      </c>
      <c r="D6465" s="6">
        <v>41.3355</v>
      </c>
      <c r="E6465" s="6" t="s">
        <v>190</v>
      </c>
      <c r="F6465" s="6" t="s">
        <v>54</v>
      </c>
      <c r="G6465" s="7">
        <v>88690.92662794892</v>
      </c>
      <c r="H6465" s="6">
        <v>3666083.797629583</v>
      </c>
      <c r="I6465" s="6" t="s">
        <v>179</v>
      </c>
      <c r="J6465" s="15">
        <v>70.31666666666666</v>
      </c>
    </row>
    <row r="6466" spans="1:10">
      <c r="A6466" s="6" t="s">
        <v>148</v>
      </c>
      <c r="B6466" s="6" t="s">
        <v>44</v>
      </c>
      <c r="C6466" s="6" t="s">
        <v>266</v>
      </c>
      <c r="D6466" s="6">
        <v>236.2273333333333</v>
      </c>
      <c r="E6466" s="6" t="s">
        <v>190</v>
      </c>
      <c r="F6466" s="6" t="s">
        <v>57</v>
      </c>
      <c r="G6466" s="7">
        <v>50415.37206732162</v>
      </c>
      <c r="H6466" s="6">
        <v>11909488.90247121</v>
      </c>
      <c r="I6466" s="6" t="s">
        <v>179</v>
      </c>
      <c r="J6466" s="15">
        <v>51.35</v>
      </c>
    </row>
    <row r="6467" spans="1:10">
      <c r="A6467" s="6" t="s">
        <v>148</v>
      </c>
      <c r="B6467" s="6" t="s">
        <v>86</v>
      </c>
      <c r="C6467" s="6" t="s">
        <v>267</v>
      </c>
      <c r="D6467" s="6">
        <v>741.489</v>
      </c>
      <c r="E6467" s="6" t="s">
        <v>190</v>
      </c>
      <c r="F6467" s="6" t="s">
        <v>53</v>
      </c>
      <c r="G6467" s="7">
        <v>29372.68127915858</v>
      </c>
      <c r="H6467" s="6">
        <v>21779520.06900202</v>
      </c>
      <c r="I6467" s="6" t="s">
        <v>179</v>
      </c>
      <c r="J6467" s="15">
        <v>8</v>
      </c>
    </row>
    <row r="6468" spans="1:10">
      <c r="A6468" s="6" t="s">
        <v>148</v>
      </c>
      <c r="B6468" s="6" t="s">
        <v>88</v>
      </c>
      <c r="C6468" s="6" t="s">
        <v>271</v>
      </c>
      <c r="D6468" s="6">
        <v>122.8404166666667</v>
      </c>
      <c r="E6468" s="6" t="s">
        <v>190</v>
      </c>
      <c r="F6468" s="6" t="s">
        <v>54</v>
      </c>
      <c r="G6468" s="7">
        <v>41071.74894263604</v>
      </c>
      <c r="H6468" s="6">
        <v>5045270.753342137</v>
      </c>
      <c r="I6468" s="6" t="s">
        <v>180</v>
      </c>
      <c r="J6468" s="15">
        <v>20.89086954089749</v>
      </c>
    </row>
    <row r="6469" spans="1:10">
      <c r="A6469" s="6" t="s">
        <v>148</v>
      </c>
      <c r="B6469" s="6" t="s">
        <v>44</v>
      </c>
      <c r="C6469" s="6" t="s">
        <v>272</v>
      </c>
      <c r="D6469" s="6">
        <v>1.812083333333333</v>
      </c>
      <c r="E6469" s="6" t="s">
        <v>190</v>
      </c>
      <c r="F6469" s="6" t="s">
        <v>51</v>
      </c>
      <c r="G6469" s="7">
        <v>25556.23235325186</v>
      </c>
      <c r="H6469" s="6">
        <v>46310.0227101218</v>
      </c>
      <c r="I6469" s="6" t="s">
        <v>179</v>
      </c>
      <c r="J6469" s="15">
        <v>19</v>
      </c>
    </row>
    <row r="6470" spans="1:10">
      <c r="A6470" s="6" t="s">
        <v>148</v>
      </c>
      <c r="B6470" s="6" t="s">
        <v>92</v>
      </c>
      <c r="C6470" s="6" t="s">
        <v>273</v>
      </c>
      <c r="D6470" s="6">
        <v>302.27825</v>
      </c>
      <c r="E6470" s="6" t="s">
        <v>190</v>
      </c>
      <c r="F6470" s="6" t="s">
        <v>51</v>
      </c>
      <c r="G6470" s="7">
        <v>39415.32644745876</v>
      </c>
      <c r="H6470" s="6">
        <v>11914395.90171655</v>
      </c>
      <c r="I6470" s="6" t="s">
        <v>179</v>
      </c>
      <c r="J6470" s="15">
        <v>27</v>
      </c>
    </row>
    <row r="6471" spans="1:10">
      <c r="A6471" s="6" t="s">
        <v>148</v>
      </c>
      <c r="B6471" s="6" t="s">
        <v>92</v>
      </c>
      <c r="C6471" s="6" t="s">
        <v>278</v>
      </c>
      <c r="D6471" s="6">
        <v>2.005333333333333</v>
      </c>
      <c r="E6471" s="6" t="s">
        <v>190</v>
      </c>
      <c r="F6471" s="6" t="s">
        <v>55</v>
      </c>
      <c r="G6471" s="7">
        <v>30336.77880022909</v>
      </c>
      <c r="H6471" s="6">
        <v>60835.3537540594</v>
      </c>
      <c r="I6471" s="6" t="s">
        <v>179</v>
      </c>
      <c r="J6471" s="15">
        <v>14</v>
      </c>
    </row>
    <row r="6472" spans="1:10">
      <c r="A6472" s="6" t="s">
        <v>148</v>
      </c>
      <c r="B6472" s="6" t="s">
        <v>92</v>
      </c>
      <c r="C6472" s="6" t="s">
        <v>280</v>
      </c>
      <c r="D6472" s="6">
        <v>152.2580833333333</v>
      </c>
      <c r="E6472" s="6" t="s">
        <v>190</v>
      </c>
      <c r="F6472" s="6" t="s">
        <v>55</v>
      </c>
      <c r="G6472" s="7">
        <v>58368.69681371454</v>
      </c>
      <c r="H6472" s="6">
        <v>8887105.903520618</v>
      </c>
      <c r="I6472" s="6" t="s">
        <v>179</v>
      </c>
      <c r="J6472" s="15">
        <v>52.875</v>
      </c>
    </row>
    <row r="6473" spans="1:10">
      <c r="A6473" s="6" t="s">
        <v>148</v>
      </c>
      <c r="B6473" s="6" t="s">
        <v>92</v>
      </c>
      <c r="C6473" s="6" t="s">
        <v>281</v>
      </c>
      <c r="D6473" s="6">
        <v>172.17025</v>
      </c>
      <c r="E6473" s="6" t="s">
        <v>190</v>
      </c>
      <c r="F6473" s="6" t="s">
        <v>57</v>
      </c>
      <c r="G6473" s="7">
        <v>47725.16793448776</v>
      </c>
      <c r="H6473" s="6">
        <v>8216854.094572742</v>
      </c>
      <c r="I6473" s="6" t="s">
        <v>179</v>
      </c>
      <c r="J6473" s="15">
        <v>36</v>
      </c>
    </row>
    <row r="6474" spans="1:10">
      <c r="A6474" s="6" t="s">
        <v>148</v>
      </c>
      <c r="B6474" s="6" t="s">
        <v>92</v>
      </c>
      <c r="C6474" s="6" t="s">
        <v>283</v>
      </c>
      <c r="D6474" s="6">
        <v>0.3561666666666666</v>
      </c>
      <c r="E6474" s="6" t="s">
        <v>190</v>
      </c>
      <c r="F6474" s="6" t="s">
        <v>51</v>
      </c>
      <c r="G6474" s="7">
        <v>40169.43882543561</v>
      </c>
      <c r="H6474" s="6">
        <v>14307.01512832598</v>
      </c>
      <c r="I6474" s="6" t="s">
        <v>179</v>
      </c>
      <c r="J6474" s="15">
        <v>27.40833333333333</v>
      </c>
    </row>
    <row r="6475" spans="1:10">
      <c r="A6475" s="6" t="s">
        <v>148</v>
      </c>
      <c r="B6475" s="6" t="s">
        <v>92</v>
      </c>
      <c r="C6475" s="6" t="s">
        <v>284</v>
      </c>
      <c r="D6475" s="6">
        <v>19.43225</v>
      </c>
      <c r="E6475" s="6" t="s">
        <v>190</v>
      </c>
      <c r="F6475" s="6" t="s">
        <v>55</v>
      </c>
      <c r="G6475" s="7">
        <v>36138.38846146646</v>
      </c>
      <c r="H6475" s="6">
        <v>702250.1991803317</v>
      </c>
      <c r="I6475" s="6" t="s">
        <v>179</v>
      </c>
      <c r="J6475" s="15">
        <v>40.2</v>
      </c>
    </row>
    <row r="6476" spans="1:10">
      <c r="A6476" s="6" t="s">
        <v>148</v>
      </c>
      <c r="B6476" s="6" t="s">
        <v>44</v>
      </c>
      <c r="C6476" s="6" t="s">
        <v>289</v>
      </c>
      <c r="D6476" s="6">
        <v>447.29975</v>
      </c>
      <c r="E6476" s="6" t="s">
        <v>190</v>
      </c>
      <c r="F6476" s="6" t="s">
        <v>52</v>
      </c>
      <c r="G6476" s="7">
        <v>53667.82982646869</v>
      </c>
      <c r="H6476" s="6">
        <v>24005606.86442199</v>
      </c>
      <c r="I6476" s="6" t="s">
        <v>179</v>
      </c>
      <c r="J6476" s="15">
        <v>70</v>
      </c>
    </row>
    <row r="6477" spans="1:10">
      <c r="A6477" s="6" t="s">
        <v>148</v>
      </c>
      <c r="B6477" s="6" t="s">
        <v>88</v>
      </c>
      <c r="C6477" s="6" t="s">
        <v>292</v>
      </c>
      <c r="D6477" s="6">
        <v>19.68991666666667</v>
      </c>
      <c r="E6477" s="6" t="s">
        <v>190</v>
      </c>
      <c r="F6477" s="6" t="s">
        <v>54</v>
      </c>
      <c r="G6477" s="7">
        <v>57587.50593880366</v>
      </c>
      <c r="H6477" s="6">
        <v>1133893.192976216</v>
      </c>
      <c r="I6477" s="6" t="s">
        <v>180</v>
      </c>
      <c r="J6477" s="15">
        <v>32.00999367735827</v>
      </c>
    </row>
    <row r="6478" spans="1:10">
      <c r="A6478" s="6" t="s">
        <v>148</v>
      </c>
      <c r="B6478" s="6" t="s">
        <v>44</v>
      </c>
      <c r="C6478" s="6" t="s">
        <v>293</v>
      </c>
      <c r="D6478" s="6">
        <v>13.19275</v>
      </c>
      <c r="E6478" s="6" t="s">
        <v>190</v>
      </c>
      <c r="F6478" s="6" t="s">
        <v>53</v>
      </c>
      <c r="G6478" s="7">
        <v>36013.86577983866</v>
      </c>
      <c r="H6478" s="6">
        <v>475121.9277669665</v>
      </c>
      <c r="I6478" s="6" t="s">
        <v>179</v>
      </c>
      <c r="J6478" s="15">
        <v>16</v>
      </c>
    </row>
    <row r="6479" spans="1:10">
      <c r="A6479" s="6" t="s">
        <v>148</v>
      </c>
      <c r="B6479" s="6" t="s">
        <v>90</v>
      </c>
      <c r="C6479" s="6" t="s">
        <v>295</v>
      </c>
      <c r="D6479" s="6">
        <v>98.871</v>
      </c>
      <c r="E6479" s="6" t="s">
        <v>190</v>
      </c>
      <c r="F6479" s="6" t="s">
        <v>53</v>
      </c>
      <c r="G6479" s="7">
        <v>29529.16394109224</v>
      </c>
      <c r="H6479" s="6">
        <v>2919577.96801973</v>
      </c>
      <c r="I6479" s="6" t="s">
        <v>179</v>
      </c>
      <c r="J6479" s="15">
        <v>15</v>
      </c>
    </row>
    <row r="6480" spans="1:10">
      <c r="A6480" s="6" t="s">
        <v>148</v>
      </c>
      <c r="B6480" s="6" t="s">
        <v>92</v>
      </c>
      <c r="C6480" s="6" t="s">
        <v>296</v>
      </c>
      <c r="D6480" s="6">
        <v>265.0928333333333</v>
      </c>
      <c r="E6480" s="6" t="s">
        <v>190</v>
      </c>
      <c r="F6480" s="6" t="s">
        <v>61</v>
      </c>
      <c r="G6480" s="7">
        <v>53088.58925206317</v>
      </c>
      <c r="H6480" s="6">
        <v>14073404.54249897</v>
      </c>
      <c r="I6480" s="6" t="s">
        <v>179</v>
      </c>
      <c r="J6480" s="15">
        <v>21</v>
      </c>
    </row>
    <row r="6481" spans="1:10">
      <c r="A6481" s="6" t="s">
        <v>148</v>
      </c>
      <c r="B6481" s="6" t="s">
        <v>44</v>
      </c>
      <c r="C6481" s="6" t="s">
        <v>298</v>
      </c>
      <c r="D6481" s="6">
        <v>3.032583333333333</v>
      </c>
      <c r="E6481" s="6" t="s">
        <v>190</v>
      </c>
      <c r="F6481" s="6" t="s">
        <v>56</v>
      </c>
      <c r="G6481" s="7">
        <v>36500.00929252619</v>
      </c>
      <c r="H6481" s="6">
        <v>110689.3198470267</v>
      </c>
      <c r="I6481" s="6" t="s">
        <v>179</v>
      </c>
      <c r="J6481" s="15">
        <v>21</v>
      </c>
    </row>
    <row r="6482" spans="1:10">
      <c r="A6482" s="6" t="s">
        <v>148</v>
      </c>
      <c r="B6482" s="6" t="s">
        <v>44</v>
      </c>
      <c r="C6482" s="6" t="s">
        <v>304</v>
      </c>
      <c r="D6482" s="6">
        <v>6.078166666666665</v>
      </c>
      <c r="E6482" s="6" t="s">
        <v>190</v>
      </c>
      <c r="F6482" s="6" t="s">
        <v>52</v>
      </c>
      <c r="G6482" s="7">
        <v>50330.3901944117</v>
      </c>
      <c r="H6482" s="6">
        <v>305916.5</v>
      </c>
      <c r="I6482" s="6" t="s">
        <v>179</v>
      </c>
      <c r="J6482" s="15">
        <v>49.75</v>
      </c>
    </row>
    <row r="6483" spans="1:10">
      <c r="A6483" s="6" t="s">
        <v>148</v>
      </c>
      <c r="B6483" s="6" t="s">
        <v>86</v>
      </c>
      <c r="C6483" s="6" t="s">
        <v>361</v>
      </c>
      <c r="D6483" s="6">
        <v>9.05275</v>
      </c>
      <c r="E6483" s="6" t="s">
        <v>190</v>
      </c>
      <c r="F6483" s="6" t="s">
        <v>52</v>
      </c>
      <c r="G6483" s="7">
        <v>58941.63635603187</v>
      </c>
      <c r="H6483" s="6">
        <v>533583.8985220675</v>
      </c>
      <c r="I6483" s="6" t="s">
        <v>179</v>
      </c>
      <c r="J6483" s="15">
        <v>64.18333333333334</v>
      </c>
    </row>
    <row r="6484" spans="1:10">
      <c r="A6484" s="6" t="s">
        <v>148</v>
      </c>
      <c r="B6484" s="6" t="s">
        <v>88</v>
      </c>
      <c r="C6484" s="6" t="s">
        <v>305</v>
      </c>
      <c r="D6484" s="6">
        <v>177.2926666666667</v>
      </c>
      <c r="E6484" s="6" t="s">
        <v>190</v>
      </c>
      <c r="F6484" s="6" t="s">
        <v>54</v>
      </c>
      <c r="G6484" s="7">
        <v>54240.54060127008</v>
      </c>
      <c r="H6484" s="6">
        <v>9616450.084640775</v>
      </c>
      <c r="I6484" s="6" t="s">
        <v>180</v>
      </c>
      <c r="J6484" s="15">
        <v>29.75667140595994</v>
      </c>
    </row>
    <row r="6485" spans="1:10">
      <c r="A6485" s="6" t="s">
        <v>148</v>
      </c>
      <c r="B6485" s="6" t="s">
        <v>86</v>
      </c>
      <c r="C6485" s="6" t="s">
        <v>362</v>
      </c>
      <c r="D6485" s="6">
        <v>0.4080000000000001</v>
      </c>
      <c r="E6485" s="6" t="s">
        <v>190</v>
      </c>
      <c r="F6485" s="6" t="s">
        <v>52</v>
      </c>
      <c r="G6485" s="7">
        <v>57401.5078649952</v>
      </c>
      <c r="H6485" s="6">
        <v>23419.81520891805</v>
      </c>
      <c r="I6485" s="6" t="s">
        <v>179</v>
      </c>
      <c r="J6485" s="15">
        <v>50.76666666666667</v>
      </c>
    </row>
    <row r="6486" spans="1:10">
      <c r="A6486" s="6" t="s">
        <v>148</v>
      </c>
      <c r="B6486" s="6" t="s">
        <v>90</v>
      </c>
      <c r="C6486" s="6" t="s">
        <v>309</v>
      </c>
      <c r="D6486" s="6">
        <v>1121.047083333333</v>
      </c>
      <c r="E6486" s="6" t="s">
        <v>190</v>
      </c>
      <c r="F6486" s="6" t="s">
        <v>52</v>
      </c>
      <c r="G6486" s="7">
        <v>73075.41331885532</v>
      </c>
      <c r="H6486" s="6">
        <v>81920978.96448058</v>
      </c>
      <c r="I6486" s="6" t="s">
        <v>179</v>
      </c>
      <c r="J6486" s="15">
        <v>52</v>
      </c>
    </row>
    <row r="6487" spans="1:10">
      <c r="A6487" s="6" t="s">
        <v>148</v>
      </c>
      <c r="B6487" s="6" t="s">
        <v>90</v>
      </c>
      <c r="C6487" s="6" t="s">
        <v>310</v>
      </c>
      <c r="D6487" s="6">
        <v>256.7923333333333</v>
      </c>
      <c r="E6487" s="6" t="s">
        <v>190</v>
      </c>
      <c r="F6487" s="6" t="s">
        <v>52</v>
      </c>
      <c r="G6487" s="7">
        <v>72589.43692380768</v>
      </c>
      <c r="H6487" s="6">
        <v>18640410.88301739</v>
      </c>
      <c r="I6487" s="6" t="s">
        <v>179</v>
      </c>
      <c r="J6487" s="15">
        <v>75.54166666666666</v>
      </c>
    </row>
    <row r="6488" spans="1:10">
      <c r="A6488" s="6" t="s">
        <v>148</v>
      </c>
      <c r="B6488" s="6" t="s">
        <v>92</v>
      </c>
      <c r="C6488" s="6" t="s">
        <v>312</v>
      </c>
      <c r="D6488" s="6">
        <v>39.1665</v>
      </c>
      <c r="E6488" s="6" t="s">
        <v>190</v>
      </c>
      <c r="F6488" s="6" t="s">
        <v>54</v>
      </c>
      <c r="G6488" s="7">
        <v>76542.49786788689</v>
      </c>
      <c r="H6488" s="6">
        <v>2997901.742742592</v>
      </c>
      <c r="I6488" s="6" t="s">
        <v>180</v>
      </c>
      <c r="J6488" s="15">
        <v>21.89886251121246</v>
      </c>
    </row>
    <row r="6489" spans="1:10">
      <c r="A6489" s="6" t="s">
        <v>148</v>
      </c>
      <c r="B6489" s="6" t="s">
        <v>44</v>
      </c>
      <c r="C6489" s="6" t="s">
        <v>313</v>
      </c>
      <c r="D6489" s="6">
        <v>49.223</v>
      </c>
      <c r="E6489" s="6" t="s">
        <v>190</v>
      </c>
      <c r="F6489" s="6" t="s">
        <v>51</v>
      </c>
      <c r="G6489" s="7">
        <v>28821.66810714348</v>
      </c>
      <c r="H6489" s="6">
        <v>1418688.969237924</v>
      </c>
      <c r="I6489" s="6" t="s">
        <v>179</v>
      </c>
      <c r="J6489" s="15">
        <v>17</v>
      </c>
    </row>
    <row r="6490" spans="1:10">
      <c r="A6490" s="6" t="s">
        <v>148</v>
      </c>
      <c r="B6490" s="6" t="s">
        <v>44</v>
      </c>
      <c r="C6490" s="6" t="s">
        <v>314</v>
      </c>
      <c r="D6490" s="6">
        <v>0.003416666666666667</v>
      </c>
      <c r="E6490" s="6" t="s">
        <v>190</v>
      </c>
      <c r="F6490" s="6" t="s">
        <v>51</v>
      </c>
      <c r="G6490" s="7">
        <v>57290.59885869359</v>
      </c>
      <c r="H6490" s="6">
        <v>195.7428794338697</v>
      </c>
      <c r="I6490" s="6" t="s">
        <v>179</v>
      </c>
      <c r="J6490" s="15">
        <v>17.49166666666667</v>
      </c>
    </row>
    <row r="6491" spans="1:10">
      <c r="A6491" s="6" t="s">
        <v>148</v>
      </c>
      <c r="B6491" s="6" t="s">
        <v>92</v>
      </c>
      <c r="C6491" s="6" t="s">
        <v>315</v>
      </c>
      <c r="D6491" s="6">
        <v>0.4033333333333333</v>
      </c>
      <c r="E6491" s="6" t="s">
        <v>190</v>
      </c>
      <c r="F6491" s="6" t="s">
        <v>51</v>
      </c>
      <c r="G6491" s="7">
        <v>36977.7141649833</v>
      </c>
      <c r="H6491" s="6">
        <v>14914.34471320993</v>
      </c>
      <c r="I6491" s="6" t="s">
        <v>179</v>
      </c>
      <c r="J6491" s="15">
        <v>20.63333333333333</v>
      </c>
    </row>
    <row r="6492" spans="1:10">
      <c r="A6492" s="6" t="s">
        <v>148</v>
      </c>
      <c r="B6492" s="6" t="s">
        <v>44</v>
      </c>
      <c r="C6492" s="6" t="s">
        <v>316</v>
      </c>
      <c r="D6492" s="6">
        <v>1.063416666666667</v>
      </c>
      <c r="E6492" s="6" t="s">
        <v>190</v>
      </c>
      <c r="F6492" s="6" t="s">
        <v>54</v>
      </c>
      <c r="G6492" s="7">
        <v>78233.00759152489</v>
      </c>
      <c r="H6492" s="6">
        <v>83194.28415628742</v>
      </c>
      <c r="I6492" s="6" t="s">
        <v>180</v>
      </c>
      <c r="J6492" s="15">
        <v>22.22134840703962</v>
      </c>
    </row>
    <row r="6493" spans="1:10">
      <c r="A6493" s="6" t="s">
        <v>148</v>
      </c>
      <c r="B6493" s="6" t="s">
        <v>90</v>
      </c>
      <c r="C6493" s="6" t="s">
        <v>318</v>
      </c>
      <c r="D6493" s="6">
        <v>5.8245</v>
      </c>
      <c r="E6493" s="6" t="s">
        <v>190</v>
      </c>
      <c r="F6493" s="6" t="s">
        <v>52</v>
      </c>
      <c r="G6493" s="7">
        <v>59918.03179942394</v>
      </c>
      <c r="H6493" s="6">
        <v>348992.5762157448</v>
      </c>
      <c r="I6493" s="6" t="s">
        <v>180</v>
      </c>
      <c r="J6493" s="15">
        <v>12.43871031134531</v>
      </c>
    </row>
    <row r="6494" spans="1:10">
      <c r="A6494" s="6" t="s">
        <v>148</v>
      </c>
      <c r="B6494" s="6" t="s">
        <v>90</v>
      </c>
      <c r="C6494" s="6" t="s">
        <v>319</v>
      </c>
      <c r="D6494" s="6">
        <v>25.15766666666667</v>
      </c>
      <c r="E6494" s="6" t="s">
        <v>190</v>
      </c>
      <c r="F6494" s="6" t="s">
        <v>52</v>
      </c>
      <c r="G6494" s="7">
        <v>59918.03179942394</v>
      </c>
      <c r="H6494" s="6">
        <v>1507397.871332641</v>
      </c>
      <c r="I6494" s="6" t="s">
        <v>180</v>
      </c>
      <c r="J6494" s="15">
        <v>12.43871031134531</v>
      </c>
    </row>
    <row r="6495" spans="1:10">
      <c r="A6495" s="6" t="s">
        <v>148</v>
      </c>
      <c r="B6495" s="6" t="s">
        <v>44</v>
      </c>
      <c r="C6495" s="6" t="s">
        <v>320</v>
      </c>
      <c r="D6495" s="6">
        <v>278.4169166666667</v>
      </c>
      <c r="E6495" s="6" t="s">
        <v>190</v>
      </c>
      <c r="F6495" s="6" t="s">
        <v>51</v>
      </c>
      <c r="G6495" s="7">
        <v>19671.04087638638</v>
      </c>
      <c r="H6495" s="6">
        <v>5476750.548427461</v>
      </c>
      <c r="I6495" s="6" t="s">
        <v>179</v>
      </c>
      <c r="J6495" s="15">
        <v>13.5</v>
      </c>
    </row>
    <row r="6496" spans="1:10">
      <c r="A6496" s="6" t="s">
        <v>148</v>
      </c>
      <c r="B6496" s="6" t="s">
        <v>92</v>
      </c>
      <c r="C6496" s="6" t="s">
        <v>323</v>
      </c>
      <c r="D6496" s="6">
        <v>85.13800000000001</v>
      </c>
      <c r="E6496" s="6" t="s">
        <v>190</v>
      </c>
      <c r="F6496" s="6" t="s">
        <v>55</v>
      </c>
      <c r="G6496" s="7">
        <v>37901.84707720344</v>
      </c>
      <c r="H6496" s="6">
        <v>3226887.456458947</v>
      </c>
      <c r="I6496" s="6" t="s">
        <v>179</v>
      </c>
      <c r="J6496" s="15">
        <v>17</v>
      </c>
    </row>
    <row r="6497" spans="1:10">
      <c r="A6497" s="6" t="s">
        <v>148</v>
      </c>
      <c r="B6497" s="6" t="s">
        <v>44</v>
      </c>
      <c r="C6497" s="6" t="s">
        <v>324</v>
      </c>
      <c r="D6497" s="6">
        <v>81.40783333333333</v>
      </c>
      <c r="E6497" s="6" t="s">
        <v>190</v>
      </c>
      <c r="F6497" s="6" t="s">
        <v>51</v>
      </c>
      <c r="G6497" s="7">
        <v>24363.28610429227</v>
      </c>
      <c r="H6497" s="6">
        <v>1983362.334630541</v>
      </c>
      <c r="I6497" s="6" t="s">
        <v>179</v>
      </c>
      <c r="J6497" s="15">
        <v>23</v>
      </c>
    </row>
    <row r="6498" spans="1:10">
      <c r="A6498" s="6" t="s">
        <v>148</v>
      </c>
      <c r="B6498" s="6" t="s">
        <v>90</v>
      </c>
      <c r="C6498" s="6" t="s">
        <v>326</v>
      </c>
      <c r="D6498" s="6">
        <v>84.77758333333333</v>
      </c>
      <c r="E6498" s="6" t="s">
        <v>190</v>
      </c>
      <c r="F6498" s="6" t="s">
        <v>54</v>
      </c>
      <c r="G6498" s="7">
        <v>73204.69251441542</v>
      </c>
      <c r="H6498" s="6">
        <v>6206116.920031896</v>
      </c>
      <c r="I6498" s="6" t="s">
        <v>179</v>
      </c>
      <c r="J6498" s="15">
        <v>50.55</v>
      </c>
    </row>
    <row r="6499" spans="1:10">
      <c r="A6499" s="6" t="s">
        <v>148</v>
      </c>
      <c r="B6499" s="6" t="s">
        <v>44</v>
      </c>
      <c r="C6499" s="6" t="s">
        <v>329</v>
      </c>
      <c r="D6499" s="6">
        <v>123.89475</v>
      </c>
      <c r="E6499" s="6" t="s">
        <v>190</v>
      </c>
      <c r="F6499" s="6" t="s">
        <v>58</v>
      </c>
      <c r="G6499" s="7">
        <v>61073.72389180421</v>
      </c>
      <c r="H6499" s="6">
        <v>7566713.75314411</v>
      </c>
      <c r="I6499" s="6" t="s">
        <v>179</v>
      </c>
      <c r="J6499" s="15">
        <v>26</v>
      </c>
    </row>
    <row r="6500" spans="1:10">
      <c r="A6500" s="6" t="s">
        <v>148</v>
      </c>
      <c r="B6500" s="6" t="s">
        <v>90</v>
      </c>
      <c r="C6500" s="6" t="s">
        <v>330</v>
      </c>
      <c r="D6500" s="6">
        <v>3.168833333333333</v>
      </c>
      <c r="E6500" s="6" t="s">
        <v>190</v>
      </c>
      <c r="F6500" s="6" t="s">
        <v>52</v>
      </c>
      <c r="G6500" s="7">
        <v>59918.03179942394</v>
      </c>
      <c r="H6500" s="6">
        <v>189870.2564337412</v>
      </c>
      <c r="I6500" s="6" t="s">
        <v>180</v>
      </c>
      <c r="J6500" s="15">
        <v>47.43333333333333</v>
      </c>
    </row>
    <row r="6501" spans="1:10">
      <c r="A6501" s="6" t="s">
        <v>148</v>
      </c>
      <c r="B6501" s="6" t="s">
        <v>44</v>
      </c>
      <c r="C6501" s="6" t="s">
        <v>365</v>
      </c>
      <c r="D6501" s="6">
        <v>22.43725</v>
      </c>
      <c r="E6501" s="6" t="s">
        <v>190</v>
      </c>
      <c r="F6501" s="6" t="s">
        <v>53</v>
      </c>
      <c r="G6501" s="7">
        <v>47398.73115342639</v>
      </c>
      <c r="H6501" s="6">
        <v>1063497.180572216</v>
      </c>
      <c r="I6501" s="6" t="s">
        <v>180</v>
      </c>
      <c r="J6501" s="15">
        <v>10.79865493471494</v>
      </c>
    </row>
    <row r="6502" spans="1:10">
      <c r="A6502" s="6" t="s">
        <v>148</v>
      </c>
      <c r="B6502" s="6" t="s">
        <v>92</v>
      </c>
      <c r="C6502" s="6" t="s">
        <v>331</v>
      </c>
      <c r="D6502" s="6">
        <v>47.754</v>
      </c>
      <c r="E6502" s="6" t="s">
        <v>190</v>
      </c>
      <c r="F6502" s="6" t="s">
        <v>58</v>
      </c>
      <c r="G6502" s="7">
        <v>52490.82308035896</v>
      </c>
      <c r="H6502" s="6">
        <v>2506646.765379462</v>
      </c>
      <c r="I6502" s="6" t="s">
        <v>179</v>
      </c>
      <c r="J6502" s="15">
        <v>17.40719355741339</v>
      </c>
    </row>
    <row r="6503" spans="1:10">
      <c r="A6503" s="6" t="s">
        <v>148</v>
      </c>
      <c r="B6503" s="6" t="s">
        <v>92</v>
      </c>
      <c r="C6503" s="6" t="s">
        <v>332</v>
      </c>
      <c r="D6503" s="6">
        <v>76.71833333333333</v>
      </c>
      <c r="E6503" s="6" t="s">
        <v>190</v>
      </c>
      <c r="F6503" s="6" t="s">
        <v>55</v>
      </c>
      <c r="G6503" s="7">
        <v>18935.91078298569</v>
      </c>
      <c r="H6503" s="6">
        <v>1452731.515419357</v>
      </c>
      <c r="I6503" s="6" t="s">
        <v>179</v>
      </c>
      <c r="J6503" s="15">
        <v>13</v>
      </c>
    </row>
    <row r="6504" spans="1:10">
      <c r="A6504" s="6" t="s">
        <v>148</v>
      </c>
      <c r="B6504" s="6" t="s">
        <v>44</v>
      </c>
      <c r="C6504" s="6" t="s">
        <v>333</v>
      </c>
      <c r="D6504" s="6">
        <v>12.62425</v>
      </c>
      <c r="E6504" s="6" t="s">
        <v>190</v>
      </c>
      <c r="F6504" s="6" t="s">
        <v>51</v>
      </c>
      <c r="G6504" s="7">
        <v>14927.02860564678</v>
      </c>
      <c r="H6504" s="6">
        <v>188442.5408748364</v>
      </c>
      <c r="I6504" s="6" t="s">
        <v>179</v>
      </c>
      <c r="J6504" s="15">
        <v>17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Q73"/>
  <sheetViews>
    <sheetView workbookViewId="0">
      <pane ySplit="3" topLeftCell="A4" activePane="bottomLeft" state="frozen"/>
      <selection pane="bottomLeft"/>
    </sheetView>
  </sheetViews>
  <sheetFormatPr defaultRowHeight="15"/>
  <cols>
    <col min="1" max="6" width="12.7109375" customWidth="1"/>
    <col min="7" max="7" width="19.7109375" customWidth="1"/>
    <col min="8" max="8" width="15.7109375" customWidth="1"/>
    <col min="9" max="9" width="14.7109375" customWidth="1"/>
    <col min="10" max="10" width="23.7109375" customWidth="1"/>
    <col min="11" max="11" width="24.7109375" customWidth="1"/>
    <col min="12" max="12" width="13.7109375" customWidth="1"/>
    <col min="13" max="13" width="12.7109375" customWidth="1"/>
    <col min="14" max="14" width="18.7109375" customWidth="1"/>
    <col min="15" max="15" width="22.7109375" customWidth="1"/>
    <col min="16" max="16" width="16.7109375" customWidth="1"/>
    <col min="17" max="17" width="25.7109375" customWidth="1"/>
  </cols>
  <sheetData>
    <row r="1" spans="1:17">
      <c r="A1" s="1" t="s">
        <v>381</v>
      </c>
    </row>
    <row r="3" spans="1:17">
      <c r="A3" t="s">
        <v>124</v>
      </c>
      <c r="B3" t="s">
        <v>163</v>
      </c>
      <c r="C3" t="s">
        <v>153</v>
      </c>
      <c r="D3" t="s">
        <v>382</v>
      </c>
      <c r="E3" t="s">
        <v>383</v>
      </c>
      <c r="F3" t="s">
        <v>384</v>
      </c>
      <c r="G3" t="s">
        <v>385</v>
      </c>
      <c r="H3" t="s">
        <v>386</v>
      </c>
      <c r="I3" t="s">
        <v>387</v>
      </c>
      <c r="J3" t="s">
        <v>388</v>
      </c>
      <c r="K3" t="s">
        <v>389</v>
      </c>
      <c r="L3" t="s">
        <v>390</v>
      </c>
      <c r="M3" t="s">
        <v>157</v>
      </c>
      <c r="N3" t="s">
        <v>391</v>
      </c>
      <c r="O3" t="s">
        <v>392</v>
      </c>
      <c r="P3" t="s">
        <v>393</v>
      </c>
      <c r="Q3" t="s">
        <v>394</v>
      </c>
    </row>
    <row r="4" spans="1:17">
      <c r="A4" s="6" t="s">
        <v>136</v>
      </c>
      <c r="B4" s="6" t="s">
        <v>44</v>
      </c>
      <c r="C4" s="6" t="s">
        <v>84</v>
      </c>
      <c r="D4" s="6" t="s">
        <v>395</v>
      </c>
      <c r="E4" s="6" t="b">
        <v>1</v>
      </c>
      <c r="F4" s="6" t="s">
        <v>396</v>
      </c>
      <c r="G4" s="6">
        <v>56705.54275</v>
      </c>
      <c r="H4" s="6">
        <v>46687.56353083334</v>
      </c>
      <c r="I4" s="6">
        <v>46762.13520723889</v>
      </c>
      <c r="J4" s="6">
        <v>20622.06142759884</v>
      </c>
      <c r="K4" s="6">
        <v>24300</v>
      </c>
      <c r="L4" s="12">
        <v>0.8486445031933677</v>
      </c>
      <c r="M4" s="15">
        <v>0</v>
      </c>
      <c r="N4" s="6">
        <v>255174942.375</v>
      </c>
      <c r="O4" s="6">
        <v>0</v>
      </c>
      <c r="P4" s="7">
        <v>857000000</v>
      </c>
      <c r="Q4" s="6">
        <v>13097.98558333333</v>
      </c>
    </row>
    <row r="5" spans="1:17">
      <c r="A5" s="6" t="s">
        <v>136</v>
      </c>
      <c r="B5" s="6" t="s">
        <v>86</v>
      </c>
      <c r="C5" s="6" t="s">
        <v>87</v>
      </c>
      <c r="D5" s="6" t="s">
        <v>395</v>
      </c>
      <c r="E5" s="6" t="b">
        <v>1</v>
      </c>
      <c r="F5" s="6" t="s">
        <v>396</v>
      </c>
      <c r="G5" s="6">
        <v>47519.99225</v>
      </c>
      <c r="H5" s="6">
        <v>39124.79361916667</v>
      </c>
      <c r="I5" s="6">
        <v>74449.93773241392</v>
      </c>
      <c r="J5" s="6">
        <v>17281.55929198863</v>
      </c>
      <c r="K5" s="6">
        <v>38688</v>
      </c>
      <c r="L5" s="12">
        <v>0.4466904283495819</v>
      </c>
      <c r="M5" s="15">
        <v>0</v>
      </c>
      <c r="N5" s="6">
        <v>213839965.125</v>
      </c>
      <c r="O5" s="6">
        <v>0</v>
      </c>
      <c r="P5" s="7">
        <v>2478000000</v>
      </c>
      <c r="Q5" s="6">
        <v>29347.23183333333</v>
      </c>
    </row>
    <row r="6" spans="1:17">
      <c r="A6" s="6" t="s">
        <v>136</v>
      </c>
      <c r="B6" s="6" t="s">
        <v>88</v>
      </c>
      <c r="C6" s="6" t="s">
        <v>89</v>
      </c>
      <c r="D6" s="6" t="s">
        <v>395</v>
      </c>
      <c r="E6" s="6" t="b">
        <v>1</v>
      </c>
      <c r="F6" s="6" t="s">
        <v>396</v>
      </c>
      <c r="G6" s="6">
        <v>6643.03075</v>
      </c>
      <c r="H6" s="6">
        <v>5469.428650833333</v>
      </c>
      <c r="I6" s="6">
        <v>8603.848004591155</v>
      </c>
      <c r="J6" s="6">
        <v>2415.865919772507</v>
      </c>
      <c r="K6" s="6">
        <v>4471</v>
      </c>
      <c r="L6" s="12">
        <v>0.5403412927247834</v>
      </c>
      <c r="M6" s="15">
        <v>0</v>
      </c>
      <c r="N6" s="6">
        <v>29893638.375</v>
      </c>
      <c r="O6" s="6">
        <v>0</v>
      </c>
      <c r="P6" s="7">
        <v>347000000</v>
      </c>
      <c r="Q6" s="6">
        <v>14.60791666666667</v>
      </c>
    </row>
    <row r="7" spans="1:17">
      <c r="A7" s="6" t="s">
        <v>136</v>
      </c>
      <c r="B7" s="6" t="s">
        <v>90</v>
      </c>
      <c r="C7" s="6" t="s">
        <v>91</v>
      </c>
      <c r="D7" s="6" t="s">
        <v>395</v>
      </c>
      <c r="E7" s="6" t="b">
        <v>1</v>
      </c>
      <c r="F7" s="6" t="s">
        <v>396</v>
      </c>
      <c r="G7" s="6">
        <v>5694.847083333333</v>
      </c>
      <c r="H7" s="6">
        <v>4688.757431944444</v>
      </c>
      <c r="I7" s="6">
        <v>21287.3555416657</v>
      </c>
      <c r="J7" s="6">
        <v>2071.04068981479</v>
      </c>
      <c r="K7" s="6">
        <v>11062</v>
      </c>
      <c r="L7" s="12">
        <v>0.1872211796975944</v>
      </c>
      <c r="M7" s="15">
        <v>0</v>
      </c>
      <c r="N7" s="6">
        <v>25626811.875</v>
      </c>
      <c r="O7" s="6">
        <v>0</v>
      </c>
      <c r="P7" s="7">
        <v>445000000</v>
      </c>
      <c r="Q7" s="6">
        <v>11265.33908333333</v>
      </c>
    </row>
    <row r="8" spans="1:17">
      <c r="A8" s="6" t="s">
        <v>136</v>
      </c>
      <c r="B8" s="6" t="s">
        <v>177</v>
      </c>
      <c r="C8" s="6" t="s">
        <v>397</v>
      </c>
      <c r="D8" s="6" t="s">
        <v>395</v>
      </c>
      <c r="E8" s="6" t="b">
        <v>1</v>
      </c>
      <c r="F8" s="6" t="s">
        <v>396</v>
      </c>
      <c r="G8" s="6">
        <v>597.59325</v>
      </c>
      <c r="H8" s="6">
        <v>492.0184425</v>
      </c>
      <c r="I8" s="6">
        <v>865.9654668007202</v>
      </c>
      <c r="J8" s="6">
        <v>217.3262808637596</v>
      </c>
      <c r="K8" s="6">
        <v>450</v>
      </c>
      <c r="L8" s="12">
        <v>0.4829472908083546</v>
      </c>
      <c r="M8" s="15">
        <v>0</v>
      </c>
      <c r="N8" s="6">
        <v>2689169.625</v>
      </c>
      <c r="O8" s="6">
        <v>0</v>
      </c>
      <c r="P8" s="7">
        <v>445000000</v>
      </c>
      <c r="Q8" s="6">
        <v>16.678</v>
      </c>
    </row>
    <row r="9" spans="1:17">
      <c r="A9" s="6" t="s">
        <v>136</v>
      </c>
      <c r="B9" s="6" t="s">
        <v>92</v>
      </c>
      <c r="C9" s="6" t="s">
        <v>93</v>
      </c>
      <c r="D9" s="6" t="s">
        <v>395</v>
      </c>
      <c r="E9" s="6" t="b">
        <v>1</v>
      </c>
      <c r="F9" s="6" t="s">
        <v>396</v>
      </c>
      <c r="G9" s="6">
        <v>12524.4315</v>
      </c>
      <c r="H9" s="6">
        <v>10311.781935</v>
      </c>
      <c r="I9" s="6">
        <v>13801.56517309948</v>
      </c>
      <c r="J9" s="6">
        <v>4554.750439078618</v>
      </c>
      <c r="K9" s="6">
        <v>7172</v>
      </c>
      <c r="L9" s="12">
        <v>0.6350739597153678</v>
      </c>
      <c r="M9" s="15">
        <v>0</v>
      </c>
      <c r="N9" s="6">
        <v>56359941.75</v>
      </c>
      <c r="O9" s="6">
        <v>0</v>
      </c>
      <c r="P9" s="7">
        <v>445000000</v>
      </c>
      <c r="Q9" s="6">
        <v>15566.78925</v>
      </c>
    </row>
    <row r="10" spans="1:17">
      <c r="A10" s="6" t="s">
        <v>136</v>
      </c>
      <c r="B10" s="6" t="s">
        <v>94</v>
      </c>
      <c r="C10" s="6" t="s">
        <v>95</v>
      </c>
      <c r="D10" s="6" t="s">
        <v>398</v>
      </c>
      <c r="E10" s="6" t="b">
        <v>1</v>
      </c>
      <c r="F10" s="6" t="s">
        <v>396</v>
      </c>
      <c r="G10" s="6">
        <v>1705.143916666667</v>
      </c>
      <c r="H10" s="6">
        <v>1403.901824722222</v>
      </c>
      <c r="I10" s="6">
        <v>2878.854085186394</v>
      </c>
      <c r="J10" s="6">
        <v>620.1083860077588</v>
      </c>
      <c r="K10" s="6">
        <v>1496</v>
      </c>
      <c r="L10" s="12">
        <v>0.4145109532137425</v>
      </c>
      <c r="M10" s="15">
        <v>0</v>
      </c>
      <c r="N10" s="6">
        <v>13641151.33333333</v>
      </c>
      <c r="O10" s="6">
        <v>0</v>
      </c>
      <c r="P10" s="7">
        <v>445000000</v>
      </c>
      <c r="Q10" s="6">
        <v>1854.767083333333</v>
      </c>
    </row>
    <row r="11" spans="1:17">
      <c r="A11" s="6" t="s">
        <v>136</v>
      </c>
      <c r="B11" s="6" t="s">
        <v>97</v>
      </c>
      <c r="C11" s="6" t="s">
        <v>98</v>
      </c>
      <c r="D11" s="6" t="s">
        <v>398</v>
      </c>
      <c r="E11" s="6" t="b">
        <v>1</v>
      </c>
      <c r="F11" s="6" t="s">
        <v>396</v>
      </c>
      <c r="G11" s="6">
        <v>3.72475</v>
      </c>
      <c r="H11" s="6">
        <v>3.066710833333333</v>
      </c>
      <c r="I11" s="6">
        <v>1279.704523161064</v>
      </c>
      <c r="J11" s="6">
        <v>1.354576988022018</v>
      </c>
      <c r="K11" s="6">
        <v>665</v>
      </c>
      <c r="L11" s="12">
        <v>0.002036957876724838</v>
      </c>
      <c r="M11" s="15">
        <v>0</v>
      </c>
      <c r="N11" s="6">
        <v>29798</v>
      </c>
      <c r="O11" s="6">
        <v>0</v>
      </c>
      <c r="P11" s="7">
        <v>445000000</v>
      </c>
      <c r="Q11" s="6">
        <v>59.57325</v>
      </c>
    </row>
    <row r="12" spans="1:17">
      <c r="A12" s="6" t="s">
        <v>136</v>
      </c>
      <c r="B12" s="6" t="s">
        <v>99</v>
      </c>
      <c r="C12" s="6" t="s">
        <v>100</v>
      </c>
      <c r="D12" s="6" t="s">
        <v>398</v>
      </c>
      <c r="E12" s="6" t="b">
        <v>1</v>
      </c>
      <c r="F12" s="6" t="s">
        <v>396</v>
      </c>
      <c r="G12" s="6">
        <v>1685.575583333333</v>
      </c>
      <c r="H12" s="6">
        <v>1387.790563611111</v>
      </c>
      <c r="I12" s="6">
        <v>1279.704523161064</v>
      </c>
      <c r="J12" s="6">
        <v>612.9919851681648</v>
      </c>
      <c r="K12" s="6">
        <v>665</v>
      </c>
      <c r="L12" s="12">
        <v>0.9217924588994958</v>
      </c>
      <c r="M12" s="15">
        <v>0</v>
      </c>
      <c r="N12" s="6">
        <v>13484604.66666667</v>
      </c>
      <c r="O12" s="6">
        <v>0</v>
      </c>
      <c r="P12" s="7">
        <v>445000000</v>
      </c>
      <c r="Q12" s="6">
        <v>1672.942416666667</v>
      </c>
    </row>
    <row r="13" spans="1:17">
      <c r="A13" s="6" t="s">
        <v>136</v>
      </c>
      <c r="B13" s="6" t="s">
        <v>101</v>
      </c>
      <c r="C13" s="6" t="s">
        <v>102</v>
      </c>
      <c r="D13" s="6" t="s">
        <v>398</v>
      </c>
      <c r="E13" s="6" t="b">
        <v>1</v>
      </c>
      <c r="F13" s="6" t="s">
        <v>396</v>
      </c>
      <c r="G13" s="6">
        <v>1744.32525</v>
      </c>
      <c r="H13" s="6">
        <v>1436.1611225</v>
      </c>
      <c r="I13" s="6">
        <v>17657.99805191869</v>
      </c>
      <c r="J13" s="6">
        <v>634.3574315795029</v>
      </c>
      <c r="K13" s="6">
        <v>9176</v>
      </c>
      <c r="L13" s="12">
        <v>0.06913223971005915</v>
      </c>
      <c r="M13" s="15">
        <v>0</v>
      </c>
      <c r="N13" s="6">
        <v>13954602</v>
      </c>
      <c r="O13" s="6">
        <v>0</v>
      </c>
      <c r="P13" s="7">
        <v>542000000</v>
      </c>
      <c r="Q13" s="6">
        <v>1744.32525</v>
      </c>
    </row>
    <row r="14" spans="1:17">
      <c r="A14" s="6" t="s">
        <v>139</v>
      </c>
      <c r="B14" s="6" t="s">
        <v>44</v>
      </c>
      <c r="C14" s="6" t="s">
        <v>84</v>
      </c>
      <c r="D14" s="6" t="s">
        <v>395</v>
      </c>
      <c r="E14" s="6" t="b">
        <v>1</v>
      </c>
      <c r="F14" s="6" t="s">
        <v>396</v>
      </c>
      <c r="G14" s="6">
        <v>40639.12783333333</v>
      </c>
      <c r="H14" s="6">
        <v>33459.54858277777</v>
      </c>
      <c r="I14" s="6">
        <v>46762.13520723889</v>
      </c>
      <c r="J14" s="6">
        <v>14779.20058428577</v>
      </c>
      <c r="K14" s="6">
        <v>24300</v>
      </c>
      <c r="L14" s="12">
        <v>0.6081975549088792</v>
      </c>
      <c r="M14" s="15">
        <v>0</v>
      </c>
      <c r="N14" s="6">
        <v>182876075.25</v>
      </c>
      <c r="O14" s="6">
        <v>0</v>
      </c>
      <c r="P14" s="7">
        <v>857000000</v>
      </c>
      <c r="Q14" s="6">
        <v>4012.25025</v>
      </c>
    </row>
    <row r="15" spans="1:17">
      <c r="A15" s="6" t="s">
        <v>139</v>
      </c>
      <c r="B15" s="6" t="s">
        <v>86</v>
      </c>
      <c r="C15" s="6" t="s">
        <v>87</v>
      </c>
      <c r="D15" s="6" t="s">
        <v>395</v>
      </c>
      <c r="E15" s="6" t="b">
        <v>1</v>
      </c>
      <c r="F15" s="6" t="s">
        <v>396</v>
      </c>
      <c r="G15" s="6">
        <v>29015.53791414218</v>
      </c>
      <c r="H15" s="6">
        <v>23889.45954931039</v>
      </c>
      <c r="I15" s="6">
        <v>74449.93773241392</v>
      </c>
      <c r="J15" s="6">
        <v>10552.05851495466</v>
      </c>
      <c r="K15" s="6">
        <v>38688</v>
      </c>
      <c r="L15" s="12">
        <v>0.2727475836164873</v>
      </c>
      <c r="M15" s="15">
        <v>0</v>
      </c>
      <c r="N15" s="6">
        <v>130569920.6136398</v>
      </c>
      <c r="O15" s="6">
        <v>0</v>
      </c>
      <c r="P15" s="7">
        <v>2478000000</v>
      </c>
      <c r="Q15" s="6">
        <v>3996.602330808842</v>
      </c>
    </row>
    <row r="16" spans="1:17">
      <c r="A16" s="6" t="s">
        <v>139</v>
      </c>
      <c r="B16" s="6" t="s">
        <v>88</v>
      </c>
      <c r="C16" s="6" t="s">
        <v>89</v>
      </c>
      <c r="D16" s="6" t="s">
        <v>395</v>
      </c>
      <c r="E16" s="6" t="b">
        <v>1</v>
      </c>
      <c r="F16" s="6" t="s">
        <v>396</v>
      </c>
      <c r="G16" s="6">
        <v>10450.01781934148</v>
      </c>
      <c r="H16" s="6">
        <v>8603.848004591155</v>
      </c>
      <c r="I16" s="6">
        <v>8603.848004591155</v>
      </c>
      <c r="J16" s="6">
        <v>3800.35</v>
      </c>
      <c r="K16" s="6">
        <v>4471</v>
      </c>
      <c r="L16" s="12">
        <v>0.8499999999999999</v>
      </c>
      <c r="M16" s="15">
        <v>0</v>
      </c>
      <c r="N16" s="6">
        <v>47025080.18703669</v>
      </c>
      <c r="O16" s="6">
        <v>0</v>
      </c>
      <c r="P16" s="7">
        <v>347000000</v>
      </c>
      <c r="Q16" s="6">
        <v>2.66625</v>
      </c>
    </row>
    <row r="17" spans="1:17">
      <c r="A17" s="6" t="s">
        <v>139</v>
      </c>
      <c r="B17" s="6" t="s">
        <v>90</v>
      </c>
      <c r="C17" s="6" t="s">
        <v>91</v>
      </c>
      <c r="D17" s="6" t="s">
        <v>395</v>
      </c>
      <c r="E17" s="6" t="b">
        <v>1</v>
      </c>
      <c r="F17" s="6" t="s">
        <v>396</v>
      </c>
      <c r="G17" s="6">
        <v>23368.739</v>
      </c>
      <c r="H17" s="6">
        <v>19240.26177666667</v>
      </c>
      <c r="I17" s="6">
        <v>21287.3555416657</v>
      </c>
      <c r="J17" s="6">
        <v>8498.491466136695</v>
      </c>
      <c r="K17" s="6">
        <v>11062</v>
      </c>
      <c r="L17" s="12">
        <v>0.7682599408910409</v>
      </c>
      <c r="M17" s="15">
        <v>0</v>
      </c>
      <c r="N17" s="6">
        <v>105159325.5</v>
      </c>
      <c r="O17" s="6">
        <v>0</v>
      </c>
      <c r="P17" s="7">
        <v>445000000</v>
      </c>
      <c r="Q17" s="6">
        <v>17044.20383333333</v>
      </c>
    </row>
    <row r="18" spans="1:17">
      <c r="A18" s="6" t="s">
        <v>139</v>
      </c>
      <c r="B18" s="6" t="s">
        <v>177</v>
      </c>
      <c r="C18" s="6" t="s">
        <v>397</v>
      </c>
      <c r="D18" s="6" t="s">
        <v>395</v>
      </c>
      <c r="E18" s="6" t="b">
        <v>1</v>
      </c>
      <c r="F18" s="6" t="s">
        <v>396</v>
      </c>
      <c r="G18" s="6">
        <v>1051.779919191158</v>
      </c>
      <c r="H18" s="6">
        <v>865.9654668007202</v>
      </c>
      <c r="I18" s="6">
        <v>865.9654668007202</v>
      </c>
      <c r="J18" s="6">
        <v>382.5</v>
      </c>
      <c r="K18" s="6">
        <v>450</v>
      </c>
      <c r="L18" s="12">
        <v>0.85</v>
      </c>
      <c r="M18" s="15">
        <v>0</v>
      </c>
      <c r="N18" s="6">
        <v>4733009.636360211</v>
      </c>
      <c r="O18" s="6">
        <v>0</v>
      </c>
      <c r="P18" s="7">
        <v>445000000</v>
      </c>
      <c r="Q18" s="6">
        <v>0</v>
      </c>
    </row>
    <row r="19" spans="1:17">
      <c r="A19" s="6" t="s">
        <v>139</v>
      </c>
      <c r="B19" s="6" t="s">
        <v>92</v>
      </c>
      <c r="C19" s="6" t="s">
        <v>93</v>
      </c>
      <c r="D19" s="6" t="s">
        <v>395</v>
      </c>
      <c r="E19" s="6" t="b">
        <v>1</v>
      </c>
      <c r="F19" s="6" t="s">
        <v>396</v>
      </c>
      <c r="G19" s="6">
        <v>13433.09018065852</v>
      </c>
      <c r="H19" s="6">
        <v>11059.91091540884</v>
      </c>
      <c r="I19" s="6">
        <v>13801.56517309948</v>
      </c>
      <c r="J19" s="6">
        <v>4885.201647558776</v>
      </c>
      <c r="K19" s="6">
        <v>7172</v>
      </c>
      <c r="L19" s="12">
        <v>0.6811491421582231</v>
      </c>
      <c r="M19" s="15">
        <v>0</v>
      </c>
      <c r="N19" s="6">
        <v>60448905.81296332</v>
      </c>
      <c r="O19" s="6">
        <v>0</v>
      </c>
      <c r="P19" s="7">
        <v>445000000</v>
      </c>
      <c r="Q19" s="6">
        <v>13343.84251399185</v>
      </c>
    </row>
    <row r="20" spans="1:17">
      <c r="A20" s="6" t="s">
        <v>139</v>
      </c>
      <c r="B20" s="6" t="s">
        <v>94</v>
      </c>
      <c r="C20" s="6" t="s">
        <v>95</v>
      </c>
      <c r="D20" s="6" t="s">
        <v>398</v>
      </c>
      <c r="E20" s="6" t="b">
        <v>1</v>
      </c>
      <c r="F20" s="6" t="s">
        <v>396</v>
      </c>
      <c r="G20" s="6">
        <v>0</v>
      </c>
      <c r="H20" s="6">
        <v>0</v>
      </c>
      <c r="I20" s="6">
        <v>2878.854085186394</v>
      </c>
      <c r="J20" s="6">
        <v>0</v>
      </c>
      <c r="K20" s="6">
        <v>1496</v>
      </c>
      <c r="L20" s="12">
        <v>0</v>
      </c>
      <c r="M20" s="15">
        <v>0</v>
      </c>
      <c r="N20" s="6">
        <v>0</v>
      </c>
      <c r="O20" s="6">
        <v>0</v>
      </c>
      <c r="P20" s="7">
        <v>445000000</v>
      </c>
      <c r="Q20" s="6">
        <v>0</v>
      </c>
    </row>
    <row r="21" spans="1:17">
      <c r="A21" s="6" t="s">
        <v>139</v>
      </c>
      <c r="B21" s="6" t="s">
        <v>97</v>
      </c>
      <c r="C21" s="6" t="s">
        <v>98</v>
      </c>
      <c r="D21" s="6" t="s">
        <v>398</v>
      </c>
      <c r="E21" s="6" t="b">
        <v>1</v>
      </c>
      <c r="F21" s="6" t="s">
        <v>396</v>
      </c>
      <c r="G21" s="6">
        <v>0</v>
      </c>
      <c r="H21" s="6">
        <v>0</v>
      </c>
      <c r="I21" s="6">
        <v>1279.704523161064</v>
      </c>
      <c r="J21" s="6">
        <v>0</v>
      </c>
      <c r="K21" s="6">
        <v>665</v>
      </c>
      <c r="L21" s="12">
        <v>0</v>
      </c>
      <c r="M21" s="15">
        <v>0</v>
      </c>
      <c r="N21" s="6">
        <v>0</v>
      </c>
      <c r="O21" s="6">
        <v>0</v>
      </c>
      <c r="P21" s="7">
        <v>445000000</v>
      </c>
      <c r="Q21" s="6">
        <v>0</v>
      </c>
    </row>
    <row r="22" spans="1:17">
      <c r="A22" s="6" t="s">
        <v>139</v>
      </c>
      <c r="B22" s="6" t="s">
        <v>99</v>
      </c>
      <c r="C22" s="6" t="s">
        <v>100</v>
      </c>
      <c r="D22" s="6" t="s">
        <v>398</v>
      </c>
      <c r="E22" s="6" t="b">
        <v>1</v>
      </c>
      <c r="F22" s="6" t="s">
        <v>396</v>
      </c>
      <c r="G22" s="6">
        <v>1323.604083333333</v>
      </c>
      <c r="H22" s="6">
        <v>1089.767361944444</v>
      </c>
      <c r="I22" s="6">
        <v>1279.704523161064</v>
      </c>
      <c r="J22" s="6">
        <v>481.3540861897605</v>
      </c>
      <c r="K22" s="6">
        <v>665</v>
      </c>
      <c r="L22" s="12">
        <v>0.7238407311124218</v>
      </c>
      <c r="M22" s="15">
        <v>0</v>
      </c>
      <c r="N22" s="6">
        <v>10588832.66666667</v>
      </c>
      <c r="O22" s="6">
        <v>0</v>
      </c>
      <c r="P22" s="7">
        <v>445000000</v>
      </c>
      <c r="Q22" s="6">
        <v>1323.604083333333</v>
      </c>
    </row>
    <row r="23" spans="1:17">
      <c r="A23" s="6" t="s">
        <v>139</v>
      </c>
      <c r="B23" s="6" t="s">
        <v>101</v>
      </c>
      <c r="C23" s="6" t="s">
        <v>102</v>
      </c>
      <c r="D23" s="6" t="s">
        <v>398</v>
      </c>
      <c r="E23" s="6" t="b">
        <v>1</v>
      </c>
      <c r="F23" s="6" t="s">
        <v>396</v>
      </c>
      <c r="G23" s="6">
        <v>141.71775</v>
      </c>
      <c r="H23" s="6">
        <v>116.6809475</v>
      </c>
      <c r="I23" s="6">
        <v>17657.99805191869</v>
      </c>
      <c r="J23" s="6">
        <v>51.53838591697625</v>
      </c>
      <c r="K23" s="6">
        <v>9176</v>
      </c>
      <c r="L23" s="12">
        <v>0.005616650601239783</v>
      </c>
      <c r="M23" s="15">
        <v>0</v>
      </c>
      <c r="N23" s="6">
        <v>1133742</v>
      </c>
      <c r="O23" s="6">
        <v>0</v>
      </c>
      <c r="P23" s="7">
        <v>542000000</v>
      </c>
      <c r="Q23" s="6">
        <v>141.71775</v>
      </c>
    </row>
    <row r="24" spans="1:17">
      <c r="A24" s="6" t="s">
        <v>141</v>
      </c>
      <c r="B24" s="6" t="s">
        <v>44</v>
      </c>
      <c r="C24" s="6" t="s">
        <v>84</v>
      </c>
      <c r="D24" s="6" t="s">
        <v>395</v>
      </c>
      <c r="E24" s="6" t="b">
        <v>1</v>
      </c>
      <c r="F24" s="6" t="s">
        <v>396</v>
      </c>
      <c r="G24" s="6">
        <v>44447.99624133819</v>
      </c>
      <c r="H24" s="6">
        <v>36595.51690536844</v>
      </c>
      <c r="I24" s="6">
        <v>46762.13520723889</v>
      </c>
      <c r="J24" s="6">
        <v>16164.36884950824</v>
      </c>
      <c r="K24" s="6">
        <v>24300</v>
      </c>
      <c r="L24" s="12">
        <v>0.665200364177294</v>
      </c>
      <c r="M24" s="15">
        <v>0</v>
      </c>
      <c r="N24" s="6">
        <v>200015983.0860218</v>
      </c>
      <c r="O24" s="6">
        <v>0</v>
      </c>
      <c r="P24" s="7">
        <v>857000000</v>
      </c>
      <c r="Q24" s="6">
        <v>7413.119587779348</v>
      </c>
    </row>
    <row r="25" spans="1:17">
      <c r="A25" s="6" t="s">
        <v>141</v>
      </c>
      <c r="B25" s="6" t="s">
        <v>86</v>
      </c>
      <c r="C25" s="6" t="s">
        <v>87</v>
      </c>
      <c r="D25" s="6" t="s">
        <v>395</v>
      </c>
      <c r="E25" s="6" t="b">
        <v>1</v>
      </c>
      <c r="F25" s="6" t="s">
        <v>396</v>
      </c>
      <c r="G25" s="6">
        <v>46990.196420866</v>
      </c>
      <c r="H25" s="6">
        <v>38688.59505317967</v>
      </c>
      <c r="I25" s="6">
        <v>74449.93773241392</v>
      </c>
      <c r="J25" s="6">
        <v>17088.88884739638</v>
      </c>
      <c r="K25" s="6">
        <v>38688</v>
      </c>
      <c r="L25" s="12">
        <v>0.4417103196700883</v>
      </c>
      <c r="M25" s="15">
        <v>0</v>
      </c>
      <c r="N25" s="6">
        <v>211455883.893897</v>
      </c>
      <c r="O25" s="6">
        <v>0</v>
      </c>
      <c r="P25" s="7">
        <v>2478000000</v>
      </c>
      <c r="Q25" s="6">
        <v>23866.0481860633</v>
      </c>
    </row>
    <row r="26" spans="1:17">
      <c r="A26" s="6" t="s">
        <v>141</v>
      </c>
      <c r="B26" s="6" t="s">
        <v>88</v>
      </c>
      <c r="C26" s="6" t="s">
        <v>89</v>
      </c>
      <c r="D26" s="6" t="s">
        <v>395</v>
      </c>
      <c r="E26" s="6" t="b">
        <v>1</v>
      </c>
      <c r="F26" s="6" t="s">
        <v>396</v>
      </c>
      <c r="G26" s="6">
        <v>6643.03075</v>
      </c>
      <c r="H26" s="6">
        <v>5469.428650833333</v>
      </c>
      <c r="I26" s="6">
        <v>8603.848004591155</v>
      </c>
      <c r="J26" s="6">
        <v>2415.865919772507</v>
      </c>
      <c r="K26" s="6">
        <v>4471</v>
      </c>
      <c r="L26" s="12">
        <v>0.5403412927247834</v>
      </c>
      <c r="M26" s="15">
        <v>0</v>
      </c>
      <c r="N26" s="6">
        <v>29893638.375</v>
      </c>
      <c r="O26" s="6">
        <v>0</v>
      </c>
      <c r="P26" s="7">
        <v>347000000</v>
      </c>
      <c r="Q26" s="6">
        <v>0.3666666666666667</v>
      </c>
    </row>
    <row r="27" spans="1:17">
      <c r="A27" s="6" t="s">
        <v>141</v>
      </c>
      <c r="B27" s="6" t="s">
        <v>90</v>
      </c>
      <c r="C27" s="6" t="s">
        <v>91</v>
      </c>
      <c r="D27" s="6" t="s">
        <v>395</v>
      </c>
      <c r="E27" s="6" t="b">
        <v>1</v>
      </c>
      <c r="F27" s="6" t="s">
        <v>396</v>
      </c>
      <c r="G27" s="6">
        <v>5692.36526103136</v>
      </c>
      <c r="H27" s="6">
        <v>4686.71406491582</v>
      </c>
      <c r="I27" s="6">
        <v>21287.3555416657</v>
      </c>
      <c r="J27" s="6">
        <v>2070.138127393524</v>
      </c>
      <c r="K27" s="6">
        <v>11062</v>
      </c>
      <c r="L27" s="12">
        <v>0.18713958844635</v>
      </c>
      <c r="M27" s="15">
        <v>0</v>
      </c>
      <c r="N27" s="6">
        <v>25615643.67464112</v>
      </c>
      <c r="O27" s="6">
        <v>0</v>
      </c>
      <c r="P27" s="7">
        <v>445000000</v>
      </c>
      <c r="Q27" s="6">
        <v>3910.228377772474</v>
      </c>
    </row>
    <row r="28" spans="1:17">
      <c r="A28" s="6" t="s">
        <v>141</v>
      </c>
      <c r="B28" s="6" t="s">
        <v>92</v>
      </c>
      <c r="C28" s="6" t="s">
        <v>93</v>
      </c>
      <c r="D28" s="6" t="s">
        <v>395</v>
      </c>
      <c r="E28" s="6" t="b">
        <v>1</v>
      </c>
      <c r="F28" s="6" t="s">
        <v>396</v>
      </c>
      <c r="G28" s="6">
        <v>12363.68364464546</v>
      </c>
      <c r="H28" s="6">
        <v>10179.43286742476</v>
      </c>
      <c r="I28" s="6">
        <v>13801.56517309948</v>
      </c>
      <c r="J28" s="6">
        <v>4496.291389280067</v>
      </c>
      <c r="K28" s="6">
        <v>7172</v>
      </c>
      <c r="L28" s="12">
        <v>0.6269229488678286</v>
      </c>
      <c r="M28" s="15">
        <v>0</v>
      </c>
      <c r="N28" s="6">
        <v>55636576.40090457</v>
      </c>
      <c r="O28" s="6">
        <v>0</v>
      </c>
      <c r="P28" s="7">
        <v>445000000</v>
      </c>
      <c r="Q28" s="6">
        <v>12349.00781131213</v>
      </c>
    </row>
    <row r="29" spans="1:17">
      <c r="A29" s="6" t="s">
        <v>141</v>
      </c>
      <c r="B29" s="6" t="s">
        <v>94</v>
      </c>
      <c r="C29" s="6" t="s">
        <v>95</v>
      </c>
      <c r="D29" s="6" t="s">
        <v>398</v>
      </c>
      <c r="E29" s="6" t="b">
        <v>1</v>
      </c>
      <c r="F29" s="6" t="s">
        <v>396</v>
      </c>
      <c r="G29" s="6">
        <v>1634.073013233018</v>
      </c>
      <c r="H29" s="6">
        <v>1345.386780895185</v>
      </c>
      <c r="I29" s="6">
        <v>2878.854085186394</v>
      </c>
      <c r="J29" s="6">
        <v>594.2620848307253</v>
      </c>
      <c r="K29" s="6">
        <v>1496</v>
      </c>
      <c r="L29" s="12">
        <v>0.3972340139242816</v>
      </c>
      <c r="M29" s="15">
        <v>0</v>
      </c>
      <c r="N29" s="6">
        <v>13072584.10586414</v>
      </c>
      <c r="O29" s="6">
        <v>0</v>
      </c>
      <c r="P29" s="7">
        <v>445000000</v>
      </c>
      <c r="Q29" s="6">
        <v>1634.073013233018</v>
      </c>
    </row>
    <row r="30" spans="1:17">
      <c r="A30" s="6" t="s">
        <v>141</v>
      </c>
      <c r="B30" s="6" t="s">
        <v>97</v>
      </c>
      <c r="C30" s="6" t="s">
        <v>98</v>
      </c>
      <c r="D30" s="6" t="s">
        <v>398</v>
      </c>
      <c r="E30" s="6" t="b">
        <v>1</v>
      </c>
      <c r="F30" s="6" t="s">
        <v>396</v>
      </c>
      <c r="G30" s="6">
        <v>2.528461088408558</v>
      </c>
      <c r="H30" s="6">
        <v>2.081766296123046</v>
      </c>
      <c r="I30" s="6">
        <v>1279.704523161064</v>
      </c>
      <c r="J30" s="6">
        <v>0.9195235131129166</v>
      </c>
      <c r="K30" s="6">
        <v>665</v>
      </c>
      <c r="L30" s="12">
        <v>0.00138274212498183</v>
      </c>
      <c r="M30" s="15">
        <v>0</v>
      </c>
      <c r="N30" s="6">
        <v>20227.68870726846</v>
      </c>
      <c r="O30" s="6">
        <v>0</v>
      </c>
      <c r="P30" s="7">
        <v>445000000</v>
      </c>
      <c r="Q30" s="6">
        <v>2.528461088408558</v>
      </c>
    </row>
    <row r="31" spans="1:17">
      <c r="A31" s="6" t="s">
        <v>141</v>
      </c>
      <c r="B31" s="6" t="s">
        <v>99</v>
      </c>
      <c r="C31" s="6" t="s">
        <v>100</v>
      </c>
      <c r="D31" s="6" t="s">
        <v>398</v>
      </c>
      <c r="E31" s="6" t="b">
        <v>1</v>
      </c>
      <c r="F31" s="6" t="s">
        <v>396</v>
      </c>
      <c r="G31" s="6">
        <v>1649.740707797567</v>
      </c>
      <c r="H31" s="6">
        <v>1358.286516086663</v>
      </c>
      <c r="I31" s="6">
        <v>1279.704523161064</v>
      </c>
      <c r="J31" s="6">
        <v>599.9599433480743</v>
      </c>
      <c r="K31" s="6">
        <v>665</v>
      </c>
      <c r="L31" s="12">
        <v>0.9021954035309386</v>
      </c>
      <c r="M31" s="15">
        <v>78.58199292559902</v>
      </c>
      <c r="N31" s="6">
        <v>13197925.66238054</v>
      </c>
      <c r="O31" s="6">
        <v>0</v>
      </c>
      <c r="P31" s="7">
        <v>445000000</v>
      </c>
      <c r="Q31" s="6">
        <v>1649.740707797567</v>
      </c>
    </row>
    <row r="32" spans="1:17">
      <c r="A32" s="6" t="s">
        <v>141</v>
      </c>
      <c r="B32" s="6" t="s">
        <v>101</v>
      </c>
      <c r="C32" s="6" t="s">
        <v>102</v>
      </c>
      <c r="D32" s="6" t="s">
        <v>398</v>
      </c>
      <c r="E32" s="6" t="b">
        <v>1</v>
      </c>
      <c r="F32" s="6" t="s">
        <v>396</v>
      </c>
      <c r="G32" s="6">
        <v>0</v>
      </c>
      <c r="H32" s="6">
        <v>0</v>
      </c>
      <c r="I32" s="6">
        <v>17657.99805191869</v>
      </c>
      <c r="J32" s="6">
        <v>0</v>
      </c>
      <c r="K32" s="6">
        <v>9176</v>
      </c>
      <c r="L32" s="12">
        <v>0</v>
      </c>
      <c r="M32" s="15">
        <v>0</v>
      </c>
      <c r="N32" s="6">
        <v>0</v>
      </c>
      <c r="O32" s="6">
        <v>0</v>
      </c>
      <c r="P32" s="7">
        <v>542000000</v>
      </c>
      <c r="Q32" s="6">
        <v>0</v>
      </c>
    </row>
    <row r="33" spans="1:17">
      <c r="A33" s="6" t="s">
        <v>143</v>
      </c>
      <c r="B33" s="6" t="s">
        <v>44</v>
      </c>
      <c r="C33" s="6" t="s">
        <v>84</v>
      </c>
      <c r="D33" s="6" t="s">
        <v>395</v>
      </c>
      <c r="E33" s="6" t="b">
        <v>1</v>
      </c>
      <c r="F33" s="6" t="s">
        <v>396</v>
      </c>
      <c r="G33" s="6">
        <v>56796.11563632251</v>
      </c>
      <c r="H33" s="6">
        <v>46762.13520723886</v>
      </c>
      <c r="I33" s="6">
        <v>46762.13520723889</v>
      </c>
      <c r="J33" s="6">
        <v>20654.99999999999</v>
      </c>
      <c r="K33" s="6">
        <v>24300</v>
      </c>
      <c r="L33" s="12">
        <v>0.8499999999999995</v>
      </c>
      <c r="M33" s="15">
        <v>0</v>
      </c>
      <c r="N33" s="6">
        <v>255582520.3634513</v>
      </c>
      <c r="O33" s="6">
        <v>0</v>
      </c>
      <c r="P33" s="7">
        <v>857000000</v>
      </c>
      <c r="Q33" s="6">
        <v>0</v>
      </c>
    </row>
    <row r="34" spans="1:17">
      <c r="A34" s="6" t="s">
        <v>143</v>
      </c>
      <c r="B34" s="6" t="s">
        <v>86</v>
      </c>
      <c r="C34" s="6" t="s">
        <v>87</v>
      </c>
      <c r="D34" s="6" t="s">
        <v>395</v>
      </c>
      <c r="E34" s="6" t="b">
        <v>1</v>
      </c>
      <c r="F34" s="6" t="s">
        <v>396</v>
      </c>
      <c r="G34" s="6">
        <v>26997.4685083064</v>
      </c>
      <c r="H34" s="6">
        <v>22227.9157385056</v>
      </c>
      <c r="I34" s="6">
        <v>74449.93773241392</v>
      </c>
      <c r="J34" s="6">
        <v>9818.148755272423</v>
      </c>
      <c r="K34" s="6">
        <v>38688</v>
      </c>
      <c r="L34" s="12">
        <v>0.2537776249811937</v>
      </c>
      <c r="M34" s="15">
        <v>0</v>
      </c>
      <c r="N34" s="6">
        <v>121488608.2873788</v>
      </c>
      <c r="O34" s="6">
        <v>0</v>
      </c>
      <c r="P34" s="7">
        <v>2478000000</v>
      </c>
      <c r="Q34" s="6">
        <v>1544.022841639733</v>
      </c>
    </row>
    <row r="35" spans="1:17">
      <c r="A35" s="6" t="s">
        <v>143</v>
      </c>
      <c r="B35" s="6" t="s">
        <v>88</v>
      </c>
      <c r="C35" s="6" t="s">
        <v>89</v>
      </c>
      <c r="D35" s="6" t="s">
        <v>395</v>
      </c>
      <c r="E35" s="6" t="b">
        <v>1</v>
      </c>
      <c r="F35" s="6" t="s">
        <v>396</v>
      </c>
      <c r="G35" s="6">
        <v>10450.01781934148</v>
      </c>
      <c r="H35" s="6">
        <v>8603.848004591155</v>
      </c>
      <c r="I35" s="6">
        <v>8603.848004591155</v>
      </c>
      <c r="J35" s="6">
        <v>3800.35</v>
      </c>
      <c r="K35" s="6">
        <v>4471</v>
      </c>
      <c r="L35" s="12">
        <v>0.8499999999999999</v>
      </c>
      <c r="M35" s="15">
        <v>0</v>
      </c>
      <c r="N35" s="6">
        <v>47025080.18703669</v>
      </c>
      <c r="O35" s="6">
        <v>0</v>
      </c>
      <c r="P35" s="7">
        <v>347000000</v>
      </c>
      <c r="Q35" s="6">
        <v>2.66625</v>
      </c>
    </row>
    <row r="36" spans="1:17">
      <c r="A36" s="6" t="s">
        <v>143</v>
      </c>
      <c r="B36" s="6" t="s">
        <v>90</v>
      </c>
      <c r="C36" s="6" t="s">
        <v>91</v>
      </c>
      <c r="D36" s="6" t="s">
        <v>395</v>
      </c>
      <c r="E36" s="6" t="b">
        <v>1</v>
      </c>
      <c r="F36" s="6" t="s">
        <v>396</v>
      </c>
      <c r="G36" s="6">
        <v>11817.34069701082</v>
      </c>
      <c r="H36" s="6">
        <v>9729.610507205574</v>
      </c>
      <c r="I36" s="6">
        <v>21287.3555416657</v>
      </c>
      <c r="J36" s="6">
        <v>4297.603266739225</v>
      </c>
      <c r="K36" s="6">
        <v>11062</v>
      </c>
      <c r="L36" s="12">
        <v>0.3885014705061674</v>
      </c>
      <c r="M36" s="15">
        <v>0</v>
      </c>
      <c r="N36" s="6">
        <v>53178033.13654869</v>
      </c>
      <c r="O36" s="6">
        <v>0</v>
      </c>
      <c r="P36" s="7">
        <v>445000000</v>
      </c>
      <c r="Q36" s="6">
        <v>5838.373530344154</v>
      </c>
    </row>
    <row r="37" spans="1:17">
      <c r="A37" s="6" t="s">
        <v>143</v>
      </c>
      <c r="B37" s="6" t="s">
        <v>92</v>
      </c>
      <c r="C37" s="6" t="s">
        <v>93</v>
      </c>
      <c r="D37" s="6" t="s">
        <v>395</v>
      </c>
      <c r="E37" s="6" t="b">
        <v>1</v>
      </c>
      <c r="F37" s="6" t="s">
        <v>396</v>
      </c>
      <c r="G37" s="6">
        <v>11808.37484732518</v>
      </c>
      <c r="H37" s="6">
        <v>9722.228624297733</v>
      </c>
      <c r="I37" s="6">
        <v>13801.56517309948</v>
      </c>
      <c r="J37" s="6">
        <v>4294.342663030995</v>
      </c>
      <c r="K37" s="6">
        <v>7172</v>
      </c>
      <c r="L37" s="12">
        <v>0.5987650115771047</v>
      </c>
      <c r="M37" s="15">
        <v>0</v>
      </c>
      <c r="N37" s="6">
        <v>53137686.81296331</v>
      </c>
      <c r="O37" s="6">
        <v>0</v>
      </c>
      <c r="P37" s="7">
        <v>445000000</v>
      </c>
      <c r="Q37" s="6">
        <v>11719.12718065851</v>
      </c>
    </row>
    <row r="38" spans="1:17">
      <c r="A38" s="6" t="s">
        <v>143</v>
      </c>
      <c r="B38" s="6" t="s">
        <v>94</v>
      </c>
      <c r="C38" s="6" t="s">
        <v>95</v>
      </c>
      <c r="D38" s="6" t="s">
        <v>398</v>
      </c>
      <c r="E38" s="6" t="b">
        <v>1</v>
      </c>
      <c r="F38" s="6" t="s">
        <v>396</v>
      </c>
      <c r="G38" s="6">
        <v>0</v>
      </c>
      <c r="H38" s="6">
        <v>0</v>
      </c>
      <c r="I38" s="6">
        <v>2878.854085186394</v>
      </c>
      <c r="J38" s="6">
        <v>0</v>
      </c>
      <c r="K38" s="6">
        <v>1496</v>
      </c>
      <c r="L38" s="12">
        <v>0</v>
      </c>
      <c r="M38" s="15">
        <v>0</v>
      </c>
      <c r="N38" s="6">
        <v>0</v>
      </c>
      <c r="O38" s="6">
        <v>0</v>
      </c>
      <c r="P38" s="7">
        <v>445000000</v>
      </c>
      <c r="Q38" s="6">
        <v>0</v>
      </c>
    </row>
    <row r="39" spans="1:17">
      <c r="A39" s="6" t="s">
        <v>143</v>
      </c>
      <c r="B39" s="6" t="s">
        <v>97</v>
      </c>
      <c r="C39" s="6" t="s">
        <v>98</v>
      </c>
      <c r="D39" s="6" t="s">
        <v>398</v>
      </c>
      <c r="E39" s="6" t="b">
        <v>1</v>
      </c>
      <c r="F39" s="6" t="s">
        <v>396</v>
      </c>
      <c r="G39" s="6">
        <v>0</v>
      </c>
      <c r="H39" s="6">
        <v>0</v>
      </c>
      <c r="I39" s="6">
        <v>1279.704523161064</v>
      </c>
      <c r="J39" s="6">
        <v>0</v>
      </c>
      <c r="K39" s="6">
        <v>665</v>
      </c>
      <c r="L39" s="12">
        <v>0</v>
      </c>
      <c r="M39" s="15">
        <v>0</v>
      </c>
      <c r="N39" s="6">
        <v>0</v>
      </c>
      <c r="O39" s="6">
        <v>0</v>
      </c>
      <c r="P39" s="7">
        <v>445000000</v>
      </c>
      <c r="Q39" s="6">
        <v>0</v>
      </c>
    </row>
    <row r="40" spans="1:17">
      <c r="A40" s="6" t="s">
        <v>143</v>
      </c>
      <c r="B40" s="6" t="s">
        <v>99</v>
      </c>
      <c r="C40" s="6" t="s">
        <v>100</v>
      </c>
      <c r="D40" s="6" t="s">
        <v>398</v>
      </c>
      <c r="E40" s="6" t="b">
        <v>1</v>
      </c>
      <c r="F40" s="6" t="s">
        <v>396</v>
      </c>
      <c r="G40" s="6">
        <v>1554.2969916936</v>
      </c>
      <c r="H40" s="6">
        <v>1279.704523161064</v>
      </c>
      <c r="I40" s="6">
        <v>1279.704523161064</v>
      </c>
      <c r="J40" s="6">
        <v>565.25</v>
      </c>
      <c r="K40" s="6">
        <v>665</v>
      </c>
      <c r="L40" s="12">
        <v>0.85</v>
      </c>
      <c r="M40" s="15">
        <v>0</v>
      </c>
      <c r="N40" s="6">
        <v>12434375.9335488</v>
      </c>
      <c r="O40" s="6">
        <v>0</v>
      </c>
      <c r="P40" s="7">
        <v>445000000</v>
      </c>
      <c r="Q40" s="6">
        <v>1554.2969916936</v>
      </c>
    </row>
    <row r="41" spans="1:17">
      <c r="A41" s="6" t="s">
        <v>144</v>
      </c>
      <c r="B41" s="6" t="s">
        <v>44</v>
      </c>
      <c r="C41" s="6" t="s">
        <v>84</v>
      </c>
      <c r="D41" s="6" t="s">
        <v>395</v>
      </c>
      <c r="E41" s="6" t="b">
        <v>1</v>
      </c>
      <c r="F41" s="6" t="s">
        <v>396</v>
      </c>
      <c r="G41" s="6">
        <v>56796.11563632252</v>
      </c>
      <c r="H41" s="6">
        <v>46762.13520723887</v>
      </c>
      <c r="I41" s="6">
        <v>46762.13520723889</v>
      </c>
      <c r="J41" s="6">
        <v>20654.99999999999</v>
      </c>
      <c r="K41" s="6">
        <v>24300</v>
      </c>
      <c r="L41" s="12">
        <v>0.8499999999999996</v>
      </c>
      <c r="M41" s="15">
        <v>0</v>
      </c>
      <c r="N41" s="6">
        <v>255582520.3634513</v>
      </c>
      <c r="O41" s="6">
        <v>0</v>
      </c>
      <c r="P41" s="7">
        <v>857000000</v>
      </c>
      <c r="Q41" s="6">
        <v>0</v>
      </c>
    </row>
    <row r="42" spans="1:17">
      <c r="A42" s="6" t="s">
        <v>144</v>
      </c>
      <c r="B42" s="6" t="s">
        <v>86</v>
      </c>
      <c r="C42" s="6" t="s">
        <v>87</v>
      </c>
      <c r="D42" s="6" t="s">
        <v>395</v>
      </c>
      <c r="E42" s="6" t="b">
        <v>1</v>
      </c>
      <c r="F42" s="6" t="s">
        <v>396</v>
      </c>
      <c r="G42" s="6">
        <v>28167.21483333334</v>
      </c>
      <c r="H42" s="6">
        <v>23191.00687944445</v>
      </c>
      <c r="I42" s="6">
        <v>74449.93773241392</v>
      </c>
      <c r="J42" s="6">
        <v>10243.54950799537</v>
      </c>
      <c r="K42" s="6">
        <v>38688</v>
      </c>
      <c r="L42" s="12">
        <v>0.2647733020056703</v>
      </c>
      <c r="M42" s="15">
        <v>0</v>
      </c>
      <c r="N42" s="6">
        <v>126752466.75</v>
      </c>
      <c r="O42" s="6">
        <v>0</v>
      </c>
      <c r="P42" s="7">
        <v>2478000000</v>
      </c>
      <c r="Q42" s="6">
        <v>2857.586333333334</v>
      </c>
    </row>
    <row r="43" spans="1:17">
      <c r="A43" s="6" t="s">
        <v>144</v>
      </c>
      <c r="B43" s="6" t="s">
        <v>88</v>
      </c>
      <c r="C43" s="6" t="s">
        <v>89</v>
      </c>
      <c r="D43" s="6" t="s">
        <v>395</v>
      </c>
      <c r="E43" s="6" t="b">
        <v>1</v>
      </c>
      <c r="F43" s="6" t="s">
        <v>396</v>
      </c>
      <c r="G43" s="6">
        <v>10450.01781934148</v>
      </c>
      <c r="H43" s="6">
        <v>8603.848004591155</v>
      </c>
      <c r="I43" s="6">
        <v>8603.848004591155</v>
      </c>
      <c r="J43" s="6">
        <v>3800.35</v>
      </c>
      <c r="K43" s="6">
        <v>4471</v>
      </c>
      <c r="L43" s="12">
        <v>0.8499999999999999</v>
      </c>
      <c r="M43" s="15">
        <v>0</v>
      </c>
      <c r="N43" s="6">
        <v>47025080.18703669</v>
      </c>
      <c r="O43" s="6">
        <v>0</v>
      </c>
      <c r="P43" s="7">
        <v>347000000</v>
      </c>
      <c r="Q43" s="6">
        <v>2.66625</v>
      </c>
    </row>
    <row r="44" spans="1:17">
      <c r="A44" s="6" t="s">
        <v>144</v>
      </c>
      <c r="B44" s="6" t="s">
        <v>90</v>
      </c>
      <c r="C44" s="6" t="s">
        <v>91</v>
      </c>
      <c r="D44" s="6" t="s">
        <v>395</v>
      </c>
      <c r="E44" s="6" t="b">
        <v>1</v>
      </c>
      <c r="F44" s="6" t="s">
        <v>396</v>
      </c>
      <c r="G44" s="6">
        <v>10080.47325</v>
      </c>
      <c r="H44" s="6">
        <v>8299.589642499999</v>
      </c>
      <c r="I44" s="6">
        <v>21287.3555416657</v>
      </c>
      <c r="J44" s="6">
        <v>3665.9580086775</v>
      </c>
      <c r="K44" s="6">
        <v>11062</v>
      </c>
      <c r="L44" s="12">
        <v>0.3314010132595823</v>
      </c>
      <c r="M44" s="15">
        <v>0</v>
      </c>
      <c r="N44" s="6">
        <v>45362129.62499999</v>
      </c>
      <c r="O44" s="6">
        <v>0</v>
      </c>
      <c r="P44" s="7">
        <v>445000000</v>
      </c>
      <c r="Q44" s="6">
        <v>4101.506083333333</v>
      </c>
    </row>
    <row r="45" spans="1:17">
      <c r="A45" s="6" t="s">
        <v>144</v>
      </c>
      <c r="B45" s="6" t="s">
        <v>92</v>
      </c>
      <c r="C45" s="6" t="s">
        <v>93</v>
      </c>
      <c r="D45" s="6" t="s">
        <v>395</v>
      </c>
      <c r="E45" s="6" t="b">
        <v>1</v>
      </c>
      <c r="F45" s="6" t="s">
        <v>396</v>
      </c>
      <c r="G45" s="6">
        <v>11823.76368065851</v>
      </c>
      <c r="H45" s="6">
        <v>9734.898763742176</v>
      </c>
      <c r="I45" s="6">
        <v>13801.56517309948</v>
      </c>
      <c r="J45" s="6">
        <v>4299.939108297344</v>
      </c>
      <c r="K45" s="6">
        <v>7172</v>
      </c>
      <c r="L45" s="12">
        <v>0.5995453302143536</v>
      </c>
      <c r="M45" s="15">
        <v>0</v>
      </c>
      <c r="N45" s="6">
        <v>53206936.56296331</v>
      </c>
      <c r="O45" s="6">
        <v>0</v>
      </c>
      <c r="P45" s="7">
        <v>445000000</v>
      </c>
      <c r="Q45" s="6">
        <v>11734.51601399185</v>
      </c>
    </row>
    <row r="46" spans="1:17">
      <c r="A46" s="6" t="s">
        <v>144</v>
      </c>
      <c r="B46" s="6" t="s">
        <v>94</v>
      </c>
      <c r="C46" s="6" t="s">
        <v>95</v>
      </c>
      <c r="D46" s="6" t="s">
        <v>398</v>
      </c>
      <c r="E46" s="6" t="b">
        <v>1</v>
      </c>
      <c r="F46" s="6" t="s">
        <v>396</v>
      </c>
      <c r="G46" s="6">
        <v>0</v>
      </c>
      <c r="H46" s="6">
        <v>0</v>
      </c>
      <c r="I46" s="6">
        <v>2878.854085186394</v>
      </c>
      <c r="J46" s="6">
        <v>0</v>
      </c>
      <c r="K46" s="6">
        <v>1496</v>
      </c>
      <c r="L46" s="12">
        <v>0</v>
      </c>
      <c r="M46" s="15">
        <v>0</v>
      </c>
      <c r="N46" s="6">
        <v>0</v>
      </c>
      <c r="O46" s="6">
        <v>0</v>
      </c>
      <c r="P46" s="7">
        <v>445000000</v>
      </c>
      <c r="Q46" s="6">
        <v>0</v>
      </c>
    </row>
    <row r="47" spans="1:17">
      <c r="A47" s="6" t="s">
        <v>144</v>
      </c>
      <c r="B47" s="6" t="s">
        <v>97</v>
      </c>
      <c r="C47" s="6" t="s">
        <v>98</v>
      </c>
      <c r="D47" s="6" t="s">
        <v>398</v>
      </c>
      <c r="E47" s="6" t="b">
        <v>1</v>
      </c>
      <c r="F47" s="6" t="s">
        <v>396</v>
      </c>
      <c r="G47" s="6">
        <v>0</v>
      </c>
      <c r="H47" s="6">
        <v>0</v>
      </c>
      <c r="I47" s="6">
        <v>1279.704523161064</v>
      </c>
      <c r="J47" s="6">
        <v>0</v>
      </c>
      <c r="K47" s="6">
        <v>665</v>
      </c>
      <c r="L47" s="12">
        <v>0</v>
      </c>
      <c r="M47" s="15">
        <v>0</v>
      </c>
      <c r="N47" s="6">
        <v>0</v>
      </c>
      <c r="O47" s="6">
        <v>0</v>
      </c>
      <c r="P47" s="7">
        <v>445000000</v>
      </c>
      <c r="Q47" s="6">
        <v>0</v>
      </c>
    </row>
    <row r="48" spans="1:17">
      <c r="A48" s="6" t="s">
        <v>144</v>
      </c>
      <c r="B48" s="6" t="s">
        <v>99</v>
      </c>
      <c r="C48" s="6" t="s">
        <v>100</v>
      </c>
      <c r="D48" s="6" t="s">
        <v>398</v>
      </c>
      <c r="E48" s="6" t="b">
        <v>1</v>
      </c>
      <c r="F48" s="6" t="s">
        <v>396</v>
      </c>
      <c r="G48" s="6">
        <v>443.0348333333333</v>
      </c>
      <c r="H48" s="6">
        <v>364.7653461111111</v>
      </c>
      <c r="I48" s="6">
        <v>1279.704523161064</v>
      </c>
      <c r="J48" s="6">
        <v>161.1181395061422</v>
      </c>
      <c r="K48" s="6">
        <v>665</v>
      </c>
      <c r="L48" s="12">
        <v>0.2422829165505898</v>
      </c>
      <c r="M48" s="15">
        <v>0</v>
      </c>
      <c r="N48" s="6">
        <v>3544278.666666667</v>
      </c>
      <c r="O48" s="6">
        <v>0</v>
      </c>
      <c r="P48" s="7">
        <v>445000000</v>
      </c>
      <c r="Q48" s="6">
        <v>443.0348333333333</v>
      </c>
    </row>
    <row r="49" spans="1:17">
      <c r="A49" s="6" t="s">
        <v>144</v>
      </c>
      <c r="B49" s="6" t="s">
        <v>101</v>
      </c>
      <c r="C49" s="6" t="s">
        <v>102</v>
      </c>
      <c r="D49" s="6" t="s">
        <v>398</v>
      </c>
      <c r="E49" s="6" t="b">
        <v>1</v>
      </c>
      <c r="F49" s="6" t="s">
        <v>396</v>
      </c>
      <c r="G49" s="6">
        <v>1662.994447010816</v>
      </c>
      <c r="H49" s="6">
        <v>1369.198761372238</v>
      </c>
      <c r="I49" s="6">
        <v>17657.99805191869</v>
      </c>
      <c r="J49" s="6">
        <v>604.77992056628</v>
      </c>
      <c r="K49" s="6">
        <v>9176</v>
      </c>
      <c r="L49" s="12">
        <v>0.06590888410704882</v>
      </c>
      <c r="M49" s="15">
        <v>0</v>
      </c>
      <c r="N49" s="6">
        <v>13303955.57608652</v>
      </c>
      <c r="O49" s="6">
        <v>0</v>
      </c>
      <c r="P49" s="7">
        <v>542000000</v>
      </c>
      <c r="Q49" s="6">
        <v>1662.994447010816</v>
      </c>
    </row>
    <row r="50" spans="1:17">
      <c r="A50" s="6" t="s">
        <v>144</v>
      </c>
      <c r="B50" s="6" t="s">
        <v>104</v>
      </c>
      <c r="C50" s="6" t="s">
        <v>105</v>
      </c>
      <c r="D50" s="6" t="s">
        <v>106</v>
      </c>
      <c r="E50" s="6" t="b">
        <v>0</v>
      </c>
      <c r="F50" s="6" t="s">
        <v>399</v>
      </c>
      <c r="G50" s="6">
        <v>0</v>
      </c>
      <c r="H50" s="6">
        <v>0</v>
      </c>
      <c r="I50" s="6">
        <v>11546.2062240096</v>
      </c>
      <c r="J50" s="6">
        <v>0</v>
      </c>
      <c r="K50" s="6">
        <v>6000</v>
      </c>
      <c r="L50" s="12">
        <v>0</v>
      </c>
      <c r="M50" s="15">
        <v>0</v>
      </c>
      <c r="N50" s="6">
        <v>0</v>
      </c>
      <c r="O50" s="6">
        <v>0</v>
      </c>
      <c r="P50" s="7">
        <v>0</v>
      </c>
      <c r="Q50" s="6">
        <v>0</v>
      </c>
    </row>
    <row r="51" spans="1:17">
      <c r="A51" s="6" t="s">
        <v>144</v>
      </c>
      <c r="B51" s="6" t="s">
        <v>107</v>
      </c>
      <c r="C51" s="6" t="s">
        <v>108</v>
      </c>
      <c r="D51" s="6" t="s">
        <v>106</v>
      </c>
      <c r="E51" s="6" t="b">
        <v>0</v>
      </c>
      <c r="F51" s="6" t="s">
        <v>399</v>
      </c>
      <c r="G51" s="6">
        <v>0</v>
      </c>
      <c r="H51" s="6">
        <v>0</v>
      </c>
      <c r="I51" s="6">
        <v>15394.9416320128</v>
      </c>
      <c r="J51" s="6">
        <v>0</v>
      </c>
      <c r="K51" s="6">
        <v>8000</v>
      </c>
      <c r="L51" s="12">
        <v>0</v>
      </c>
      <c r="M51" s="15">
        <v>0</v>
      </c>
      <c r="N51" s="6">
        <v>0</v>
      </c>
      <c r="O51" s="6">
        <v>0</v>
      </c>
      <c r="P51" s="7">
        <v>0</v>
      </c>
      <c r="Q51" s="6">
        <v>0</v>
      </c>
    </row>
    <row r="52" spans="1:17">
      <c r="A52" s="6" t="s">
        <v>146</v>
      </c>
      <c r="B52" s="6" t="s">
        <v>44</v>
      </c>
      <c r="C52" s="6" t="s">
        <v>84</v>
      </c>
      <c r="D52" s="6" t="s">
        <v>395</v>
      </c>
      <c r="E52" s="6" t="b">
        <v>1</v>
      </c>
      <c r="F52" s="6" t="s">
        <v>396</v>
      </c>
      <c r="G52" s="6">
        <v>56796.11563632252</v>
      </c>
      <c r="H52" s="6">
        <v>46762.13520723887</v>
      </c>
      <c r="I52" s="6">
        <v>46762.13520723889</v>
      </c>
      <c r="J52" s="6">
        <v>20654.99999999999</v>
      </c>
      <c r="K52" s="6">
        <v>24300</v>
      </c>
      <c r="L52" s="12">
        <v>0.8499999999999996</v>
      </c>
      <c r="M52" s="15">
        <v>0</v>
      </c>
      <c r="N52" s="6">
        <v>255582520.3634513</v>
      </c>
      <c r="O52" s="6">
        <v>0</v>
      </c>
      <c r="P52" s="7">
        <v>857000000</v>
      </c>
      <c r="Q52" s="6">
        <v>0</v>
      </c>
    </row>
    <row r="53" spans="1:17">
      <c r="A53" s="6" t="s">
        <v>146</v>
      </c>
      <c r="B53" s="6" t="s">
        <v>86</v>
      </c>
      <c r="C53" s="6" t="s">
        <v>87</v>
      </c>
      <c r="D53" s="6" t="s">
        <v>395</v>
      </c>
      <c r="E53" s="6" t="b">
        <v>1</v>
      </c>
      <c r="F53" s="6" t="s">
        <v>396</v>
      </c>
      <c r="G53" s="6">
        <v>26997.4685083064</v>
      </c>
      <c r="H53" s="6">
        <v>22227.9157385056</v>
      </c>
      <c r="I53" s="6">
        <v>74449.93773241392</v>
      </c>
      <c r="J53" s="6">
        <v>9818.148755272423</v>
      </c>
      <c r="K53" s="6">
        <v>38688</v>
      </c>
      <c r="L53" s="12">
        <v>0.2537776249811937</v>
      </c>
      <c r="M53" s="15">
        <v>0</v>
      </c>
      <c r="N53" s="6">
        <v>121488608.2873788</v>
      </c>
      <c r="O53" s="6">
        <v>0</v>
      </c>
      <c r="P53" s="7">
        <v>2478000000</v>
      </c>
      <c r="Q53" s="6">
        <v>1544.022841639733</v>
      </c>
    </row>
    <row r="54" spans="1:17">
      <c r="A54" s="6" t="s">
        <v>146</v>
      </c>
      <c r="B54" s="6" t="s">
        <v>88</v>
      </c>
      <c r="C54" s="6" t="s">
        <v>89</v>
      </c>
      <c r="D54" s="6" t="s">
        <v>395</v>
      </c>
      <c r="E54" s="6" t="b">
        <v>1</v>
      </c>
      <c r="F54" s="6" t="s">
        <v>396</v>
      </c>
      <c r="G54" s="6">
        <v>10450.01781934148</v>
      </c>
      <c r="H54" s="6">
        <v>8603.848004591155</v>
      </c>
      <c r="I54" s="6">
        <v>8603.848004591155</v>
      </c>
      <c r="J54" s="6">
        <v>3800.35</v>
      </c>
      <c r="K54" s="6">
        <v>4471</v>
      </c>
      <c r="L54" s="12">
        <v>0.8499999999999999</v>
      </c>
      <c r="M54" s="15">
        <v>0</v>
      </c>
      <c r="N54" s="6">
        <v>47025080.18703669</v>
      </c>
      <c r="O54" s="6">
        <v>0</v>
      </c>
      <c r="P54" s="7">
        <v>347000000</v>
      </c>
      <c r="Q54" s="6">
        <v>2.66625</v>
      </c>
    </row>
    <row r="55" spans="1:17">
      <c r="A55" s="6" t="s">
        <v>146</v>
      </c>
      <c r="B55" s="6" t="s">
        <v>90</v>
      </c>
      <c r="C55" s="6" t="s">
        <v>91</v>
      </c>
      <c r="D55" s="6" t="s">
        <v>395</v>
      </c>
      <c r="E55" s="6" t="b">
        <v>1</v>
      </c>
      <c r="F55" s="6" t="s">
        <v>396</v>
      </c>
      <c r="G55" s="6">
        <v>11817.34069701082</v>
      </c>
      <c r="H55" s="6">
        <v>9729.610507205573</v>
      </c>
      <c r="I55" s="6">
        <v>21287.3555416657</v>
      </c>
      <c r="J55" s="6">
        <v>4297.603266739224</v>
      </c>
      <c r="K55" s="6">
        <v>11062</v>
      </c>
      <c r="L55" s="12">
        <v>0.3885014705061673</v>
      </c>
      <c r="M55" s="15">
        <v>0</v>
      </c>
      <c r="N55" s="6">
        <v>53178033.13654868</v>
      </c>
      <c r="O55" s="6">
        <v>0</v>
      </c>
      <c r="P55" s="7">
        <v>445000000</v>
      </c>
      <c r="Q55" s="6">
        <v>5838.37353034415</v>
      </c>
    </row>
    <row r="56" spans="1:17">
      <c r="A56" s="6" t="s">
        <v>146</v>
      </c>
      <c r="B56" s="6" t="s">
        <v>92</v>
      </c>
      <c r="C56" s="6" t="s">
        <v>93</v>
      </c>
      <c r="D56" s="6" t="s">
        <v>395</v>
      </c>
      <c r="E56" s="6" t="b">
        <v>1</v>
      </c>
      <c r="F56" s="6" t="s">
        <v>396</v>
      </c>
      <c r="G56" s="6">
        <v>11808.37484732518</v>
      </c>
      <c r="H56" s="6">
        <v>9722.228624297733</v>
      </c>
      <c r="I56" s="6">
        <v>13801.56517309948</v>
      </c>
      <c r="J56" s="6">
        <v>4294.342663030995</v>
      </c>
      <c r="K56" s="6">
        <v>7172</v>
      </c>
      <c r="L56" s="12">
        <v>0.5987650115771047</v>
      </c>
      <c r="M56" s="15">
        <v>0</v>
      </c>
      <c r="N56" s="6">
        <v>53137686.81296331</v>
      </c>
      <c r="O56" s="6">
        <v>0</v>
      </c>
      <c r="P56" s="7">
        <v>445000000</v>
      </c>
      <c r="Q56" s="6">
        <v>11719.12718065851</v>
      </c>
    </row>
    <row r="57" spans="1:17">
      <c r="A57" s="6" t="s">
        <v>146</v>
      </c>
      <c r="B57" s="6" t="s">
        <v>94</v>
      </c>
      <c r="C57" s="6" t="s">
        <v>95</v>
      </c>
      <c r="D57" s="6" t="s">
        <v>398</v>
      </c>
      <c r="E57" s="6" t="b">
        <v>1</v>
      </c>
      <c r="F57" s="6" t="s">
        <v>396</v>
      </c>
      <c r="G57" s="6">
        <v>0</v>
      </c>
      <c r="H57" s="6">
        <v>0</v>
      </c>
      <c r="I57" s="6">
        <v>2878.854085186394</v>
      </c>
      <c r="J57" s="6">
        <v>0</v>
      </c>
      <c r="K57" s="6">
        <v>1496</v>
      </c>
      <c r="L57" s="12">
        <v>0</v>
      </c>
      <c r="M57" s="15">
        <v>0</v>
      </c>
      <c r="N57" s="6">
        <v>0</v>
      </c>
      <c r="O57" s="6">
        <v>0</v>
      </c>
      <c r="P57" s="7">
        <v>445000000</v>
      </c>
      <c r="Q57" s="6">
        <v>0</v>
      </c>
    </row>
    <row r="58" spans="1:17">
      <c r="A58" s="6" t="s">
        <v>146</v>
      </c>
      <c r="B58" s="6" t="s">
        <v>97</v>
      </c>
      <c r="C58" s="6" t="s">
        <v>98</v>
      </c>
      <c r="D58" s="6" t="s">
        <v>398</v>
      </c>
      <c r="E58" s="6" t="b">
        <v>1</v>
      </c>
      <c r="F58" s="6" t="s">
        <v>396</v>
      </c>
      <c r="G58" s="6">
        <v>0</v>
      </c>
      <c r="H58" s="6">
        <v>0</v>
      </c>
      <c r="I58" s="6">
        <v>1279.704523161064</v>
      </c>
      <c r="J58" s="6">
        <v>0</v>
      </c>
      <c r="K58" s="6">
        <v>665</v>
      </c>
      <c r="L58" s="12">
        <v>0</v>
      </c>
      <c r="M58" s="15">
        <v>0</v>
      </c>
      <c r="N58" s="6">
        <v>0</v>
      </c>
      <c r="O58" s="6">
        <v>0</v>
      </c>
      <c r="P58" s="7">
        <v>445000000</v>
      </c>
      <c r="Q58" s="6">
        <v>0</v>
      </c>
    </row>
    <row r="59" spans="1:17">
      <c r="A59" s="6" t="s">
        <v>146</v>
      </c>
      <c r="B59" s="6" t="s">
        <v>99</v>
      </c>
      <c r="C59" s="6" t="s">
        <v>100</v>
      </c>
      <c r="D59" s="6" t="s">
        <v>398</v>
      </c>
      <c r="E59" s="6" t="b">
        <v>1</v>
      </c>
      <c r="F59" s="6" t="s">
        <v>396</v>
      </c>
      <c r="G59" s="6">
        <v>1554.2969916936</v>
      </c>
      <c r="H59" s="6">
        <v>1279.704523161064</v>
      </c>
      <c r="I59" s="6">
        <v>1279.704523161064</v>
      </c>
      <c r="J59" s="6">
        <v>565.25</v>
      </c>
      <c r="K59" s="6">
        <v>665</v>
      </c>
      <c r="L59" s="12">
        <v>0.85</v>
      </c>
      <c r="M59" s="15">
        <v>0</v>
      </c>
      <c r="N59" s="6">
        <v>12434375.9335488</v>
      </c>
      <c r="O59" s="6">
        <v>0</v>
      </c>
      <c r="P59" s="7">
        <v>445000000</v>
      </c>
      <c r="Q59" s="6">
        <v>1554.2969916936</v>
      </c>
    </row>
    <row r="60" spans="1:17">
      <c r="A60" s="6" t="s">
        <v>146</v>
      </c>
      <c r="B60" s="6" t="s">
        <v>101</v>
      </c>
      <c r="C60" s="6" t="s">
        <v>102</v>
      </c>
      <c r="D60" s="6" t="s">
        <v>398</v>
      </c>
      <c r="E60" s="6" t="b">
        <v>0</v>
      </c>
      <c r="F60" s="6" t="s">
        <v>399</v>
      </c>
      <c r="G60" s="6">
        <v>0</v>
      </c>
      <c r="H60" s="6">
        <v>0</v>
      </c>
      <c r="I60" s="6">
        <v>17657.99805191869</v>
      </c>
      <c r="J60" s="6">
        <v>0</v>
      </c>
      <c r="K60" s="6">
        <v>9176</v>
      </c>
      <c r="L60" s="12">
        <v>0</v>
      </c>
      <c r="M60" s="15">
        <v>0</v>
      </c>
      <c r="N60" s="6">
        <v>0</v>
      </c>
      <c r="O60" s="6">
        <v>0</v>
      </c>
      <c r="P60" s="7">
        <v>0</v>
      </c>
      <c r="Q60" s="6">
        <v>0</v>
      </c>
    </row>
    <row r="61" spans="1:17">
      <c r="A61" s="6" t="s">
        <v>146</v>
      </c>
      <c r="B61" s="6" t="s">
        <v>104</v>
      </c>
      <c r="C61" s="6" t="s">
        <v>105</v>
      </c>
      <c r="D61" s="6" t="s">
        <v>106</v>
      </c>
      <c r="E61" s="6" t="b">
        <v>0</v>
      </c>
      <c r="F61" s="6" t="s">
        <v>399</v>
      </c>
      <c r="G61" s="6">
        <v>0</v>
      </c>
      <c r="H61" s="6">
        <v>0</v>
      </c>
      <c r="I61" s="6">
        <v>11546.2062240096</v>
      </c>
      <c r="J61" s="6">
        <v>0</v>
      </c>
      <c r="K61" s="6">
        <v>6000</v>
      </c>
      <c r="L61" s="12">
        <v>0</v>
      </c>
      <c r="M61" s="15">
        <v>0</v>
      </c>
      <c r="N61" s="6">
        <v>0</v>
      </c>
      <c r="O61" s="6">
        <v>0</v>
      </c>
      <c r="P61" s="7">
        <v>0</v>
      </c>
      <c r="Q61" s="6">
        <v>0</v>
      </c>
    </row>
    <row r="62" spans="1:17">
      <c r="A62" s="6" t="s">
        <v>146</v>
      </c>
      <c r="B62" s="6" t="s">
        <v>107</v>
      </c>
      <c r="C62" s="6" t="s">
        <v>108</v>
      </c>
      <c r="D62" s="6" t="s">
        <v>106</v>
      </c>
      <c r="E62" s="6" t="b">
        <v>0</v>
      </c>
      <c r="F62" s="6" t="s">
        <v>399</v>
      </c>
      <c r="G62" s="6">
        <v>0</v>
      </c>
      <c r="H62" s="6">
        <v>0</v>
      </c>
      <c r="I62" s="6">
        <v>15394.9416320128</v>
      </c>
      <c r="J62" s="6">
        <v>0</v>
      </c>
      <c r="K62" s="6">
        <v>8000</v>
      </c>
      <c r="L62" s="12">
        <v>0</v>
      </c>
      <c r="M62" s="15">
        <v>0</v>
      </c>
      <c r="N62" s="6">
        <v>0</v>
      </c>
      <c r="O62" s="6">
        <v>0</v>
      </c>
      <c r="P62" s="7">
        <v>0</v>
      </c>
      <c r="Q62" s="6">
        <v>0</v>
      </c>
    </row>
    <row r="63" spans="1:17">
      <c r="A63" s="6" t="s">
        <v>148</v>
      </c>
      <c r="B63" s="6" t="s">
        <v>44</v>
      </c>
      <c r="C63" s="6" t="s">
        <v>84</v>
      </c>
      <c r="D63" s="6" t="s">
        <v>395</v>
      </c>
      <c r="E63" s="6" t="b">
        <v>1</v>
      </c>
      <c r="F63" s="6" t="s">
        <v>396</v>
      </c>
      <c r="G63" s="6">
        <v>35018.20454757202</v>
      </c>
      <c r="H63" s="6">
        <v>28831.65507750096</v>
      </c>
      <c r="I63" s="6">
        <v>46762.13520723889</v>
      </c>
      <c r="J63" s="6">
        <v>12735.04370548064</v>
      </c>
      <c r="K63" s="6">
        <v>24300</v>
      </c>
      <c r="L63" s="12">
        <v>0.5240758726535244</v>
      </c>
      <c r="M63" s="15">
        <v>0</v>
      </c>
      <c r="N63" s="6">
        <v>157581920.4640741</v>
      </c>
      <c r="O63" s="6">
        <v>0</v>
      </c>
      <c r="P63" s="7">
        <v>857000000</v>
      </c>
      <c r="Q63" s="6">
        <v>0</v>
      </c>
    </row>
    <row r="64" spans="1:17">
      <c r="A64" s="6" t="s">
        <v>148</v>
      </c>
      <c r="B64" s="6" t="s">
        <v>86</v>
      </c>
      <c r="C64" s="6" t="s">
        <v>87</v>
      </c>
      <c r="D64" s="6" t="s">
        <v>395</v>
      </c>
      <c r="E64" s="6" t="b">
        <v>1</v>
      </c>
      <c r="F64" s="6" t="s">
        <v>396</v>
      </c>
      <c r="G64" s="6">
        <v>32426.27684732518</v>
      </c>
      <c r="H64" s="6">
        <v>26697.63460429773</v>
      </c>
      <c r="I64" s="6">
        <v>74449.93773241392</v>
      </c>
      <c r="J64" s="6">
        <v>11792.43933810802</v>
      </c>
      <c r="K64" s="6">
        <v>38688</v>
      </c>
      <c r="L64" s="12">
        <v>0.3048087091115596</v>
      </c>
      <c r="M64" s="15">
        <v>0</v>
      </c>
      <c r="N64" s="6">
        <v>145918245.8129633</v>
      </c>
      <c r="O64" s="6">
        <v>0</v>
      </c>
      <c r="P64" s="7">
        <v>2478000000</v>
      </c>
      <c r="Q64" s="6">
        <v>16.47641666666667</v>
      </c>
    </row>
    <row r="65" spans="1:17">
      <c r="A65" s="6" t="s">
        <v>148</v>
      </c>
      <c r="B65" s="6" t="s">
        <v>88</v>
      </c>
      <c r="C65" s="6" t="s">
        <v>89</v>
      </c>
      <c r="D65" s="6" t="s">
        <v>395</v>
      </c>
      <c r="E65" s="6" t="b">
        <v>1</v>
      </c>
      <c r="F65" s="6" t="s">
        <v>396</v>
      </c>
      <c r="G65" s="6">
        <v>10450.01781934148</v>
      </c>
      <c r="H65" s="6">
        <v>8603.848004591155</v>
      </c>
      <c r="I65" s="6">
        <v>8603.848004591155</v>
      </c>
      <c r="J65" s="6">
        <v>3800.35</v>
      </c>
      <c r="K65" s="6">
        <v>4471</v>
      </c>
      <c r="L65" s="12">
        <v>0.8499999999999999</v>
      </c>
      <c r="M65" s="15">
        <v>0</v>
      </c>
      <c r="N65" s="6">
        <v>47025080.18703669</v>
      </c>
      <c r="O65" s="6">
        <v>0</v>
      </c>
      <c r="P65" s="7">
        <v>347000000</v>
      </c>
      <c r="Q65" s="6">
        <v>0</v>
      </c>
    </row>
    <row r="66" spans="1:17">
      <c r="A66" s="6" t="s">
        <v>148</v>
      </c>
      <c r="B66" s="6" t="s">
        <v>90</v>
      </c>
      <c r="C66" s="6" t="s">
        <v>91</v>
      </c>
      <c r="D66" s="6" t="s">
        <v>395</v>
      </c>
      <c r="E66" s="6" t="b">
        <v>1</v>
      </c>
      <c r="F66" s="6" t="s">
        <v>396</v>
      </c>
      <c r="G66" s="6">
        <v>25855.08770242798</v>
      </c>
      <c r="H66" s="6">
        <v>21287.3555416657</v>
      </c>
      <c r="I66" s="6">
        <v>21287.3555416657</v>
      </c>
      <c r="J66" s="6">
        <v>9402.700000000001</v>
      </c>
      <c r="K66" s="6">
        <v>11062</v>
      </c>
      <c r="L66" s="12">
        <v>0.85</v>
      </c>
      <c r="M66" s="15">
        <v>0</v>
      </c>
      <c r="N66" s="6">
        <v>116347894.6609259</v>
      </c>
      <c r="O66" s="6">
        <v>0</v>
      </c>
      <c r="P66" s="7">
        <v>445000000</v>
      </c>
      <c r="Q66" s="6">
        <v>26.871</v>
      </c>
    </row>
    <row r="67" spans="1:17">
      <c r="A67" s="6" t="s">
        <v>148</v>
      </c>
      <c r="B67" s="6" t="s">
        <v>92</v>
      </c>
      <c r="C67" s="6" t="s">
        <v>93</v>
      </c>
      <c r="D67" s="6" t="s">
        <v>395</v>
      </c>
      <c r="E67" s="6" t="b">
        <v>1</v>
      </c>
      <c r="F67" s="6" t="s">
        <v>396</v>
      </c>
      <c r="G67" s="6">
        <v>15447.39833333333</v>
      </c>
      <c r="H67" s="6">
        <v>12718.35796111111</v>
      </c>
      <c r="I67" s="6">
        <v>13801.56517309948</v>
      </c>
      <c r="J67" s="6">
        <v>5617.743555176321</v>
      </c>
      <c r="K67" s="6">
        <v>7172</v>
      </c>
      <c r="L67" s="12">
        <v>0.7832882815360179</v>
      </c>
      <c r="M67" s="15">
        <v>0</v>
      </c>
      <c r="N67" s="6">
        <v>69513292.5</v>
      </c>
      <c r="O67" s="6">
        <v>0</v>
      </c>
      <c r="P67" s="7">
        <v>445000000</v>
      </c>
      <c r="Q67" s="6">
        <v>12734.83891666667</v>
      </c>
    </row>
    <row r="68" spans="1:17">
      <c r="A68" s="6" t="s">
        <v>148</v>
      </c>
      <c r="B68" s="6" t="s">
        <v>94</v>
      </c>
      <c r="C68" s="6" t="s">
        <v>95</v>
      </c>
      <c r="D68" s="6" t="s">
        <v>398</v>
      </c>
      <c r="E68" s="6" t="b">
        <v>1</v>
      </c>
      <c r="F68" s="6" t="s">
        <v>396</v>
      </c>
      <c r="G68" s="6">
        <v>0</v>
      </c>
      <c r="H68" s="6">
        <v>0</v>
      </c>
      <c r="I68" s="6">
        <v>2878.854085186394</v>
      </c>
      <c r="J68" s="6">
        <v>0</v>
      </c>
      <c r="K68" s="6">
        <v>1496</v>
      </c>
      <c r="L68" s="12">
        <v>0</v>
      </c>
      <c r="M68" s="15">
        <v>0</v>
      </c>
      <c r="N68" s="6">
        <v>0</v>
      </c>
      <c r="O68" s="6">
        <v>0</v>
      </c>
      <c r="P68" s="7">
        <v>445000000</v>
      </c>
      <c r="Q68" s="6">
        <v>0</v>
      </c>
    </row>
    <row r="69" spans="1:17">
      <c r="A69" s="6" t="s">
        <v>148</v>
      </c>
      <c r="B69" s="6" t="s">
        <v>97</v>
      </c>
      <c r="C69" s="6" t="s">
        <v>98</v>
      </c>
      <c r="D69" s="6" t="s">
        <v>398</v>
      </c>
      <c r="E69" s="6" t="b">
        <v>1</v>
      </c>
      <c r="F69" s="6" t="s">
        <v>396</v>
      </c>
      <c r="G69" s="6">
        <v>0</v>
      </c>
      <c r="H69" s="6">
        <v>0</v>
      </c>
      <c r="I69" s="6">
        <v>1279.704523161064</v>
      </c>
      <c r="J69" s="6">
        <v>0</v>
      </c>
      <c r="K69" s="6">
        <v>665</v>
      </c>
      <c r="L69" s="12">
        <v>0</v>
      </c>
      <c r="M69" s="15">
        <v>0</v>
      </c>
      <c r="N69" s="6">
        <v>0</v>
      </c>
      <c r="O69" s="6">
        <v>0</v>
      </c>
      <c r="P69" s="7">
        <v>445000000</v>
      </c>
      <c r="Q69" s="6">
        <v>0</v>
      </c>
    </row>
    <row r="70" spans="1:17">
      <c r="A70" s="6" t="s">
        <v>148</v>
      </c>
      <c r="B70" s="6" t="s">
        <v>99</v>
      </c>
      <c r="C70" s="6" t="s">
        <v>100</v>
      </c>
      <c r="D70" s="6" t="s">
        <v>398</v>
      </c>
      <c r="E70" s="6" t="b">
        <v>1</v>
      </c>
      <c r="F70" s="6" t="s">
        <v>396</v>
      </c>
      <c r="G70" s="6">
        <v>226.62925</v>
      </c>
      <c r="H70" s="6">
        <v>186.5914158333333</v>
      </c>
      <c r="I70" s="6">
        <v>1279.704523161064</v>
      </c>
      <c r="J70" s="6">
        <v>82.41808627765323</v>
      </c>
      <c r="K70" s="6">
        <v>665</v>
      </c>
      <c r="L70" s="12">
        <v>0.1239369718460951</v>
      </c>
      <c r="M70" s="15">
        <v>0</v>
      </c>
      <c r="N70" s="6">
        <v>1813034</v>
      </c>
      <c r="O70" s="6">
        <v>0</v>
      </c>
      <c r="P70" s="7">
        <v>445000000</v>
      </c>
      <c r="Q70" s="6">
        <v>226.62925</v>
      </c>
    </row>
    <row r="71" spans="1:17">
      <c r="A71" s="6" t="s">
        <v>148</v>
      </c>
      <c r="B71" s="6" t="s">
        <v>101</v>
      </c>
      <c r="C71" s="6" t="s">
        <v>102</v>
      </c>
      <c r="D71" s="6" t="s">
        <v>398</v>
      </c>
      <c r="E71" s="6" t="b">
        <v>0</v>
      </c>
      <c r="F71" s="6" t="s">
        <v>399</v>
      </c>
      <c r="G71" s="6">
        <v>0</v>
      </c>
      <c r="H71" s="6">
        <v>0</v>
      </c>
      <c r="I71" s="6">
        <v>17657.99805191869</v>
      </c>
      <c r="J71" s="6">
        <v>0</v>
      </c>
      <c r="K71" s="6">
        <v>9176</v>
      </c>
      <c r="L71" s="12">
        <v>0</v>
      </c>
      <c r="M71" s="15">
        <v>0</v>
      </c>
      <c r="N71" s="6">
        <v>0</v>
      </c>
      <c r="O71" s="6">
        <v>0</v>
      </c>
      <c r="P71" s="7">
        <v>0</v>
      </c>
      <c r="Q71" s="6">
        <v>0</v>
      </c>
    </row>
    <row r="72" spans="1:17">
      <c r="A72" s="6" t="s">
        <v>148</v>
      </c>
      <c r="B72" s="6" t="s">
        <v>104</v>
      </c>
      <c r="C72" s="6" t="s">
        <v>105</v>
      </c>
      <c r="D72" s="6" t="s">
        <v>106</v>
      </c>
      <c r="E72" s="6" t="b">
        <v>0</v>
      </c>
      <c r="F72" s="6" t="s">
        <v>399</v>
      </c>
      <c r="G72" s="6">
        <v>0</v>
      </c>
      <c r="H72" s="6">
        <v>0</v>
      </c>
      <c r="I72" s="6">
        <v>11546.2062240096</v>
      </c>
      <c r="J72" s="6">
        <v>0</v>
      </c>
      <c r="K72" s="6">
        <v>6000</v>
      </c>
      <c r="L72" s="12">
        <v>0</v>
      </c>
      <c r="M72" s="15">
        <v>0</v>
      </c>
      <c r="N72" s="6">
        <v>0</v>
      </c>
      <c r="O72" s="6">
        <v>0</v>
      </c>
      <c r="P72" s="7">
        <v>0</v>
      </c>
      <c r="Q72" s="6">
        <v>0</v>
      </c>
    </row>
    <row r="73" spans="1:17">
      <c r="A73" s="6" t="s">
        <v>148</v>
      </c>
      <c r="B73" s="6" t="s">
        <v>107</v>
      </c>
      <c r="C73" s="6" t="s">
        <v>108</v>
      </c>
      <c r="D73" s="6" t="s">
        <v>106</v>
      </c>
      <c r="E73" s="6" t="b">
        <v>0</v>
      </c>
      <c r="F73" s="6" t="s">
        <v>399</v>
      </c>
      <c r="G73" s="6">
        <v>0</v>
      </c>
      <c r="H73" s="6">
        <v>0</v>
      </c>
      <c r="I73" s="6">
        <v>15394.9416320128</v>
      </c>
      <c r="J73" s="6">
        <v>0</v>
      </c>
      <c r="K73" s="6">
        <v>8000</v>
      </c>
      <c r="L73" s="12">
        <v>0</v>
      </c>
      <c r="M73" s="15">
        <v>0</v>
      </c>
      <c r="N73" s="6">
        <v>0</v>
      </c>
      <c r="O73" s="6">
        <v>0</v>
      </c>
      <c r="P73" s="7">
        <v>0</v>
      </c>
      <c r="Q73" s="6"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G56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2.7109375" customWidth="1"/>
    <col min="2" max="2" width="70.7109375" customWidth="1"/>
    <col min="3" max="3" width="30.7109375" customWidth="1"/>
    <col min="4" max="4" width="21.7109375" customWidth="1"/>
    <col min="5" max="6" width="12.7109375" customWidth="1"/>
    <col min="7" max="7" width="80.7109375" customWidth="1"/>
  </cols>
  <sheetData>
    <row r="1" spans="1:7">
      <c r="A1" s="1" t="s">
        <v>400</v>
      </c>
    </row>
    <row r="3" spans="1:7">
      <c r="A3" t="s">
        <v>401</v>
      </c>
      <c r="B3" t="s">
        <v>402</v>
      </c>
      <c r="C3" t="s">
        <v>109</v>
      </c>
      <c r="D3" t="s">
        <v>403</v>
      </c>
      <c r="E3" t="s">
        <v>404</v>
      </c>
      <c r="F3" t="s">
        <v>405</v>
      </c>
      <c r="G3" t="s">
        <v>406</v>
      </c>
    </row>
    <row r="4" spans="1:7">
      <c r="A4" s="6" t="s">
        <v>407</v>
      </c>
      <c r="B4" s="6" t="s">
        <v>408</v>
      </c>
      <c r="C4" s="6" t="s">
        <v>409</v>
      </c>
      <c r="D4" s="7">
        <v>204</v>
      </c>
      <c r="E4" s="12">
        <v>0.0001062356692508667</v>
      </c>
      <c r="F4" s="6" t="s">
        <v>410</v>
      </c>
      <c r="G4" s="6" t="s">
        <v>411</v>
      </c>
    </row>
    <row r="5" spans="1:7">
      <c r="A5" s="6" t="s">
        <v>407</v>
      </c>
      <c r="B5" s="6" t="s">
        <v>412</v>
      </c>
      <c r="C5" s="6" t="s">
        <v>413</v>
      </c>
      <c r="D5" s="7">
        <v>888236</v>
      </c>
      <c r="E5" s="12">
        <v>0.4626096648273096</v>
      </c>
      <c r="F5" s="6" t="s">
        <v>414</v>
      </c>
      <c r="G5" s="6" t="s">
        <v>415</v>
      </c>
    </row>
    <row r="6" spans="1:7">
      <c r="A6" s="6" t="s">
        <v>407</v>
      </c>
      <c r="B6" s="6" t="s">
        <v>416</v>
      </c>
      <c r="C6" s="6" t="s">
        <v>417</v>
      </c>
      <c r="D6" s="7">
        <v>2522</v>
      </c>
      <c r="E6" s="12">
        <v>0.001313504040248847</v>
      </c>
      <c r="F6" s="6" t="s">
        <v>418</v>
      </c>
      <c r="G6" s="6" t="s">
        <v>419</v>
      </c>
    </row>
    <row r="7" spans="1:7">
      <c r="A7" s="6" t="s">
        <v>407</v>
      </c>
      <c r="B7" s="6" t="s">
        <v>420</v>
      </c>
      <c r="C7" s="6" t="s">
        <v>421</v>
      </c>
      <c r="D7" s="7">
        <v>92668</v>
      </c>
      <c r="E7" s="12">
        <v>0.5871194601957741</v>
      </c>
      <c r="F7" s="6" t="s">
        <v>414</v>
      </c>
      <c r="G7" s="6" t="s">
        <v>422</v>
      </c>
    </row>
    <row r="8" spans="1:7">
      <c r="A8" s="6" t="s">
        <v>407</v>
      </c>
      <c r="B8" s="6" t="s">
        <v>423</v>
      </c>
      <c r="C8" s="6" t="s">
        <v>424</v>
      </c>
      <c r="D8" s="7">
        <v>20637</v>
      </c>
      <c r="E8" s="12">
        <v>0.0200006008805808</v>
      </c>
      <c r="F8" s="6" t="s">
        <v>418</v>
      </c>
      <c r="G8" s="6" t="s">
        <v>425</v>
      </c>
    </row>
    <row r="9" spans="1:7">
      <c r="A9" s="6" t="s">
        <v>407</v>
      </c>
      <c r="B9" s="6" t="s">
        <v>426</v>
      </c>
      <c r="C9" s="6" t="s">
        <v>427</v>
      </c>
      <c r="D9" s="7">
        <v>6030</v>
      </c>
      <c r="E9" s="12">
        <v>0.003140535036756759</v>
      </c>
      <c r="F9" s="6" t="s">
        <v>418</v>
      </c>
      <c r="G9" s="6" t="s">
        <v>428</v>
      </c>
    </row>
    <row r="10" spans="1:7">
      <c r="A10" s="6" t="s">
        <v>407</v>
      </c>
      <c r="B10" s="6" t="s">
        <v>429</v>
      </c>
      <c r="C10" s="6" t="s">
        <v>430</v>
      </c>
      <c r="D10" s="7">
        <v>361947</v>
      </c>
      <c r="E10" s="12">
        <v>0.1885086625122718</v>
      </c>
      <c r="F10" s="6" t="s">
        <v>414</v>
      </c>
      <c r="G10" s="6" t="s">
        <v>431</v>
      </c>
    </row>
    <row r="11" spans="1:7">
      <c r="A11" s="6" t="s">
        <v>407</v>
      </c>
      <c r="B11" s="6" t="s">
        <v>432</v>
      </c>
      <c r="C11" s="6" t="s">
        <v>433</v>
      </c>
      <c r="D11" s="7">
        <v>1121</v>
      </c>
      <c r="E11" s="12">
        <v>0.0005837754177952036</v>
      </c>
      <c r="F11" s="6" t="s">
        <v>418</v>
      </c>
      <c r="G11" s="6" t="s">
        <v>434</v>
      </c>
    </row>
    <row r="12" spans="1:7">
      <c r="A12" s="6" t="s">
        <v>407</v>
      </c>
      <c r="B12" s="6" t="s">
        <v>435</v>
      </c>
      <c r="C12" s="6" t="s">
        <v>436</v>
      </c>
      <c r="D12" s="7">
        <v>9945</v>
      </c>
      <c r="E12" s="12">
        <v>0.005179539127785402</v>
      </c>
      <c r="F12" s="6" t="s">
        <v>418</v>
      </c>
      <c r="G12" s="6" t="s">
        <v>437</v>
      </c>
    </row>
    <row r="13" spans="1:7">
      <c r="A13" s="6" t="s">
        <v>407</v>
      </c>
      <c r="B13" s="6" t="s">
        <v>438</v>
      </c>
      <c r="C13" s="6" t="s">
        <v>439</v>
      </c>
      <c r="D13" s="7">
        <v>2414</v>
      </c>
      <c r="E13" s="12">
        <v>0.001257255651530816</v>
      </c>
      <c r="F13" s="6" t="s">
        <v>410</v>
      </c>
      <c r="G13" s="6" t="s">
        <v>440</v>
      </c>
    </row>
    <row r="14" spans="1:7">
      <c r="A14" s="6" t="s">
        <v>407</v>
      </c>
      <c r="B14" s="6" t="s">
        <v>441</v>
      </c>
      <c r="C14" s="6" t="s">
        <v>442</v>
      </c>
      <c r="D14" s="7">
        <v>4</v>
      </c>
      <c r="E14" s="12">
        <v>2.083052338252288E-06</v>
      </c>
      <c r="F14" s="6" t="s">
        <v>410</v>
      </c>
      <c r="G14" s="6" t="s">
        <v>443</v>
      </c>
    </row>
    <row r="15" spans="1:7">
      <c r="A15" s="6" t="s">
        <v>407</v>
      </c>
      <c r="B15" s="6" t="s">
        <v>444</v>
      </c>
      <c r="C15" s="6" t="s">
        <v>445</v>
      </c>
      <c r="D15" s="7">
        <v>35628</v>
      </c>
      <c r="E15" s="12">
        <v>0.01855571845598173</v>
      </c>
      <c r="F15" s="6" t="s">
        <v>418</v>
      </c>
      <c r="G15" s="6" t="s">
        <v>446</v>
      </c>
    </row>
    <row r="16" spans="1:7">
      <c r="A16" s="6" t="s">
        <v>407</v>
      </c>
      <c r="B16" s="6" t="s">
        <v>447</v>
      </c>
      <c r="C16" s="6" t="s">
        <v>448</v>
      </c>
      <c r="D16" s="7">
        <v>0</v>
      </c>
      <c r="E16" s="12">
        <v>0</v>
      </c>
      <c r="F16" s="6" t="s">
        <v>449</v>
      </c>
      <c r="G16" s="6" t="s">
        <v>450</v>
      </c>
    </row>
    <row r="17" spans="1:7">
      <c r="A17" s="6" t="s">
        <v>407</v>
      </c>
      <c r="B17" s="6" t="s">
        <v>451</v>
      </c>
      <c r="C17" s="6" t="s">
        <v>448</v>
      </c>
      <c r="D17" s="7">
        <v>0</v>
      </c>
      <c r="E17" s="12">
        <v>0</v>
      </c>
      <c r="F17" s="6" t="s">
        <v>449</v>
      </c>
      <c r="G17" s="6" t="s">
        <v>452</v>
      </c>
    </row>
    <row r="18" spans="1:7">
      <c r="A18" s="6" t="s">
        <v>407</v>
      </c>
      <c r="B18" s="6" t="s">
        <v>453</v>
      </c>
      <c r="C18" s="6" t="s">
        <v>454</v>
      </c>
      <c r="D18" s="7">
        <v>23616</v>
      </c>
      <c r="E18" s="12">
        <v>0.01229964766634289</v>
      </c>
      <c r="F18" s="6" t="s">
        <v>410</v>
      </c>
      <c r="G18" s="6" t="s">
        <v>455</v>
      </c>
    </row>
    <row r="19" spans="1:7">
      <c r="A19" s="6" t="s">
        <v>407</v>
      </c>
      <c r="B19" s="6" t="s">
        <v>456</v>
      </c>
      <c r="C19" s="6" t="s">
        <v>457</v>
      </c>
      <c r="D19" s="7">
        <v>41424</v>
      </c>
      <c r="E19" s="12">
        <v>0.117784879951776</v>
      </c>
      <c r="F19" s="6" t="s">
        <v>418</v>
      </c>
      <c r="G19" s="6" t="s">
        <v>458</v>
      </c>
    </row>
    <row r="20" spans="1:7">
      <c r="A20" s="6" t="s">
        <v>407</v>
      </c>
      <c r="B20" s="6" t="s">
        <v>459</v>
      </c>
      <c r="C20" s="6" t="s">
        <v>460</v>
      </c>
      <c r="D20" s="7">
        <v>5177</v>
      </c>
      <c r="E20" s="12">
        <v>0.002696276929567122</v>
      </c>
      <c r="F20" s="6" t="s">
        <v>410</v>
      </c>
      <c r="G20" s="6" t="s">
        <v>461</v>
      </c>
    </row>
    <row r="21" spans="1:7">
      <c r="A21" s="6" t="s">
        <v>407</v>
      </c>
      <c r="B21" s="6" t="s">
        <v>462</v>
      </c>
      <c r="C21" s="6" t="s">
        <v>463</v>
      </c>
      <c r="D21" s="7">
        <v>1447</v>
      </c>
      <c r="E21" s="12">
        <v>0.009167801818354611</v>
      </c>
      <c r="F21" s="6" t="s">
        <v>418</v>
      </c>
      <c r="G21" s="6" t="s">
        <v>464</v>
      </c>
    </row>
    <row r="22" spans="1:7">
      <c r="A22" s="6" t="s">
        <v>407</v>
      </c>
      <c r="B22" s="6" t="s">
        <v>465</v>
      </c>
      <c r="C22" s="6" t="s">
        <v>466</v>
      </c>
      <c r="D22" s="7">
        <v>93</v>
      </c>
      <c r="E22" s="12">
        <v>0.0005892229226724111</v>
      </c>
      <c r="F22" s="6" t="s">
        <v>410</v>
      </c>
      <c r="G22" s="6" t="s">
        <v>467</v>
      </c>
    </row>
    <row r="23" spans="1:7">
      <c r="A23" s="6" t="s">
        <v>407</v>
      </c>
      <c r="B23" s="6" t="s">
        <v>468</v>
      </c>
      <c r="C23" s="6" t="s">
        <v>469</v>
      </c>
      <c r="D23" s="7">
        <v>977</v>
      </c>
      <c r="E23" s="12">
        <v>1</v>
      </c>
      <c r="F23" s="6" t="s">
        <v>418</v>
      </c>
      <c r="G23" s="6" t="s">
        <v>470</v>
      </c>
    </row>
    <row r="24" spans="1:7">
      <c r="A24" s="6" t="s">
        <v>407</v>
      </c>
      <c r="B24" s="6" t="s">
        <v>471</v>
      </c>
      <c r="C24" s="6" t="s">
        <v>472</v>
      </c>
      <c r="D24" s="7">
        <v>836</v>
      </c>
      <c r="E24" s="12">
        <v>0.01067197712418301</v>
      </c>
      <c r="F24" s="6" t="s">
        <v>410</v>
      </c>
      <c r="G24" s="6" t="s">
        <v>473</v>
      </c>
    </row>
    <row r="25" spans="1:7">
      <c r="A25" s="6" t="s">
        <v>407</v>
      </c>
      <c r="B25" s="6" t="s">
        <v>474</v>
      </c>
      <c r="C25" s="6" t="s">
        <v>475</v>
      </c>
      <c r="D25" s="7">
        <v>15409</v>
      </c>
      <c r="E25" s="12">
        <v>0.5743411979574341</v>
      </c>
      <c r="F25" s="6" t="s">
        <v>414</v>
      </c>
      <c r="G25" s="6" t="s">
        <v>476</v>
      </c>
    </row>
    <row r="26" spans="1:7">
      <c r="A26" s="6" t="s">
        <v>407</v>
      </c>
      <c r="B26" s="6" t="s">
        <v>477</v>
      </c>
      <c r="C26" s="6" t="s">
        <v>478</v>
      </c>
      <c r="D26" s="7">
        <v>1728</v>
      </c>
      <c r="E26" s="12">
        <v>0.0008999742194885042</v>
      </c>
      <c r="F26" s="6" t="s">
        <v>410</v>
      </c>
      <c r="G26" s="6" t="s">
        <v>479</v>
      </c>
    </row>
    <row r="27" spans="1:7">
      <c r="A27" s="6" t="s">
        <v>480</v>
      </c>
      <c r="B27" s="6" t="s">
        <v>481</v>
      </c>
      <c r="C27" s="6" t="s">
        <v>482</v>
      </c>
      <c r="D27" s="7">
        <v>0</v>
      </c>
      <c r="E27" s="12">
        <v>0</v>
      </c>
      <c r="F27" s="6" t="s">
        <v>449</v>
      </c>
      <c r="G27" s="6" t="s">
        <v>483</v>
      </c>
    </row>
    <row r="28" spans="1:7">
      <c r="A28" s="6" t="s">
        <v>480</v>
      </c>
      <c r="B28" s="6" t="s">
        <v>484</v>
      </c>
      <c r="C28" s="6" t="s">
        <v>485</v>
      </c>
      <c r="D28" s="7">
        <v>74</v>
      </c>
      <c r="E28" s="12">
        <v>0.0004007147885417231</v>
      </c>
      <c r="F28" s="6" t="s">
        <v>418</v>
      </c>
      <c r="G28" s="6" t="s">
        <v>486</v>
      </c>
    </row>
    <row r="29" spans="1:7">
      <c r="A29" s="6" t="s">
        <v>480</v>
      </c>
      <c r="B29" s="6" t="s">
        <v>487</v>
      </c>
      <c r="C29" s="6" t="s">
        <v>488</v>
      </c>
      <c r="D29" s="7">
        <v>14204</v>
      </c>
      <c r="E29" s="12">
        <v>0.07691557914117074</v>
      </c>
      <c r="F29" s="6" t="s">
        <v>418</v>
      </c>
      <c r="G29" s="6" t="s">
        <v>489</v>
      </c>
    </row>
    <row r="30" spans="1:7">
      <c r="A30" s="6" t="s">
        <v>480</v>
      </c>
      <c r="B30" s="6" t="s">
        <v>490</v>
      </c>
      <c r="C30" s="6" t="s">
        <v>491</v>
      </c>
      <c r="D30" s="7">
        <v>3581</v>
      </c>
      <c r="E30" s="12">
        <v>0.01939134672659338</v>
      </c>
      <c r="F30" s="6" t="s">
        <v>410</v>
      </c>
      <c r="G30" s="6" t="s">
        <v>492</v>
      </c>
    </row>
    <row r="31" spans="1:7">
      <c r="A31" s="6" t="s">
        <v>480</v>
      </c>
      <c r="B31" s="6" t="s">
        <v>493</v>
      </c>
      <c r="C31" s="6" t="s">
        <v>494</v>
      </c>
      <c r="D31" s="7">
        <v>2389</v>
      </c>
      <c r="E31" s="12">
        <v>0.01293658959224563</v>
      </c>
      <c r="F31" s="6" t="s">
        <v>418</v>
      </c>
      <c r="G31" s="6" t="s">
        <v>495</v>
      </c>
    </row>
    <row r="32" spans="1:7">
      <c r="A32" s="6" t="s">
        <v>480</v>
      </c>
      <c r="B32" s="6" t="s">
        <v>496</v>
      </c>
      <c r="C32" s="6" t="s">
        <v>497</v>
      </c>
      <c r="D32" s="7">
        <v>2261</v>
      </c>
      <c r="E32" s="12">
        <v>0.01224346130936265</v>
      </c>
      <c r="F32" s="6" t="s">
        <v>410</v>
      </c>
      <c r="G32" s="6" t="s">
        <v>498</v>
      </c>
    </row>
    <row r="33" spans="1:7">
      <c r="A33" s="6" t="s">
        <v>480</v>
      </c>
      <c r="B33" s="6" t="s">
        <v>499</v>
      </c>
      <c r="C33" s="6" t="s">
        <v>500</v>
      </c>
      <c r="D33" s="7">
        <v>774</v>
      </c>
      <c r="E33" s="12">
        <v>0.004191260085558022</v>
      </c>
      <c r="F33" s="6" t="s">
        <v>410</v>
      </c>
      <c r="G33" s="6" t="s">
        <v>501</v>
      </c>
    </row>
    <row r="34" spans="1:7">
      <c r="A34" s="6" t="s">
        <v>480</v>
      </c>
      <c r="B34" s="6" t="s">
        <v>502</v>
      </c>
      <c r="C34" s="6" t="s">
        <v>503</v>
      </c>
      <c r="D34" s="7">
        <v>184670</v>
      </c>
      <c r="E34" s="12">
        <v>1</v>
      </c>
      <c r="F34" s="6" t="s">
        <v>410</v>
      </c>
      <c r="G34" s="6" t="s">
        <v>504</v>
      </c>
    </row>
    <row r="35" spans="1:7">
      <c r="A35" s="6" t="s">
        <v>480</v>
      </c>
      <c r="B35" s="6" t="s">
        <v>505</v>
      </c>
      <c r="C35" s="6" t="s">
        <v>503</v>
      </c>
      <c r="D35" s="7">
        <v>184670</v>
      </c>
      <c r="E35" s="12">
        <v>1</v>
      </c>
      <c r="F35" s="6" t="s">
        <v>410</v>
      </c>
      <c r="G35" s="6" t="s">
        <v>506</v>
      </c>
    </row>
    <row r="36" spans="1:7">
      <c r="A36" s="6" t="s">
        <v>507</v>
      </c>
      <c r="B36" s="6" t="s">
        <v>508</v>
      </c>
      <c r="C36" s="6" t="s">
        <v>509</v>
      </c>
      <c r="D36" s="7">
        <v>2982</v>
      </c>
      <c r="E36" s="12">
        <v>0.03806678921568627</v>
      </c>
      <c r="F36" s="6" t="s">
        <v>418</v>
      </c>
      <c r="G36" s="6" t="s">
        <v>510</v>
      </c>
    </row>
    <row r="37" spans="1:7">
      <c r="A37" s="6" t="s">
        <v>507</v>
      </c>
      <c r="B37" s="6" t="s">
        <v>511</v>
      </c>
      <c r="C37" s="6" t="s">
        <v>512</v>
      </c>
      <c r="D37" s="7">
        <v>109316</v>
      </c>
      <c r="E37" s="12">
        <v>0.5919532138409054</v>
      </c>
      <c r="F37" s="6" t="s">
        <v>410</v>
      </c>
      <c r="G37" s="6" t="s">
        <v>513</v>
      </c>
    </row>
    <row r="38" spans="1:7">
      <c r="A38" s="6" t="s">
        <v>507</v>
      </c>
      <c r="B38" s="6" t="s">
        <v>514</v>
      </c>
      <c r="C38" s="6" t="s">
        <v>515</v>
      </c>
      <c r="D38" s="7">
        <v>0</v>
      </c>
      <c r="E38" s="12">
        <v>0</v>
      </c>
      <c r="F38" s="6" t="s">
        <v>449</v>
      </c>
      <c r="G38" s="6" t="s">
        <v>516</v>
      </c>
    </row>
    <row r="39" spans="1:7">
      <c r="A39" s="6" t="s">
        <v>517</v>
      </c>
      <c r="B39" s="6" t="s">
        <v>518</v>
      </c>
      <c r="C39" s="6" t="s">
        <v>519</v>
      </c>
      <c r="D39" s="7">
        <v>15</v>
      </c>
      <c r="E39" s="12">
        <v>0.00825536598789213</v>
      </c>
      <c r="F39" s="6" t="s">
        <v>418</v>
      </c>
      <c r="G39" s="6" t="s">
        <v>520</v>
      </c>
    </row>
    <row r="40" spans="1:7">
      <c r="A40" s="6" t="s">
        <v>517</v>
      </c>
      <c r="B40" s="6" t="s">
        <v>521</v>
      </c>
      <c r="C40" s="6" t="s">
        <v>522</v>
      </c>
      <c r="D40" s="7">
        <v>63</v>
      </c>
      <c r="E40" s="12">
        <v>0.03467253714914695</v>
      </c>
      <c r="F40" s="6" t="s">
        <v>418</v>
      </c>
      <c r="G40" s="6" t="s">
        <v>523</v>
      </c>
    </row>
    <row r="41" spans="1:7">
      <c r="A41" s="6" t="s">
        <v>517</v>
      </c>
      <c r="B41" s="6" t="s">
        <v>524</v>
      </c>
      <c r="C41" s="6" t="s">
        <v>525</v>
      </c>
      <c r="D41" s="7">
        <v>9</v>
      </c>
      <c r="E41" s="12">
        <v>0.8181818181818182</v>
      </c>
      <c r="F41" s="6" t="s">
        <v>414</v>
      </c>
      <c r="G41" s="6" t="s">
        <v>526</v>
      </c>
    </row>
    <row r="42" spans="1:7">
      <c r="A42" s="6" t="s">
        <v>517</v>
      </c>
      <c r="B42" s="6" t="s">
        <v>527</v>
      </c>
      <c r="C42" s="6" t="s">
        <v>528</v>
      </c>
      <c r="D42" s="7">
        <v>331</v>
      </c>
      <c r="E42" s="12">
        <v>0.182168409466153</v>
      </c>
      <c r="F42" s="6" t="s">
        <v>418</v>
      </c>
      <c r="G42" s="6" t="s">
        <v>529</v>
      </c>
    </row>
    <row r="43" spans="1:7">
      <c r="A43" s="6" t="s">
        <v>517</v>
      </c>
      <c r="B43" s="6" t="s">
        <v>530</v>
      </c>
      <c r="C43" s="6" t="s">
        <v>519</v>
      </c>
      <c r="D43" s="7">
        <v>15</v>
      </c>
      <c r="E43" s="12">
        <v>0.00825536598789213</v>
      </c>
      <c r="F43" s="6" t="s">
        <v>418</v>
      </c>
      <c r="G43" s="6" t="s">
        <v>531</v>
      </c>
    </row>
    <row r="44" spans="1:7">
      <c r="A44" s="6" t="s">
        <v>517</v>
      </c>
      <c r="B44" s="6" t="s">
        <v>532</v>
      </c>
      <c r="C44" s="6" t="s">
        <v>533</v>
      </c>
      <c r="D44" s="7">
        <v>1817</v>
      </c>
      <c r="E44" s="12">
        <v>1</v>
      </c>
      <c r="F44" s="6" t="s">
        <v>410</v>
      </c>
      <c r="G44" s="6" t="s">
        <v>534</v>
      </c>
    </row>
    <row r="45" spans="1:7">
      <c r="A45" s="6" t="s">
        <v>535</v>
      </c>
      <c r="B45" s="6" t="s">
        <v>536</v>
      </c>
      <c r="C45" s="6" t="s">
        <v>537</v>
      </c>
      <c r="D45" s="7">
        <v>56</v>
      </c>
      <c r="E45" s="12">
        <v>0.06278026905829596</v>
      </c>
      <c r="F45" s="6" t="s">
        <v>418</v>
      </c>
      <c r="G45" s="6" t="s">
        <v>538</v>
      </c>
    </row>
    <row r="46" spans="1:7">
      <c r="A46" s="6" t="s">
        <v>535</v>
      </c>
      <c r="B46" s="6" t="s">
        <v>539</v>
      </c>
      <c r="C46" s="6" t="s">
        <v>540</v>
      </c>
      <c r="D46" s="7">
        <v>163</v>
      </c>
      <c r="E46" s="12">
        <v>0.1827354260089686</v>
      </c>
      <c r="F46" s="6" t="s">
        <v>410</v>
      </c>
      <c r="G46" s="6" t="s">
        <v>541</v>
      </c>
    </row>
    <row r="47" spans="1:7">
      <c r="A47" s="6" t="s">
        <v>535</v>
      </c>
      <c r="B47" s="6" t="s">
        <v>542</v>
      </c>
      <c r="C47" s="6" t="s">
        <v>543</v>
      </c>
      <c r="D47" s="7">
        <v>892</v>
      </c>
      <c r="E47" s="12">
        <v>1</v>
      </c>
      <c r="F47" s="6" t="s">
        <v>410</v>
      </c>
      <c r="G47" s="6" t="s">
        <v>544</v>
      </c>
    </row>
    <row r="48" spans="1:7">
      <c r="A48" s="6" t="s">
        <v>545</v>
      </c>
      <c r="B48" s="6" t="s">
        <v>546</v>
      </c>
      <c r="C48" s="6" t="s">
        <v>547</v>
      </c>
      <c r="D48" s="7">
        <v>2</v>
      </c>
      <c r="E48" s="12">
        <v>0.2</v>
      </c>
      <c r="F48" s="6" t="s">
        <v>418</v>
      </c>
      <c r="G48" s="6" t="s">
        <v>548</v>
      </c>
    </row>
    <row r="49" spans="1:7">
      <c r="A49" s="6" t="s">
        <v>545</v>
      </c>
      <c r="B49" s="6" t="s">
        <v>549</v>
      </c>
      <c r="C49" s="6" t="s">
        <v>547</v>
      </c>
      <c r="D49" s="7">
        <v>2</v>
      </c>
      <c r="E49" s="12">
        <v>0.2</v>
      </c>
      <c r="F49" s="6" t="s">
        <v>410</v>
      </c>
      <c r="G49" s="6" t="s">
        <v>550</v>
      </c>
    </row>
    <row r="50" spans="1:7">
      <c r="A50" s="6" t="s">
        <v>551</v>
      </c>
      <c r="B50" s="6" t="s">
        <v>552</v>
      </c>
      <c r="C50" s="6" t="s">
        <v>553</v>
      </c>
      <c r="D50" s="7">
        <v>5</v>
      </c>
      <c r="E50" s="12">
        <v>1</v>
      </c>
      <c r="F50" s="6" t="s">
        <v>414</v>
      </c>
      <c r="G50" s="6" t="s">
        <v>554</v>
      </c>
    </row>
    <row r="51" spans="1:7">
      <c r="A51" s="6" t="s">
        <v>551</v>
      </c>
      <c r="B51" s="6" t="s">
        <v>555</v>
      </c>
      <c r="C51" s="6" t="s">
        <v>556</v>
      </c>
      <c r="D51" s="7">
        <v>4</v>
      </c>
      <c r="E51" s="12">
        <v>0.4</v>
      </c>
      <c r="F51" s="6" t="s">
        <v>410</v>
      </c>
      <c r="G51" s="6" t="s">
        <v>557</v>
      </c>
    </row>
    <row r="52" spans="1:7">
      <c r="A52" s="6" t="s">
        <v>558</v>
      </c>
      <c r="B52" s="6" t="s">
        <v>559</v>
      </c>
      <c r="C52" s="6" t="s">
        <v>560</v>
      </c>
      <c r="D52" s="7">
        <v>2</v>
      </c>
      <c r="E52" s="12">
        <v>0.4</v>
      </c>
      <c r="F52" s="6" t="s">
        <v>418</v>
      </c>
      <c r="G52" s="6" t="s">
        <v>561</v>
      </c>
    </row>
    <row r="53" spans="1:7">
      <c r="A53" s="6" t="s">
        <v>558</v>
      </c>
      <c r="B53" s="6" t="s">
        <v>562</v>
      </c>
      <c r="C53" s="6" t="s">
        <v>563</v>
      </c>
      <c r="D53" s="7">
        <v>2</v>
      </c>
      <c r="E53" s="12">
        <v>0.1818181818181818</v>
      </c>
      <c r="F53" s="6" t="s">
        <v>418</v>
      </c>
      <c r="G53" s="6" t="s">
        <v>564</v>
      </c>
    </row>
    <row r="54" spans="1:7">
      <c r="A54" s="6" t="s">
        <v>565</v>
      </c>
      <c r="B54" s="6" t="s">
        <v>566</v>
      </c>
      <c r="C54" s="6" t="s">
        <v>567</v>
      </c>
      <c r="D54" s="7">
        <v>10</v>
      </c>
      <c r="E54" s="12">
        <v>1</v>
      </c>
      <c r="F54" s="6" t="s">
        <v>418</v>
      </c>
      <c r="G54" s="6" t="s">
        <v>568</v>
      </c>
    </row>
    <row r="55" spans="1:7">
      <c r="A55" s="6" t="s">
        <v>565</v>
      </c>
      <c r="B55" s="6" t="s">
        <v>569</v>
      </c>
      <c r="C55" s="6" t="s">
        <v>570</v>
      </c>
      <c r="D55" s="7">
        <v>6</v>
      </c>
      <c r="E55" s="12">
        <v>0.6</v>
      </c>
      <c r="F55" s="6" t="s">
        <v>418</v>
      </c>
      <c r="G55" s="6" t="s">
        <v>571</v>
      </c>
    </row>
    <row r="56" spans="1:7">
      <c r="A56" s="6" t="s">
        <v>551</v>
      </c>
      <c r="B56" s="6" t="s">
        <v>572</v>
      </c>
      <c r="C56" s="6" t="s">
        <v>573</v>
      </c>
      <c r="D56" s="7">
        <v>5</v>
      </c>
      <c r="E56" s="12">
        <v>0.5</v>
      </c>
      <c r="F56" s="6" t="s">
        <v>418</v>
      </c>
      <c r="G56" s="6" t="s">
        <v>574</v>
      </c>
    </row>
  </sheetData>
  <conditionalFormatting sqref="F4:F57">
    <cfRule type="cellIs" dxfId="4" priority="1" operator="equal">
      <formula>"Alta"</formula>
    </cfRule>
    <cfRule type="cellIs" dxfId="5" priority="2" operator="equal">
      <formula>"Media"</formula>
    </cfRule>
    <cfRule type="cellIs" dxfId="6" priority="3" operator="equal">
      <formula>"Baja"</formula>
    </cfRule>
    <cfRule type="cellIs" dxfId="7" priority="4" operator="equal">
      <formula>"OK"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G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2.7109375" customWidth="1"/>
    <col min="2" max="2" width="18.7109375" customWidth="1"/>
    <col min="3" max="3" width="12.7109375" customWidth="1"/>
    <col min="4" max="5" width="24.7109375" customWidth="1"/>
    <col min="6" max="7" width="12.7109375" customWidth="1"/>
  </cols>
  <sheetData>
    <row r="1" spans="1:7">
      <c r="A1" s="1" t="s">
        <v>575</v>
      </c>
    </row>
    <row r="3" spans="1:7">
      <c r="A3" t="s">
        <v>162</v>
      </c>
      <c r="B3" t="s">
        <v>576</v>
      </c>
      <c r="C3" t="s">
        <v>577</v>
      </c>
      <c r="D3" t="s">
        <v>578</v>
      </c>
      <c r="E3" t="s">
        <v>579</v>
      </c>
      <c r="F3" t="s">
        <v>580</v>
      </c>
      <c r="G3" t="s">
        <v>581</v>
      </c>
    </row>
    <row r="4" spans="1:7">
      <c r="A4" s="6" t="s">
        <v>44</v>
      </c>
      <c r="B4" s="6">
        <v>71160</v>
      </c>
      <c r="C4" s="6" t="s">
        <v>582</v>
      </c>
      <c r="D4" s="6">
        <v>51725.01325</v>
      </c>
      <c r="E4" s="6">
        <v>63272.02575</v>
      </c>
      <c r="F4" s="12">
        <v>0.7268832665823496</v>
      </c>
      <c r="G4" s="12">
        <v>0.8891515704047218</v>
      </c>
    </row>
    <row r="5" spans="1:7">
      <c r="A5" s="6" t="s">
        <v>86</v>
      </c>
      <c r="B5" s="6">
        <v>62766</v>
      </c>
      <c r="C5" s="6" t="s">
        <v>583</v>
      </c>
      <c r="D5" s="6">
        <v>28051.55325</v>
      </c>
      <c r="E5" s="6">
        <v>28353.28333333333</v>
      </c>
      <c r="F5" s="12">
        <v>0.4469227487811873</v>
      </c>
      <c r="G5" s="12">
        <v>0.451729970578551</v>
      </c>
    </row>
    <row r="6" spans="1:7">
      <c r="A6" s="6" t="s">
        <v>88</v>
      </c>
      <c r="B6" s="6">
        <v>44543</v>
      </c>
      <c r="C6" s="6" t="s">
        <v>584</v>
      </c>
      <c r="D6" s="6">
        <v>21575.19258333333</v>
      </c>
      <c r="E6" s="6">
        <v>21575.19258333333</v>
      </c>
      <c r="F6" s="12">
        <v>0.4843677476445981</v>
      </c>
      <c r="G6" s="12">
        <v>0.4843677476445981</v>
      </c>
    </row>
    <row r="7" spans="1:7">
      <c r="A7" s="6" t="s">
        <v>90</v>
      </c>
      <c r="B7" s="6">
        <v>62766</v>
      </c>
      <c r="C7" s="6" t="s">
        <v>583</v>
      </c>
      <c r="D7" s="6">
        <v>6626.02825</v>
      </c>
      <c r="E7" s="6">
        <v>6131.198916666666</v>
      </c>
      <c r="F7" s="12">
        <v>0.105567158174808</v>
      </c>
      <c r="G7" s="12">
        <v>0.09768344193777947</v>
      </c>
    </row>
    <row r="8" spans="1:7">
      <c r="A8" s="6" t="s">
        <v>177</v>
      </c>
      <c r="B8" s="6">
        <v>57568</v>
      </c>
      <c r="C8" s="6" t="s">
        <v>582</v>
      </c>
      <c r="D8" s="6">
        <v>25010.18058333333</v>
      </c>
      <c r="E8" s="6">
        <v>0</v>
      </c>
      <c r="F8" s="12">
        <v>0.4344458828400037</v>
      </c>
      <c r="G8" s="12">
        <v>0</v>
      </c>
    </row>
    <row r="9" spans="1:7">
      <c r="A9" s="6" t="s">
        <v>92</v>
      </c>
      <c r="B9" s="6"/>
      <c r="C9" s="6"/>
      <c r="D9" s="6">
        <v>91.91391666666667</v>
      </c>
      <c r="E9" s="6">
        <v>91.91391666666667</v>
      </c>
      <c r="F9" s="12"/>
      <c r="G9" s="12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5"/>
  <sheetViews>
    <sheetView workbookViewId="0">
      <pane ySplit="3" topLeftCell="A4" activePane="bottomLeft" state="frozen"/>
      <selection pane="bottomLeft"/>
    </sheetView>
  </sheetViews>
  <sheetFormatPr defaultRowHeight="15"/>
  <cols>
    <col min="1" max="8" width="12.7109375" customWidth="1"/>
    <col min="9" max="9" width="18.7109375" customWidth="1"/>
    <col min="10" max="10" width="12.7109375" customWidth="1"/>
    <col min="11" max="11" width="21.7109375" customWidth="1"/>
    <col min="12" max="12" width="22.7109375" customWidth="1"/>
    <col min="13" max="13" width="29.7109375" customWidth="1"/>
    <col min="14" max="14" width="12.7109375" customWidth="1"/>
    <col min="15" max="15" width="15.7109375" customWidth="1"/>
    <col min="16" max="16" width="18.7109375" customWidth="1"/>
    <col min="17" max="17" width="17.7109375" customWidth="1"/>
  </cols>
  <sheetData>
    <row r="1" spans="1:17">
      <c r="A1" s="1" t="s">
        <v>585</v>
      </c>
    </row>
    <row r="3" spans="1:17">
      <c r="A3" t="s">
        <v>586</v>
      </c>
      <c r="B3" t="s">
        <v>153</v>
      </c>
      <c r="C3" t="s">
        <v>587</v>
      </c>
      <c r="D3" t="s">
        <v>588</v>
      </c>
      <c r="E3" t="s">
        <v>589</v>
      </c>
      <c r="F3" t="s">
        <v>590</v>
      </c>
      <c r="G3" t="s">
        <v>591</v>
      </c>
      <c r="H3" t="s">
        <v>592</v>
      </c>
      <c r="I3" t="s">
        <v>593</v>
      </c>
      <c r="J3" t="s">
        <v>594</v>
      </c>
      <c r="K3" t="s">
        <v>595</v>
      </c>
      <c r="L3" t="s">
        <v>596</v>
      </c>
      <c r="M3" t="s">
        <v>597</v>
      </c>
      <c r="N3" t="s">
        <v>598</v>
      </c>
      <c r="O3" t="s">
        <v>599</v>
      </c>
      <c r="P3" t="s">
        <v>600</v>
      </c>
      <c r="Q3" t="s">
        <v>601</v>
      </c>
    </row>
    <row r="4" spans="1:17">
      <c r="A4" s="6" t="s">
        <v>44</v>
      </c>
      <c r="B4" s="6" t="s">
        <v>84</v>
      </c>
      <c r="C4" s="6" t="s">
        <v>602</v>
      </c>
      <c r="D4" s="6" t="s">
        <v>395</v>
      </c>
      <c r="E4" s="6" t="s">
        <v>603</v>
      </c>
      <c r="F4" s="6" t="s">
        <v>604</v>
      </c>
      <c r="G4" s="6">
        <v>4.984104058</v>
      </c>
      <c r="H4" s="6">
        <v>-74.00162564</v>
      </c>
      <c r="I4" s="6">
        <v>24300</v>
      </c>
      <c r="J4" s="6">
        <v>46762.13520723889</v>
      </c>
      <c r="K4" s="6">
        <v>51367.78857881605</v>
      </c>
      <c r="L4" s="6">
        <v>56705.54275</v>
      </c>
      <c r="M4" s="6">
        <v>10840.55475</v>
      </c>
      <c r="N4" s="6">
        <v>857000000</v>
      </c>
      <c r="O4" s="7">
        <v>4500</v>
      </c>
      <c r="P4" s="7">
        <v>0</v>
      </c>
      <c r="Q4" s="6" t="b">
        <v>0</v>
      </c>
    </row>
    <row r="5" spans="1:17">
      <c r="A5" s="6" t="s">
        <v>86</v>
      </c>
      <c r="B5" s="6" t="s">
        <v>87</v>
      </c>
      <c r="C5" s="6" t="s">
        <v>602</v>
      </c>
      <c r="D5" s="6" t="s">
        <v>395</v>
      </c>
      <c r="E5" s="6" t="s">
        <v>603</v>
      </c>
      <c r="F5" s="6" t="s">
        <v>605</v>
      </c>
      <c r="G5" s="6">
        <v>6.177977025</v>
      </c>
      <c r="H5" s="6">
        <v>-75.36460479</v>
      </c>
      <c r="I5" s="6">
        <v>38688</v>
      </c>
      <c r="J5" s="6">
        <v>74449.93773241392</v>
      </c>
      <c r="K5" s="6">
        <v>65651.87952051891</v>
      </c>
      <c r="L5" s="6">
        <v>47519.99225</v>
      </c>
      <c r="M5" s="6">
        <v>21719.84991666667</v>
      </c>
      <c r="N5" s="6">
        <v>2478000000</v>
      </c>
      <c r="O5" s="7">
        <v>4500</v>
      </c>
      <c r="P5" s="7">
        <v>0</v>
      </c>
      <c r="Q5" s="6" t="b">
        <v>0</v>
      </c>
    </row>
    <row r="6" spans="1:17">
      <c r="A6" s="6" t="s">
        <v>88</v>
      </c>
      <c r="B6" s="6" t="s">
        <v>89</v>
      </c>
      <c r="C6" s="6" t="s">
        <v>602</v>
      </c>
      <c r="D6" s="6" t="s">
        <v>395</v>
      </c>
      <c r="E6" s="6" t="s">
        <v>603</v>
      </c>
      <c r="F6" s="6" t="s">
        <v>606</v>
      </c>
      <c r="G6" s="6">
        <v>3.206114241</v>
      </c>
      <c r="H6" s="6">
        <v>-76.41796509</v>
      </c>
      <c r="I6" s="6">
        <v>4471</v>
      </c>
      <c r="J6" s="6">
        <v>8603.848004591155</v>
      </c>
      <c r="K6" s="6">
        <v>11242.83531537876</v>
      </c>
      <c r="L6" s="6">
        <v>6643.030750000001</v>
      </c>
      <c r="M6" s="6">
        <v>15183.70766666667</v>
      </c>
      <c r="N6" s="6">
        <v>347000000</v>
      </c>
      <c r="O6" s="7">
        <v>4500</v>
      </c>
      <c r="P6" s="7">
        <v>0</v>
      </c>
      <c r="Q6" s="6" t="b">
        <v>0</v>
      </c>
    </row>
    <row r="7" spans="1:17">
      <c r="A7" s="6" t="s">
        <v>90</v>
      </c>
      <c r="B7" s="6" t="s">
        <v>91</v>
      </c>
      <c r="C7" s="6" t="s">
        <v>602</v>
      </c>
      <c r="D7" s="6" t="s">
        <v>395</v>
      </c>
      <c r="E7" s="6" t="s">
        <v>603</v>
      </c>
      <c r="F7" s="6" t="s">
        <v>607</v>
      </c>
      <c r="G7" s="6">
        <v>6.384816153</v>
      </c>
      <c r="H7" s="6">
        <v>-75.44866469</v>
      </c>
      <c r="I7" s="6">
        <v>11062</v>
      </c>
      <c r="J7" s="6">
        <v>21287.3555416657</v>
      </c>
      <c r="K7" s="6">
        <v>11772.60242448038</v>
      </c>
      <c r="L7" s="6">
        <v>5694.847083333333</v>
      </c>
      <c r="M7" s="6">
        <v>6571.32975</v>
      </c>
      <c r="N7" s="6">
        <v>445000000</v>
      </c>
      <c r="O7" s="7">
        <v>4500</v>
      </c>
      <c r="P7" s="7">
        <v>0</v>
      </c>
      <c r="Q7" s="6" t="b">
        <v>0</v>
      </c>
    </row>
    <row r="8" spans="1:17">
      <c r="A8" s="6" t="s">
        <v>177</v>
      </c>
      <c r="B8" s="6" t="s">
        <v>397</v>
      </c>
      <c r="C8" s="6" t="s">
        <v>602</v>
      </c>
      <c r="D8" s="6" t="s">
        <v>395</v>
      </c>
      <c r="E8" s="6" t="s">
        <v>608</v>
      </c>
      <c r="F8" s="6" t="s">
        <v>609</v>
      </c>
      <c r="G8" s="6">
        <v>6.19888225</v>
      </c>
      <c r="H8" s="6">
        <v>-75.58107800000001</v>
      </c>
      <c r="I8" s="6">
        <v>450</v>
      </c>
      <c r="J8" s="6">
        <v>865.9654668007202</v>
      </c>
      <c r="K8" s="6">
        <v>23545.20484896076</v>
      </c>
      <c r="L8" s="6">
        <v>597.59325</v>
      </c>
      <c r="M8" s="6">
        <v>25656.75775</v>
      </c>
      <c r="N8" s="6">
        <v>445000000</v>
      </c>
      <c r="O8" s="7">
        <v>4500</v>
      </c>
      <c r="P8" s="7">
        <v>0</v>
      </c>
      <c r="Q8" s="6" t="b">
        <v>0</v>
      </c>
    </row>
    <row r="9" spans="1:17">
      <c r="A9" s="6" t="s">
        <v>92</v>
      </c>
      <c r="B9" s="6" t="s">
        <v>93</v>
      </c>
      <c r="C9" s="6" t="s">
        <v>610</v>
      </c>
      <c r="D9" s="6" t="s">
        <v>395</v>
      </c>
      <c r="E9" s="6" t="s">
        <v>603</v>
      </c>
      <c r="F9" s="6" t="s">
        <v>611</v>
      </c>
      <c r="G9" s="6">
        <v>3.523156385</v>
      </c>
      <c r="H9" s="6">
        <v>-76.51858532999999</v>
      </c>
      <c r="I9" s="6">
        <v>7172</v>
      </c>
      <c r="J9" s="6">
        <v>13801.56517309948</v>
      </c>
      <c r="K9" s="6">
        <v>20248.87617010625</v>
      </c>
      <c r="L9" s="6">
        <v>12524.4315</v>
      </c>
      <c r="M9" s="6">
        <v>3001.359666666667</v>
      </c>
      <c r="N9" s="6">
        <v>445000000</v>
      </c>
      <c r="O9" s="7">
        <v>4500</v>
      </c>
      <c r="P9" s="7">
        <v>0</v>
      </c>
      <c r="Q9" s="6" t="b">
        <v>0</v>
      </c>
    </row>
    <row r="10" spans="1:17">
      <c r="A10" s="6" t="s">
        <v>94</v>
      </c>
      <c r="B10" s="6" t="s">
        <v>95</v>
      </c>
      <c r="C10" s="6" t="s">
        <v>610</v>
      </c>
      <c r="D10" s="6" t="s">
        <v>398</v>
      </c>
      <c r="E10" s="6" t="s">
        <v>603</v>
      </c>
      <c r="F10" s="6" t="s">
        <v>612</v>
      </c>
      <c r="G10" s="6">
        <v>10.97266666</v>
      </c>
      <c r="H10" s="6">
        <v>-74.80939712999999</v>
      </c>
      <c r="I10" s="6">
        <v>1496</v>
      </c>
      <c r="J10" s="6">
        <v>2878.854085186394</v>
      </c>
      <c r="K10" s="6">
        <v>5886.30121224019</v>
      </c>
      <c r="L10" s="6">
        <v>1705.143916666667</v>
      </c>
      <c r="M10" s="6">
        <v>86.63350000000001</v>
      </c>
      <c r="N10" s="6">
        <v>445000000</v>
      </c>
      <c r="O10" s="7">
        <v>8000</v>
      </c>
      <c r="P10" s="7">
        <v>0</v>
      </c>
      <c r="Q10" s="6" t="b">
        <v>0</v>
      </c>
    </row>
    <row r="11" spans="1:17">
      <c r="A11" s="6" t="s">
        <v>97</v>
      </c>
      <c r="B11" s="6" t="s">
        <v>98</v>
      </c>
      <c r="C11" s="6" t="s">
        <v>610</v>
      </c>
      <c r="D11" s="6" t="s">
        <v>398</v>
      </c>
      <c r="E11" s="6" t="s">
        <v>603</v>
      </c>
      <c r="F11" s="6" t="s">
        <v>613</v>
      </c>
      <c r="G11" s="6">
        <v>7.079199964</v>
      </c>
      <c r="H11" s="6">
        <v>-73.10345319</v>
      </c>
      <c r="I11" s="6">
        <v>665</v>
      </c>
      <c r="J11" s="6">
        <v>1279.704523161064</v>
      </c>
      <c r="K11" s="6">
        <v>5886.30121224019</v>
      </c>
      <c r="L11" s="6">
        <v>3.72475</v>
      </c>
      <c r="M11" s="6">
        <v>4.372333333333334</v>
      </c>
      <c r="N11" s="6">
        <v>445000000</v>
      </c>
      <c r="O11" s="7">
        <v>8000</v>
      </c>
      <c r="P11" s="7">
        <v>0</v>
      </c>
      <c r="Q11" s="6" t="b">
        <v>0</v>
      </c>
    </row>
    <row r="12" spans="1:17">
      <c r="A12" s="6" t="s">
        <v>99</v>
      </c>
      <c r="B12" s="6" t="s">
        <v>100</v>
      </c>
      <c r="C12" s="6" t="s">
        <v>610</v>
      </c>
      <c r="D12" s="6" t="s">
        <v>398</v>
      </c>
      <c r="E12" s="6" t="s">
        <v>603</v>
      </c>
      <c r="F12" s="6" t="s">
        <v>614</v>
      </c>
      <c r="G12" s="6">
        <v>4.436762786</v>
      </c>
      <c r="H12" s="6">
        <v>-75.18660684</v>
      </c>
      <c r="I12" s="6">
        <v>665</v>
      </c>
      <c r="J12" s="6">
        <v>1279.704523161064</v>
      </c>
      <c r="K12" s="6">
        <v>5886.30121224019</v>
      </c>
      <c r="L12" s="6">
        <v>1685.575583333333</v>
      </c>
      <c r="M12" s="6">
        <v>26.24458333333333</v>
      </c>
      <c r="N12" s="6">
        <v>445000000</v>
      </c>
      <c r="O12" s="7">
        <v>8000</v>
      </c>
      <c r="P12" s="7">
        <v>0</v>
      </c>
      <c r="Q12" s="6" t="b">
        <v>0</v>
      </c>
    </row>
    <row r="13" spans="1:17">
      <c r="A13" s="6" t="s">
        <v>101</v>
      </c>
      <c r="B13" s="6" t="s">
        <v>102</v>
      </c>
      <c r="C13" s="6" t="s">
        <v>610</v>
      </c>
      <c r="D13" s="6" t="s">
        <v>398</v>
      </c>
      <c r="E13" s="6" t="s">
        <v>603</v>
      </c>
      <c r="F13" s="6" t="s">
        <v>615</v>
      </c>
      <c r="G13" s="6">
        <v>4.968825</v>
      </c>
      <c r="H13" s="6">
        <v>-73.91074999999999</v>
      </c>
      <c r="I13" s="6">
        <v>9176</v>
      </c>
      <c r="J13" s="6">
        <v>17657.99805191869</v>
      </c>
      <c r="K13" s="6">
        <v>5886.30121224019</v>
      </c>
      <c r="L13" s="6">
        <v>0</v>
      </c>
      <c r="M13" s="6">
        <v>37.848</v>
      </c>
      <c r="N13" s="6">
        <v>542000000</v>
      </c>
      <c r="O13" s="7">
        <v>8000</v>
      </c>
      <c r="P13" s="7">
        <v>0</v>
      </c>
      <c r="Q13" s="6" t="b">
        <v>1</v>
      </c>
    </row>
    <row r="14" spans="1:17">
      <c r="A14" s="6" t="s">
        <v>104</v>
      </c>
      <c r="B14" s="6" t="s">
        <v>105</v>
      </c>
      <c r="C14" s="6" t="s">
        <v>106</v>
      </c>
      <c r="D14" s="6" t="s">
        <v>398</v>
      </c>
      <c r="E14" s="6" t="s">
        <v>616</v>
      </c>
      <c r="F14" s="6" t="s">
        <v>617</v>
      </c>
      <c r="G14" s="6">
        <v>6.172</v>
      </c>
      <c r="H14" s="6">
        <v>-75.611</v>
      </c>
      <c r="I14" s="6">
        <v>6000</v>
      </c>
      <c r="J14" s="6">
        <v>11546.2062240096</v>
      </c>
      <c r="K14" s="6"/>
      <c r="L14" s="6">
        <v>0</v>
      </c>
      <c r="M14" s="6">
        <v>0</v>
      </c>
      <c r="N14" s="6">
        <v>60000000</v>
      </c>
      <c r="O14" s="7">
        <v>9000</v>
      </c>
      <c r="P14" s="7">
        <v>38000</v>
      </c>
      <c r="Q14" s="6" t="b">
        <v>0</v>
      </c>
    </row>
    <row r="15" spans="1:17">
      <c r="A15" s="6" t="s">
        <v>107</v>
      </c>
      <c r="B15" s="6" t="s">
        <v>108</v>
      </c>
      <c r="C15" s="6" t="s">
        <v>106</v>
      </c>
      <c r="D15" s="6" t="s">
        <v>398</v>
      </c>
      <c r="E15" s="6" t="s">
        <v>616</v>
      </c>
      <c r="F15" s="6" t="s">
        <v>618</v>
      </c>
      <c r="G15" s="6">
        <v>4.716</v>
      </c>
      <c r="H15" s="6">
        <v>-74.211</v>
      </c>
      <c r="I15" s="6">
        <v>8000</v>
      </c>
      <c r="J15" s="6">
        <v>15394.9416320128</v>
      </c>
      <c r="K15" s="6"/>
      <c r="L15" s="6">
        <v>0</v>
      </c>
      <c r="M15" s="6">
        <v>0</v>
      </c>
      <c r="N15" s="6">
        <v>70000000</v>
      </c>
      <c r="O15" s="7">
        <v>9000</v>
      </c>
      <c r="P15" s="7">
        <v>36000</v>
      </c>
      <c r="Q15" s="6" t="b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Q587"/>
  <sheetViews>
    <sheetView workbookViewId="0">
      <pane ySplit="3" topLeftCell="A4" activePane="bottomLeft" state="frozen"/>
      <selection pane="bottomLeft"/>
    </sheetView>
  </sheetViews>
  <sheetFormatPr defaultRowHeight="15"/>
  <cols>
    <col min="1" max="11" width="12.7109375" customWidth="1"/>
    <col min="12" max="12" width="16.7109375" customWidth="1"/>
    <col min="13" max="13" width="15.7109375" customWidth="1"/>
    <col min="14" max="14" width="18.7109375" customWidth="1"/>
    <col min="15" max="15" width="12.7109375" customWidth="1"/>
    <col min="16" max="16" width="17.7109375" customWidth="1"/>
    <col min="17" max="17" width="12.7109375" customWidth="1"/>
  </cols>
  <sheetData>
    <row r="1" spans="1:17">
      <c r="A1" s="1" t="s">
        <v>619</v>
      </c>
    </row>
    <row r="3" spans="1:17">
      <c r="A3" t="s">
        <v>382</v>
      </c>
      <c r="B3" t="s">
        <v>620</v>
      </c>
      <c r="C3" t="s">
        <v>621</v>
      </c>
      <c r="D3" t="s">
        <v>622</v>
      </c>
      <c r="E3" t="s">
        <v>623</v>
      </c>
      <c r="F3" t="s">
        <v>624</v>
      </c>
      <c r="G3" t="s">
        <v>625</v>
      </c>
      <c r="H3" t="s">
        <v>626</v>
      </c>
      <c r="I3" t="s">
        <v>627</v>
      </c>
      <c r="J3" t="s">
        <v>628</v>
      </c>
      <c r="K3" t="s">
        <v>629</v>
      </c>
      <c r="L3" t="s">
        <v>630</v>
      </c>
      <c r="M3" t="s">
        <v>631</v>
      </c>
      <c r="N3" t="s">
        <v>168</v>
      </c>
      <c r="O3" t="s">
        <v>632</v>
      </c>
      <c r="P3" t="s">
        <v>633</v>
      </c>
      <c r="Q3" t="s">
        <v>634</v>
      </c>
    </row>
    <row r="4" spans="1:17">
      <c r="A4" s="6" t="s">
        <v>635</v>
      </c>
      <c r="B4" s="6" t="s">
        <v>44</v>
      </c>
      <c r="C4" s="6" t="s">
        <v>86</v>
      </c>
      <c r="D4" s="6">
        <v>527166214.1</v>
      </c>
      <c r="E4" s="6">
        <v>14792.363</v>
      </c>
      <c r="F4" s="6">
        <v>831</v>
      </c>
      <c r="G4" s="7">
        <v>1722288519.930337</v>
      </c>
      <c r="H4" s="6">
        <v>48322.155</v>
      </c>
      <c r="I4" s="6">
        <v>2249454734.030337</v>
      </c>
      <c r="J4" s="6">
        <v>63114.518</v>
      </c>
      <c r="K4" s="6">
        <v>35640.84469488204</v>
      </c>
      <c r="L4" s="6">
        <v>35637.72833995488</v>
      </c>
      <c r="M4" s="6">
        <v>35641.79867247926</v>
      </c>
      <c r="N4" s="6">
        <v>0.7656266185856002</v>
      </c>
      <c r="O4" s="7">
        <v>261.2142337208456</v>
      </c>
      <c r="P4" s="15">
        <v>72.59999999999999</v>
      </c>
      <c r="Q4" s="6" t="b">
        <v>1</v>
      </c>
    </row>
    <row r="5" spans="1:17">
      <c r="A5" s="6" t="s">
        <v>635</v>
      </c>
      <c r="B5" s="6" t="s">
        <v>44</v>
      </c>
      <c r="C5" s="6" t="s">
        <v>88</v>
      </c>
      <c r="D5" s="6">
        <v>0</v>
      </c>
      <c r="E5" s="6">
        <v>0</v>
      </c>
      <c r="F5" s="6">
        <v>0</v>
      </c>
      <c r="G5" s="7">
        <v>507970.4737813669</v>
      </c>
      <c r="H5" s="6">
        <v>10.764</v>
      </c>
      <c r="I5" s="6">
        <v>507970.4737813669</v>
      </c>
      <c r="J5" s="6">
        <v>10.764</v>
      </c>
      <c r="K5" s="6">
        <v>47191.60848953613</v>
      </c>
      <c r="L5" s="6"/>
      <c r="M5" s="6">
        <v>47191.60848953613</v>
      </c>
      <c r="N5" s="6">
        <v>1</v>
      </c>
      <c r="O5" s="7">
        <v>432.9293792233851</v>
      </c>
      <c r="P5" s="15">
        <v>10.764</v>
      </c>
      <c r="Q5" s="6" t="b">
        <v>0</v>
      </c>
    </row>
    <row r="6" spans="1:17">
      <c r="A6" s="6" t="s">
        <v>635</v>
      </c>
      <c r="B6" s="6" t="s">
        <v>44</v>
      </c>
      <c r="C6" s="6" t="s">
        <v>90</v>
      </c>
      <c r="D6" s="6">
        <v>248953155.5</v>
      </c>
      <c r="E6" s="6">
        <v>6073.022</v>
      </c>
      <c r="F6" s="6">
        <v>1219</v>
      </c>
      <c r="G6" s="7">
        <v>288803679.8382084</v>
      </c>
      <c r="H6" s="6">
        <v>7016.389999999999</v>
      </c>
      <c r="I6" s="6">
        <v>537756835.3382084</v>
      </c>
      <c r="J6" s="6">
        <v>13089.412</v>
      </c>
      <c r="K6" s="6">
        <v>41083.34548092828</v>
      </c>
      <c r="L6" s="6">
        <v>40993.29057263419</v>
      </c>
      <c r="M6" s="6">
        <v>41161.29232243481</v>
      </c>
      <c r="N6" s="6">
        <v>0.536035537730801</v>
      </c>
      <c r="O6" s="7">
        <v>290.3784589650368</v>
      </c>
      <c r="P6" s="15">
        <v>34.525</v>
      </c>
      <c r="Q6" s="6" t="b">
        <v>1</v>
      </c>
    </row>
    <row r="7" spans="1:17">
      <c r="A7" s="6" t="s">
        <v>635</v>
      </c>
      <c r="B7" s="6" t="s">
        <v>44</v>
      </c>
      <c r="C7" s="6" t="s">
        <v>92</v>
      </c>
      <c r="D7" s="6">
        <v>325765429.2</v>
      </c>
      <c r="E7" s="6">
        <v>7310.133</v>
      </c>
      <c r="F7" s="6">
        <v>983</v>
      </c>
      <c r="G7" s="7">
        <v>471774083.7116825</v>
      </c>
      <c r="H7" s="6">
        <v>10586.613</v>
      </c>
      <c r="I7" s="6">
        <v>797539512.9116825</v>
      </c>
      <c r="J7" s="6">
        <v>17896.746</v>
      </c>
      <c r="K7" s="6">
        <v>44563.38112591432</v>
      </c>
      <c r="L7" s="6">
        <v>44563.54339927878</v>
      </c>
      <c r="M7" s="6">
        <v>44563.26907498012</v>
      </c>
      <c r="N7" s="6">
        <v>0.5915384282707035</v>
      </c>
      <c r="O7" s="7">
        <v>419.8088087178398</v>
      </c>
      <c r="P7" s="15">
        <v>25.896</v>
      </c>
      <c r="Q7" s="6" t="b">
        <v>1</v>
      </c>
    </row>
    <row r="8" spans="1:17">
      <c r="A8" s="6" t="s">
        <v>635</v>
      </c>
      <c r="B8" s="6" t="s">
        <v>44</v>
      </c>
      <c r="C8" s="6" t="s">
        <v>94</v>
      </c>
      <c r="D8" s="6">
        <v>834163116.3</v>
      </c>
      <c r="E8" s="6">
        <v>8156.942</v>
      </c>
      <c r="F8" s="6">
        <v>1645</v>
      </c>
      <c r="G8" s="7">
        <v>115012086.3843176</v>
      </c>
      <c r="H8" s="6">
        <v>1124.705</v>
      </c>
      <c r="I8" s="6">
        <v>949175202.6843176</v>
      </c>
      <c r="J8" s="6">
        <v>9281.647000000001</v>
      </c>
      <c r="K8" s="6">
        <v>102263.6610382099</v>
      </c>
      <c r="L8" s="6">
        <v>102264.1961043734</v>
      </c>
      <c r="M8" s="6">
        <v>102259.7804618256</v>
      </c>
      <c r="N8" s="6">
        <v>0.121175153504545</v>
      </c>
      <c r="O8" s="7">
        <v>873.3489050143796</v>
      </c>
      <c r="P8" s="15">
        <v>30.841</v>
      </c>
      <c r="Q8" s="6" t="b">
        <v>1</v>
      </c>
    </row>
    <row r="9" spans="1:17">
      <c r="A9" s="6" t="s">
        <v>635</v>
      </c>
      <c r="B9" s="6" t="s">
        <v>44</v>
      </c>
      <c r="C9" s="6" t="s">
        <v>97</v>
      </c>
      <c r="D9" s="6">
        <v>11735948.1</v>
      </c>
      <c r="E9" s="6">
        <v>268.913</v>
      </c>
      <c r="F9" s="6">
        <v>809</v>
      </c>
      <c r="G9" s="7">
        <v>204737.7847506544</v>
      </c>
      <c r="H9" s="6">
        <v>4.979</v>
      </c>
      <c r="I9" s="6">
        <v>11940685.88475065</v>
      </c>
      <c r="J9" s="6">
        <v>273.892</v>
      </c>
      <c r="K9" s="6">
        <v>43596.32951948453</v>
      </c>
      <c r="L9" s="6">
        <v>43642.17460665716</v>
      </c>
      <c r="M9" s="6">
        <v>41120.26205074401</v>
      </c>
      <c r="N9" s="6">
        <v>0.0181786981730025</v>
      </c>
      <c r="O9" s="7">
        <v>329.2246660154976</v>
      </c>
      <c r="P9" s="15">
        <v>0.187</v>
      </c>
      <c r="Q9" s="6" t="b">
        <v>1</v>
      </c>
    </row>
    <row r="10" spans="1:17">
      <c r="A10" s="6" t="s">
        <v>635</v>
      </c>
      <c r="B10" s="6" t="s">
        <v>44</v>
      </c>
      <c r="C10" s="6" t="s">
        <v>99</v>
      </c>
      <c r="D10" s="6">
        <v>164677103.8</v>
      </c>
      <c r="E10" s="6">
        <v>5274.561</v>
      </c>
      <c r="F10" s="6">
        <v>1330</v>
      </c>
      <c r="G10" s="7">
        <v>1294262.585752385</v>
      </c>
      <c r="H10" s="6">
        <v>41.458</v>
      </c>
      <c r="I10" s="6">
        <v>165971366.3857524</v>
      </c>
      <c r="J10" s="6">
        <v>5316.018999999999</v>
      </c>
      <c r="K10" s="6">
        <v>31220.98818415669</v>
      </c>
      <c r="L10" s="6">
        <v>31221.00660130768</v>
      </c>
      <c r="M10" s="6">
        <v>31218.6450323794</v>
      </c>
      <c r="N10" s="6">
        <v>0.007798692969306544</v>
      </c>
      <c r="O10" s="7">
        <v>188.1573655443816</v>
      </c>
      <c r="P10" s="15">
        <v>20.729</v>
      </c>
      <c r="Q10" s="6" t="b">
        <v>1</v>
      </c>
    </row>
    <row r="11" spans="1:17">
      <c r="A11" s="6" t="s">
        <v>635</v>
      </c>
      <c r="B11" s="6" t="s">
        <v>44</v>
      </c>
      <c r="C11" s="6" t="s">
        <v>101</v>
      </c>
      <c r="D11" s="6">
        <v>231325971.8</v>
      </c>
      <c r="E11" s="6">
        <v>19953.351</v>
      </c>
      <c r="F11" s="6">
        <v>573</v>
      </c>
      <c r="G11" s="7">
        <v>11326321.67987735</v>
      </c>
      <c r="H11" s="6">
        <v>976.968</v>
      </c>
      <c r="I11" s="6">
        <v>242652293.4798774</v>
      </c>
      <c r="J11" s="6">
        <v>20930.319</v>
      </c>
      <c r="K11" s="6">
        <v>11593.33947465767</v>
      </c>
      <c r="L11" s="6">
        <v>11593.33947465767</v>
      </c>
      <c r="M11" s="6">
        <v>11593.33947465767</v>
      </c>
      <c r="N11" s="6">
        <v>0.04667716722329936</v>
      </c>
      <c r="O11" s="7">
        <v>13.27192939308386</v>
      </c>
      <c r="P11" s="15">
        <v>38.16</v>
      </c>
      <c r="Q11" s="6" t="b">
        <v>1</v>
      </c>
    </row>
    <row r="12" spans="1:17">
      <c r="A12" s="6" t="s">
        <v>635</v>
      </c>
      <c r="B12" s="6" t="s">
        <v>86</v>
      </c>
      <c r="C12" s="6" t="s">
        <v>44</v>
      </c>
      <c r="D12" s="6">
        <v>1054502881.3</v>
      </c>
      <c r="E12" s="6">
        <v>25192.045</v>
      </c>
      <c r="F12" s="6">
        <v>3140</v>
      </c>
      <c r="G12" s="7">
        <v>1501426216.016224</v>
      </c>
      <c r="H12" s="6">
        <v>35870.176</v>
      </c>
      <c r="I12" s="6">
        <v>2555929097.316224</v>
      </c>
      <c r="J12" s="6">
        <v>61062.221</v>
      </c>
      <c r="K12" s="6">
        <v>41857.78138198124</v>
      </c>
      <c r="L12" s="6">
        <v>41858.56611878869</v>
      </c>
      <c r="M12" s="6">
        <v>41857.23025212433</v>
      </c>
      <c r="N12" s="6">
        <v>0.5874364772942012</v>
      </c>
      <c r="O12" s="7">
        <v>261.2142337208456</v>
      </c>
      <c r="P12" s="15">
        <v>64.72500000000001</v>
      </c>
      <c r="Q12" s="6" t="b">
        <v>1</v>
      </c>
    </row>
    <row r="13" spans="1:17">
      <c r="A13" s="6" t="s">
        <v>635</v>
      </c>
      <c r="B13" s="6" t="s">
        <v>86</v>
      </c>
      <c r="C13" s="6" t="s">
        <v>88</v>
      </c>
      <c r="D13" s="6">
        <v>0</v>
      </c>
      <c r="E13" s="6">
        <v>0</v>
      </c>
      <c r="F13" s="6">
        <v>0</v>
      </c>
      <c r="G13" s="7">
        <v>207643.077353959</v>
      </c>
      <c r="H13" s="6">
        <v>4.4</v>
      </c>
      <c r="I13" s="6">
        <v>207643.077353959</v>
      </c>
      <c r="J13" s="6">
        <v>4.4</v>
      </c>
      <c r="K13" s="6">
        <v>47191.60848953613</v>
      </c>
      <c r="L13" s="6"/>
      <c r="M13" s="6">
        <v>47191.60848953613</v>
      </c>
      <c r="N13" s="6">
        <v>1</v>
      </c>
      <c r="O13" s="7">
        <v>455.6037959959456</v>
      </c>
      <c r="P13" s="15">
        <v>4.4</v>
      </c>
      <c r="Q13" s="6" t="b">
        <v>0</v>
      </c>
    </row>
    <row r="14" spans="1:17">
      <c r="A14" s="6" t="s">
        <v>635</v>
      </c>
      <c r="B14" s="6" t="s">
        <v>86</v>
      </c>
      <c r="C14" s="6" t="s">
        <v>90</v>
      </c>
      <c r="D14" s="6">
        <v>371186470.4</v>
      </c>
      <c r="E14" s="6">
        <v>18573.179</v>
      </c>
      <c r="F14" s="6">
        <v>2233</v>
      </c>
      <c r="G14" s="7">
        <v>905485971.0564687</v>
      </c>
      <c r="H14" s="6">
        <v>45253.959</v>
      </c>
      <c r="I14" s="6">
        <v>1276672441.456469</v>
      </c>
      <c r="J14" s="6">
        <v>63827.13800000001</v>
      </c>
      <c r="K14" s="6">
        <v>20002.03176047888</v>
      </c>
      <c r="L14" s="6">
        <v>19985.08012010222</v>
      </c>
      <c r="M14" s="6">
        <v>20008.98907113229</v>
      </c>
      <c r="N14" s="6">
        <v>0.7090081181456076</v>
      </c>
      <c r="O14" s="7">
        <v>32.24671763383465</v>
      </c>
      <c r="P14" s="15">
        <v>51.483</v>
      </c>
      <c r="Q14" s="6" t="b">
        <v>1</v>
      </c>
    </row>
    <row r="15" spans="1:17">
      <c r="A15" s="6" t="s">
        <v>635</v>
      </c>
      <c r="B15" s="6" t="s">
        <v>86</v>
      </c>
      <c r="C15" s="6" t="s">
        <v>177</v>
      </c>
      <c r="D15" s="6">
        <v>3244645</v>
      </c>
      <c r="E15" s="6">
        <v>120.566</v>
      </c>
      <c r="F15" s="6">
        <v>64</v>
      </c>
      <c r="G15" s="7">
        <v>985008.2505687304</v>
      </c>
      <c r="H15" s="6">
        <v>66.238</v>
      </c>
      <c r="I15" s="6">
        <v>4229653.250568731</v>
      </c>
      <c r="J15" s="6">
        <v>186.804</v>
      </c>
      <c r="K15" s="6">
        <v>22642.19851057114</v>
      </c>
      <c r="L15" s="6">
        <v>26911.77446377917</v>
      </c>
      <c r="M15" s="6">
        <v>14870.74263366542</v>
      </c>
      <c r="N15" s="6">
        <v>0.354585554913171</v>
      </c>
      <c r="O15" s="7">
        <v>31.25602026277225</v>
      </c>
      <c r="P15" s="15">
        <v>3.057</v>
      </c>
      <c r="Q15" s="6" t="b">
        <v>1</v>
      </c>
    </row>
    <row r="16" spans="1:17">
      <c r="A16" s="6" t="s">
        <v>635</v>
      </c>
      <c r="B16" s="6" t="s">
        <v>86</v>
      </c>
      <c r="C16" s="6" t="s">
        <v>92</v>
      </c>
      <c r="D16" s="6">
        <v>748958115.7</v>
      </c>
      <c r="E16" s="6">
        <v>14193.053</v>
      </c>
      <c r="F16" s="6">
        <v>2644</v>
      </c>
      <c r="G16" s="7">
        <v>433121719.8627808</v>
      </c>
      <c r="H16" s="6">
        <v>8211.226000000001</v>
      </c>
      <c r="I16" s="6">
        <v>1182079835.562781</v>
      </c>
      <c r="J16" s="6">
        <v>22404.279</v>
      </c>
      <c r="K16" s="6">
        <v>52761.34240083248</v>
      </c>
      <c r="L16" s="6">
        <v>52769.34537622033</v>
      </c>
      <c r="M16" s="6">
        <v>52747.50930771857</v>
      </c>
      <c r="N16" s="6">
        <v>0.366502577476383</v>
      </c>
      <c r="O16" s="7">
        <v>418.2062747225909</v>
      </c>
      <c r="P16" s="15">
        <v>21.1595</v>
      </c>
      <c r="Q16" s="6" t="b">
        <v>1</v>
      </c>
    </row>
    <row r="17" spans="1:17">
      <c r="A17" s="6" t="s">
        <v>635</v>
      </c>
      <c r="B17" s="6" t="s">
        <v>86</v>
      </c>
      <c r="C17" s="6" t="s">
        <v>94</v>
      </c>
      <c r="D17" s="6">
        <v>473837564.9</v>
      </c>
      <c r="E17" s="6">
        <v>5172.873</v>
      </c>
      <c r="F17" s="6">
        <v>1386</v>
      </c>
      <c r="G17" s="7">
        <v>39885930.79365453</v>
      </c>
      <c r="H17" s="6">
        <v>435.456</v>
      </c>
      <c r="I17" s="6">
        <v>513723495.6936545</v>
      </c>
      <c r="J17" s="6">
        <v>5608.329</v>
      </c>
      <c r="K17" s="6">
        <v>91600.09972554295</v>
      </c>
      <c r="L17" s="6">
        <v>91600.46359150902</v>
      </c>
      <c r="M17" s="6">
        <v>91595.77728554557</v>
      </c>
      <c r="N17" s="6">
        <v>0.07764451764509536</v>
      </c>
      <c r="O17" s="7">
        <v>697.6145305922952</v>
      </c>
      <c r="P17" s="15">
        <v>26.2275</v>
      </c>
      <c r="Q17" s="6" t="b">
        <v>1</v>
      </c>
    </row>
    <row r="18" spans="1:17">
      <c r="A18" s="6" t="s">
        <v>635</v>
      </c>
      <c r="B18" s="6" t="s">
        <v>86</v>
      </c>
      <c r="C18" s="6" t="s">
        <v>97</v>
      </c>
      <c r="D18" s="6">
        <v>3065389</v>
      </c>
      <c r="E18" s="6">
        <v>66.089</v>
      </c>
      <c r="F18" s="6">
        <v>197</v>
      </c>
      <c r="G18" s="7">
        <v>2573116.681857204</v>
      </c>
      <c r="H18" s="6">
        <v>49.737</v>
      </c>
      <c r="I18" s="6">
        <v>5638505.681857204</v>
      </c>
      <c r="J18" s="6">
        <v>115.826</v>
      </c>
      <c r="K18" s="6">
        <v>48680.82884548551</v>
      </c>
      <c r="L18" s="6">
        <v>46382.74145470502</v>
      </c>
      <c r="M18" s="6">
        <v>51734.45688033463</v>
      </c>
      <c r="N18" s="6">
        <v>0.4294113584169358</v>
      </c>
      <c r="O18" s="7">
        <v>349.8301590116625</v>
      </c>
      <c r="P18" s="15">
        <v>8.7515</v>
      </c>
      <c r="Q18" s="6" t="b">
        <v>1</v>
      </c>
    </row>
    <row r="19" spans="1:17">
      <c r="A19" s="6" t="s">
        <v>635</v>
      </c>
      <c r="B19" s="6" t="s">
        <v>86</v>
      </c>
      <c r="C19" s="6" t="s">
        <v>99</v>
      </c>
      <c r="D19" s="6">
        <v>287580956</v>
      </c>
      <c r="E19" s="6">
        <v>6331.778</v>
      </c>
      <c r="F19" s="6">
        <v>1752</v>
      </c>
      <c r="G19" s="7">
        <v>1005252.93606957</v>
      </c>
      <c r="H19" s="6">
        <v>22.134</v>
      </c>
      <c r="I19" s="6">
        <v>288586208.9360695</v>
      </c>
      <c r="J19" s="6">
        <v>6353.912</v>
      </c>
      <c r="K19" s="6">
        <v>45418.66631707671</v>
      </c>
      <c r="L19" s="6">
        <v>45418.6732383858</v>
      </c>
      <c r="M19" s="6">
        <v>45416.68636801164</v>
      </c>
      <c r="N19" s="6">
        <v>0.003483523221599543</v>
      </c>
      <c r="O19" s="7">
        <v>252.9988841066661</v>
      </c>
      <c r="P19" s="15">
        <v>11.067</v>
      </c>
      <c r="Q19" s="6" t="b">
        <v>1</v>
      </c>
    </row>
    <row r="20" spans="1:17">
      <c r="A20" s="6" t="s">
        <v>635</v>
      </c>
      <c r="B20" s="6" t="s">
        <v>86</v>
      </c>
      <c r="C20" s="6" t="s">
        <v>101</v>
      </c>
      <c r="D20" s="6">
        <v>0</v>
      </c>
      <c r="E20" s="6">
        <v>0</v>
      </c>
      <c r="F20" s="6">
        <v>0</v>
      </c>
      <c r="G20" s="7">
        <v>66834.23558214751</v>
      </c>
      <c r="H20" s="6">
        <v>1.584</v>
      </c>
      <c r="I20" s="6">
        <v>66834.23558214751</v>
      </c>
      <c r="J20" s="6">
        <v>1.584</v>
      </c>
      <c r="K20" s="6">
        <v>42193.33054428504</v>
      </c>
      <c r="L20" s="6"/>
      <c r="M20" s="6">
        <v>42193.33054428504</v>
      </c>
      <c r="N20" s="6">
        <v>1</v>
      </c>
      <c r="O20" s="7">
        <v>272.578971967791</v>
      </c>
      <c r="P20" s="15">
        <v>30.186</v>
      </c>
      <c r="Q20" s="6" t="b">
        <v>0</v>
      </c>
    </row>
    <row r="21" spans="1:17">
      <c r="A21" s="6" t="s">
        <v>635</v>
      </c>
      <c r="B21" s="6" t="s">
        <v>88</v>
      </c>
      <c r="C21" s="6" t="s">
        <v>44</v>
      </c>
      <c r="D21" s="6">
        <v>980525062.7</v>
      </c>
      <c r="E21" s="6">
        <v>20406.259</v>
      </c>
      <c r="F21" s="6">
        <v>2434</v>
      </c>
      <c r="G21" s="7">
        <v>0</v>
      </c>
      <c r="H21" s="6">
        <v>0</v>
      </c>
      <c r="I21" s="6">
        <v>980525062.7</v>
      </c>
      <c r="J21" s="6">
        <v>20406.259</v>
      </c>
      <c r="K21" s="6">
        <v>48050.2115894932</v>
      </c>
      <c r="L21" s="6">
        <v>48050.2115894932</v>
      </c>
      <c r="M21" s="6"/>
      <c r="N21" s="6">
        <v>0</v>
      </c>
      <c r="O21" s="7">
        <v>432.9293792233851</v>
      </c>
      <c r="P21" s="15"/>
      <c r="Q21" s="6" t="b">
        <v>1</v>
      </c>
    </row>
    <row r="22" spans="1:17">
      <c r="A22" s="6" t="s">
        <v>635</v>
      </c>
      <c r="B22" s="6" t="s">
        <v>88</v>
      </c>
      <c r="C22" s="6" t="s">
        <v>86</v>
      </c>
      <c r="D22" s="6">
        <v>1147237983.9</v>
      </c>
      <c r="E22" s="6">
        <v>27500.058</v>
      </c>
      <c r="F22" s="6">
        <v>2763</v>
      </c>
      <c r="G22" s="7">
        <v>0</v>
      </c>
      <c r="H22" s="6">
        <v>0</v>
      </c>
      <c r="I22" s="6">
        <v>1147237983.9</v>
      </c>
      <c r="J22" s="6">
        <v>27500.058</v>
      </c>
      <c r="K22" s="6">
        <v>41717.65688276003</v>
      </c>
      <c r="L22" s="6">
        <v>41717.65688276003</v>
      </c>
      <c r="M22" s="6"/>
      <c r="N22" s="6">
        <v>0</v>
      </c>
      <c r="O22" s="7">
        <v>455.6037959959456</v>
      </c>
      <c r="P22" s="15"/>
      <c r="Q22" s="6" t="b">
        <v>1</v>
      </c>
    </row>
    <row r="23" spans="1:17">
      <c r="A23" s="6" t="s">
        <v>635</v>
      </c>
      <c r="B23" s="6" t="s">
        <v>88</v>
      </c>
      <c r="C23" s="6" t="s">
        <v>90</v>
      </c>
      <c r="D23" s="6">
        <v>312133238.1</v>
      </c>
      <c r="E23" s="6">
        <v>6311.992</v>
      </c>
      <c r="F23" s="6">
        <v>1219</v>
      </c>
      <c r="G23" s="7">
        <v>1592072.078248626</v>
      </c>
      <c r="H23" s="6">
        <v>32.51900000000001</v>
      </c>
      <c r="I23" s="6">
        <v>313725310.1782486</v>
      </c>
      <c r="J23" s="6">
        <v>6344.511</v>
      </c>
      <c r="K23" s="6">
        <v>49448.30423940452</v>
      </c>
      <c r="L23" s="6">
        <v>49450.82916771758</v>
      </c>
      <c r="M23" s="6">
        <v>48958.21145326195</v>
      </c>
      <c r="N23" s="6">
        <v>0.005125532921292122</v>
      </c>
      <c r="O23" s="7">
        <v>480.2323942655265</v>
      </c>
      <c r="P23" s="15">
        <v>32.51900000000001</v>
      </c>
      <c r="Q23" s="6" t="b">
        <v>1</v>
      </c>
    </row>
    <row r="24" spans="1:17">
      <c r="A24" s="6" t="s">
        <v>635</v>
      </c>
      <c r="B24" s="6" t="s">
        <v>88</v>
      </c>
      <c r="C24" s="6" t="s">
        <v>92</v>
      </c>
      <c r="D24" s="6">
        <v>1122526113.3</v>
      </c>
      <c r="E24" s="6">
        <v>104012.142</v>
      </c>
      <c r="F24" s="6">
        <v>3952</v>
      </c>
      <c r="G24" s="7">
        <v>14055535.67955891</v>
      </c>
      <c r="H24" s="6">
        <v>1302.638</v>
      </c>
      <c r="I24" s="6">
        <v>1136581648.979559</v>
      </c>
      <c r="J24" s="6">
        <v>105314.78</v>
      </c>
      <c r="K24" s="6">
        <v>10792.23304629758</v>
      </c>
      <c r="L24" s="6">
        <v>10792.2603237995</v>
      </c>
      <c r="M24" s="6">
        <v>10790.05501110739</v>
      </c>
      <c r="N24" s="6">
        <v>0.01236899512110266</v>
      </c>
      <c r="O24" s="7">
        <v>48.07465797380396</v>
      </c>
      <c r="P24" s="15">
        <v>41.925</v>
      </c>
      <c r="Q24" s="6" t="b">
        <v>1</v>
      </c>
    </row>
    <row r="25" spans="1:17">
      <c r="A25" s="6" t="s">
        <v>635</v>
      </c>
      <c r="B25" s="6" t="s">
        <v>90</v>
      </c>
      <c r="C25" s="6" t="s">
        <v>44</v>
      </c>
      <c r="D25" s="6">
        <v>797874640.2</v>
      </c>
      <c r="E25" s="6">
        <v>17353.954</v>
      </c>
      <c r="F25" s="6">
        <v>4883</v>
      </c>
      <c r="G25" s="7">
        <v>233000811.0601961</v>
      </c>
      <c r="H25" s="6">
        <v>5126.579</v>
      </c>
      <c r="I25" s="6">
        <v>1030875451.260196</v>
      </c>
      <c r="J25" s="6">
        <v>22480.533</v>
      </c>
      <c r="K25" s="6">
        <v>45856.36164677217</v>
      </c>
      <c r="L25" s="6">
        <v>45976.53308289281</v>
      </c>
      <c r="M25" s="6">
        <v>45449.56998813363</v>
      </c>
      <c r="N25" s="6">
        <v>0.2280452603147799</v>
      </c>
      <c r="O25" s="7">
        <v>290.3784589650368</v>
      </c>
      <c r="P25" s="15">
        <v>54.2985</v>
      </c>
      <c r="Q25" s="6" t="b">
        <v>1</v>
      </c>
    </row>
    <row r="26" spans="1:17">
      <c r="A26" s="6" t="s">
        <v>635</v>
      </c>
      <c r="B26" s="6" t="s">
        <v>90</v>
      </c>
      <c r="C26" s="6" t="s">
        <v>86</v>
      </c>
      <c r="D26" s="6">
        <v>24488033.2</v>
      </c>
      <c r="E26" s="6">
        <v>1148.696</v>
      </c>
      <c r="F26" s="6">
        <v>142</v>
      </c>
      <c r="G26" s="7">
        <v>777647519.491639</v>
      </c>
      <c r="H26" s="6">
        <v>36425.57</v>
      </c>
      <c r="I26" s="6">
        <v>802135552.6916391</v>
      </c>
      <c r="J26" s="6">
        <v>37574.266</v>
      </c>
      <c r="K26" s="6">
        <v>21348.0032501936</v>
      </c>
      <c r="L26" s="6">
        <v>21318.11480147925</v>
      </c>
      <c r="M26" s="6">
        <v>21348.94579526522</v>
      </c>
      <c r="N26" s="6">
        <v>0.9694286509814988</v>
      </c>
      <c r="O26" s="7">
        <v>32.24671763383465</v>
      </c>
      <c r="P26" s="15">
        <v>48.384</v>
      </c>
      <c r="Q26" s="6" t="b">
        <v>1</v>
      </c>
    </row>
    <row r="27" spans="1:17">
      <c r="A27" s="6" t="s">
        <v>635</v>
      </c>
      <c r="B27" s="6" t="s">
        <v>90</v>
      </c>
      <c r="C27" s="6" t="s">
        <v>177</v>
      </c>
      <c r="D27" s="6">
        <v>0</v>
      </c>
      <c r="E27" s="6">
        <v>0</v>
      </c>
      <c r="F27" s="6">
        <v>0</v>
      </c>
      <c r="G27" s="7">
        <v>166137.6458759334</v>
      </c>
      <c r="H27" s="6">
        <v>13.332</v>
      </c>
      <c r="I27" s="6">
        <v>166137.6458759334</v>
      </c>
      <c r="J27" s="6">
        <v>13.332</v>
      </c>
      <c r="K27" s="6">
        <v>12461.56959765477</v>
      </c>
      <c r="L27" s="6"/>
      <c r="M27" s="6">
        <v>12461.56959765477</v>
      </c>
      <c r="N27" s="6">
        <v>1</v>
      </c>
      <c r="O27" s="7">
        <v>32.9296652613972</v>
      </c>
      <c r="P27" s="15">
        <v>13.332</v>
      </c>
      <c r="Q27" s="6" t="b">
        <v>0</v>
      </c>
    </row>
    <row r="28" spans="1:17">
      <c r="A28" s="6" t="s">
        <v>635</v>
      </c>
      <c r="B28" s="6" t="s">
        <v>90</v>
      </c>
      <c r="C28" s="6" t="s">
        <v>92</v>
      </c>
      <c r="D28" s="6">
        <v>287554995.7</v>
      </c>
      <c r="E28" s="6">
        <v>5731.581</v>
      </c>
      <c r="F28" s="6">
        <v>3440</v>
      </c>
      <c r="G28" s="7">
        <v>145083921.7186033</v>
      </c>
      <c r="H28" s="6">
        <v>2896.613</v>
      </c>
      <c r="I28" s="6">
        <v>432638917.4186033</v>
      </c>
      <c r="J28" s="6">
        <v>8628.194</v>
      </c>
      <c r="K28" s="6">
        <v>50142.46520402802</v>
      </c>
      <c r="L28" s="6">
        <v>50170.27513002084</v>
      </c>
      <c r="M28" s="6">
        <v>50087.43719599524</v>
      </c>
      <c r="N28" s="6">
        <v>0.3357148668655341</v>
      </c>
      <c r="O28" s="7">
        <v>441.4218972107607</v>
      </c>
      <c r="P28" s="15">
        <v>30.7265</v>
      </c>
      <c r="Q28" s="6" t="b">
        <v>1</v>
      </c>
    </row>
    <row r="29" spans="1:17">
      <c r="A29" s="6" t="s">
        <v>635</v>
      </c>
      <c r="B29" s="6" t="s">
        <v>90</v>
      </c>
      <c r="C29" s="6" t="s">
        <v>94</v>
      </c>
      <c r="D29" s="6">
        <v>356543157.4</v>
      </c>
      <c r="E29" s="6">
        <v>3947.82</v>
      </c>
      <c r="F29" s="6">
        <v>3467</v>
      </c>
      <c r="G29" s="7">
        <v>119613057.79495</v>
      </c>
      <c r="H29" s="6">
        <v>1327.525</v>
      </c>
      <c r="I29" s="6">
        <v>476156215.19495</v>
      </c>
      <c r="J29" s="6">
        <v>5275.345</v>
      </c>
      <c r="K29" s="6">
        <v>90260.67777461947</v>
      </c>
      <c r="L29" s="6">
        <v>90313.93462721197</v>
      </c>
      <c r="M29" s="6">
        <v>90102.30149710928</v>
      </c>
      <c r="N29" s="6">
        <v>0.2516470486764373</v>
      </c>
      <c r="O29" s="7">
        <v>669.4477459429568</v>
      </c>
      <c r="P29" s="15">
        <v>35.602</v>
      </c>
      <c r="Q29" s="6" t="b">
        <v>1</v>
      </c>
    </row>
    <row r="30" spans="1:17">
      <c r="A30" s="6" t="s">
        <v>635</v>
      </c>
      <c r="B30" s="6" t="s">
        <v>90</v>
      </c>
      <c r="C30" s="6" t="s">
        <v>97</v>
      </c>
      <c r="D30" s="6">
        <v>1438298.9</v>
      </c>
      <c r="E30" s="6">
        <v>47.556</v>
      </c>
      <c r="F30" s="6">
        <v>88</v>
      </c>
      <c r="G30" s="7">
        <v>2508239.238386991</v>
      </c>
      <c r="H30" s="6">
        <v>44.167</v>
      </c>
      <c r="I30" s="6">
        <v>3946538.13838699</v>
      </c>
      <c r="J30" s="6">
        <v>91.723</v>
      </c>
      <c r="K30" s="6">
        <v>43026.70146404926</v>
      </c>
      <c r="L30" s="6">
        <v>30244.32038018336</v>
      </c>
      <c r="M30" s="6">
        <v>56789.89377560148</v>
      </c>
      <c r="N30" s="6">
        <v>0.4815258986295695</v>
      </c>
      <c r="O30" s="7">
        <v>351.3131323013478</v>
      </c>
      <c r="P30" s="15">
        <v>2.7905</v>
      </c>
      <c r="Q30" s="6" t="b">
        <v>1</v>
      </c>
    </row>
    <row r="31" spans="1:17">
      <c r="A31" s="6" t="s">
        <v>635</v>
      </c>
      <c r="B31" s="6" t="s">
        <v>90</v>
      </c>
      <c r="C31" s="6" t="s">
        <v>99</v>
      </c>
      <c r="D31" s="6">
        <v>234927523.8</v>
      </c>
      <c r="E31" s="6">
        <v>4682.356</v>
      </c>
      <c r="F31" s="6">
        <v>3208</v>
      </c>
      <c r="G31" s="7">
        <v>0</v>
      </c>
      <c r="H31" s="6">
        <v>0</v>
      </c>
      <c r="I31" s="6">
        <v>234927523.8</v>
      </c>
      <c r="J31" s="6">
        <v>4682.356</v>
      </c>
      <c r="K31" s="6">
        <v>50172.93084934166</v>
      </c>
      <c r="L31" s="6">
        <v>50172.93084934166</v>
      </c>
      <c r="M31" s="6"/>
      <c r="N31" s="6">
        <v>0</v>
      </c>
      <c r="O31" s="7">
        <v>284.1115760315602</v>
      </c>
      <c r="P31" s="15"/>
      <c r="Q31" s="6" t="b">
        <v>1</v>
      </c>
    </row>
    <row r="32" spans="1:17">
      <c r="A32" s="6" t="s">
        <v>635</v>
      </c>
      <c r="B32" s="6" t="s">
        <v>177</v>
      </c>
      <c r="C32" s="6" t="s">
        <v>44</v>
      </c>
      <c r="D32" s="6">
        <v>58225027</v>
      </c>
      <c r="E32" s="6">
        <v>1443.236</v>
      </c>
      <c r="F32" s="6">
        <v>60</v>
      </c>
      <c r="G32" s="7">
        <v>1560001186.054285</v>
      </c>
      <c r="H32" s="6">
        <v>38566.065</v>
      </c>
      <c r="I32" s="6">
        <v>1618226213.054285</v>
      </c>
      <c r="J32" s="6">
        <v>40009.301</v>
      </c>
      <c r="K32" s="6">
        <v>40446.25056194521</v>
      </c>
      <c r="L32" s="6">
        <v>40343.38597429665</v>
      </c>
      <c r="M32" s="6">
        <v>40450.10000512847</v>
      </c>
      <c r="N32" s="6">
        <v>0.9639274877609084</v>
      </c>
      <c r="O32" s="7">
        <v>287.169652869364</v>
      </c>
      <c r="P32" s="15">
        <v>80.726</v>
      </c>
      <c r="Q32" s="6" t="b">
        <v>1</v>
      </c>
    </row>
    <row r="33" spans="1:17">
      <c r="A33" s="6" t="s">
        <v>635</v>
      </c>
      <c r="B33" s="6" t="s">
        <v>177</v>
      </c>
      <c r="C33" s="6" t="s">
        <v>86</v>
      </c>
      <c r="D33" s="6">
        <v>96597530.3</v>
      </c>
      <c r="E33" s="6">
        <v>5353.604</v>
      </c>
      <c r="F33" s="6">
        <v>689</v>
      </c>
      <c r="G33" s="7">
        <v>3681944433.567602</v>
      </c>
      <c r="H33" s="6">
        <v>204060.543</v>
      </c>
      <c r="I33" s="6">
        <v>3778541963.867602</v>
      </c>
      <c r="J33" s="6">
        <v>209414.147</v>
      </c>
      <c r="K33" s="6">
        <v>18043.39400177965</v>
      </c>
      <c r="L33" s="6">
        <v>18043.45825727865</v>
      </c>
      <c r="M33" s="6">
        <v>18043.39231601281</v>
      </c>
      <c r="N33" s="6">
        <v>0.9744353279055211</v>
      </c>
      <c r="O33" s="7">
        <v>31.25602026277225</v>
      </c>
      <c r="P33" s="15">
        <v>55.296</v>
      </c>
      <c r="Q33" s="6" t="b">
        <v>1</v>
      </c>
    </row>
    <row r="34" spans="1:17">
      <c r="A34" s="6" t="s">
        <v>635</v>
      </c>
      <c r="B34" s="6" t="s">
        <v>177</v>
      </c>
      <c r="C34" s="6" t="s">
        <v>90</v>
      </c>
      <c r="D34" s="6">
        <v>38353298.1</v>
      </c>
      <c r="E34" s="6">
        <v>2286.144</v>
      </c>
      <c r="F34" s="6">
        <v>285</v>
      </c>
      <c r="G34" s="7">
        <v>764298877.0590183</v>
      </c>
      <c r="H34" s="6">
        <v>45557.941</v>
      </c>
      <c r="I34" s="6">
        <v>802652175.1590183</v>
      </c>
      <c r="J34" s="6">
        <v>47844.085</v>
      </c>
      <c r="K34" s="6">
        <v>16776.41395292685</v>
      </c>
      <c r="L34" s="6">
        <v>16776.41395292685</v>
      </c>
      <c r="M34" s="6">
        <v>16776.41395292685</v>
      </c>
      <c r="N34" s="6">
        <v>0.9522167891809405</v>
      </c>
      <c r="O34" s="7">
        <v>32.9296652613972</v>
      </c>
      <c r="P34" s="15">
        <v>52.916</v>
      </c>
      <c r="Q34" s="6" t="b">
        <v>1</v>
      </c>
    </row>
    <row r="35" spans="1:17">
      <c r="A35" s="6" t="s">
        <v>635</v>
      </c>
      <c r="B35" s="6" t="s">
        <v>177</v>
      </c>
      <c r="C35" s="6" t="s">
        <v>92</v>
      </c>
      <c r="D35" s="6">
        <v>20766701</v>
      </c>
      <c r="E35" s="6">
        <v>534.351</v>
      </c>
      <c r="F35" s="6">
        <v>28</v>
      </c>
      <c r="G35" s="7">
        <v>380621767.9421092</v>
      </c>
      <c r="H35" s="6">
        <v>9793.834000000001</v>
      </c>
      <c r="I35" s="6">
        <v>401388468.9421092</v>
      </c>
      <c r="J35" s="6">
        <v>10328.185</v>
      </c>
      <c r="K35" s="6">
        <v>38863.40813435363</v>
      </c>
      <c r="L35" s="6">
        <v>38863.40813435364</v>
      </c>
      <c r="M35" s="6">
        <v>38863.40813435364</v>
      </c>
      <c r="N35" s="6">
        <v>0.9482628361130246</v>
      </c>
      <c r="O35" s="7">
        <v>409.6745360578182</v>
      </c>
      <c r="P35" s="15">
        <v>74.39</v>
      </c>
      <c r="Q35" s="6" t="b">
        <v>1</v>
      </c>
    </row>
    <row r="36" spans="1:17">
      <c r="A36" s="6" t="s">
        <v>635</v>
      </c>
      <c r="B36" s="6" t="s">
        <v>177</v>
      </c>
      <c r="C36" s="6" t="s">
        <v>97</v>
      </c>
      <c r="D36" s="6">
        <v>10395</v>
      </c>
      <c r="E36" s="6">
        <v>0.15</v>
      </c>
      <c r="F36" s="6">
        <v>3</v>
      </c>
      <c r="G36" s="7">
        <v>0</v>
      </c>
      <c r="H36" s="6">
        <v>0</v>
      </c>
      <c r="I36" s="6">
        <v>10395</v>
      </c>
      <c r="J36" s="6">
        <v>0.15</v>
      </c>
      <c r="K36" s="6">
        <v>69299.99999999999</v>
      </c>
      <c r="L36" s="6">
        <v>69299.99999999999</v>
      </c>
      <c r="M36" s="6"/>
      <c r="N36" s="6">
        <v>0</v>
      </c>
      <c r="O36" s="7">
        <v>377.8183252496436</v>
      </c>
      <c r="P36" s="15"/>
      <c r="Q36" s="6" t="b">
        <v>0</v>
      </c>
    </row>
    <row r="37" spans="1:17">
      <c r="A37" s="6" t="s">
        <v>635</v>
      </c>
      <c r="B37" s="6" t="s">
        <v>177</v>
      </c>
      <c r="C37" s="6" t="s">
        <v>99</v>
      </c>
      <c r="D37" s="6">
        <v>4383953</v>
      </c>
      <c r="E37" s="6">
        <v>90.318</v>
      </c>
      <c r="F37" s="6">
        <v>12</v>
      </c>
      <c r="G37" s="7">
        <v>0</v>
      </c>
      <c r="H37" s="6">
        <v>0</v>
      </c>
      <c r="I37" s="6">
        <v>4383953</v>
      </c>
      <c r="J37" s="6">
        <v>90.318</v>
      </c>
      <c r="K37" s="6">
        <v>48539.08412498063</v>
      </c>
      <c r="L37" s="6">
        <v>48539.08412498063</v>
      </c>
      <c r="M37" s="6"/>
      <c r="N37" s="6">
        <v>0</v>
      </c>
      <c r="O37" s="7">
        <v>260.9708816723787</v>
      </c>
      <c r="P37" s="15"/>
      <c r="Q37" s="6" t="b">
        <v>1</v>
      </c>
    </row>
    <row r="38" spans="1:17">
      <c r="A38" s="6" t="s">
        <v>635</v>
      </c>
      <c r="B38" s="6" t="s">
        <v>92</v>
      </c>
      <c r="C38" s="6" t="s">
        <v>44</v>
      </c>
      <c r="D38" s="6">
        <v>312513469.7</v>
      </c>
      <c r="E38" s="6">
        <v>6358.452</v>
      </c>
      <c r="F38" s="6">
        <v>1178</v>
      </c>
      <c r="G38" s="7">
        <v>296867758.2782837</v>
      </c>
      <c r="H38" s="6">
        <v>6040.192</v>
      </c>
      <c r="I38" s="6">
        <v>609381227.9782836</v>
      </c>
      <c r="J38" s="6">
        <v>12398.644</v>
      </c>
      <c r="K38" s="6">
        <v>49149.02210098811</v>
      </c>
      <c r="L38" s="6">
        <v>49149.30075747996</v>
      </c>
      <c r="M38" s="6">
        <v>49148.72876198037</v>
      </c>
      <c r="N38" s="6">
        <v>0.4871655319726899</v>
      </c>
      <c r="O38" s="7">
        <v>419.8088087178398</v>
      </c>
      <c r="P38" s="15">
        <v>21.511</v>
      </c>
      <c r="Q38" s="6" t="b">
        <v>1</v>
      </c>
    </row>
    <row r="39" spans="1:17">
      <c r="A39" s="6" t="s">
        <v>635</v>
      </c>
      <c r="B39" s="6" t="s">
        <v>92</v>
      </c>
      <c r="C39" s="6" t="s">
        <v>86</v>
      </c>
      <c r="D39" s="6">
        <v>138258849.5</v>
      </c>
      <c r="E39" s="6">
        <v>2621.81</v>
      </c>
      <c r="F39" s="6">
        <v>367</v>
      </c>
      <c r="G39" s="7">
        <v>621175779.875952</v>
      </c>
      <c r="H39" s="6">
        <v>11749.882</v>
      </c>
      <c r="I39" s="6">
        <v>759434629.375952</v>
      </c>
      <c r="J39" s="6">
        <v>14371.692</v>
      </c>
      <c r="K39" s="6">
        <v>52842.39527092232</v>
      </c>
      <c r="L39" s="6">
        <v>52734.12241924472</v>
      </c>
      <c r="M39" s="6">
        <v>52866.55473441793</v>
      </c>
      <c r="N39" s="6">
        <v>0.8175712365669957</v>
      </c>
      <c r="O39" s="7">
        <v>418.2062747225909</v>
      </c>
      <c r="P39" s="15">
        <v>27.932</v>
      </c>
      <c r="Q39" s="6" t="b">
        <v>1</v>
      </c>
    </row>
    <row r="40" spans="1:17">
      <c r="A40" s="6" t="s">
        <v>635</v>
      </c>
      <c r="B40" s="6" t="s">
        <v>92</v>
      </c>
      <c r="C40" s="6" t="s">
        <v>88</v>
      </c>
      <c r="D40" s="6">
        <v>0</v>
      </c>
      <c r="E40" s="6">
        <v>0</v>
      </c>
      <c r="F40" s="6">
        <v>0</v>
      </c>
      <c r="G40" s="7">
        <v>1995483.601242055</v>
      </c>
      <c r="H40" s="6">
        <v>160.131</v>
      </c>
      <c r="I40" s="6">
        <v>1995483.601242055</v>
      </c>
      <c r="J40" s="6">
        <v>160.131</v>
      </c>
      <c r="K40" s="6">
        <v>12461.56959765477</v>
      </c>
      <c r="L40" s="6"/>
      <c r="M40" s="6">
        <v>12461.56959765477</v>
      </c>
      <c r="N40" s="6">
        <v>1</v>
      </c>
      <c r="O40" s="7">
        <v>48.07465797380396</v>
      </c>
      <c r="P40" s="15">
        <v>2.428</v>
      </c>
      <c r="Q40" s="6" t="b">
        <v>1</v>
      </c>
    </row>
    <row r="41" spans="1:17">
      <c r="A41" s="6" t="s">
        <v>635</v>
      </c>
      <c r="B41" s="6" t="s">
        <v>92</v>
      </c>
      <c r="C41" s="6" t="s">
        <v>90</v>
      </c>
      <c r="D41" s="6">
        <v>30737272.2</v>
      </c>
      <c r="E41" s="6">
        <v>562.343</v>
      </c>
      <c r="F41" s="6">
        <v>367</v>
      </c>
      <c r="G41" s="7">
        <v>122252147.9960186</v>
      </c>
      <c r="H41" s="6">
        <v>2275.661</v>
      </c>
      <c r="I41" s="6">
        <v>152989420.1960185</v>
      </c>
      <c r="J41" s="6">
        <v>2838.004</v>
      </c>
      <c r="K41" s="6">
        <v>53907.40118619232</v>
      </c>
      <c r="L41" s="6">
        <v>54659.29548336158</v>
      </c>
      <c r="M41" s="6">
        <v>53721.59912922819</v>
      </c>
      <c r="N41" s="6">
        <v>0.8018526400949401</v>
      </c>
      <c r="O41" s="7">
        <v>441.4218972107607</v>
      </c>
      <c r="P41" s="15">
        <v>18.099</v>
      </c>
      <c r="Q41" s="6" t="b">
        <v>1</v>
      </c>
    </row>
    <row r="42" spans="1:17">
      <c r="A42" s="6" t="s">
        <v>635</v>
      </c>
      <c r="B42" s="6" t="s">
        <v>92</v>
      </c>
      <c r="C42" s="6" t="s">
        <v>94</v>
      </c>
      <c r="D42" s="6">
        <v>225839671.9</v>
      </c>
      <c r="E42" s="6">
        <v>1773.774</v>
      </c>
      <c r="F42" s="6">
        <v>395</v>
      </c>
      <c r="G42" s="7">
        <v>2755783.28476548</v>
      </c>
      <c r="H42" s="6">
        <v>21.635</v>
      </c>
      <c r="I42" s="6">
        <v>228595455.1847655</v>
      </c>
      <c r="J42" s="6">
        <v>1795.409</v>
      </c>
      <c r="K42" s="6">
        <v>127322.2174918169</v>
      </c>
      <c r="L42" s="6">
        <v>127321.5595109636</v>
      </c>
      <c r="M42" s="6">
        <v>127376.162919597</v>
      </c>
      <c r="N42" s="6">
        <v>0.01205017909568238</v>
      </c>
      <c r="O42" s="7">
        <v>1104.351848876294</v>
      </c>
      <c r="P42" s="15">
        <v>21.635</v>
      </c>
      <c r="Q42" s="6" t="b">
        <v>1</v>
      </c>
    </row>
    <row r="43" spans="1:17">
      <c r="A43" s="6" t="s">
        <v>635</v>
      </c>
      <c r="B43" s="6" t="s">
        <v>92</v>
      </c>
      <c r="C43" s="6" t="s">
        <v>97</v>
      </c>
      <c r="D43" s="6">
        <v>419215</v>
      </c>
      <c r="E43" s="6">
        <v>7.61</v>
      </c>
      <c r="F43" s="6">
        <v>33</v>
      </c>
      <c r="G43" s="7">
        <v>649657.6077025245</v>
      </c>
      <c r="H43" s="6">
        <v>7.198</v>
      </c>
      <c r="I43" s="6">
        <v>1068872.607702524</v>
      </c>
      <c r="J43" s="6">
        <v>14.808</v>
      </c>
      <c r="K43" s="6">
        <v>72182.10478812293</v>
      </c>
      <c r="L43" s="6">
        <v>55087.38501971091</v>
      </c>
      <c r="M43" s="6">
        <v>90255.29420707481</v>
      </c>
      <c r="N43" s="6">
        <v>0.486088600756348</v>
      </c>
      <c r="O43" s="7">
        <v>711.1848019565107</v>
      </c>
      <c r="P43" s="15">
        <v>1.872</v>
      </c>
      <c r="Q43" s="6" t="b">
        <v>0</v>
      </c>
    </row>
    <row r="44" spans="1:17">
      <c r="A44" s="6" t="s">
        <v>635</v>
      </c>
      <c r="B44" s="6" t="s">
        <v>92</v>
      </c>
      <c r="C44" s="6" t="s">
        <v>99</v>
      </c>
      <c r="D44" s="6">
        <v>194102098</v>
      </c>
      <c r="E44" s="6">
        <v>3505.399</v>
      </c>
      <c r="F44" s="6">
        <v>1711</v>
      </c>
      <c r="G44" s="7">
        <v>5842038.026209392</v>
      </c>
      <c r="H44" s="6">
        <v>105.702</v>
      </c>
      <c r="I44" s="6">
        <v>199944136.0262094</v>
      </c>
      <c r="J44" s="6">
        <v>3611.101</v>
      </c>
      <c r="K44" s="6">
        <v>55369.30039514525</v>
      </c>
      <c r="L44" s="6">
        <v>55372.3265168958</v>
      </c>
      <c r="M44" s="6">
        <v>55268.94501721246</v>
      </c>
      <c r="N44" s="6">
        <v>0.02927140503685718</v>
      </c>
      <c r="O44" s="7">
        <v>233.0969315604117</v>
      </c>
      <c r="P44" s="15">
        <v>14.168</v>
      </c>
      <c r="Q44" s="6" t="b">
        <v>1</v>
      </c>
    </row>
    <row r="45" spans="1:17">
      <c r="A45" s="6" t="s">
        <v>635</v>
      </c>
      <c r="B45" s="6" t="s">
        <v>94</v>
      </c>
      <c r="C45" s="6" t="s">
        <v>44</v>
      </c>
      <c r="D45" s="6">
        <v>0</v>
      </c>
      <c r="E45" s="6">
        <v>0</v>
      </c>
      <c r="F45" s="6">
        <v>0</v>
      </c>
      <c r="G45" s="7">
        <v>7282314.404141477</v>
      </c>
      <c r="H45" s="6">
        <v>68.217</v>
      </c>
      <c r="I45" s="6">
        <v>7282314.404141477</v>
      </c>
      <c r="J45" s="6">
        <v>68.217</v>
      </c>
      <c r="K45" s="6">
        <v>106752.1937954099</v>
      </c>
      <c r="L45" s="6"/>
      <c r="M45" s="6">
        <v>106752.1937954099</v>
      </c>
      <c r="N45" s="6">
        <v>1</v>
      </c>
      <c r="O45" s="7">
        <v>873.3489050143796</v>
      </c>
      <c r="P45" s="15">
        <v>68.217</v>
      </c>
      <c r="Q45" s="6" t="b">
        <v>1</v>
      </c>
    </row>
    <row r="46" spans="1:17">
      <c r="A46" s="6" t="s">
        <v>635</v>
      </c>
      <c r="B46" s="6" t="s">
        <v>94</v>
      </c>
      <c r="C46" s="6" t="s">
        <v>90</v>
      </c>
      <c r="D46" s="6">
        <v>63018004.6</v>
      </c>
      <c r="E46" s="6">
        <v>775.112</v>
      </c>
      <c r="F46" s="6">
        <v>666</v>
      </c>
      <c r="G46" s="7">
        <v>0</v>
      </c>
      <c r="H46" s="6">
        <v>0</v>
      </c>
      <c r="I46" s="6">
        <v>63018004.6</v>
      </c>
      <c r="J46" s="6">
        <v>775.112</v>
      </c>
      <c r="K46" s="6">
        <v>81301.80490045311</v>
      </c>
      <c r="L46" s="6">
        <v>81301.80490045311</v>
      </c>
      <c r="M46" s="6"/>
      <c r="N46" s="6">
        <v>0</v>
      </c>
      <c r="O46" s="7">
        <v>669.4477459429568</v>
      </c>
      <c r="P46" s="15"/>
      <c r="Q46" s="6" t="b">
        <v>1</v>
      </c>
    </row>
    <row r="47" spans="1:17">
      <c r="A47" s="6" t="s">
        <v>635</v>
      </c>
      <c r="B47" s="6" t="s">
        <v>94</v>
      </c>
      <c r="C47" s="6" t="s">
        <v>97</v>
      </c>
      <c r="D47" s="6">
        <v>13461123.6</v>
      </c>
      <c r="E47" s="6">
        <v>143.802</v>
      </c>
      <c r="F47" s="6">
        <v>542</v>
      </c>
      <c r="G47" s="7">
        <v>60944.554233813</v>
      </c>
      <c r="H47" s="6">
        <v>0.665</v>
      </c>
      <c r="I47" s="6">
        <v>13522068.15423381</v>
      </c>
      <c r="J47" s="6">
        <v>144.467</v>
      </c>
      <c r="K47" s="6">
        <v>93599.7020373775</v>
      </c>
      <c r="L47" s="6">
        <v>93608.73701339342</v>
      </c>
      <c r="M47" s="6">
        <v>91645.94621626014</v>
      </c>
      <c r="N47" s="6">
        <v>0.004603127357804897</v>
      </c>
      <c r="O47" s="7">
        <v>613.2288848011154</v>
      </c>
      <c r="P47" s="15">
        <v>0.148</v>
      </c>
      <c r="Q47" s="6" t="b">
        <v>1</v>
      </c>
    </row>
    <row r="48" spans="1:17">
      <c r="A48" s="6" t="s">
        <v>635</v>
      </c>
      <c r="B48" s="6" t="s">
        <v>97</v>
      </c>
      <c r="C48" s="6" t="s">
        <v>44</v>
      </c>
      <c r="D48" s="6">
        <v>2698658.2</v>
      </c>
      <c r="E48" s="6">
        <v>36.486</v>
      </c>
      <c r="F48" s="6">
        <v>80</v>
      </c>
      <c r="G48" s="7">
        <v>179141.3188729924</v>
      </c>
      <c r="H48" s="6">
        <v>2.422</v>
      </c>
      <c r="I48" s="6">
        <v>2877799.518872993</v>
      </c>
      <c r="J48" s="6">
        <v>38.90799999999999</v>
      </c>
      <c r="K48" s="6">
        <v>73964.21093021982</v>
      </c>
      <c r="L48" s="6">
        <v>73964.21093021982</v>
      </c>
      <c r="M48" s="6">
        <v>73964.21093021982</v>
      </c>
      <c r="N48" s="6">
        <v>0.06224940886193072</v>
      </c>
      <c r="O48" s="7">
        <v>329.2246660154976</v>
      </c>
      <c r="P48" s="15">
        <v>0.018</v>
      </c>
      <c r="Q48" s="6" t="b">
        <v>1</v>
      </c>
    </row>
    <row r="49" spans="1:17">
      <c r="A49" s="6" t="s">
        <v>635</v>
      </c>
      <c r="B49" s="6" t="s">
        <v>97</v>
      </c>
      <c r="C49" s="6" t="s">
        <v>90</v>
      </c>
      <c r="D49" s="6">
        <v>300240</v>
      </c>
      <c r="E49" s="6">
        <v>7.56</v>
      </c>
      <c r="F49" s="6">
        <v>1</v>
      </c>
      <c r="G49" s="7">
        <v>0</v>
      </c>
      <c r="H49" s="6">
        <v>0</v>
      </c>
      <c r="I49" s="6">
        <v>300240</v>
      </c>
      <c r="J49" s="6">
        <v>7.56</v>
      </c>
      <c r="K49" s="6">
        <v>39714.28571428572</v>
      </c>
      <c r="L49" s="6">
        <v>39714.28571428572</v>
      </c>
      <c r="M49" s="6"/>
      <c r="N49" s="6">
        <v>0</v>
      </c>
      <c r="O49" s="7">
        <v>351.3131323013478</v>
      </c>
      <c r="P49" s="15"/>
      <c r="Q49" s="6" t="b">
        <v>0</v>
      </c>
    </row>
    <row r="50" spans="1:17">
      <c r="A50" s="6" t="s">
        <v>635</v>
      </c>
      <c r="B50" s="6" t="s">
        <v>99</v>
      </c>
      <c r="C50" s="6" t="s">
        <v>90</v>
      </c>
      <c r="D50" s="6">
        <v>13376515.1</v>
      </c>
      <c r="E50" s="6">
        <v>226.343</v>
      </c>
      <c r="F50" s="6">
        <v>246</v>
      </c>
      <c r="G50" s="7">
        <v>2142977.262060401</v>
      </c>
      <c r="H50" s="6">
        <v>36.703</v>
      </c>
      <c r="I50" s="6">
        <v>15519492.3620604</v>
      </c>
      <c r="J50" s="6">
        <v>263.046</v>
      </c>
      <c r="K50" s="6">
        <v>58999.15741756347</v>
      </c>
      <c r="L50" s="6">
        <v>59098.42628223537</v>
      </c>
      <c r="M50" s="6">
        <v>58386.97823230801</v>
      </c>
      <c r="N50" s="6">
        <v>0.1395307284657437</v>
      </c>
      <c r="O50" s="7">
        <v>284.1115760315602</v>
      </c>
      <c r="P50" s="15">
        <v>36.703</v>
      </c>
      <c r="Q50" s="6" t="b">
        <v>1</v>
      </c>
    </row>
    <row r="51" spans="1:17">
      <c r="A51" s="6" t="s">
        <v>635</v>
      </c>
      <c r="B51" s="6" t="s">
        <v>99</v>
      </c>
      <c r="C51" s="6" t="s">
        <v>97</v>
      </c>
      <c r="D51" s="6">
        <v>559284.6</v>
      </c>
      <c r="E51" s="6">
        <v>12.172</v>
      </c>
      <c r="F51" s="6">
        <v>94</v>
      </c>
      <c r="G51" s="7">
        <v>19395.75108919935</v>
      </c>
      <c r="H51" s="6">
        <v>0.411</v>
      </c>
      <c r="I51" s="6">
        <v>578680.3510891993</v>
      </c>
      <c r="J51" s="6">
        <v>12.583</v>
      </c>
      <c r="K51" s="6">
        <v>45989.06072392905</v>
      </c>
      <c r="L51" s="6">
        <v>45948.4554715741</v>
      </c>
      <c r="M51" s="6">
        <v>47191.60848953613</v>
      </c>
      <c r="N51" s="6">
        <v>0.03266311690375904</v>
      </c>
      <c r="O51" s="7">
        <v>485.4398329754537</v>
      </c>
      <c r="P51" s="15">
        <v>0.054</v>
      </c>
      <c r="Q51" s="6" t="b">
        <v>0</v>
      </c>
    </row>
    <row r="52" spans="1:17">
      <c r="A52" s="6" t="s">
        <v>635</v>
      </c>
      <c r="B52" s="6" t="s">
        <v>101</v>
      </c>
      <c r="C52" s="6" t="s">
        <v>44</v>
      </c>
      <c r="D52" s="6">
        <v>2233608</v>
      </c>
      <c r="E52" s="6">
        <v>191.52</v>
      </c>
      <c r="F52" s="6">
        <v>4</v>
      </c>
      <c r="G52" s="7">
        <v>2645062.105263159</v>
      </c>
      <c r="H52" s="6">
        <v>226.8</v>
      </c>
      <c r="I52" s="6">
        <v>4878670.105263159</v>
      </c>
      <c r="J52" s="6">
        <v>418.32</v>
      </c>
      <c r="K52" s="6">
        <v>11662.5313283208</v>
      </c>
      <c r="L52" s="6">
        <v>11662.5313283208</v>
      </c>
      <c r="M52" s="6">
        <v>11662.53132832081</v>
      </c>
      <c r="N52" s="6">
        <v>0.5421686746987953</v>
      </c>
      <c r="O52" s="7">
        <v>13.27192939308386</v>
      </c>
      <c r="P52" s="15">
        <v>45.36</v>
      </c>
      <c r="Q52" s="6" t="b">
        <v>1</v>
      </c>
    </row>
    <row r="53" spans="1:17">
      <c r="A53" s="6" t="s">
        <v>26</v>
      </c>
      <c r="B53" s="6" t="s">
        <v>44</v>
      </c>
      <c r="C53" s="6" t="s">
        <v>194</v>
      </c>
      <c r="D53" s="6"/>
      <c r="E53" s="6"/>
      <c r="F53" s="6">
        <v>213</v>
      </c>
      <c r="G53" s="7"/>
      <c r="H53" s="6"/>
      <c r="I53" s="6">
        <v>574183.9</v>
      </c>
      <c r="J53" s="6">
        <v>27.566</v>
      </c>
      <c r="K53" s="6">
        <v>20829.42392802728</v>
      </c>
      <c r="L53" s="6"/>
      <c r="M53" s="6"/>
      <c r="N53" s="6"/>
      <c r="O53" s="7">
        <v>148.3972957353396</v>
      </c>
      <c r="P53" s="15"/>
      <c r="Q53" s="6" t="b">
        <v>1</v>
      </c>
    </row>
    <row r="54" spans="1:17">
      <c r="A54" s="6" t="s">
        <v>26</v>
      </c>
      <c r="B54" s="6" t="s">
        <v>44</v>
      </c>
      <c r="C54" s="6" t="s">
        <v>195</v>
      </c>
      <c r="D54" s="6"/>
      <c r="E54" s="6"/>
      <c r="F54" s="6">
        <v>137</v>
      </c>
      <c r="G54" s="7"/>
      <c r="H54" s="6"/>
      <c r="I54" s="6">
        <v>65500192.1</v>
      </c>
      <c r="J54" s="6">
        <v>779.274</v>
      </c>
      <c r="K54" s="6">
        <v>84052.83905275936</v>
      </c>
      <c r="L54" s="6"/>
      <c r="M54" s="6"/>
      <c r="N54" s="6"/>
      <c r="O54" s="7">
        <v>483.881128834236</v>
      </c>
      <c r="P54" s="15"/>
      <c r="Q54" s="6" t="b">
        <v>1</v>
      </c>
    </row>
    <row r="55" spans="1:17">
      <c r="A55" s="6" t="s">
        <v>26</v>
      </c>
      <c r="B55" s="6" t="s">
        <v>44</v>
      </c>
      <c r="C55" s="6" t="s">
        <v>196</v>
      </c>
      <c r="D55" s="6"/>
      <c r="E55" s="6"/>
      <c r="F55" s="6">
        <v>4</v>
      </c>
      <c r="G55" s="7"/>
      <c r="H55" s="6"/>
      <c r="I55" s="6">
        <v>8969204.9</v>
      </c>
      <c r="J55" s="6">
        <v>128.37</v>
      </c>
      <c r="K55" s="6">
        <v>69869.94547012541</v>
      </c>
      <c r="L55" s="6"/>
      <c r="M55" s="6"/>
      <c r="N55" s="6"/>
      <c r="O55" s="7">
        <v>630.5197693040602</v>
      </c>
      <c r="P55" s="15"/>
      <c r="Q55" s="6" t="b">
        <v>1</v>
      </c>
    </row>
    <row r="56" spans="1:17">
      <c r="A56" s="6" t="s">
        <v>26</v>
      </c>
      <c r="B56" s="6" t="s">
        <v>44</v>
      </c>
      <c r="C56" s="6" t="s">
        <v>197</v>
      </c>
      <c r="D56" s="6"/>
      <c r="E56" s="6"/>
      <c r="F56" s="6">
        <v>9</v>
      </c>
      <c r="G56" s="7"/>
      <c r="H56" s="6"/>
      <c r="I56" s="6">
        <v>406239</v>
      </c>
      <c r="J56" s="6">
        <v>12.236</v>
      </c>
      <c r="K56" s="6">
        <v>33200.31055900621</v>
      </c>
      <c r="L56" s="6"/>
      <c r="M56" s="6"/>
      <c r="N56" s="6"/>
      <c r="O56" s="7">
        <v>563.6800486027751</v>
      </c>
      <c r="P56" s="15"/>
      <c r="Q56" s="6" t="b">
        <v>0</v>
      </c>
    </row>
    <row r="57" spans="1:17">
      <c r="A57" s="6" t="s">
        <v>26</v>
      </c>
      <c r="B57" s="6" t="s">
        <v>44</v>
      </c>
      <c r="C57" s="6" t="s">
        <v>198</v>
      </c>
      <c r="D57" s="6"/>
      <c r="E57" s="6"/>
      <c r="F57" s="6">
        <v>2170</v>
      </c>
      <c r="G57" s="7"/>
      <c r="H57" s="6"/>
      <c r="I57" s="6">
        <v>413858601</v>
      </c>
      <c r="J57" s="6">
        <v>4746.503</v>
      </c>
      <c r="K57" s="6">
        <v>87192.31842895708</v>
      </c>
      <c r="L57" s="6"/>
      <c r="M57" s="6"/>
      <c r="N57" s="6"/>
      <c r="O57" s="7">
        <v>556.5862385872966</v>
      </c>
      <c r="P57" s="15"/>
      <c r="Q57" s="6" t="b">
        <v>1</v>
      </c>
    </row>
    <row r="58" spans="1:17">
      <c r="A58" s="6" t="s">
        <v>26</v>
      </c>
      <c r="B58" s="6" t="s">
        <v>44</v>
      </c>
      <c r="C58" s="6" t="s">
        <v>199</v>
      </c>
      <c r="D58" s="6"/>
      <c r="E58" s="6"/>
      <c r="F58" s="6">
        <v>939</v>
      </c>
      <c r="G58" s="7"/>
      <c r="H58" s="6"/>
      <c r="I58" s="6">
        <v>81611913</v>
      </c>
      <c r="J58" s="6">
        <v>1910.071</v>
      </c>
      <c r="K58" s="6">
        <v>42727.16197460723</v>
      </c>
      <c r="L58" s="6"/>
      <c r="M58" s="6"/>
      <c r="N58" s="6"/>
      <c r="O58" s="7">
        <v>250.5323346051754</v>
      </c>
      <c r="P58" s="15"/>
      <c r="Q58" s="6" t="b">
        <v>1</v>
      </c>
    </row>
    <row r="59" spans="1:17">
      <c r="A59" s="6" t="s">
        <v>26</v>
      </c>
      <c r="B59" s="6" t="s">
        <v>44</v>
      </c>
      <c r="C59" s="6" t="s">
        <v>200</v>
      </c>
      <c r="D59" s="6"/>
      <c r="E59" s="6"/>
      <c r="F59" s="6">
        <v>3</v>
      </c>
      <c r="G59" s="7"/>
      <c r="H59" s="6"/>
      <c r="I59" s="6">
        <v>5681999.7</v>
      </c>
      <c r="J59" s="6">
        <v>71.512</v>
      </c>
      <c r="K59" s="6">
        <v>79455.19213558563</v>
      </c>
      <c r="L59" s="6"/>
      <c r="M59" s="6"/>
      <c r="N59" s="6"/>
      <c r="O59" s="7">
        <v>630.5197693040602</v>
      </c>
      <c r="P59" s="15"/>
      <c r="Q59" s="6" t="b">
        <v>1</v>
      </c>
    </row>
    <row r="60" spans="1:17">
      <c r="A60" s="6" t="s">
        <v>26</v>
      </c>
      <c r="B60" s="6" t="s">
        <v>44</v>
      </c>
      <c r="C60" s="6" t="s">
        <v>201</v>
      </c>
      <c r="D60" s="6"/>
      <c r="E60" s="6"/>
      <c r="F60" s="6">
        <v>2830</v>
      </c>
      <c r="G60" s="7"/>
      <c r="H60" s="6"/>
      <c r="I60" s="6">
        <v>160742031.7</v>
      </c>
      <c r="J60" s="6">
        <v>2902.142</v>
      </c>
      <c r="K60" s="6">
        <v>55387.37653085204</v>
      </c>
      <c r="L60" s="6"/>
      <c r="M60" s="6"/>
      <c r="N60" s="6"/>
      <c r="O60" s="7">
        <v>302.1648399120396</v>
      </c>
      <c r="P60" s="15"/>
      <c r="Q60" s="6" t="b">
        <v>1</v>
      </c>
    </row>
    <row r="61" spans="1:17">
      <c r="A61" s="6" t="s">
        <v>26</v>
      </c>
      <c r="B61" s="6" t="s">
        <v>44</v>
      </c>
      <c r="C61" s="6" t="s">
        <v>202</v>
      </c>
      <c r="D61" s="6"/>
      <c r="E61" s="6"/>
      <c r="F61" s="6">
        <v>2329</v>
      </c>
      <c r="G61" s="7"/>
      <c r="H61" s="6"/>
      <c r="I61" s="6">
        <v>968554491.3</v>
      </c>
      <c r="J61" s="6">
        <v>9925.508</v>
      </c>
      <c r="K61" s="6">
        <v>97582.35964345603</v>
      </c>
      <c r="L61" s="6"/>
      <c r="M61" s="6"/>
      <c r="N61" s="6"/>
      <c r="O61" s="7">
        <v>872.4143019031219</v>
      </c>
      <c r="P61" s="15"/>
      <c r="Q61" s="6" t="b">
        <v>1</v>
      </c>
    </row>
    <row r="62" spans="1:17">
      <c r="A62" s="6" t="s">
        <v>26</v>
      </c>
      <c r="B62" s="6" t="s">
        <v>44</v>
      </c>
      <c r="C62" s="6" t="s">
        <v>203</v>
      </c>
      <c r="D62" s="6"/>
      <c r="E62" s="6"/>
      <c r="F62" s="6">
        <v>326</v>
      </c>
      <c r="G62" s="7"/>
      <c r="H62" s="6"/>
      <c r="I62" s="6">
        <v>126261602.4</v>
      </c>
      <c r="J62" s="6">
        <v>3120.553</v>
      </c>
      <c r="K62" s="6">
        <v>40461.29080326468</v>
      </c>
      <c r="L62" s="6"/>
      <c r="M62" s="6"/>
      <c r="N62" s="6"/>
      <c r="O62" s="7">
        <v>297.6618465057026</v>
      </c>
      <c r="P62" s="15"/>
      <c r="Q62" s="6" t="b">
        <v>1</v>
      </c>
    </row>
    <row r="63" spans="1:17">
      <c r="A63" s="6" t="s">
        <v>26</v>
      </c>
      <c r="B63" s="6" t="s">
        <v>44</v>
      </c>
      <c r="C63" s="6" t="s">
        <v>204</v>
      </c>
      <c r="D63" s="6"/>
      <c r="E63" s="6"/>
      <c r="F63" s="6">
        <v>102946</v>
      </c>
      <c r="G63" s="7"/>
      <c r="H63" s="6"/>
      <c r="I63" s="6">
        <v>2253395049.7</v>
      </c>
      <c r="J63" s="6">
        <v>102076.688</v>
      </c>
      <c r="K63" s="6">
        <v>22075.51100893869</v>
      </c>
      <c r="L63" s="6"/>
      <c r="M63" s="6"/>
      <c r="N63" s="6"/>
      <c r="O63" s="7">
        <v>40.82826421809757</v>
      </c>
      <c r="P63" s="15"/>
      <c r="Q63" s="6" t="b">
        <v>1</v>
      </c>
    </row>
    <row r="64" spans="1:17">
      <c r="A64" s="6" t="s">
        <v>26</v>
      </c>
      <c r="B64" s="6" t="s">
        <v>44</v>
      </c>
      <c r="C64" s="6" t="s">
        <v>205</v>
      </c>
      <c r="D64" s="6"/>
      <c r="E64" s="6"/>
      <c r="F64" s="6">
        <v>15455</v>
      </c>
      <c r="G64" s="7"/>
      <c r="H64" s="6"/>
      <c r="I64" s="6">
        <v>570019161.9</v>
      </c>
      <c r="J64" s="6">
        <v>10546.185</v>
      </c>
      <c r="K64" s="6">
        <v>54049.79733429672</v>
      </c>
      <c r="L64" s="6"/>
      <c r="M64" s="6"/>
      <c r="N64" s="6"/>
      <c r="O64" s="7">
        <v>333.7290876785992</v>
      </c>
      <c r="P64" s="15"/>
      <c r="Q64" s="6" t="b">
        <v>1</v>
      </c>
    </row>
    <row r="65" spans="1:17">
      <c r="A65" s="6" t="s">
        <v>26</v>
      </c>
      <c r="B65" s="6" t="s">
        <v>44</v>
      </c>
      <c r="C65" s="6" t="s">
        <v>206</v>
      </c>
      <c r="D65" s="6"/>
      <c r="E65" s="6"/>
      <c r="F65" s="6">
        <v>97</v>
      </c>
      <c r="G65" s="7"/>
      <c r="H65" s="6"/>
      <c r="I65" s="6">
        <v>50904466.3</v>
      </c>
      <c r="J65" s="6">
        <v>964.325</v>
      </c>
      <c r="K65" s="6">
        <v>52787.66629507686</v>
      </c>
      <c r="L65" s="6"/>
      <c r="M65" s="6"/>
      <c r="N65" s="6"/>
      <c r="O65" s="7">
        <v>464.7348290852406</v>
      </c>
      <c r="P65" s="15"/>
      <c r="Q65" s="6" t="b">
        <v>1</v>
      </c>
    </row>
    <row r="66" spans="1:17">
      <c r="A66" s="6" t="s">
        <v>26</v>
      </c>
      <c r="B66" s="6" t="s">
        <v>44</v>
      </c>
      <c r="C66" s="6" t="s">
        <v>207</v>
      </c>
      <c r="D66" s="6"/>
      <c r="E66" s="6"/>
      <c r="F66" s="6">
        <v>8</v>
      </c>
      <c r="G66" s="7"/>
      <c r="H66" s="6"/>
      <c r="I66" s="6">
        <v>147420</v>
      </c>
      <c r="J66" s="6">
        <v>3.001</v>
      </c>
      <c r="K66" s="6">
        <v>49123.62545818061</v>
      </c>
      <c r="L66" s="6"/>
      <c r="M66" s="6"/>
      <c r="N66" s="6"/>
      <c r="O66" s="7">
        <v>279.3139739341216</v>
      </c>
      <c r="P66" s="15"/>
      <c r="Q66" s="6" t="b">
        <v>0</v>
      </c>
    </row>
    <row r="67" spans="1:17">
      <c r="A67" s="6" t="s">
        <v>26</v>
      </c>
      <c r="B67" s="6" t="s">
        <v>44</v>
      </c>
      <c r="C67" s="6" t="s">
        <v>208</v>
      </c>
      <c r="D67" s="6"/>
      <c r="E67" s="6"/>
      <c r="F67" s="6">
        <v>1402</v>
      </c>
      <c r="G67" s="7"/>
      <c r="H67" s="6"/>
      <c r="I67" s="6">
        <v>17058109.7</v>
      </c>
      <c r="J67" s="6">
        <v>808.552</v>
      </c>
      <c r="K67" s="6">
        <v>21097.10902947491</v>
      </c>
      <c r="L67" s="6"/>
      <c r="M67" s="6"/>
      <c r="N67" s="6"/>
      <c r="O67" s="7">
        <v>10.13085796299936</v>
      </c>
      <c r="P67" s="15"/>
      <c r="Q67" s="6" t="b">
        <v>1</v>
      </c>
    </row>
    <row r="68" spans="1:17">
      <c r="A68" s="6" t="s">
        <v>26</v>
      </c>
      <c r="B68" s="6" t="s">
        <v>44</v>
      </c>
      <c r="C68" s="6" t="s">
        <v>209</v>
      </c>
      <c r="D68" s="6"/>
      <c r="E68" s="6"/>
      <c r="F68" s="6">
        <v>12</v>
      </c>
      <c r="G68" s="7"/>
      <c r="H68" s="6"/>
      <c r="I68" s="6">
        <v>513425</v>
      </c>
      <c r="J68" s="6">
        <v>10.651</v>
      </c>
      <c r="K68" s="6">
        <v>48204.39395361938</v>
      </c>
      <c r="L68" s="6"/>
      <c r="M68" s="6"/>
      <c r="N68" s="6"/>
      <c r="O68" s="7">
        <v>245.1188564471784</v>
      </c>
      <c r="P68" s="15"/>
      <c r="Q68" s="6" t="b">
        <v>0</v>
      </c>
    </row>
    <row r="69" spans="1:17">
      <c r="A69" s="6" t="s">
        <v>26</v>
      </c>
      <c r="B69" s="6" t="s">
        <v>44</v>
      </c>
      <c r="C69" s="6" t="s">
        <v>210</v>
      </c>
      <c r="D69" s="6"/>
      <c r="E69" s="6"/>
      <c r="F69" s="6">
        <v>12</v>
      </c>
      <c r="G69" s="7"/>
      <c r="H69" s="6"/>
      <c r="I69" s="6">
        <v>165474</v>
      </c>
      <c r="J69" s="6">
        <v>4.696</v>
      </c>
      <c r="K69" s="6">
        <v>35237.22316865418</v>
      </c>
      <c r="L69" s="6"/>
      <c r="M69" s="6"/>
      <c r="N69" s="6"/>
      <c r="O69" s="7">
        <v>284.6064663099615</v>
      </c>
      <c r="P69" s="15"/>
      <c r="Q69" s="6" t="b">
        <v>0</v>
      </c>
    </row>
    <row r="70" spans="1:17">
      <c r="A70" s="6" t="s">
        <v>26</v>
      </c>
      <c r="B70" s="6" t="s">
        <v>44</v>
      </c>
      <c r="C70" s="6" t="s">
        <v>211</v>
      </c>
      <c r="D70" s="6"/>
      <c r="E70" s="6"/>
      <c r="F70" s="6">
        <v>1639</v>
      </c>
      <c r="G70" s="7"/>
      <c r="H70" s="6"/>
      <c r="I70" s="6">
        <v>319509771.8</v>
      </c>
      <c r="J70" s="6">
        <v>6220.21</v>
      </c>
      <c r="K70" s="6">
        <v>51366.3962792253</v>
      </c>
      <c r="L70" s="6"/>
      <c r="M70" s="6"/>
      <c r="N70" s="6"/>
      <c r="O70" s="7">
        <v>426.6530927809295</v>
      </c>
      <c r="P70" s="15"/>
      <c r="Q70" s="6" t="b">
        <v>1</v>
      </c>
    </row>
    <row r="71" spans="1:17">
      <c r="A71" s="6" t="s">
        <v>26</v>
      </c>
      <c r="B71" s="6" t="s">
        <v>44</v>
      </c>
      <c r="C71" s="6" t="s">
        <v>212</v>
      </c>
      <c r="D71" s="6"/>
      <c r="E71" s="6"/>
      <c r="F71" s="6">
        <v>163</v>
      </c>
      <c r="G71" s="7"/>
      <c r="H71" s="6"/>
      <c r="I71" s="6">
        <v>76486556.59999999</v>
      </c>
      <c r="J71" s="6">
        <v>1800.319</v>
      </c>
      <c r="K71" s="6">
        <v>42485.0021579509</v>
      </c>
      <c r="L71" s="6"/>
      <c r="M71" s="6"/>
      <c r="N71" s="6"/>
      <c r="O71" s="7">
        <v>407.9063397935823</v>
      </c>
      <c r="P71" s="15"/>
      <c r="Q71" s="6" t="b">
        <v>1</v>
      </c>
    </row>
    <row r="72" spans="1:17">
      <c r="A72" s="6" t="s">
        <v>26</v>
      </c>
      <c r="B72" s="6" t="s">
        <v>44</v>
      </c>
      <c r="C72" s="6" t="s">
        <v>214</v>
      </c>
      <c r="D72" s="6"/>
      <c r="E72" s="6"/>
      <c r="F72" s="6">
        <v>10</v>
      </c>
      <c r="G72" s="7"/>
      <c r="H72" s="6"/>
      <c r="I72" s="6">
        <v>176908</v>
      </c>
      <c r="J72" s="6">
        <v>4.928</v>
      </c>
      <c r="K72" s="6">
        <v>35898.53896103896</v>
      </c>
      <c r="L72" s="6"/>
      <c r="M72" s="6"/>
      <c r="N72" s="6"/>
      <c r="O72" s="7">
        <v>553.0268136481004</v>
      </c>
      <c r="P72" s="15"/>
      <c r="Q72" s="6" t="b">
        <v>0</v>
      </c>
    </row>
    <row r="73" spans="1:17">
      <c r="A73" s="6" t="s">
        <v>26</v>
      </c>
      <c r="B73" s="6" t="s">
        <v>44</v>
      </c>
      <c r="C73" s="6" t="s">
        <v>215</v>
      </c>
      <c r="D73" s="6"/>
      <c r="E73" s="6"/>
      <c r="F73" s="6">
        <v>1987</v>
      </c>
      <c r="G73" s="7"/>
      <c r="H73" s="6"/>
      <c r="I73" s="6">
        <v>764473080.4</v>
      </c>
      <c r="J73" s="6">
        <v>7671.976</v>
      </c>
      <c r="K73" s="6">
        <v>99644.87381086698</v>
      </c>
      <c r="L73" s="6"/>
      <c r="M73" s="6"/>
      <c r="N73" s="6"/>
      <c r="O73" s="7">
        <v>809.6179506662136</v>
      </c>
      <c r="P73" s="15"/>
      <c r="Q73" s="6" t="b">
        <v>1</v>
      </c>
    </row>
    <row r="74" spans="1:17">
      <c r="A74" s="6" t="s">
        <v>26</v>
      </c>
      <c r="B74" s="6" t="s">
        <v>44</v>
      </c>
      <c r="C74" s="6" t="s">
        <v>216</v>
      </c>
      <c r="D74" s="6"/>
      <c r="E74" s="6"/>
      <c r="F74" s="6">
        <v>9</v>
      </c>
      <c r="G74" s="7"/>
      <c r="H74" s="6"/>
      <c r="I74" s="6">
        <v>696981</v>
      </c>
      <c r="J74" s="6">
        <v>14.72</v>
      </c>
      <c r="K74" s="6">
        <v>47349.2527173913</v>
      </c>
      <c r="L74" s="6"/>
      <c r="M74" s="6"/>
      <c r="N74" s="6"/>
      <c r="O74" s="7">
        <v>277.096129508005</v>
      </c>
      <c r="P74" s="15"/>
      <c r="Q74" s="6" t="b">
        <v>0</v>
      </c>
    </row>
    <row r="75" spans="1:17">
      <c r="A75" s="6" t="s">
        <v>26</v>
      </c>
      <c r="B75" s="6" t="s">
        <v>44</v>
      </c>
      <c r="C75" s="6" t="s">
        <v>217</v>
      </c>
      <c r="D75" s="6"/>
      <c r="E75" s="6"/>
      <c r="F75" s="6">
        <v>52</v>
      </c>
      <c r="G75" s="7"/>
      <c r="H75" s="6"/>
      <c r="I75" s="6">
        <v>49925820.6</v>
      </c>
      <c r="J75" s="6">
        <v>495.156</v>
      </c>
      <c r="K75" s="6">
        <v>100828.4673920946</v>
      </c>
      <c r="L75" s="6"/>
      <c r="M75" s="6"/>
      <c r="N75" s="6"/>
      <c r="O75" s="7">
        <v>466.1162193566742</v>
      </c>
      <c r="P75" s="15"/>
      <c r="Q75" s="6" t="b">
        <v>1</v>
      </c>
    </row>
    <row r="76" spans="1:17">
      <c r="A76" s="6" t="s">
        <v>26</v>
      </c>
      <c r="B76" s="6" t="s">
        <v>44</v>
      </c>
      <c r="C76" s="6" t="s">
        <v>218</v>
      </c>
      <c r="D76" s="6"/>
      <c r="E76" s="6"/>
      <c r="F76" s="6">
        <v>2</v>
      </c>
      <c r="G76" s="7"/>
      <c r="H76" s="6"/>
      <c r="I76" s="6">
        <v>2772400</v>
      </c>
      <c r="J76" s="6">
        <v>25.6</v>
      </c>
      <c r="K76" s="6">
        <v>108296.875</v>
      </c>
      <c r="L76" s="6"/>
      <c r="M76" s="6"/>
      <c r="N76" s="6"/>
      <c r="O76" s="7">
        <v>620.172388359931</v>
      </c>
      <c r="P76" s="15"/>
      <c r="Q76" s="6" t="b">
        <v>1</v>
      </c>
    </row>
    <row r="77" spans="1:17">
      <c r="A77" s="6" t="s">
        <v>26</v>
      </c>
      <c r="B77" s="6" t="s">
        <v>44</v>
      </c>
      <c r="C77" s="6" t="s">
        <v>219</v>
      </c>
      <c r="D77" s="6"/>
      <c r="E77" s="6"/>
      <c r="F77" s="6">
        <v>4966</v>
      </c>
      <c r="G77" s="7"/>
      <c r="H77" s="6"/>
      <c r="I77" s="6">
        <v>68870770.3</v>
      </c>
      <c r="J77" s="6">
        <v>2788.326</v>
      </c>
      <c r="K77" s="6">
        <v>24699.68371704026</v>
      </c>
      <c r="L77" s="6"/>
      <c r="M77" s="6"/>
      <c r="N77" s="6"/>
      <c r="O77" s="7">
        <v>19.82300448046831</v>
      </c>
      <c r="P77" s="15"/>
      <c r="Q77" s="6" t="b">
        <v>1</v>
      </c>
    </row>
    <row r="78" spans="1:17">
      <c r="A78" s="6" t="s">
        <v>26</v>
      </c>
      <c r="B78" s="6" t="s">
        <v>44</v>
      </c>
      <c r="C78" s="6" t="s">
        <v>221</v>
      </c>
      <c r="D78" s="6"/>
      <c r="E78" s="6"/>
      <c r="F78" s="6">
        <v>6089</v>
      </c>
      <c r="G78" s="7"/>
      <c r="H78" s="6"/>
      <c r="I78" s="6">
        <v>102877275.3</v>
      </c>
      <c r="J78" s="6">
        <v>3883.226</v>
      </c>
      <c r="K78" s="6">
        <v>26492.73446871235</v>
      </c>
      <c r="L78" s="6"/>
      <c r="M78" s="6"/>
      <c r="N78" s="6"/>
      <c r="O78" s="7">
        <v>95.4856686323804</v>
      </c>
      <c r="P78" s="15"/>
      <c r="Q78" s="6" t="b">
        <v>1</v>
      </c>
    </row>
    <row r="79" spans="1:17">
      <c r="A79" s="6" t="s">
        <v>26</v>
      </c>
      <c r="B79" s="6" t="s">
        <v>44</v>
      </c>
      <c r="C79" s="6" t="s">
        <v>222</v>
      </c>
      <c r="D79" s="6"/>
      <c r="E79" s="6"/>
      <c r="F79" s="6">
        <v>13</v>
      </c>
      <c r="G79" s="7"/>
      <c r="H79" s="6"/>
      <c r="I79" s="6">
        <v>411350</v>
      </c>
      <c r="J79" s="6">
        <v>8.725</v>
      </c>
      <c r="K79" s="6">
        <v>47146.13180515759</v>
      </c>
      <c r="L79" s="6"/>
      <c r="M79" s="6"/>
      <c r="N79" s="6"/>
      <c r="O79" s="7">
        <v>241.243078951861</v>
      </c>
      <c r="P79" s="15"/>
      <c r="Q79" s="6" t="b">
        <v>0</v>
      </c>
    </row>
    <row r="80" spans="1:17">
      <c r="A80" s="6" t="s">
        <v>26</v>
      </c>
      <c r="B80" s="6" t="s">
        <v>44</v>
      </c>
      <c r="C80" s="6" t="s">
        <v>223</v>
      </c>
      <c r="D80" s="6"/>
      <c r="E80" s="6"/>
      <c r="F80" s="6">
        <v>500</v>
      </c>
      <c r="G80" s="7"/>
      <c r="H80" s="6"/>
      <c r="I80" s="6">
        <v>58001241.4</v>
      </c>
      <c r="J80" s="6">
        <v>1143.629</v>
      </c>
      <c r="K80" s="6">
        <v>50716.83334368051</v>
      </c>
      <c r="L80" s="6"/>
      <c r="M80" s="6"/>
      <c r="N80" s="6"/>
      <c r="O80" s="7">
        <v>293.3603787270729</v>
      </c>
      <c r="P80" s="15"/>
      <c r="Q80" s="6" t="b">
        <v>1</v>
      </c>
    </row>
    <row r="81" spans="1:17">
      <c r="A81" s="6" t="s">
        <v>26</v>
      </c>
      <c r="B81" s="6" t="s">
        <v>44</v>
      </c>
      <c r="C81" s="6" t="s">
        <v>224</v>
      </c>
      <c r="D81" s="6"/>
      <c r="E81" s="6"/>
      <c r="F81" s="6">
        <v>9969</v>
      </c>
      <c r="G81" s="7"/>
      <c r="H81" s="6"/>
      <c r="I81" s="6">
        <v>1358373236.6</v>
      </c>
      <c r="J81" s="6">
        <v>65174.391</v>
      </c>
      <c r="K81" s="6">
        <v>20842.13163725611</v>
      </c>
      <c r="L81" s="6"/>
      <c r="M81" s="6"/>
      <c r="N81" s="6"/>
      <c r="O81" s="7">
        <v>28.86838301111507</v>
      </c>
      <c r="P81" s="15"/>
      <c r="Q81" s="6" t="b">
        <v>1</v>
      </c>
    </row>
    <row r="82" spans="1:17">
      <c r="A82" s="6" t="s">
        <v>26</v>
      </c>
      <c r="B82" s="6" t="s">
        <v>44</v>
      </c>
      <c r="C82" s="6" t="s">
        <v>225</v>
      </c>
      <c r="D82" s="6"/>
      <c r="E82" s="6"/>
      <c r="F82" s="6">
        <v>1</v>
      </c>
      <c r="G82" s="7"/>
      <c r="H82" s="6"/>
      <c r="I82" s="6">
        <v>18906</v>
      </c>
      <c r="J82" s="6">
        <v>0.222</v>
      </c>
      <c r="K82" s="6">
        <v>85162.16216216216</v>
      </c>
      <c r="L82" s="6"/>
      <c r="M82" s="6"/>
      <c r="N82" s="6"/>
      <c r="O82" s="7">
        <v>682.5392223760286</v>
      </c>
      <c r="P82" s="15"/>
      <c r="Q82" s="6" t="b">
        <v>0</v>
      </c>
    </row>
    <row r="83" spans="1:17">
      <c r="A83" s="6" t="s">
        <v>26</v>
      </c>
      <c r="B83" s="6" t="s">
        <v>44</v>
      </c>
      <c r="C83" s="6" t="s">
        <v>226</v>
      </c>
      <c r="D83" s="6"/>
      <c r="E83" s="6"/>
      <c r="F83" s="6">
        <v>9749</v>
      </c>
      <c r="G83" s="7"/>
      <c r="H83" s="6"/>
      <c r="I83" s="6">
        <v>1489848865.3</v>
      </c>
      <c r="J83" s="6">
        <v>24863.511</v>
      </c>
      <c r="K83" s="6">
        <v>59921.09743873261</v>
      </c>
      <c r="L83" s="6"/>
      <c r="M83" s="6"/>
      <c r="N83" s="6"/>
      <c r="O83" s="7">
        <v>472.1892240352025</v>
      </c>
      <c r="P83" s="15"/>
      <c r="Q83" s="6" t="b">
        <v>1</v>
      </c>
    </row>
    <row r="84" spans="1:17">
      <c r="A84" s="6" t="s">
        <v>26</v>
      </c>
      <c r="B84" s="6" t="s">
        <v>44</v>
      </c>
      <c r="C84" s="6" t="s">
        <v>227</v>
      </c>
      <c r="D84" s="6"/>
      <c r="E84" s="6"/>
      <c r="F84" s="6">
        <v>478</v>
      </c>
      <c r="G84" s="7"/>
      <c r="H84" s="6"/>
      <c r="I84" s="6">
        <v>43624677.8</v>
      </c>
      <c r="J84" s="6">
        <v>916.325</v>
      </c>
      <c r="K84" s="6">
        <v>47608.30251275475</v>
      </c>
      <c r="L84" s="6"/>
      <c r="M84" s="6"/>
      <c r="N84" s="6"/>
      <c r="O84" s="7">
        <v>242.5004596531379</v>
      </c>
      <c r="P84" s="15"/>
      <c r="Q84" s="6" t="b">
        <v>1</v>
      </c>
    </row>
    <row r="85" spans="1:17">
      <c r="A85" s="6" t="s">
        <v>26</v>
      </c>
      <c r="B85" s="6" t="s">
        <v>44</v>
      </c>
      <c r="C85" s="6" t="s">
        <v>228</v>
      </c>
      <c r="D85" s="6"/>
      <c r="E85" s="6"/>
      <c r="F85" s="6">
        <v>6866</v>
      </c>
      <c r="G85" s="7"/>
      <c r="H85" s="6"/>
      <c r="I85" s="6">
        <v>213600268.6</v>
      </c>
      <c r="J85" s="6">
        <v>5867.376</v>
      </c>
      <c r="K85" s="6">
        <v>36404.73502976458</v>
      </c>
      <c r="L85" s="6"/>
      <c r="M85" s="6"/>
      <c r="N85" s="6"/>
      <c r="O85" s="7">
        <v>184.8578086125036</v>
      </c>
      <c r="P85" s="15"/>
      <c r="Q85" s="6" t="b">
        <v>1</v>
      </c>
    </row>
    <row r="86" spans="1:17">
      <c r="A86" s="6" t="s">
        <v>26</v>
      </c>
      <c r="B86" s="6" t="s">
        <v>44</v>
      </c>
      <c r="C86" s="6" t="s">
        <v>229</v>
      </c>
      <c r="D86" s="6"/>
      <c r="E86" s="6"/>
      <c r="F86" s="6">
        <v>1</v>
      </c>
      <c r="G86" s="7"/>
      <c r="H86" s="6"/>
      <c r="I86" s="6">
        <v>4306</v>
      </c>
      <c r="J86" s="6">
        <v>0.063</v>
      </c>
      <c r="K86" s="6">
        <v>68349.20634920635</v>
      </c>
      <c r="L86" s="6"/>
      <c r="M86" s="6"/>
      <c r="N86" s="6"/>
      <c r="O86" s="7">
        <v>249.1887525681265</v>
      </c>
      <c r="P86" s="15"/>
      <c r="Q86" s="6" t="b">
        <v>0</v>
      </c>
    </row>
    <row r="87" spans="1:17">
      <c r="A87" s="6" t="s">
        <v>26</v>
      </c>
      <c r="B87" s="6" t="s">
        <v>44</v>
      </c>
      <c r="C87" s="6" t="s">
        <v>230</v>
      </c>
      <c r="D87" s="6"/>
      <c r="E87" s="6"/>
      <c r="F87" s="6">
        <v>42</v>
      </c>
      <c r="G87" s="7"/>
      <c r="H87" s="6"/>
      <c r="I87" s="6">
        <v>14196566.9</v>
      </c>
      <c r="J87" s="6">
        <v>350.299</v>
      </c>
      <c r="K87" s="6">
        <v>40526.99807878413</v>
      </c>
      <c r="L87" s="6"/>
      <c r="M87" s="6"/>
      <c r="N87" s="6"/>
      <c r="O87" s="7">
        <v>285.557584825778</v>
      </c>
      <c r="P87" s="15"/>
      <c r="Q87" s="6" t="b">
        <v>1</v>
      </c>
    </row>
    <row r="88" spans="1:17">
      <c r="A88" s="6" t="s">
        <v>26</v>
      </c>
      <c r="B88" s="6" t="s">
        <v>44</v>
      </c>
      <c r="C88" s="6" t="s">
        <v>231</v>
      </c>
      <c r="D88" s="6"/>
      <c r="E88" s="6"/>
      <c r="F88" s="6">
        <v>2</v>
      </c>
      <c r="G88" s="7"/>
      <c r="H88" s="6"/>
      <c r="I88" s="6">
        <v>7578652</v>
      </c>
      <c r="J88" s="6">
        <v>71.03</v>
      </c>
      <c r="K88" s="6">
        <v>106696.4944389694</v>
      </c>
      <c r="L88" s="6"/>
      <c r="M88" s="6"/>
      <c r="N88" s="6"/>
      <c r="O88" s="7">
        <v>630.5197693040602</v>
      </c>
      <c r="P88" s="15"/>
      <c r="Q88" s="6" t="b">
        <v>1</v>
      </c>
    </row>
    <row r="89" spans="1:17">
      <c r="A89" s="6" t="s">
        <v>26</v>
      </c>
      <c r="B89" s="6" t="s">
        <v>44</v>
      </c>
      <c r="C89" s="6" t="s">
        <v>232</v>
      </c>
      <c r="D89" s="6"/>
      <c r="E89" s="6"/>
      <c r="F89" s="6">
        <v>1897</v>
      </c>
      <c r="G89" s="7"/>
      <c r="H89" s="6"/>
      <c r="I89" s="6">
        <v>23205364.4</v>
      </c>
      <c r="J89" s="6">
        <v>822.8440000000001</v>
      </c>
      <c r="K89" s="6">
        <v>28201.41411980885</v>
      </c>
      <c r="L89" s="6"/>
      <c r="M89" s="6"/>
      <c r="N89" s="6"/>
      <c r="O89" s="7">
        <v>56.218151994877</v>
      </c>
      <c r="P89" s="15"/>
      <c r="Q89" s="6" t="b">
        <v>1</v>
      </c>
    </row>
    <row r="90" spans="1:17">
      <c r="A90" s="6" t="s">
        <v>26</v>
      </c>
      <c r="B90" s="6" t="s">
        <v>44</v>
      </c>
      <c r="C90" s="6" t="s">
        <v>233</v>
      </c>
      <c r="D90" s="6"/>
      <c r="E90" s="6"/>
      <c r="F90" s="6">
        <v>2527</v>
      </c>
      <c r="G90" s="7"/>
      <c r="H90" s="6"/>
      <c r="I90" s="6">
        <v>212039011.9</v>
      </c>
      <c r="J90" s="6">
        <v>3518.778</v>
      </c>
      <c r="K90" s="6">
        <v>60259.27520860936</v>
      </c>
      <c r="L90" s="6"/>
      <c r="M90" s="6"/>
      <c r="N90" s="6"/>
      <c r="O90" s="7">
        <v>540.0361568278228</v>
      </c>
      <c r="P90" s="15"/>
      <c r="Q90" s="6" t="b">
        <v>1</v>
      </c>
    </row>
    <row r="91" spans="1:17">
      <c r="A91" s="6" t="s">
        <v>26</v>
      </c>
      <c r="B91" s="6" t="s">
        <v>44</v>
      </c>
      <c r="C91" s="6" t="s">
        <v>234</v>
      </c>
      <c r="D91" s="6"/>
      <c r="E91" s="6"/>
      <c r="F91" s="6">
        <v>6400</v>
      </c>
      <c r="G91" s="7"/>
      <c r="H91" s="6"/>
      <c r="I91" s="6">
        <v>162010418.5</v>
      </c>
      <c r="J91" s="6">
        <v>2670.104</v>
      </c>
      <c r="K91" s="6">
        <v>60675.69596540061</v>
      </c>
      <c r="L91" s="6"/>
      <c r="M91" s="6"/>
      <c r="N91" s="6"/>
      <c r="O91" s="7">
        <v>327.5753926001939</v>
      </c>
      <c r="P91" s="15"/>
      <c r="Q91" s="6" t="b">
        <v>1</v>
      </c>
    </row>
    <row r="92" spans="1:17">
      <c r="A92" s="6" t="s">
        <v>26</v>
      </c>
      <c r="B92" s="6" t="s">
        <v>44</v>
      </c>
      <c r="C92" s="6" t="s">
        <v>235</v>
      </c>
      <c r="D92" s="6"/>
      <c r="E92" s="6"/>
      <c r="F92" s="6">
        <v>6</v>
      </c>
      <c r="G92" s="7"/>
      <c r="H92" s="6"/>
      <c r="I92" s="6">
        <v>142271</v>
      </c>
      <c r="J92" s="6">
        <v>3.436</v>
      </c>
      <c r="K92" s="6">
        <v>41405.99534342258</v>
      </c>
      <c r="L92" s="6"/>
      <c r="M92" s="6"/>
      <c r="N92" s="6"/>
      <c r="O92" s="7">
        <v>276.0564618672337</v>
      </c>
      <c r="P92" s="15"/>
      <c r="Q92" s="6" t="b">
        <v>0</v>
      </c>
    </row>
    <row r="93" spans="1:17">
      <c r="A93" s="6" t="s">
        <v>26</v>
      </c>
      <c r="B93" s="6" t="s">
        <v>44</v>
      </c>
      <c r="C93" s="6" t="s">
        <v>236</v>
      </c>
      <c r="D93" s="6"/>
      <c r="E93" s="6"/>
      <c r="F93" s="6">
        <v>8839</v>
      </c>
      <c r="G93" s="7"/>
      <c r="H93" s="6"/>
      <c r="I93" s="6">
        <v>418724504.6</v>
      </c>
      <c r="J93" s="6">
        <v>24812.533</v>
      </c>
      <c r="K93" s="6">
        <v>16875.52434086435</v>
      </c>
      <c r="L93" s="6"/>
      <c r="M93" s="6"/>
      <c r="N93" s="6"/>
      <c r="O93" s="7">
        <v>48.59435076298124</v>
      </c>
      <c r="P93" s="15"/>
      <c r="Q93" s="6" t="b">
        <v>1</v>
      </c>
    </row>
    <row r="94" spans="1:17">
      <c r="A94" s="6" t="s">
        <v>26</v>
      </c>
      <c r="B94" s="6" t="s">
        <v>44</v>
      </c>
      <c r="C94" s="6" t="s">
        <v>237</v>
      </c>
      <c r="D94" s="6"/>
      <c r="E94" s="6"/>
      <c r="F94" s="6">
        <v>4647</v>
      </c>
      <c r="G94" s="7"/>
      <c r="H94" s="6"/>
      <c r="I94" s="6">
        <v>83924628.90000001</v>
      </c>
      <c r="J94" s="6">
        <v>3236.449</v>
      </c>
      <c r="K94" s="6">
        <v>25931.08338799715</v>
      </c>
      <c r="L94" s="6"/>
      <c r="M94" s="6"/>
      <c r="N94" s="6"/>
      <c r="O94" s="7">
        <v>106.7015987027846</v>
      </c>
      <c r="P94" s="15"/>
      <c r="Q94" s="6" t="b">
        <v>1</v>
      </c>
    </row>
    <row r="95" spans="1:17">
      <c r="A95" s="6" t="s">
        <v>26</v>
      </c>
      <c r="B95" s="6" t="s">
        <v>44</v>
      </c>
      <c r="C95" s="6" t="s">
        <v>238</v>
      </c>
      <c r="D95" s="6"/>
      <c r="E95" s="6"/>
      <c r="F95" s="6">
        <v>4013</v>
      </c>
      <c r="G95" s="7"/>
      <c r="H95" s="6"/>
      <c r="I95" s="6">
        <v>682397579.9</v>
      </c>
      <c r="J95" s="6">
        <v>31726.043</v>
      </c>
      <c r="K95" s="6">
        <v>21509.06685400382</v>
      </c>
      <c r="L95" s="6"/>
      <c r="M95" s="6"/>
      <c r="N95" s="6"/>
      <c r="O95" s="7">
        <v>18.86991229750192</v>
      </c>
      <c r="P95" s="15"/>
      <c r="Q95" s="6" t="b">
        <v>1</v>
      </c>
    </row>
    <row r="96" spans="1:17">
      <c r="A96" s="6" t="s">
        <v>26</v>
      </c>
      <c r="B96" s="6" t="s">
        <v>44</v>
      </c>
      <c r="C96" s="6" t="s">
        <v>239</v>
      </c>
      <c r="D96" s="6"/>
      <c r="E96" s="6"/>
      <c r="F96" s="6">
        <v>760</v>
      </c>
      <c r="G96" s="7"/>
      <c r="H96" s="6"/>
      <c r="I96" s="6">
        <v>252646954.4</v>
      </c>
      <c r="J96" s="6">
        <v>2772.042</v>
      </c>
      <c r="K96" s="6">
        <v>91141.09901653728</v>
      </c>
      <c r="L96" s="6"/>
      <c r="M96" s="6"/>
      <c r="N96" s="6"/>
      <c r="O96" s="7">
        <v>864.3510903845797</v>
      </c>
      <c r="P96" s="15"/>
      <c r="Q96" s="6" t="b">
        <v>1</v>
      </c>
    </row>
    <row r="97" spans="1:17">
      <c r="A97" s="6" t="s">
        <v>26</v>
      </c>
      <c r="B97" s="6" t="s">
        <v>44</v>
      </c>
      <c r="C97" s="6" t="s">
        <v>240</v>
      </c>
      <c r="D97" s="6"/>
      <c r="E97" s="6"/>
      <c r="F97" s="6">
        <v>991</v>
      </c>
      <c r="G97" s="7"/>
      <c r="H97" s="6"/>
      <c r="I97" s="6">
        <v>3428036</v>
      </c>
      <c r="J97" s="6">
        <v>188.619</v>
      </c>
      <c r="K97" s="6">
        <v>18174.39388396715</v>
      </c>
      <c r="L97" s="6"/>
      <c r="M97" s="6"/>
      <c r="N97" s="6"/>
      <c r="O97" s="7">
        <v>151.6245219035815</v>
      </c>
      <c r="P97" s="15"/>
      <c r="Q97" s="6" t="b">
        <v>1</v>
      </c>
    </row>
    <row r="98" spans="1:17">
      <c r="A98" s="6" t="s">
        <v>26</v>
      </c>
      <c r="B98" s="6" t="s">
        <v>44</v>
      </c>
      <c r="C98" s="6" t="s">
        <v>241</v>
      </c>
      <c r="D98" s="6"/>
      <c r="E98" s="6"/>
      <c r="F98" s="6">
        <v>85</v>
      </c>
      <c r="G98" s="7"/>
      <c r="H98" s="6"/>
      <c r="I98" s="6">
        <v>120902758</v>
      </c>
      <c r="J98" s="6">
        <v>1213.825</v>
      </c>
      <c r="K98" s="6">
        <v>99604.76839742137</v>
      </c>
      <c r="L98" s="6"/>
      <c r="M98" s="6"/>
      <c r="N98" s="6"/>
      <c r="O98" s="7">
        <v>290.0320288814663</v>
      </c>
      <c r="P98" s="15"/>
      <c r="Q98" s="6" t="b">
        <v>1</v>
      </c>
    </row>
    <row r="99" spans="1:17">
      <c r="A99" s="6" t="s">
        <v>26</v>
      </c>
      <c r="B99" s="6" t="s">
        <v>44</v>
      </c>
      <c r="C99" s="6" t="s">
        <v>242</v>
      </c>
      <c r="D99" s="6"/>
      <c r="E99" s="6"/>
      <c r="F99" s="6">
        <v>3723</v>
      </c>
      <c r="G99" s="7"/>
      <c r="H99" s="6"/>
      <c r="I99" s="6">
        <v>497314688.8</v>
      </c>
      <c r="J99" s="6">
        <v>11996.539</v>
      </c>
      <c r="K99" s="6">
        <v>41454.84700212286</v>
      </c>
      <c r="L99" s="6"/>
      <c r="M99" s="6"/>
      <c r="N99" s="6"/>
      <c r="O99" s="7">
        <v>324.3175408432658</v>
      </c>
      <c r="P99" s="15"/>
      <c r="Q99" s="6" t="b">
        <v>1</v>
      </c>
    </row>
    <row r="100" spans="1:17">
      <c r="A100" s="6" t="s">
        <v>26</v>
      </c>
      <c r="B100" s="6" t="s">
        <v>44</v>
      </c>
      <c r="C100" s="6" t="s">
        <v>243</v>
      </c>
      <c r="D100" s="6"/>
      <c r="E100" s="6"/>
      <c r="F100" s="6">
        <v>109</v>
      </c>
      <c r="G100" s="7"/>
      <c r="H100" s="6"/>
      <c r="I100" s="6">
        <v>347646.8</v>
      </c>
      <c r="J100" s="6">
        <v>16.796</v>
      </c>
      <c r="K100" s="6">
        <v>20698.19004524887</v>
      </c>
      <c r="L100" s="6"/>
      <c r="M100" s="6"/>
      <c r="N100" s="6"/>
      <c r="O100" s="7">
        <v>212.137163668897</v>
      </c>
      <c r="P100" s="15"/>
      <c r="Q100" s="6" t="b">
        <v>0</v>
      </c>
    </row>
    <row r="101" spans="1:17">
      <c r="A101" s="6" t="s">
        <v>26</v>
      </c>
      <c r="B101" s="6" t="s">
        <v>44</v>
      </c>
      <c r="C101" s="6" t="s">
        <v>244</v>
      </c>
      <c r="D101" s="6"/>
      <c r="E101" s="6"/>
      <c r="F101" s="6">
        <v>8</v>
      </c>
      <c r="G101" s="7"/>
      <c r="H101" s="6"/>
      <c r="I101" s="6">
        <v>161420</v>
      </c>
      <c r="J101" s="6">
        <v>3.375</v>
      </c>
      <c r="K101" s="6">
        <v>47828.14814814815</v>
      </c>
      <c r="L101" s="6"/>
      <c r="M101" s="6"/>
      <c r="N101" s="6"/>
      <c r="O101" s="7">
        <v>366.3666914360179</v>
      </c>
      <c r="P101" s="15"/>
      <c r="Q101" s="6" t="b">
        <v>0</v>
      </c>
    </row>
    <row r="102" spans="1:17">
      <c r="A102" s="6" t="s">
        <v>26</v>
      </c>
      <c r="B102" s="6" t="s">
        <v>44</v>
      </c>
      <c r="C102" s="6" t="s">
        <v>245</v>
      </c>
      <c r="D102" s="6"/>
      <c r="E102" s="6"/>
      <c r="F102" s="6">
        <v>119</v>
      </c>
      <c r="G102" s="7"/>
      <c r="H102" s="6"/>
      <c r="I102" s="6">
        <v>33967962.7</v>
      </c>
      <c r="J102" s="6">
        <v>540.455</v>
      </c>
      <c r="K102" s="6">
        <v>62850.67711465339</v>
      </c>
      <c r="L102" s="6"/>
      <c r="M102" s="6"/>
      <c r="N102" s="6"/>
      <c r="O102" s="7">
        <v>279.3946683000769</v>
      </c>
      <c r="P102" s="15"/>
      <c r="Q102" s="6" t="b">
        <v>1</v>
      </c>
    </row>
    <row r="103" spans="1:17">
      <c r="A103" s="6" t="s">
        <v>26</v>
      </c>
      <c r="B103" s="6" t="s">
        <v>44</v>
      </c>
      <c r="C103" s="6" t="s">
        <v>246</v>
      </c>
      <c r="D103" s="6"/>
      <c r="E103" s="6"/>
      <c r="F103" s="6">
        <v>6</v>
      </c>
      <c r="G103" s="7"/>
      <c r="H103" s="6"/>
      <c r="I103" s="6">
        <v>80364</v>
      </c>
      <c r="J103" s="6">
        <v>1.996</v>
      </c>
      <c r="K103" s="6">
        <v>40262.52505010019</v>
      </c>
      <c r="L103" s="6"/>
      <c r="M103" s="6"/>
      <c r="N103" s="6"/>
      <c r="O103" s="7">
        <v>245.4985144489878</v>
      </c>
      <c r="P103" s="15"/>
      <c r="Q103" s="6" t="b">
        <v>0</v>
      </c>
    </row>
    <row r="104" spans="1:17">
      <c r="A104" s="6" t="s">
        <v>26</v>
      </c>
      <c r="B104" s="6" t="s">
        <v>44</v>
      </c>
      <c r="C104" s="6" t="s">
        <v>247</v>
      </c>
      <c r="D104" s="6"/>
      <c r="E104" s="6"/>
      <c r="F104" s="6">
        <v>4106</v>
      </c>
      <c r="G104" s="7"/>
      <c r="H104" s="6"/>
      <c r="I104" s="6">
        <v>258576043.6</v>
      </c>
      <c r="J104" s="6">
        <v>8457.831</v>
      </c>
      <c r="K104" s="6">
        <v>30572.38239922268</v>
      </c>
      <c r="L104" s="6"/>
      <c r="M104" s="6"/>
      <c r="N104" s="6"/>
      <c r="O104" s="7">
        <v>193.6738767535088</v>
      </c>
      <c r="P104" s="15"/>
      <c r="Q104" s="6" t="b">
        <v>1</v>
      </c>
    </row>
    <row r="105" spans="1:17">
      <c r="A105" s="6" t="s">
        <v>26</v>
      </c>
      <c r="B105" s="6" t="s">
        <v>44</v>
      </c>
      <c r="C105" s="6" t="s">
        <v>248</v>
      </c>
      <c r="D105" s="6"/>
      <c r="E105" s="6"/>
      <c r="F105" s="6">
        <v>10</v>
      </c>
      <c r="G105" s="7"/>
      <c r="H105" s="6"/>
      <c r="I105" s="6">
        <v>4220427</v>
      </c>
      <c r="J105" s="6">
        <v>48.28</v>
      </c>
      <c r="K105" s="6">
        <v>87415.63794531897</v>
      </c>
      <c r="L105" s="6"/>
      <c r="M105" s="6"/>
      <c r="N105" s="6"/>
      <c r="O105" s="7">
        <v>797.9041390666234</v>
      </c>
      <c r="P105" s="15"/>
      <c r="Q105" s="6" t="b">
        <v>1</v>
      </c>
    </row>
    <row r="106" spans="1:17">
      <c r="A106" s="6" t="s">
        <v>26</v>
      </c>
      <c r="B106" s="6" t="s">
        <v>44</v>
      </c>
      <c r="C106" s="6" t="s">
        <v>249</v>
      </c>
      <c r="D106" s="6"/>
      <c r="E106" s="6"/>
      <c r="F106" s="6">
        <v>193</v>
      </c>
      <c r="G106" s="7"/>
      <c r="H106" s="6"/>
      <c r="I106" s="6">
        <v>169374843.9</v>
      </c>
      <c r="J106" s="6">
        <v>4032.172</v>
      </c>
      <c r="K106" s="6">
        <v>42005.85786023017</v>
      </c>
      <c r="L106" s="6"/>
      <c r="M106" s="6"/>
      <c r="N106" s="6"/>
      <c r="O106" s="7">
        <v>288.0164009125709</v>
      </c>
      <c r="P106" s="15"/>
      <c r="Q106" s="6" t="b">
        <v>1</v>
      </c>
    </row>
    <row r="107" spans="1:17">
      <c r="A107" s="6" t="s">
        <v>26</v>
      </c>
      <c r="B107" s="6" t="s">
        <v>44</v>
      </c>
      <c r="C107" s="6" t="s">
        <v>250</v>
      </c>
      <c r="D107" s="6"/>
      <c r="E107" s="6"/>
      <c r="F107" s="6">
        <v>18</v>
      </c>
      <c r="G107" s="7"/>
      <c r="H107" s="6"/>
      <c r="I107" s="6">
        <v>760638</v>
      </c>
      <c r="J107" s="6">
        <v>16.679</v>
      </c>
      <c r="K107" s="6">
        <v>45604.53264584207</v>
      </c>
      <c r="L107" s="6"/>
      <c r="M107" s="6"/>
      <c r="N107" s="6"/>
      <c r="O107" s="7">
        <v>442.7389966607634</v>
      </c>
      <c r="P107" s="15"/>
      <c r="Q107" s="6" t="b">
        <v>0</v>
      </c>
    </row>
    <row r="108" spans="1:17">
      <c r="A108" s="6" t="s">
        <v>26</v>
      </c>
      <c r="B108" s="6" t="s">
        <v>44</v>
      </c>
      <c r="C108" s="6" t="s">
        <v>251</v>
      </c>
      <c r="D108" s="6"/>
      <c r="E108" s="6"/>
      <c r="F108" s="6">
        <v>16</v>
      </c>
      <c r="G108" s="7"/>
      <c r="H108" s="6"/>
      <c r="I108" s="6">
        <v>1077830</v>
      </c>
      <c r="J108" s="6">
        <v>30.728</v>
      </c>
      <c r="K108" s="6">
        <v>35076.47747982296</v>
      </c>
      <c r="L108" s="6"/>
      <c r="M108" s="6"/>
      <c r="N108" s="6"/>
      <c r="O108" s="7">
        <v>255.2206844319244</v>
      </c>
      <c r="P108" s="15"/>
      <c r="Q108" s="6" t="b">
        <v>1</v>
      </c>
    </row>
    <row r="109" spans="1:17">
      <c r="A109" s="6" t="s">
        <v>26</v>
      </c>
      <c r="B109" s="6" t="s">
        <v>44</v>
      </c>
      <c r="C109" s="6" t="s">
        <v>252</v>
      </c>
      <c r="D109" s="6"/>
      <c r="E109" s="6"/>
      <c r="F109" s="6">
        <v>369</v>
      </c>
      <c r="G109" s="7"/>
      <c r="H109" s="6"/>
      <c r="I109" s="6">
        <v>12185560.6</v>
      </c>
      <c r="J109" s="6">
        <v>414.446</v>
      </c>
      <c r="K109" s="6">
        <v>29402.0465874927</v>
      </c>
      <c r="L109" s="6"/>
      <c r="M109" s="6"/>
      <c r="N109" s="6"/>
      <c r="O109" s="7">
        <v>116.3120869721631</v>
      </c>
      <c r="P109" s="15"/>
      <c r="Q109" s="6" t="b">
        <v>1</v>
      </c>
    </row>
    <row r="110" spans="1:17">
      <c r="A110" s="6" t="s">
        <v>26</v>
      </c>
      <c r="B110" s="6" t="s">
        <v>44</v>
      </c>
      <c r="C110" s="6" t="s">
        <v>253</v>
      </c>
      <c r="D110" s="6"/>
      <c r="E110" s="6"/>
      <c r="F110" s="6">
        <v>241</v>
      </c>
      <c r="G110" s="7"/>
      <c r="H110" s="6"/>
      <c r="I110" s="6">
        <v>183096147</v>
      </c>
      <c r="J110" s="6">
        <v>2122.854</v>
      </c>
      <c r="K110" s="6">
        <v>86249.99505382849</v>
      </c>
      <c r="L110" s="6"/>
      <c r="M110" s="6"/>
      <c r="N110" s="6"/>
      <c r="O110" s="7">
        <v>290.6317983353755</v>
      </c>
      <c r="P110" s="15"/>
      <c r="Q110" s="6" t="b">
        <v>1</v>
      </c>
    </row>
    <row r="111" spans="1:17">
      <c r="A111" s="6" t="s">
        <v>26</v>
      </c>
      <c r="B111" s="6" t="s">
        <v>44</v>
      </c>
      <c r="C111" s="6" t="s">
        <v>254</v>
      </c>
      <c r="D111" s="6"/>
      <c r="E111" s="6"/>
      <c r="F111" s="6">
        <v>322</v>
      </c>
      <c r="G111" s="7"/>
      <c r="H111" s="6"/>
      <c r="I111" s="6">
        <v>4997173</v>
      </c>
      <c r="J111" s="6">
        <v>74.473</v>
      </c>
      <c r="K111" s="6">
        <v>67100.46594067648</v>
      </c>
      <c r="L111" s="6"/>
      <c r="M111" s="6"/>
      <c r="N111" s="6"/>
      <c r="O111" s="7">
        <v>83.6730438426832</v>
      </c>
      <c r="P111" s="15"/>
      <c r="Q111" s="6" t="b">
        <v>1</v>
      </c>
    </row>
    <row r="112" spans="1:17">
      <c r="A112" s="6" t="s">
        <v>26</v>
      </c>
      <c r="B112" s="6" t="s">
        <v>44</v>
      </c>
      <c r="C112" s="6" t="s">
        <v>255</v>
      </c>
      <c r="D112" s="6"/>
      <c r="E112" s="6"/>
      <c r="F112" s="6">
        <v>118</v>
      </c>
      <c r="G112" s="7"/>
      <c r="H112" s="6"/>
      <c r="I112" s="6">
        <v>9523427.6</v>
      </c>
      <c r="J112" s="6">
        <v>293.356</v>
      </c>
      <c r="K112" s="6">
        <v>32463.72189421727</v>
      </c>
      <c r="L112" s="6"/>
      <c r="M112" s="6"/>
      <c r="N112" s="6"/>
      <c r="O112" s="7">
        <v>463.4728306864012</v>
      </c>
      <c r="P112" s="15"/>
      <c r="Q112" s="6" t="b">
        <v>1</v>
      </c>
    </row>
    <row r="113" spans="1:17">
      <c r="A113" s="6" t="s">
        <v>26</v>
      </c>
      <c r="B113" s="6" t="s">
        <v>44</v>
      </c>
      <c r="C113" s="6" t="s">
        <v>256</v>
      </c>
      <c r="D113" s="6"/>
      <c r="E113" s="6"/>
      <c r="F113" s="6">
        <v>5</v>
      </c>
      <c r="G113" s="7"/>
      <c r="H113" s="6"/>
      <c r="I113" s="6">
        <v>64088</v>
      </c>
      <c r="J113" s="6">
        <v>1.14</v>
      </c>
      <c r="K113" s="6">
        <v>56217.54385964911</v>
      </c>
      <c r="L113" s="6"/>
      <c r="M113" s="6"/>
      <c r="N113" s="6"/>
      <c r="O113" s="7">
        <v>268.7298180905403</v>
      </c>
      <c r="P113" s="15"/>
      <c r="Q113" s="6" t="b">
        <v>0</v>
      </c>
    </row>
    <row r="114" spans="1:17">
      <c r="A114" s="6" t="s">
        <v>26</v>
      </c>
      <c r="B114" s="6" t="s">
        <v>44</v>
      </c>
      <c r="C114" s="6" t="s">
        <v>257</v>
      </c>
      <c r="D114" s="6"/>
      <c r="E114" s="6"/>
      <c r="F114" s="6">
        <v>2</v>
      </c>
      <c r="G114" s="7"/>
      <c r="H114" s="6"/>
      <c r="I114" s="6">
        <v>7567751</v>
      </c>
      <c r="J114" s="6">
        <v>70.43000000000001</v>
      </c>
      <c r="K114" s="6">
        <v>107450.6744285106</v>
      </c>
      <c r="L114" s="6"/>
      <c r="M114" s="6"/>
      <c r="N114" s="6"/>
      <c r="O114" s="7">
        <v>630.5197693040602</v>
      </c>
      <c r="P114" s="15"/>
      <c r="Q114" s="6" t="b">
        <v>1</v>
      </c>
    </row>
    <row r="115" spans="1:17">
      <c r="A115" s="6" t="s">
        <v>26</v>
      </c>
      <c r="B115" s="6" t="s">
        <v>44</v>
      </c>
      <c r="C115" s="6" t="s">
        <v>258</v>
      </c>
      <c r="D115" s="6"/>
      <c r="E115" s="6"/>
      <c r="F115" s="6">
        <v>2</v>
      </c>
      <c r="G115" s="7"/>
      <c r="H115" s="6"/>
      <c r="I115" s="6">
        <v>7578652</v>
      </c>
      <c r="J115" s="6">
        <v>71.03</v>
      </c>
      <c r="K115" s="6">
        <v>106696.4944389694</v>
      </c>
      <c r="L115" s="6"/>
      <c r="M115" s="6"/>
      <c r="N115" s="6"/>
      <c r="O115" s="7">
        <v>630.5197693040602</v>
      </c>
      <c r="P115" s="15"/>
      <c r="Q115" s="6" t="b">
        <v>1</v>
      </c>
    </row>
    <row r="116" spans="1:17">
      <c r="A116" s="6" t="s">
        <v>26</v>
      </c>
      <c r="B116" s="6" t="s">
        <v>44</v>
      </c>
      <c r="C116" s="6" t="s">
        <v>259</v>
      </c>
      <c r="D116" s="6"/>
      <c r="E116" s="6"/>
      <c r="F116" s="6">
        <v>271</v>
      </c>
      <c r="G116" s="7"/>
      <c r="H116" s="6"/>
      <c r="I116" s="6">
        <v>115362852.5</v>
      </c>
      <c r="J116" s="6">
        <v>2731.54</v>
      </c>
      <c r="K116" s="6">
        <v>42233.6310286505</v>
      </c>
      <c r="L116" s="6"/>
      <c r="M116" s="6"/>
      <c r="N116" s="6"/>
      <c r="O116" s="7">
        <v>327.1994491302868</v>
      </c>
      <c r="P116" s="15"/>
      <c r="Q116" s="6" t="b">
        <v>1</v>
      </c>
    </row>
    <row r="117" spans="1:17">
      <c r="A117" s="6" t="s">
        <v>26</v>
      </c>
      <c r="B117" s="6" t="s">
        <v>44</v>
      </c>
      <c r="C117" s="6" t="s">
        <v>260</v>
      </c>
      <c r="D117" s="6"/>
      <c r="E117" s="6"/>
      <c r="F117" s="6">
        <v>232</v>
      </c>
      <c r="G117" s="7"/>
      <c r="H117" s="6"/>
      <c r="I117" s="6">
        <v>495175463</v>
      </c>
      <c r="J117" s="6">
        <v>9075.703</v>
      </c>
      <c r="K117" s="6">
        <v>54560.56274648917</v>
      </c>
      <c r="L117" s="6"/>
      <c r="M117" s="6"/>
      <c r="N117" s="6"/>
      <c r="O117" s="7">
        <v>630.5197693040602</v>
      </c>
      <c r="P117" s="15"/>
      <c r="Q117" s="6" t="b">
        <v>1</v>
      </c>
    </row>
    <row r="118" spans="1:17">
      <c r="A118" s="6" t="s">
        <v>26</v>
      </c>
      <c r="B118" s="6" t="s">
        <v>44</v>
      </c>
      <c r="C118" s="6" t="s">
        <v>261</v>
      </c>
      <c r="D118" s="6"/>
      <c r="E118" s="6"/>
      <c r="F118" s="6">
        <v>17</v>
      </c>
      <c r="G118" s="7"/>
      <c r="H118" s="6"/>
      <c r="I118" s="6">
        <v>825499</v>
      </c>
      <c r="J118" s="6">
        <v>7.793</v>
      </c>
      <c r="K118" s="6">
        <v>105928.2689593225</v>
      </c>
      <c r="L118" s="6"/>
      <c r="M118" s="6"/>
      <c r="N118" s="6"/>
      <c r="O118" s="7">
        <v>667.3594675617741</v>
      </c>
      <c r="P118" s="15"/>
      <c r="Q118" s="6" t="b">
        <v>0</v>
      </c>
    </row>
    <row r="119" spans="1:17">
      <c r="A119" s="6" t="s">
        <v>26</v>
      </c>
      <c r="B119" s="6" t="s">
        <v>44</v>
      </c>
      <c r="C119" s="6" t="s">
        <v>262</v>
      </c>
      <c r="D119" s="6"/>
      <c r="E119" s="6"/>
      <c r="F119" s="6">
        <v>6684</v>
      </c>
      <c r="G119" s="7"/>
      <c r="H119" s="6"/>
      <c r="I119" s="6">
        <v>135954667.1</v>
      </c>
      <c r="J119" s="6">
        <v>6265.668</v>
      </c>
      <c r="K119" s="6">
        <v>21698.35157241016</v>
      </c>
      <c r="L119" s="6"/>
      <c r="M119" s="6"/>
      <c r="N119" s="6"/>
      <c r="O119" s="7">
        <v>53.32379004562028</v>
      </c>
      <c r="P119" s="15"/>
      <c r="Q119" s="6" t="b">
        <v>1</v>
      </c>
    </row>
    <row r="120" spans="1:17">
      <c r="A120" s="6" t="s">
        <v>26</v>
      </c>
      <c r="B120" s="6" t="s">
        <v>44</v>
      </c>
      <c r="C120" s="6" t="s">
        <v>263</v>
      </c>
      <c r="D120" s="6"/>
      <c r="E120" s="6"/>
      <c r="F120" s="6">
        <v>82</v>
      </c>
      <c r="G120" s="7"/>
      <c r="H120" s="6"/>
      <c r="I120" s="6">
        <v>106275617.5</v>
      </c>
      <c r="J120" s="6">
        <v>1119.31</v>
      </c>
      <c r="K120" s="6">
        <v>94947.43860056643</v>
      </c>
      <c r="L120" s="6"/>
      <c r="M120" s="6"/>
      <c r="N120" s="6"/>
      <c r="O120" s="7">
        <v>624.6528574156268</v>
      </c>
      <c r="P120" s="15"/>
      <c r="Q120" s="6" t="b">
        <v>1</v>
      </c>
    </row>
    <row r="121" spans="1:17">
      <c r="A121" s="6" t="s">
        <v>26</v>
      </c>
      <c r="B121" s="6" t="s">
        <v>44</v>
      </c>
      <c r="C121" s="6" t="s">
        <v>264</v>
      </c>
      <c r="D121" s="6"/>
      <c r="E121" s="6"/>
      <c r="F121" s="6">
        <v>22</v>
      </c>
      <c r="G121" s="7"/>
      <c r="H121" s="6"/>
      <c r="I121" s="6">
        <v>38432591.4</v>
      </c>
      <c r="J121" s="6">
        <v>321.865</v>
      </c>
      <c r="K121" s="6">
        <v>119405.935407702</v>
      </c>
      <c r="L121" s="6"/>
      <c r="M121" s="6"/>
      <c r="N121" s="6"/>
      <c r="O121" s="7">
        <v>958.254911077186</v>
      </c>
      <c r="P121" s="15"/>
      <c r="Q121" s="6" t="b">
        <v>1</v>
      </c>
    </row>
    <row r="122" spans="1:17">
      <c r="A122" s="6" t="s">
        <v>26</v>
      </c>
      <c r="B122" s="6" t="s">
        <v>44</v>
      </c>
      <c r="C122" s="6" t="s">
        <v>265</v>
      </c>
      <c r="D122" s="6"/>
      <c r="E122" s="6"/>
      <c r="F122" s="6">
        <v>1057</v>
      </c>
      <c r="G122" s="7"/>
      <c r="H122" s="6"/>
      <c r="I122" s="6">
        <v>328739961.6</v>
      </c>
      <c r="J122" s="6">
        <v>3312.945</v>
      </c>
      <c r="K122" s="6">
        <v>99228.92218252944</v>
      </c>
      <c r="L122" s="6"/>
      <c r="M122" s="6"/>
      <c r="N122" s="6"/>
      <c r="O122" s="7">
        <v>856.4688631859191</v>
      </c>
      <c r="P122" s="15"/>
      <c r="Q122" s="6" t="b">
        <v>1</v>
      </c>
    </row>
    <row r="123" spans="1:17">
      <c r="A123" s="6" t="s">
        <v>26</v>
      </c>
      <c r="B123" s="6" t="s">
        <v>44</v>
      </c>
      <c r="C123" s="6" t="s">
        <v>266</v>
      </c>
      <c r="D123" s="6"/>
      <c r="E123" s="6"/>
      <c r="F123" s="6">
        <v>174</v>
      </c>
      <c r="G123" s="7"/>
      <c r="H123" s="6"/>
      <c r="I123" s="6">
        <v>12362403.8</v>
      </c>
      <c r="J123" s="6">
        <v>245.211</v>
      </c>
      <c r="K123" s="6">
        <v>50415.37206732162</v>
      </c>
      <c r="L123" s="6"/>
      <c r="M123" s="6"/>
      <c r="N123" s="6"/>
      <c r="O123" s="7">
        <v>218.8671356510447</v>
      </c>
      <c r="P123" s="15"/>
      <c r="Q123" s="6" t="b">
        <v>1</v>
      </c>
    </row>
    <row r="124" spans="1:17">
      <c r="A124" s="6" t="s">
        <v>26</v>
      </c>
      <c r="B124" s="6" t="s">
        <v>44</v>
      </c>
      <c r="C124" s="6" t="s">
        <v>267</v>
      </c>
      <c r="D124" s="6"/>
      <c r="E124" s="6"/>
      <c r="F124" s="6">
        <v>454</v>
      </c>
      <c r="G124" s="7"/>
      <c r="H124" s="6"/>
      <c r="I124" s="6">
        <v>154560204</v>
      </c>
      <c r="J124" s="6">
        <v>3175.827</v>
      </c>
      <c r="K124" s="6">
        <v>48667.70261730252</v>
      </c>
      <c r="L124" s="6"/>
      <c r="M124" s="6"/>
      <c r="N124" s="6"/>
      <c r="O124" s="7">
        <v>290.7145542509233</v>
      </c>
      <c r="P124" s="15"/>
      <c r="Q124" s="6" t="b">
        <v>1</v>
      </c>
    </row>
    <row r="125" spans="1:17">
      <c r="A125" s="6" t="s">
        <v>26</v>
      </c>
      <c r="B125" s="6" t="s">
        <v>44</v>
      </c>
      <c r="C125" s="6" t="s">
        <v>268</v>
      </c>
      <c r="D125" s="6"/>
      <c r="E125" s="6"/>
      <c r="F125" s="6">
        <v>323</v>
      </c>
      <c r="G125" s="7"/>
      <c r="H125" s="6"/>
      <c r="I125" s="6">
        <v>873346</v>
      </c>
      <c r="J125" s="6">
        <v>43.842</v>
      </c>
      <c r="K125" s="6">
        <v>19920.3047306236</v>
      </c>
      <c r="L125" s="6"/>
      <c r="M125" s="6"/>
      <c r="N125" s="6"/>
      <c r="O125" s="7">
        <v>145.5065475177873</v>
      </c>
      <c r="P125" s="15"/>
      <c r="Q125" s="6" t="b">
        <v>1</v>
      </c>
    </row>
    <row r="126" spans="1:17">
      <c r="A126" s="6" t="s">
        <v>26</v>
      </c>
      <c r="B126" s="6" t="s">
        <v>44</v>
      </c>
      <c r="C126" s="6" t="s">
        <v>269</v>
      </c>
      <c r="D126" s="6"/>
      <c r="E126" s="6"/>
      <c r="F126" s="6">
        <v>2</v>
      </c>
      <c r="G126" s="7"/>
      <c r="H126" s="6"/>
      <c r="I126" s="6">
        <v>7578652</v>
      </c>
      <c r="J126" s="6">
        <v>71.03</v>
      </c>
      <c r="K126" s="6">
        <v>106696.4944389694</v>
      </c>
      <c r="L126" s="6"/>
      <c r="M126" s="6"/>
      <c r="N126" s="6"/>
      <c r="O126" s="7">
        <v>630.5197693040602</v>
      </c>
      <c r="P126" s="15"/>
      <c r="Q126" s="6" t="b">
        <v>1</v>
      </c>
    </row>
    <row r="127" spans="1:17">
      <c r="A127" s="6" t="s">
        <v>26</v>
      </c>
      <c r="B127" s="6" t="s">
        <v>44</v>
      </c>
      <c r="C127" s="6" t="s">
        <v>270</v>
      </c>
      <c r="D127" s="6"/>
      <c r="E127" s="6"/>
      <c r="F127" s="6">
        <v>2210</v>
      </c>
      <c r="G127" s="7"/>
      <c r="H127" s="6"/>
      <c r="I127" s="6">
        <v>110962098</v>
      </c>
      <c r="J127" s="6">
        <v>1701.573</v>
      </c>
      <c r="K127" s="6">
        <v>65211.48255173301</v>
      </c>
      <c r="L127" s="6"/>
      <c r="M127" s="6"/>
      <c r="N127" s="6"/>
      <c r="O127" s="7">
        <v>673.2453667168495</v>
      </c>
      <c r="P127" s="15"/>
      <c r="Q127" s="6" t="b">
        <v>1</v>
      </c>
    </row>
    <row r="128" spans="1:17">
      <c r="A128" s="6" t="s">
        <v>26</v>
      </c>
      <c r="B128" s="6" t="s">
        <v>44</v>
      </c>
      <c r="C128" s="6" t="s">
        <v>271</v>
      </c>
      <c r="D128" s="6"/>
      <c r="E128" s="6"/>
      <c r="F128" s="6">
        <v>679</v>
      </c>
      <c r="G128" s="7"/>
      <c r="H128" s="6"/>
      <c r="I128" s="6">
        <v>376458247.9</v>
      </c>
      <c r="J128" s="6">
        <v>3546.6</v>
      </c>
      <c r="K128" s="6">
        <v>106146.2380589861</v>
      </c>
      <c r="L128" s="6"/>
      <c r="M128" s="6"/>
      <c r="N128" s="6"/>
      <c r="O128" s="7">
        <v>607.4320228932388</v>
      </c>
      <c r="P128" s="15"/>
      <c r="Q128" s="6" t="b">
        <v>1</v>
      </c>
    </row>
    <row r="129" spans="1:17">
      <c r="A129" s="6" t="s">
        <v>26</v>
      </c>
      <c r="B129" s="6" t="s">
        <v>44</v>
      </c>
      <c r="C129" s="6" t="s">
        <v>272</v>
      </c>
      <c r="D129" s="6"/>
      <c r="E129" s="6"/>
      <c r="F129" s="6">
        <v>2085</v>
      </c>
      <c r="G129" s="7"/>
      <c r="H129" s="6"/>
      <c r="I129" s="6">
        <v>26855281.2</v>
      </c>
      <c r="J129" s="6">
        <v>1050.831</v>
      </c>
      <c r="K129" s="6">
        <v>25556.23235325186</v>
      </c>
      <c r="L129" s="6"/>
      <c r="M129" s="6"/>
      <c r="N129" s="6"/>
      <c r="O129" s="7">
        <v>51.49742517148678</v>
      </c>
      <c r="P129" s="15"/>
      <c r="Q129" s="6" t="b">
        <v>1</v>
      </c>
    </row>
    <row r="130" spans="1:17">
      <c r="A130" s="6" t="s">
        <v>26</v>
      </c>
      <c r="B130" s="6" t="s">
        <v>44</v>
      </c>
      <c r="C130" s="6" t="s">
        <v>273</v>
      </c>
      <c r="D130" s="6"/>
      <c r="E130" s="6"/>
      <c r="F130" s="6">
        <v>6063</v>
      </c>
      <c r="G130" s="7"/>
      <c r="H130" s="6"/>
      <c r="I130" s="6">
        <v>435463296.2</v>
      </c>
      <c r="J130" s="6">
        <v>10666.313</v>
      </c>
      <c r="K130" s="6">
        <v>40826.03765706107</v>
      </c>
      <c r="L130" s="6"/>
      <c r="M130" s="6"/>
      <c r="N130" s="6"/>
      <c r="O130" s="7">
        <v>348.3830238825972</v>
      </c>
      <c r="P130" s="15"/>
      <c r="Q130" s="6" t="b">
        <v>1</v>
      </c>
    </row>
    <row r="131" spans="1:17">
      <c r="A131" s="6" t="s">
        <v>26</v>
      </c>
      <c r="B131" s="6" t="s">
        <v>44</v>
      </c>
      <c r="C131" s="6" t="s">
        <v>274</v>
      </c>
      <c r="D131" s="6"/>
      <c r="E131" s="6"/>
      <c r="F131" s="6">
        <v>1579</v>
      </c>
      <c r="G131" s="7"/>
      <c r="H131" s="6"/>
      <c r="I131" s="6">
        <v>156932761.6</v>
      </c>
      <c r="J131" s="6">
        <v>2206.242</v>
      </c>
      <c r="K131" s="6">
        <v>71131.25468556939</v>
      </c>
      <c r="L131" s="6"/>
      <c r="M131" s="6"/>
      <c r="N131" s="6"/>
      <c r="O131" s="7">
        <v>479.473406444411</v>
      </c>
      <c r="P131" s="15"/>
      <c r="Q131" s="6" t="b">
        <v>1</v>
      </c>
    </row>
    <row r="132" spans="1:17">
      <c r="A132" s="6" t="s">
        <v>26</v>
      </c>
      <c r="B132" s="6" t="s">
        <v>44</v>
      </c>
      <c r="C132" s="6" t="s">
        <v>275</v>
      </c>
      <c r="D132" s="6"/>
      <c r="E132" s="6"/>
      <c r="F132" s="6">
        <v>637</v>
      </c>
      <c r="G132" s="7"/>
      <c r="H132" s="6"/>
      <c r="I132" s="6">
        <v>11455953.7</v>
      </c>
      <c r="J132" s="6">
        <v>192.306</v>
      </c>
      <c r="K132" s="6">
        <v>59571.48346905452</v>
      </c>
      <c r="L132" s="6"/>
      <c r="M132" s="6"/>
      <c r="N132" s="6"/>
      <c r="O132" s="7">
        <v>171.2737082905383</v>
      </c>
      <c r="P132" s="15"/>
      <c r="Q132" s="6" t="b">
        <v>1</v>
      </c>
    </row>
    <row r="133" spans="1:17">
      <c r="A133" s="6" t="s">
        <v>26</v>
      </c>
      <c r="B133" s="6" t="s">
        <v>44</v>
      </c>
      <c r="C133" s="6" t="s">
        <v>276</v>
      </c>
      <c r="D133" s="6"/>
      <c r="E133" s="6"/>
      <c r="F133" s="6">
        <v>1007</v>
      </c>
      <c r="G133" s="7"/>
      <c r="H133" s="6"/>
      <c r="I133" s="6">
        <v>85600383.3</v>
      </c>
      <c r="J133" s="6">
        <v>2159.826</v>
      </c>
      <c r="K133" s="6">
        <v>39632.99974164585</v>
      </c>
      <c r="L133" s="6"/>
      <c r="M133" s="6"/>
      <c r="N133" s="6"/>
      <c r="O133" s="7">
        <v>366.9551933336038</v>
      </c>
      <c r="P133" s="15"/>
      <c r="Q133" s="6" t="b">
        <v>1</v>
      </c>
    </row>
    <row r="134" spans="1:17">
      <c r="A134" s="6" t="s">
        <v>26</v>
      </c>
      <c r="B134" s="6" t="s">
        <v>44</v>
      </c>
      <c r="C134" s="6" t="s">
        <v>278</v>
      </c>
      <c r="D134" s="6"/>
      <c r="E134" s="6"/>
      <c r="F134" s="6">
        <v>778</v>
      </c>
      <c r="G134" s="7"/>
      <c r="H134" s="6"/>
      <c r="I134" s="6">
        <v>696507241.6</v>
      </c>
      <c r="J134" s="6">
        <v>7633.978999999999</v>
      </c>
      <c r="K134" s="6">
        <v>91237.77280498153</v>
      </c>
      <c r="L134" s="6"/>
      <c r="M134" s="6"/>
      <c r="N134" s="6"/>
      <c r="O134" s="7">
        <v>391.6307439460096</v>
      </c>
      <c r="P134" s="15"/>
      <c r="Q134" s="6" t="b">
        <v>1</v>
      </c>
    </row>
    <row r="135" spans="1:17">
      <c r="A135" s="6" t="s">
        <v>26</v>
      </c>
      <c r="B135" s="6" t="s">
        <v>44</v>
      </c>
      <c r="C135" s="6" t="s">
        <v>279</v>
      </c>
      <c r="D135" s="6"/>
      <c r="E135" s="6"/>
      <c r="F135" s="6">
        <v>133</v>
      </c>
      <c r="G135" s="7"/>
      <c r="H135" s="6"/>
      <c r="I135" s="6">
        <v>169263449.2</v>
      </c>
      <c r="J135" s="6">
        <v>3167.306</v>
      </c>
      <c r="K135" s="6">
        <v>53440.82611531692</v>
      </c>
      <c r="L135" s="6"/>
      <c r="M135" s="6"/>
      <c r="N135" s="6"/>
      <c r="O135" s="7">
        <v>630.5197693040602</v>
      </c>
      <c r="P135" s="15"/>
      <c r="Q135" s="6" t="b">
        <v>1</v>
      </c>
    </row>
    <row r="136" spans="1:17">
      <c r="A136" s="6" t="s">
        <v>26</v>
      </c>
      <c r="B136" s="6" t="s">
        <v>44</v>
      </c>
      <c r="C136" s="6" t="s">
        <v>280</v>
      </c>
      <c r="D136" s="6"/>
      <c r="E136" s="6"/>
      <c r="F136" s="6">
        <v>2008</v>
      </c>
      <c r="G136" s="7"/>
      <c r="H136" s="6"/>
      <c r="I136" s="6">
        <v>462227808.5</v>
      </c>
      <c r="J136" s="6">
        <v>6586.223</v>
      </c>
      <c r="K136" s="6">
        <v>70181.01398935323</v>
      </c>
      <c r="L136" s="6"/>
      <c r="M136" s="6"/>
      <c r="N136" s="6"/>
      <c r="O136" s="7">
        <v>722.1088672077914</v>
      </c>
      <c r="P136" s="15"/>
      <c r="Q136" s="6" t="b">
        <v>1</v>
      </c>
    </row>
    <row r="137" spans="1:17">
      <c r="A137" s="6" t="s">
        <v>26</v>
      </c>
      <c r="B137" s="6" t="s">
        <v>44</v>
      </c>
      <c r="C137" s="6" t="s">
        <v>281</v>
      </c>
      <c r="D137" s="6"/>
      <c r="E137" s="6"/>
      <c r="F137" s="6">
        <v>963</v>
      </c>
      <c r="G137" s="7"/>
      <c r="H137" s="6"/>
      <c r="I137" s="6">
        <v>207778711.1</v>
      </c>
      <c r="J137" s="6">
        <v>2967.721</v>
      </c>
      <c r="K137" s="6">
        <v>70012.88567894354</v>
      </c>
      <c r="L137" s="6"/>
      <c r="M137" s="6"/>
      <c r="N137" s="6"/>
      <c r="O137" s="7">
        <v>244.4681119639371</v>
      </c>
      <c r="P137" s="15"/>
      <c r="Q137" s="6" t="b">
        <v>1</v>
      </c>
    </row>
    <row r="138" spans="1:17">
      <c r="A138" s="6" t="s">
        <v>26</v>
      </c>
      <c r="B138" s="6" t="s">
        <v>44</v>
      </c>
      <c r="C138" s="6" t="s">
        <v>282</v>
      </c>
      <c r="D138" s="6"/>
      <c r="E138" s="6"/>
      <c r="F138" s="6">
        <v>192</v>
      </c>
      <c r="G138" s="7"/>
      <c r="H138" s="6"/>
      <c r="I138" s="6">
        <v>2229987.9</v>
      </c>
      <c r="J138" s="6">
        <v>35.753</v>
      </c>
      <c r="K138" s="6">
        <v>62372.04989791066</v>
      </c>
      <c r="L138" s="6"/>
      <c r="M138" s="6"/>
      <c r="N138" s="6"/>
      <c r="O138" s="7">
        <v>320.3672538311149</v>
      </c>
      <c r="P138" s="15"/>
      <c r="Q138" s="6" t="b">
        <v>1</v>
      </c>
    </row>
    <row r="139" spans="1:17">
      <c r="A139" s="6" t="s">
        <v>26</v>
      </c>
      <c r="B139" s="6" t="s">
        <v>44</v>
      </c>
      <c r="C139" s="6" t="s">
        <v>283</v>
      </c>
      <c r="D139" s="6"/>
      <c r="E139" s="6"/>
      <c r="F139" s="6">
        <v>3861</v>
      </c>
      <c r="G139" s="7"/>
      <c r="H139" s="6"/>
      <c r="I139" s="6">
        <v>298404422.5</v>
      </c>
      <c r="J139" s="6">
        <v>5774.557</v>
      </c>
      <c r="K139" s="6">
        <v>51675.72551452865</v>
      </c>
      <c r="L139" s="6"/>
      <c r="M139" s="6"/>
      <c r="N139" s="6"/>
      <c r="O139" s="7">
        <v>540.8517995407577</v>
      </c>
      <c r="P139" s="15"/>
      <c r="Q139" s="6" t="b">
        <v>1</v>
      </c>
    </row>
    <row r="140" spans="1:17">
      <c r="A140" s="6" t="s">
        <v>26</v>
      </c>
      <c r="B140" s="6" t="s">
        <v>44</v>
      </c>
      <c r="C140" s="6" t="s">
        <v>284</v>
      </c>
      <c r="D140" s="6"/>
      <c r="E140" s="6"/>
      <c r="F140" s="6">
        <v>267</v>
      </c>
      <c r="G140" s="7"/>
      <c r="H140" s="6"/>
      <c r="I140" s="6">
        <v>86730247.40000001</v>
      </c>
      <c r="J140" s="6">
        <v>1645.995</v>
      </c>
      <c r="K140" s="6">
        <v>52691.68338907469</v>
      </c>
      <c r="L140" s="6"/>
      <c r="M140" s="6"/>
      <c r="N140" s="6"/>
      <c r="O140" s="7">
        <v>526.1112979100616</v>
      </c>
      <c r="P140" s="15"/>
      <c r="Q140" s="6" t="b">
        <v>1</v>
      </c>
    </row>
    <row r="141" spans="1:17">
      <c r="A141" s="6" t="s">
        <v>26</v>
      </c>
      <c r="B141" s="6" t="s">
        <v>44</v>
      </c>
      <c r="C141" s="6" t="s">
        <v>285</v>
      </c>
      <c r="D141" s="6"/>
      <c r="E141" s="6"/>
      <c r="F141" s="6">
        <v>1</v>
      </c>
      <c r="G141" s="7"/>
      <c r="H141" s="6"/>
      <c r="I141" s="6">
        <v>7948440</v>
      </c>
      <c r="J141" s="6">
        <v>72.568</v>
      </c>
      <c r="K141" s="6">
        <v>109530.9227207585</v>
      </c>
      <c r="L141" s="6"/>
      <c r="M141" s="6"/>
      <c r="N141" s="6"/>
      <c r="O141" s="7">
        <v>1973.535745349367</v>
      </c>
      <c r="P141" s="15"/>
      <c r="Q141" s="6" t="b">
        <v>1</v>
      </c>
    </row>
    <row r="142" spans="1:17">
      <c r="A142" s="6" t="s">
        <v>26</v>
      </c>
      <c r="B142" s="6" t="s">
        <v>44</v>
      </c>
      <c r="C142" s="6" t="s">
        <v>286</v>
      </c>
      <c r="D142" s="6"/>
      <c r="E142" s="6"/>
      <c r="F142" s="6">
        <v>1645</v>
      </c>
      <c r="G142" s="7"/>
      <c r="H142" s="6"/>
      <c r="I142" s="6">
        <v>102598664.6</v>
      </c>
      <c r="J142" s="6">
        <v>1447.943</v>
      </c>
      <c r="K142" s="6">
        <v>70858.2206620012</v>
      </c>
      <c r="L142" s="6"/>
      <c r="M142" s="6"/>
      <c r="N142" s="6"/>
      <c r="O142" s="7">
        <v>740.5023126006441</v>
      </c>
      <c r="P142" s="15"/>
      <c r="Q142" s="6" t="b">
        <v>1</v>
      </c>
    </row>
    <row r="143" spans="1:17">
      <c r="A143" s="6" t="s">
        <v>26</v>
      </c>
      <c r="B143" s="6" t="s">
        <v>44</v>
      </c>
      <c r="C143" s="6" t="s">
        <v>287</v>
      </c>
      <c r="D143" s="6"/>
      <c r="E143" s="6"/>
      <c r="F143" s="6">
        <v>6</v>
      </c>
      <c r="G143" s="7"/>
      <c r="H143" s="6"/>
      <c r="I143" s="6">
        <v>166695</v>
      </c>
      <c r="J143" s="6">
        <v>4.005</v>
      </c>
      <c r="K143" s="6">
        <v>41621.72284644195</v>
      </c>
      <c r="L143" s="6"/>
      <c r="M143" s="6"/>
      <c r="N143" s="6"/>
      <c r="O143" s="7">
        <v>225.4414098911461</v>
      </c>
      <c r="P143" s="15"/>
      <c r="Q143" s="6" t="b">
        <v>0</v>
      </c>
    </row>
    <row r="144" spans="1:17">
      <c r="A144" s="6" t="s">
        <v>26</v>
      </c>
      <c r="B144" s="6" t="s">
        <v>44</v>
      </c>
      <c r="C144" s="6" t="s">
        <v>288</v>
      </c>
      <c r="D144" s="6"/>
      <c r="E144" s="6"/>
      <c r="F144" s="6">
        <v>89</v>
      </c>
      <c r="G144" s="7"/>
      <c r="H144" s="6"/>
      <c r="I144" s="6">
        <v>306761</v>
      </c>
      <c r="J144" s="6">
        <v>13.689</v>
      </c>
      <c r="K144" s="6">
        <v>22409.30674264008</v>
      </c>
      <c r="L144" s="6"/>
      <c r="M144" s="6"/>
      <c r="N144" s="6"/>
      <c r="O144" s="7">
        <v>293.1340939175292</v>
      </c>
      <c r="P144" s="15"/>
      <c r="Q144" s="6" t="b">
        <v>0</v>
      </c>
    </row>
    <row r="145" spans="1:17">
      <c r="A145" s="6" t="s">
        <v>26</v>
      </c>
      <c r="B145" s="6" t="s">
        <v>44</v>
      </c>
      <c r="C145" s="6" t="s">
        <v>289</v>
      </c>
      <c r="D145" s="6"/>
      <c r="E145" s="6"/>
      <c r="F145" s="6">
        <v>28</v>
      </c>
      <c r="G145" s="7"/>
      <c r="H145" s="6"/>
      <c r="I145" s="6">
        <v>38998801.9</v>
      </c>
      <c r="J145" s="6">
        <v>726.67</v>
      </c>
      <c r="K145" s="6">
        <v>53667.82982646869</v>
      </c>
      <c r="L145" s="6"/>
      <c r="M145" s="6"/>
      <c r="N145" s="6"/>
      <c r="O145" s="7">
        <v>630.5197693040602</v>
      </c>
      <c r="P145" s="15"/>
      <c r="Q145" s="6" t="b">
        <v>1</v>
      </c>
    </row>
    <row r="146" spans="1:17">
      <c r="A146" s="6" t="s">
        <v>26</v>
      </c>
      <c r="B146" s="6" t="s">
        <v>44</v>
      </c>
      <c r="C146" s="6" t="s">
        <v>290</v>
      </c>
      <c r="D146" s="6"/>
      <c r="E146" s="6"/>
      <c r="F146" s="6">
        <v>8</v>
      </c>
      <c r="G146" s="7"/>
      <c r="H146" s="6"/>
      <c r="I146" s="6">
        <v>39683</v>
      </c>
      <c r="J146" s="6">
        <v>1.164</v>
      </c>
      <c r="K146" s="6">
        <v>34091.92439862542</v>
      </c>
      <c r="L146" s="6"/>
      <c r="M146" s="6"/>
      <c r="N146" s="6"/>
      <c r="O146" s="7">
        <v>266.0736062719008</v>
      </c>
      <c r="P146" s="15"/>
      <c r="Q146" s="6" t="b">
        <v>0</v>
      </c>
    </row>
    <row r="147" spans="1:17">
      <c r="A147" s="6" t="s">
        <v>26</v>
      </c>
      <c r="B147" s="6" t="s">
        <v>44</v>
      </c>
      <c r="C147" s="6" t="s">
        <v>291</v>
      </c>
      <c r="D147" s="6"/>
      <c r="E147" s="6"/>
      <c r="F147" s="6">
        <v>4</v>
      </c>
      <c r="G147" s="7"/>
      <c r="H147" s="6"/>
      <c r="I147" s="6">
        <v>8558</v>
      </c>
      <c r="J147" s="6">
        <v>0.576</v>
      </c>
      <c r="K147" s="6">
        <v>14857.63888888889</v>
      </c>
      <c r="L147" s="6"/>
      <c r="M147" s="6"/>
      <c r="N147" s="6"/>
      <c r="O147" s="7">
        <v>149.7445971182069</v>
      </c>
      <c r="P147" s="15"/>
      <c r="Q147" s="6" t="b">
        <v>0</v>
      </c>
    </row>
    <row r="148" spans="1:17">
      <c r="A148" s="6" t="s">
        <v>26</v>
      </c>
      <c r="B148" s="6" t="s">
        <v>44</v>
      </c>
      <c r="C148" s="6" t="s">
        <v>292</v>
      </c>
      <c r="D148" s="6"/>
      <c r="E148" s="6"/>
      <c r="F148" s="6">
        <v>227</v>
      </c>
      <c r="G148" s="7"/>
      <c r="H148" s="6"/>
      <c r="I148" s="6">
        <v>125434916.4</v>
      </c>
      <c r="J148" s="6">
        <v>1134.305</v>
      </c>
      <c r="K148" s="6">
        <v>110583.058701143</v>
      </c>
      <c r="L148" s="6"/>
      <c r="M148" s="6"/>
      <c r="N148" s="6"/>
      <c r="O148" s="7">
        <v>960.6155277011627</v>
      </c>
      <c r="P148" s="15"/>
      <c r="Q148" s="6" t="b">
        <v>1</v>
      </c>
    </row>
    <row r="149" spans="1:17">
      <c r="A149" s="6" t="s">
        <v>26</v>
      </c>
      <c r="B149" s="6" t="s">
        <v>44</v>
      </c>
      <c r="C149" s="6" t="s">
        <v>293</v>
      </c>
      <c r="D149" s="6"/>
      <c r="E149" s="6"/>
      <c r="F149" s="6">
        <v>282</v>
      </c>
      <c r="G149" s="7"/>
      <c r="H149" s="6"/>
      <c r="I149" s="6">
        <v>10298633.1</v>
      </c>
      <c r="J149" s="6">
        <v>285.963</v>
      </c>
      <c r="K149" s="6">
        <v>36013.86577983866</v>
      </c>
      <c r="L149" s="6"/>
      <c r="M149" s="6"/>
      <c r="N149" s="6"/>
      <c r="O149" s="7">
        <v>259.3296178803061</v>
      </c>
      <c r="P149" s="15"/>
      <c r="Q149" s="6" t="b">
        <v>1</v>
      </c>
    </row>
    <row r="150" spans="1:17">
      <c r="A150" s="6" t="s">
        <v>26</v>
      </c>
      <c r="B150" s="6" t="s">
        <v>44</v>
      </c>
      <c r="C150" s="6" t="s">
        <v>294</v>
      </c>
      <c r="D150" s="6"/>
      <c r="E150" s="6"/>
      <c r="F150" s="6">
        <v>16</v>
      </c>
      <c r="G150" s="7"/>
      <c r="H150" s="6"/>
      <c r="I150" s="6">
        <v>598911</v>
      </c>
      <c r="J150" s="6">
        <v>5.692</v>
      </c>
      <c r="K150" s="6">
        <v>105219.7821503865</v>
      </c>
      <c r="L150" s="6"/>
      <c r="M150" s="6"/>
      <c r="N150" s="6"/>
      <c r="O150" s="7">
        <v>826.6110137100371</v>
      </c>
      <c r="P150" s="15"/>
      <c r="Q150" s="6" t="b">
        <v>0</v>
      </c>
    </row>
    <row r="151" spans="1:17">
      <c r="A151" s="6" t="s">
        <v>26</v>
      </c>
      <c r="B151" s="6" t="s">
        <v>44</v>
      </c>
      <c r="C151" s="6" t="s">
        <v>295</v>
      </c>
      <c r="D151" s="6"/>
      <c r="E151" s="6"/>
      <c r="F151" s="6">
        <v>100</v>
      </c>
      <c r="G151" s="7"/>
      <c r="H151" s="6"/>
      <c r="I151" s="6">
        <v>25312318.8</v>
      </c>
      <c r="J151" s="6">
        <v>426.333</v>
      </c>
      <c r="K151" s="6">
        <v>59372.17808614393</v>
      </c>
      <c r="L151" s="6"/>
      <c r="M151" s="6"/>
      <c r="N151" s="6"/>
      <c r="O151" s="7">
        <v>286.3766601673501</v>
      </c>
      <c r="P151" s="15"/>
      <c r="Q151" s="6" t="b">
        <v>1</v>
      </c>
    </row>
    <row r="152" spans="1:17">
      <c r="A152" s="6" t="s">
        <v>26</v>
      </c>
      <c r="B152" s="6" t="s">
        <v>44</v>
      </c>
      <c r="C152" s="6" t="s">
        <v>296</v>
      </c>
      <c r="D152" s="6"/>
      <c r="E152" s="6"/>
      <c r="F152" s="6">
        <v>1077</v>
      </c>
      <c r="G152" s="7"/>
      <c r="H152" s="6"/>
      <c r="I152" s="6">
        <v>125375286.4</v>
      </c>
      <c r="J152" s="6">
        <v>1410.408</v>
      </c>
      <c r="K152" s="6">
        <v>88892.92063005883</v>
      </c>
      <c r="L152" s="6"/>
      <c r="M152" s="6"/>
      <c r="N152" s="6"/>
      <c r="O152" s="7">
        <v>1553.627754835582</v>
      </c>
      <c r="P152" s="15"/>
      <c r="Q152" s="6" t="b">
        <v>1</v>
      </c>
    </row>
    <row r="153" spans="1:17">
      <c r="A153" s="6" t="s">
        <v>26</v>
      </c>
      <c r="B153" s="6" t="s">
        <v>44</v>
      </c>
      <c r="C153" s="6" t="s">
        <v>297</v>
      </c>
      <c r="D153" s="6"/>
      <c r="E153" s="6"/>
      <c r="F153" s="6">
        <v>2</v>
      </c>
      <c r="G153" s="7"/>
      <c r="H153" s="6"/>
      <c r="I153" s="6">
        <v>6382022</v>
      </c>
      <c r="J153" s="6">
        <v>71.03</v>
      </c>
      <c r="K153" s="6">
        <v>89849.66915387864</v>
      </c>
      <c r="L153" s="6"/>
      <c r="M153" s="6"/>
      <c r="N153" s="6"/>
      <c r="O153" s="7">
        <v>630.5197693040602</v>
      </c>
      <c r="P153" s="15"/>
      <c r="Q153" s="6" t="b">
        <v>1</v>
      </c>
    </row>
    <row r="154" spans="1:17">
      <c r="A154" s="6" t="s">
        <v>26</v>
      </c>
      <c r="B154" s="6" t="s">
        <v>44</v>
      </c>
      <c r="C154" s="6" t="s">
        <v>298</v>
      </c>
      <c r="D154" s="6"/>
      <c r="E154" s="6"/>
      <c r="F154" s="6">
        <v>5803</v>
      </c>
      <c r="G154" s="7"/>
      <c r="H154" s="6"/>
      <c r="I154" s="6">
        <v>172827106</v>
      </c>
      <c r="J154" s="6">
        <v>4734.988</v>
      </c>
      <c r="K154" s="6">
        <v>36500.00929252619</v>
      </c>
      <c r="L154" s="6"/>
      <c r="M154" s="6"/>
      <c r="N154" s="6"/>
      <c r="O154" s="7">
        <v>259.322920263794</v>
      </c>
      <c r="P154" s="15"/>
      <c r="Q154" s="6" t="b">
        <v>1</v>
      </c>
    </row>
    <row r="155" spans="1:17">
      <c r="A155" s="6" t="s">
        <v>26</v>
      </c>
      <c r="B155" s="6" t="s">
        <v>44</v>
      </c>
      <c r="C155" s="6" t="s">
        <v>299</v>
      </c>
      <c r="D155" s="6"/>
      <c r="E155" s="6"/>
      <c r="F155" s="6">
        <v>10</v>
      </c>
      <c r="G155" s="7"/>
      <c r="H155" s="6"/>
      <c r="I155" s="6">
        <v>216372</v>
      </c>
      <c r="J155" s="6">
        <v>6.435</v>
      </c>
      <c r="K155" s="6">
        <v>33624.24242424242</v>
      </c>
      <c r="L155" s="6"/>
      <c r="M155" s="6"/>
      <c r="N155" s="6"/>
      <c r="O155" s="7">
        <v>325.7074252632067</v>
      </c>
      <c r="P155" s="15"/>
      <c r="Q155" s="6" t="b">
        <v>0</v>
      </c>
    </row>
    <row r="156" spans="1:17">
      <c r="A156" s="6" t="s">
        <v>26</v>
      </c>
      <c r="B156" s="6" t="s">
        <v>44</v>
      </c>
      <c r="C156" s="6" t="s">
        <v>300</v>
      </c>
      <c r="D156" s="6"/>
      <c r="E156" s="6"/>
      <c r="F156" s="6">
        <v>563</v>
      </c>
      <c r="G156" s="7"/>
      <c r="H156" s="6"/>
      <c r="I156" s="6">
        <v>2141490815.6</v>
      </c>
      <c r="J156" s="6">
        <v>26889.218</v>
      </c>
      <c r="K156" s="6">
        <v>79641.24563235717</v>
      </c>
      <c r="L156" s="6"/>
      <c r="M156" s="6"/>
      <c r="N156" s="6"/>
      <c r="O156" s="7">
        <v>630.5197693040602</v>
      </c>
      <c r="P156" s="15"/>
      <c r="Q156" s="6" t="b">
        <v>1</v>
      </c>
    </row>
    <row r="157" spans="1:17">
      <c r="A157" s="6" t="s">
        <v>26</v>
      </c>
      <c r="B157" s="6" t="s">
        <v>44</v>
      </c>
      <c r="C157" s="6" t="s">
        <v>301</v>
      </c>
      <c r="D157" s="6"/>
      <c r="E157" s="6"/>
      <c r="F157" s="6">
        <v>802</v>
      </c>
      <c r="G157" s="7"/>
      <c r="H157" s="6"/>
      <c r="I157" s="6">
        <v>128799552.4</v>
      </c>
      <c r="J157" s="6">
        <v>1856.148</v>
      </c>
      <c r="K157" s="6">
        <v>69390.77724405598</v>
      </c>
      <c r="L157" s="6"/>
      <c r="M157" s="6"/>
      <c r="N157" s="6"/>
      <c r="O157" s="7">
        <v>400.4312043490962</v>
      </c>
      <c r="P157" s="15"/>
      <c r="Q157" s="6" t="b">
        <v>1</v>
      </c>
    </row>
    <row r="158" spans="1:17">
      <c r="A158" s="6" t="s">
        <v>26</v>
      </c>
      <c r="B158" s="6" t="s">
        <v>44</v>
      </c>
      <c r="C158" s="6" t="s">
        <v>302</v>
      </c>
      <c r="D158" s="6"/>
      <c r="E158" s="6"/>
      <c r="F158" s="6">
        <v>161</v>
      </c>
      <c r="G158" s="7"/>
      <c r="H158" s="6"/>
      <c r="I158" s="6">
        <v>545242300.5</v>
      </c>
      <c r="J158" s="6">
        <v>5904.484</v>
      </c>
      <c r="K158" s="6">
        <v>92343.76797362817</v>
      </c>
      <c r="L158" s="6"/>
      <c r="M158" s="6"/>
      <c r="N158" s="6"/>
      <c r="O158" s="7">
        <v>630.5197693040602</v>
      </c>
      <c r="P158" s="15"/>
      <c r="Q158" s="6" t="b">
        <v>1</v>
      </c>
    </row>
    <row r="159" spans="1:17">
      <c r="A159" s="6" t="s">
        <v>26</v>
      </c>
      <c r="B159" s="6" t="s">
        <v>44</v>
      </c>
      <c r="C159" s="6" t="s">
        <v>303</v>
      </c>
      <c r="D159" s="6"/>
      <c r="E159" s="6"/>
      <c r="F159" s="6">
        <v>9</v>
      </c>
      <c r="G159" s="7"/>
      <c r="H159" s="6"/>
      <c r="I159" s="6">
        <v>163904</v>
      </c>
      <c r="J159" s="6">
        <v>4.542</v>
      </c>
      <c r="K159" s="6">
        <v>36086.30559225011</v>
      </c>
      <c r="L159" s="6"/>
      <c r="M159" s="6"/>
      <c r="N159" s="6"/>
      <c r="O159" s="7">
        <v>309.353227629408</v>
      </c>
      <c r="P159" s="15"/>
      <c r="Q159" s="6" t="b">
        <v>0</v>
      </c>
    </row>
    <row r="160" spans="1:17">
      <c r="A160" s="6" t="s">
        <v>26</v>
      </c>
      <c r="B160" s="6" t="s">
        <v>44</v>
      </c>
      <c r="C160" s="6" t="s">
        <v>304</v>
      </c>
      <c r="D160" s="6"/>
      <c r="E160" s="6"/>
      <c r="F160" s="6">
        <v>3</v>
      </c>
      <c r="G160" s="7"/>
      <c r="H160" s="6"/>
      <c r="I160" s="6">
        <v>3670998</v>
      </c>
      <c r="J160" s="6">
        <v>72.93799999999999</v>
      </c>
      <c r="K160" s="6">
        <v>50330.3901944117</v>
      </c>
      <c r="L160" s="6"/>
      <c r="M160" s="6"/>
      <c r="N160" s="6"/>
      <c r="O160" s="7">
        <v>630.5197693040602</v>
      </c>
      <c r="P160" s="15"/>
      <c r="Q160" s="6" t="b">
        <v>1</v>
      </c>
    </row>
    <row r="161" spans="1:17">
      <c r="A161" s="6" t="s">
        <v>26</v>
      </c>
      <c r="B161" s="6" t="s">
        <v>44</v>
      </c>
      <c r="C161" s="6" t="s">
        <v>305</v>
      </c>
      <c r="D161" s="6"/>
      <c r="E161" s="6"/>
      <c r="F161" s="6">
        <v>808</v>
      </c>
      <c r="G161" s="7"/>
      <c r="H161" s="6"/>
      <c r="I161" s="6">
        <v>391270184.4</v>
      </c>
      <c r="J161" s="6">
        <v>4060.081</v>
      </c>
      <c r="K161" s="6">
        <v>96370.04394739907</v>
      </c>
      <c r="L161" s="6"/>
      <c r="M161" s="6"/>
      <c r="N161" s="6"/>
      <c r="O161" s="7">
        <v>904.7762782698434</v>
      </c>
      <c r="P161" s="15"/>
      <c r="Q161" s="6" t="b">
        <v>1</v>
      </c>
    </row>
    <row r="162" spans="1:17">
      <c r="A162" s="6" t="s">
        <v>26</v>
      </c>
      <c r="B162" s="6" t="s">
        <v>44</v>
      </c>
      <c r="C162" s="6" t="s">
        <v>306</v>
      </c>
      <c r="D162" s="6"/>
      <c r="E162" s="6"/>
      <c r="F162" s="6">
        <v>6</v>
      </c>
      <c r="G162" s="7"/>
      <c r="H162" s="6"/>
      <c r="I162" s="6">
        <v>123987</v>
      </c>
      <c r="J162" s="6">
        <v>2.431</v>
      </c>
      <c r="K162" s="6">
        <v>51002.46812011518</v>
      </c>
      <c r="L162" s="6"/>
      <c r="M162" s="6"/>
      <c r="N162" s="6"/>
      <c r="O162" s="7">
        <v>233.7703271098697</v>
      </c>
      <c r="P162" s="15"/>
      <c r="Q162" s="6" t="b">
        <v>0</v>
      </c>
    </row>
    <row r="163" spans="1:17">
      <c r="A163" s="6" t="s">
        <v>26</v>
      </c>
      <c r="B163" s="6" t="s">
        <v>44</v>
      </c>
      <c r="C163" s="6" t="s">
        <v>307</v>
      </c>
      <c r="D163" s="6"/>
      <c r="E163" s="6"/>
      <c r="F163" s="6">
        <v>6</v>
      </c>
      <c r="G163" s="7"/>
      <c r="H163" s="6"/>
      <c r="I163" s="6">
        <v>120875</v>
      </c>
      <c r="J163" s="6">
        <v>3.088</v>
      </c>
      <c r="K163" s="6">
        <v>39143.4585492228</v>
      </c>
      <c r="L163" s="6"/>
      <c r="M163" s="6"/>
      <c r="N163" s="6"/>
      <c r="O163" s="7">
        <v>347.3370739270771</v>
      </c>
      <c r="P163" s="15"/>
      <c r="Q163" s="6" t="b">
        <v>0</v>
      </c>
    </row>
    <row r="164" spans="1:17">
      <c r="A164" s="6" t="s">
        <v>26</v>
      </c>
      <c r="B164" s="6" t="s">
        <v>44</v>
      </c>
      <c r="C164" s="6" t="s">
        <v>308</v>
      </c>
      <c r="D164" s="6"/>
      <c r="E164" s="6"/>
      <c r="F164" s="6">
        <v>18</v>
      </c>
      <c r="G164" s="7"/>
      <c r="H164" s="6"/>
      <c r="I164" s="6">
        <v>574305</v>
      </c>
      <c r="J164" s="6">
        <v>5.628</v>
      </c>
      <c r="K164" s="6">
        <v>102044.2430703625</v>
      </c>
      <c r="L164" s="6"/>
      <c r="M164" s="6"/>
      <c r="N164" s="6"/>
      <c r="O164" s="7">
        <v>694.2220537139426</v>
      </c>
      <c r="P164" s="15"/>
      <c r="Q164" s="6" t="b">
        <v>0</v>
      </c>
    </row>
    <row r="165" spans="1:17">
      <c r="A165" s="6" t="s">
        <v>26</v>
      </c>
      <c r="B165" s="6" t="s">
        <v>44</v>
      </c>
      <c r="C165" s="6" t="s">
        <v>309</v>
      </c>
      <c r="D165" s="6"/>
      <c r="E165" s="6"/>
      <c r="F165" s="6">
        <v>402</v>
      </c>
      <c r="G165" s="7"/>
      <c r="H165" s="6"/>
      <c r="I165" s="6">
        <v>1301517709</v>
      </c>
      <c r="J165" s="6">
        <v>14275.966</v>
      </c>
      <c r="K165" s="6">
        <v>91168.45115770098</v>
      </c>
      <c r="L165" s="6"/>
      <c r="M165" s="6"/>
      <c r="N165" s="6"/>
      <c r="O165" s="7">
        <v>630.5197693040602</v>
      </c>
      <c r="P165" s="15"/>
      <c r="Q165" s="6" t="b">
        <v>1</v>
      </c>
    </row>
    <row r="166" spans="1:17">
      <c r="A166" s="6" t="s">
        <v>26</v>
      </c>
      <c r="B166" s="6" t="s">
        <v>44</v>
      </c>
      <c r="C166" s="6" t="s">
        <v>310</v>
      </c>
      <c r="D166" s="6"/>
      <c r="E166" s="6"/>
      <c r="F166" s="6">
        <v>73</v>
      </c>
      <c r="G166" s="7"/>
      <c r="H166" s="6"/>
      <c r="I166" s="6">
        <v>310331222.6</v>
      </c>
      <c r="J166" s="6">
        <v>3043.453</v>
      </c>
      <c r="K166" s="6">
        <v>101966.8194646016</v>
      </c>
      <c r="L166" s="6"/>
      <c r="M166" s="6"/>
      <c r="N166" s="6"/>
      <c r="O166" s="7">
        <v>630.5197693040602</v>
      </c>
      <c r="P166" s="15"/>
      <c r="Q166" s="6" t="b">
        <v>1</v>
      </c>
    </row>
    <row r="167" spans="1:17">
      <c r="A167" s="6" t="s">
        <v>26</v>
      </c>
      <c r="B167" s="6" t="s">
        <v>44</v>
      </c>
      <c r="C167" s="6" t="s">
        <v>311</v>
      </c>
      <c r="D167" s="6"/>
      <c r="E167" s="6"/>
      <c r="F167" s="6">
        <v>674</v>
      </c>
      <c r="G167" s="7"/>
      <c r="H167" s="6"/>
      <c r="I167" s="6">
        <v>75361894.5</v>
      </c>
      <c r="J167" s="6">
        <v>3367.581</v>
      </c>
      <c r="K167" s="6">
        <v>22378.64345356504</v>
      </c>
      <c r="L167" s="6"/>
      <c r="M167" s="6"/>
      <c r="N167" s="6"/>
      <c r="O167" s="7">
        <v>80.5410824202243</v>
      </c>
      <c r="P167" s="15"/>
      <c r="Q167" s="6" t="b">
        <v>1</v>
      </c>
    </row>
    <row r="168" spans="1:17">
      <c r="A168" s="6" t="s">
        <v>26</v>
      </c>
      <c r="B168" s="6" t="s">
        <v>44</v>
      </c>
      <c r="C168" s="6" t="s">
        <v>312</v>
      </c>
      <c r="D168" s="6"/>
      <c r="E168" s="6"/>
      <c r="F168" s="6">
        <v>106</v>
      </c>
      <c r="G168" s="7"/>
      <c r="H168" s="6"/>
      <c r="I168" s="6">
        <v>68974442.7</v>
      </c>
      <c r="J168" s="6">
        <v>695.981</v>
      </c>
      <c r="K168" s="6">
        <v>99103.91619886176</v>
      </c>
      <c r="L168" s="6"/>
      <c r="M168" s="6"/>
      <c r="N168" s="6"/>
      <c r="O168" s="7">
        <v>655.3717163105617</v>
      </c>
      <c r="P168" s="15"/>
      <c r="Q168" s="6" t="b">
        <v>1</v>
      </c>
    </row>
    <row r="169" spans="1:17">
      <c r="A169" s="6" t="s">
        <v>26</v>
      </c>
      <c r="B169" s="6" t="s">
        <v>44</v>
      </c>
      <c r="C169" s="6" t="s">
        <v>313</v>
      </c>
      <c r="D169" s="6"/>
      <c r="E169" s="6"/>
      <c r="F169" s="6">
        <v>2184</v>
      </c>
      <c r="G169" s="7"/>
      <c r="H169" s="6"/>
      <c r="I169" s="6">
        <v>41184002.1</v>
      </c>
      <c r="J169" s="6">
        <v>1428.925</v>
      </c>
      <c r="K169" s="6">
        <v>28821.66810714348</v>
      </c>
      <c r="L169" s="6"/>
      <c r="M169" s="6"/>
      <c r="N169" s="6"/>
      <c r="O169" s="7">
        <v>66.32239346726796</v>
      </c>
      <c r="P169" s="15"/>
      <c r="Q169" s="6" t="b">
        <v>1</v>
      </c>
    </row>
    <row r="170" spans="1:17">
      <c r="A170" s="6" t="s">
        <v>26</v>
      </c>
      <c r="B170" s="6" t="s">
        <v>44</v>
      </c>
      <c r="C170" s="6" t="s">
        <v>314</v>
      </c>
      <c r="D170" s="6"/>
      <c r="E170" s="6"/>
      <c r="F170" s="6">
        <v>1223</v>
      </c>
      <c r="G170" s="7"/>
      <c r="H170" s="6"/>
      <c r="I170" s="6">
        <v>33270827.8</v>
      </c>
      <c r="J170" s="6">
        <v>580.7380000000001</v>
      </c>
      <c r="K170" s="6">
        <v>57290.59885869359</v>
      </c>
      <c r="L170" s="6"/>
      <c r="M170" s="6"/>
      <c r="N170" s="6"/>
      <c r="O170" s="7">
        <v>272.0169122660975</v>
      </c>
      <c r="P170" s="15"/>
      <c r="Q170" s="6" t="b">
        <v>1</v>
      </c>
    </row>
    <row r="171" spans="1:17">
      <c r="A171" s="6" t="s">
        <v>26</v>
      </c>
      <c r="B171" s="6" t="s">
        <v>44</v>
      </c>
      <c r="C171" s="6" t="s">
        <v>315</v>
      </c>
      <c r="D171" s="6"/>
      <c r="E171" s="6"/>
      <c r="F171" s="6">
        <v>2094</v>
      </c>
      <c r="G171" s="7"/>
      <c r="H171" s="6"/>
      <c r="I171" s="6">
        <v>48396999.6</v>
      </c>
      <c r="J171" s="6">
        <v>1013.679</v>
      </c>
      <c r="K171" s="6">
        <v>47743.91064626968</v>
      </c>
      <c r="L171" s="6"/>
      <c r="M171" s="6"/>
      <c r="N171" s="6"/>
      <c r="O171" s="7">
        <v>186.5135082750765</v>
      </c>
      <c r="P171" s="15"/>
      <c r="Q171" s="6" t="b">
        <v>1</v>
      </c>
    </row>
    <row r="172" spans="1:17">
      <c r="A172" s="6" t="s">
        <v>26</v>
      </c>
      <c r="B172" s="6" t="s">
        <v>44</v>
      </c>
      <c r="C172" s="6" t="s">
        <v>316</v>
      </c>
      <c r="D172" s="6"/>
      <c r="E172" s="6"/>
      <c r="F172" s="6">
        <v>30</v>
      </c>
      <c r="G172" s="7"/>
      <c r="H172" s="6"/>
      <c r="I172" s="6">
        <v>1532691</v>
      </c>
      <c r="J172" s="6">
        <v>15.828</v>
      </c>
      <c r="K172" s="6">
        <v>96834.1546626232</v>
      </c>
      <c r="L172" s="6"/>
      <c r="M172" s="6"/>
      <c r="N172" s="6"/>
      <c r="O172" s="7">
        <v>864.9606783167827</v>
      </c>
      <c r="P172" s="15"/>
      <c r="Q172" s="6" t="b">
        <v>0</v>
      </c>
    </row>
    <row r="173" spans="1:17">
      <c r="A173" s="6" t="s">
        <v>26</v>
      </c>
      <c r="B173" s="6" t="s">
        <v>44</v>
      </c>
      <c r="C173" s="6" t="s">
        <v>317</v>
      </c>
      <c r="D173" s="6"/>
      <c r="E173" s="6"/>
      <c r="F173" s="6">
        <v>233</v>
      </c>
      <c r="G173" s="7"/>
      <c r="H173" s="6"/>
      <c r="I173" s="6">
        <v>636660</v>
      </c>
      <c r="J173" s="6">
        <v>30.115</v>
      </c>
      <c r="K173" s="6">
        <v>21140.95965465714</v>
      </c>
      <c r="L173" s="6"/>
      <c r="M173" s="6"/>
      <c r="N173" s="6"/>
      <c r="O173" s="7">
        <v>14.3362805000216</v>
      </c>
      <c r="P173" s="15"/>
      <c r="Q173" s="6" t="b">
        <v>1</v>
      </c>
    </row>
    <row r="174" spans="1:17">
      <c r="A174" s="6" t="s">
        <v>26</v>
      </c>
      <c r="B174" s="6" t="s">
        <v>44</v>
      </c>
      <c r="C174" s="6" t="s">
        <v>318</v>
      </c>
      <c r="D174" s="6"/>
      <c r="E174" s="6"/>
      <c r="F174" s="6">
        <v>3</v>
      </c>
      <c r="G174" s="7"/>
      <c r="H174" s="6"/>
      <c r="I174" s="6">
        <v>7951203</v>
      </c>
      <c r="J174" s="6">
        <v>46.914</v>
      </c>
      <c r="K174" s="6">
        <v>169484.6527688963</v>
      </c>
      <c r="L174" s="6"/>
      <c r="M174" s="6"/>
      <c r="N174" s="6"/>
      <c r="O174" s="7">
        <v>630.5197693040602</v>
      </c>
      <c r="P174" s="15"/>
      <c r="Q174" s="6" t="b">
        <v>1</v>
      </c>
    </row>
    <row r="175" spans="1:17">
      <c r="A175" s="6" t="s">
        <v>26</v>
      </c>
      <c r="B175" s="6" t="s">
        <v>44</v>
      </c>
      <c r="C175" s="6" t="s">
        <v>319</v>
      </c>
      <c r="D175" s="6"/>
      <c r="E175" s="6"/>
      <c r="F175" s="6">
        <v>96</v>
      </c>
      <c r="G175" s="7"/>
      <c r="H175" s="6"/>
      <c r="I175" s="6">
        <v>28406479.9</v>
      </c>
      <c r="J175" s="6">
        <v>292.255</v>
      </c>
      <c r="K175" s="6">
        <v>97197.58395921369</v>
      </c>
      <c r="L175" s="6"/>
      <c r="M175" s="6"/>
      <c r="N175" s="6"/>
      <c r="O175" s="7">
        <v>630.5197693040602</v>
      </c>
      <c r="P175" s="15"/>
      <c r="Q175" s="6" t="b">
        <v>1</v>
      </c>
    </row>
    <row r="176" spans="1:17">
      <c r="A176" s="6" t="s">
        <v>26</v>
      </c>
      <c r="B176" s="6" t="s">
        <v>44</v>
      </c>
      <c r="C176" s="6" t="s">
        <v>320</v>
      </c>
      <c r="D176" s="6"/>
      <c r="E176" s="6"/>
      <c r="F176" s="6">
        <v>2323</v>
      </c>
      <c r="G176" s="7"/>
      <c r="H176" s="6"/>
      <c r="I176" s="6">
        <v>81005366</v>
      </c>
      <c r="J176" s="6">
        <v>4118.001</v>
      </c>
      <c r="K176" s="6">
        <v>19671.04087638638</v>
      </c>
      <c r="L176" s="6"/>
      <c r="M176" s="6"/>
      <c r="N176" s="6"/>
      <c r="O176" s="7">
        <v>25.91722169236719</v>
      </c>
      <c r="P176" s="15"/>
      <c r="Q176" s="6" t="b">
        <v>1</v>
      </c>
    </row>
    <row r="177" spans="1:17">
      <c r="A177" s="6" t="s">
        <v>26</v>
      </c>
      <c r="B177" s="6" t="s">
        <v>44</v>
      </c>
      <c r="C177" s="6" t="s">
        <v>321</v>
      </c>
      <c r="D177" s="6"/>
      <c r="E177" s="6"/>
      <c r="F177" s="6">
        <v>2</v>
      </c>
      <c r="G177" s="7"/>
      <c r="H177" s="6"/>
      <c r="I177" s="6">
        <v>2219318</v>
      </c>
      <c r="J177" s="6">
        <v>24.795</v>
      </c>
      <c r="K177" s="6">
        <v>89506.67473280903</v>
      </c>
      <c r="L177" s="6"/>
      <c r="M177" s="6"/>
      <c r="N177" s="6"/>
      <c r="O177" s="7">
        <v>547.2091360231645</v>
      </c>
      <c r="P177" s="15"/>
      <c r="Q177" s="6" t="b">
        <v>1</v>
      </c>
    </row>
    <row r="178" spans="1:17">
      <c r="A178" s="6" t="s">
        <v>26</v>
      </c>
      <c r="B178" s="6" t="s">
        <v>44</v>
      </c>
      <c r="C178" s="6" t="s">
        <v>322</v>
      </c>
      <c r="D178" s="6"/>
      <c r="E178" s="6"/>
      <c r="F178" s="6">
        <v>582</v>
      </c>
      <c r="G178" s="7"/>
      <c r="H178" s="6"/>
      <c r="I178" s="6">
        <v>64483580.2</v>
      </c>
      <c r="J178" s="6">
        <v>3730.045</v>
      </c>
      <c r="K178" s="6">
        <v>17287.61454620521</v>
      </c>
      <c r="L178" s="6"/>
      <c r="M178" s="6"/>
      <c r="N178" s="6"/>
      <c r="O178" s="7">
        <v>13.27192939308386</v>
      </c>
      <c r="P178" s="15"/>
      <c r="Q178" s="6" t="b">
        <v>1</v>
      </c>
    </row>
    <row r="179" spans="1:17">
      <c r="A179" s="6" t="s">
        <v>26</v>
      </c>
      <c r="B179" s="6" t="s">
        <v>44</v>
      </c>
      <c r="C179" s="6" t="s">
        <v>323</v>
      </c>
      <c r="D179" s="6"/>
      <c r="E179" s="6"/>
      <c r="F179" s="6">
        <v>442</v>
      </c>
      <c r="G179" s="7"/>
      <c r="H179" s="6"/>
      <c r="I179" s="6">
        <v>59772008.7</v>
      </c>
      <c r="J179" s="6">
        <v>1335.965</v>
      </c>
      <c r="K179" s="6">
        <v>44740.69956922525</v>
      </c>
      <c r="L179" s="6"/>
      <c r="M179" s="6"/>
      <c r="N179" s="6"/>
      <c r="O179" s="7">
        <v>342.0885090114352</v>
      </c>
      <c r="P179" s="15"/>
      <c r="Q179" s="6" t="b">
        <v>1</v>
      </c>
    </row>
    <row r="180" spans="1:17">
      <c r="A180" s="6" t="s">
        <v>26</v>
      </c>
      <c r="B180" s="6" t="s">
        <v>44</v>
      </c>
      <c r="C180" s="6" t="s">
        <v>324</v>
      </c>
      <c r="D180" s="6"/>
      <c r="E180" s="6"/>
      <c r="F180" s="6">
        <v>10609</v>
      </c>
      <c r="G180" s="7"/>
      <c r="H180" s="6"/>
      <c r="I180" s="6">
        <v>428733073.4</v>
      </c>
      <c r="J180" s="6">
        <v>17597.506</v>
      </c>
      <c r="K180" s="6">
        <v>24363.28610429227</v>
      </c>
      <c r="L180" s="6"/>
      <c r="M180" s="6"/>
      <c r="N180" s="6"/>
      <c r="O180" s="7">
        <v>122.3359438121719</v>
      </c>
      <c r="P180" s="15"/>
      <c r="Q180" s="6" t="b">
        <v>1</v>
      </c>
    </row>
    <row r="181" spans="1:17">
      <c r="A181" s="6" t="s">
        <v>26</v>
      </c>
      <c r="B181" s="6" t="s">
        <v>44</v>
      </c>
      <c r="C181" s="6" t="s">
        <v>325</v>
      </c>
      <c r="D181" s="6"/>
      <c r="E181" s="6"/>
      <c r="F181" s="6">
        <v>9</v>
      </c>
      <c r="G181" s="7"/>
      <c r="H181" s="6"/>
      <c r="I181" s="6">
        <v>220623</v>
      </c>
      <c r="J181" s="6">
        <v>5.968999999999999</v>
      </c>
      <c r="K181" s="6">
        <v>36961.46758250963</v>
      </c>
      <c r="L181" s="6"/>
      <c r="M181" s="6"/>
      <c r="N181" s="6"/>
      <c r="O181" s="7">
        <v>595.9857117146868</v>
      </c>
      <c r="P181" s="15"/>
      <c r="Q181" s="6" t="b">
        <v>0</v>
      </c>
    </row>
    <row r="182" spans="1:17">
      <c r="A182" s="6" t="s">
        <v>26</v>
      </c>
      <c r="B182" s="6" t="s">
        <v>44</v>
      </c>
      <c r="C182" s="6" t="s">
        <v>326</v>
      </c>
      <c r="D182" s="6"/>
      <c r="E182" s="6"/>
      <c r="F182" s="6">
        <v>867</v>
      </c>
      <c r="G182" s="7"/>
      <c r="H182" s="6"/>
      <c r="I182" s="6">
        <v>448852030.6</v>
      </c>
      <c r="J182" s="6">
        <v>5047.901</v>
      </c>
      <c r="K182" s="6">
        <v>88918.54864031605</v>
      </c>
      <c r="L182" s="6"/>
      <c r="M182" s="6"/>
      <c r="N182" s="6"/>
      <c r="O182" s="7">
        <v>798.8420821293105</v>
      </c>
      <c r="P182" s="15"/>
      <c r="Q182" s="6" t="b">
        <v>1</v>
      </c>
    </row>
    <row r="183" spans="1:17">
      <c r="A183" s="6" t="s">
        <v>26</v>
      </c>
      <c r="B183" s="6" t="s">
        <v>44</v>
      </c>
      <c r="C183" s="6" t="s">
        <v>327</v>
      </c>
      <c r="D183" s="6"/>
      <c r="E183" s="6"/>
      <c r="F183" s="6">
        <v>313</v>
      </c>
      <c r="G183" s="7"/>
      <c r="H183" s="6"/>
      <c r="I183" s="6">
        <v>46807929.8</v>
      </c>
      <c r="J183" s="6">
        <v>1142.232</v>
      </c>
      <c r="K183" s="6">
        <v>40979.35428179214</v>
      </c>
      <c r="L183" s="6"/>
      <c r="M183" s="6"/>
      <c r="N183" s="6"/>
      <c r="O183" s="7">
        <v>217.5863843585323</v>
      </c>
      <c r="P183" s="15"/>
      <c r="Q183" s="6" t="b">
        <v>1</v>
      </c>
    </row>
    <row r="184" spans="1:17">
      <c r="A184" s="6" t="s">
        <v>26</v>
      </c>
      <c r="B184" s="6" t="s">
        <v>44</v>
      </c>
      <c r="C184" s="6" t="s">
        <v>328</v>
      </c>
      <c r="D184" s="6"/>
      <c r="E184" s="6"/>
      <c r="F184" s="6">
        <v>171</v>
      </c>
      <c r="G184" s="7"/>
      <c r="H184" s="6"/>
      <c r="I184" s="6">
        <v>2719827.9</v>
      </c>
      <c r="J184" s="6">
        <v>39.813</v>
      </c>
      <c r="K184" s="6">
        <v>68315.07045437419</v>
      </c>
      <c r="L184" s="6"/>
      <c r="M184" s="6"/>
      <c r="N184" s="6"/>
      <c r="O184" s="7">
        <v>163.7752326571517</v>
      </c>
      <c r="P184" s="15"/>
      <c r="Q184" s="6" t="b">
        <v>1</v>
      </c>
    </row>
    <row r="185" spans="1:17">
      <c r="A185" s="6" t="s">
        <v>26</v>
      </c>
      <c r="B185" s="6" t="s">
        <v>44</v>
      </c>
      <c r="C185" s="6" t="s">
        <v>329</v>
      </c>
      <c r="D185" s="6"/>
      <c r="E185" s="6"/>
      <c r="F185" s="6">
        <v>16260</v>
      </c>
      <c r="G185" s="7"/>
      <c r="H185" s="6"/>
      <c r="I185" s="6">
        <v>1962798576</v>
      </c>
      <c r="J185" s="6">
        <v>32138.184</v>
      </c>
      <c r="K185" s="6">
        <v>61073.72389180421</v>
      </c>
      <c r="L185" s="6"/>
      <c r="M185" s="6"/>
      <c r="N185" s="6"/>
      <c r="O185" s="7">
        <v>133.2513506789045</v>
      </c>
      <c r="P185" s="15"/>
      <c r="Q185" s="6" t="b">
        <v>1</v>
      </c>
    </row>
    <row r="186" spans="1:17">
      <c r="A186" s="6" t="s">
        <v>26</v>
      </c>
      <c r="B186" s="6" t="s">
        <v>44</v>
      </c>
      <c r="C186" s="6" t="s">
        <v>330</v>
      </c>
      <c r="D186" s="6"/>
      <c r="E186" s="6"/>
      <c r="F186" s="6">
        <v>12</v>
      </c>
      <c r="G186" s="7"/>
      <c r="H186" s="6"/>
      <c r="I186" s="6">
        <v>5682000</v>
      </c>
      <c r="J186" s="6">
        <v>72.53699999999999</v>
      </c>
      <c r="K186" s="6">
        <v>78332.43723892634</v>
      </c>
      <c r="L186" s="6"/>
      <c r="M186" s="6"/>
      <c r="N186" s="6"/>
      <c r="O186" s="7">
        <v>630.5197693040602</v>
      </c>
      <c r="P186" s="15"/>
      <c r="Q186" s="6" t="b">
        <v>1</v>
      </c>
    </row>
    <row r="187" spans="1:17">
      <c r="A187" s="6" t="s">
        <v>26</v>
      </c>
      <c r="B187" s="6" t="s">
        <v>44</v>
      </c>
      <c r="C187" s="6" t="s">
        <v>331</v>
      </c>
      <c r="D187" s="6"/>
      <c r="E187" s="6"/>
      <c r="F187" s="6">
        <v>7357</v>
      </c>
      <c r="G187" s="7"/>
      <c r="H187" s="6"/>
      <c r="I187" s="6">
        <v>649373181</v>
      </c>
      <c r="J187" s="6">
        <v>11256.574</v>
      </c>
      <c r="K187" s="6">
        <v>57688.3500255051</v>
      </c>
      <c r="L187" s="6"/>
      <c r="M187" s="6"/>
      <c r="N187" s="6"/>
      <c r="O187" s="7">
        <v>235.1646723073201</v>
      </c>
      <c r="P187" s="15"/>
      <c r="Q187" s="6" t="b">
        <v>1</v>
      </c>
    </row>
    <row r="188" spans="1:17">
      <c r="A188" s="6" t="s">
        <v>26</v>
      </c>
      <c r="B188" s="6" t="s">
        <v>44</v>
      </c>
      <c r="C188" s="6" t="s">
        <v>332</v>
      </c>
      <c r="D188" s="6"/>
      <c r="E188" s="6"/>
      <c r="F188" s="6">
        <v>893</v>
      </c>
      <c r="G188" s="7"/>
      <c r="H188" s="6"/>
      <c r="I188" s="6">
        <v>232169188.3</v>
      </c>
      <c r="J188" s="6">
        <v>5142.049</v>
      </c>
      <c r="K188" s="6">
        <v>45151.10383039913</v>
      </c>
      <c r="L188" s="6"/>
      <c r="M188" s="6"/>
      <c r="N188" s="6"/>
      <c r="O188" s="7">
        <v>412.1350511827457</v>
      </c>
      <c r="P188" s="15"/>
      <c r="Q188" s="6" t="b">
        <v>1</v>
      </c>
    </row>
    <row r="189" spans="1:17">
      <c r="A189" s="6" t="s">
        <v>26</v>
      </c>
      <c r="B189" s="6" t="s">
        <v>44</v>
      </c>
      <c r="C189" s="6" t="s">
        <v>333</v>
      </c>
      <c r="D189" s="6"/>
      <c r="E189" s="6"/>
      <c r="F189" s="6">
        <v>5132</v>
      </c>
      <c r="G189" s="7"/>
      <c r="H189" s="6"/>
      <c r="I189" s="6">
        <v>85127276.8</v>
      </c>
      <c r="J189" s="6">
        <v>5702.895</v>
      </c>
      <c r="K189" s="6">
        <v>14927.02860564678</v>
      </c>
      <c r="L189" s="6"/>
      <c r="M189" s="6"/>
      <c r="N189" s="6"/>
      <c r="O189" s="7">
        <v>5.1941585952244</v>
      </c>
      <c r="P189" s="15"/>
      <c r="Q189" s="6" t="b">
        <v>1</v>
      </c>
    </row>
    <row r="190" spans="1:17">
      <c r="A190" s="6" t="s">
        <v>26</v>
      </c>
      <c r="B190" s="6" t="s">
        <v>86</v>
      </c>
      <c r="C190" s="6" t="s">
        <v>195</v>
      </c>
      <c r="D190" s="6"/>
      <c r="E190" s="6"/>
      <c r="F190" s="6">
        <v>1730</v>
      </c>
      <c r="G190" s="7"/>
      <c r="H190" s="6"/>
      <c r="I190" s="6">
        <v>273973207.1</v>
      </c>
      <c r="J190" s="6">
        <v>3304.125</v>
      </c>
      <c r="K190" s="6">
        <v>82918.53579994704</v>
      </c>
      <c r="L190" s="6"/>
      <c r="M190" s="6"/>
      <c r="N190" s="6"/>
      <c r="O190" s="7">
        <v>396.940807812014</v>
      </c>
      <c r="P190" s="15"/>
      <c r="Q190" s="6" t="b">
        <v>1</v>
      </c>
    </row>
    <row r="191" spans="1:17">
      <c r="A191" s="6" t="s">
        <v>26</v>
      </c>
      <c r="B191" s="6" t="s">
        <v>86</v>
      </c>
      <c r="C191" s="6" t="s">
        <v>335</v>
      </c>
      <c r="D191" s="6"/>
      <c r="E191" s="6"/>
      <c r="F191" s="6">
        <v>73</v>
      </c>
      <c r="G191" s="7"/>
      <c r="H191" s="6"/>
      <c r="I191" s="6">
        <v>229299044.7</v>
      </c>
      <c r="J191" s="6">
        <v>2256.593</v>
      </c>
      <c r="K191" s="6">
        <v>101612.9380442109</v>
      </c>
      <c r="L191" s="6"/>
      <c r="M191" s="6"/>
      <c r="N191" s="6"/>
      <c r="O191" s="7">
        <v>451.9701815741933</v>
      </c>
      <c r="P191" s="15"/>
      <c r="Q191" s="6" t="b">
        <v>1</v>
      </c>
    </row>
    <row r="192" spans="1:17">
      <c r="A192" s="6" t="s">
        <v>26</v>
      </c>
      <c r="B192" s="6" t="s">
        <v>86</v>
      </c>
      <c r="C192" s="6" t="s">
        <v>336</v>
      </c>
      <c r="D192" s="6"/>
      <c r="E192" s="6"/>
      <c r="F192" s="6">
        <v>468</v>
      </c>
      <c r="G192" s="7"/>
      <c r="H192" s="6"/>
      <c r="I192" s="6">
        <v>2083826079.7</v>
      </c>
      <c r="J192" s="6">
        <v>19142.329</v>
      </c>
      <c r="K192" s="6">
        <v>108859.5896403202</v>
      </c>
      <c r="L192" s="6"/>
      <c r="M192" s="6"/>
      <c r="N192" s="6"/>
      <c r="O192" s="7">
        <v>451.9701815741933</v>
      </c>
      <c r="P192" s="15"/>
      <c r="Q192" s="6" t="b">
        <v>1</v>
      </c>
    </row>
    <row r="193" spans="1:17">
      <c r="A193" s="6" t="s">
        <v>26</v>
      </c>
      <c r="B193" s="6" t="s">
        <v>86</v>
      </c>
      <c r="C193" s="6" t="s">
        <v>197</v>
      </c>
      <c r="D193" s="6"/>
      <c r="E193" s="6"/>
      <c r="F193" s="6">
        <v>3349</v>
      </c>
      <c r="G193" s="7"/>
      <c r="H193" s="6"/>
      <c r="I193" s="6">
        <v>284912836.1</v>
      </c>
      <c r="J193" s="6">
        <v>5101.1</v>
      </c>
      <c r="K193" s="6">
        <v>55853.21520848444</v>
      </c>
      <c r="L193" s="6"/>
      <c r="M193" s="6"/>
      <c r="N193" s="6"/>
      <c r="O193" s="7">
        <v>305.7545312390271</v>
      </c>
      <c r="P193" s="15"/>
      <c r="Q193" s="6" t="b">
        <v>1</v>
      </c>
    </row>
    <row r="194" spans="1:17">
      <c r="A194" s="6" t="s">
        <v>26</v>
      </c>
      <c r="B194" s="6" t="s">
        <v>86</v>
      </c>
      <c r="C194" s="6" t="s">
        <v>199</v>
      </c>
      <c r="D194" s="6"/>
      <c r="E194" s="6"/>
      <c r="F194" s="6">
        <v>3065</v>
      </c>
      <c r="G194" s="7"/>
      <c r="H194" s="6"/>
      <c r="I194" s="6">
        <v>128776029.5</v>
      </c>
      <c r="J194" s="6">
        <v>2443.117</v>
      </c>
      <c r="K194" s="6">
        <v>52709.72675479725</v>
      </c>
      <c r="L194" s="6"/>
      <c r="M194" s="6"/>
      <c r="N194" s="6"/>
      <c r="O194" s="7">
        <v>242.3318515536773</v>
      </c>
      <c r="P194" s="15"/>
      <c r="Q194" s="6" t="b">
        <v>1</v>
      </c>
    </row>
    <row r="195" spans="1:17">
      <c r="A195" s="6" t="s">
        <v>26</v>
      </c>
      <c r="B195" s="6" t="s">
        <v>86</v>
      </c>
      <c r="C195" s="6" t="s">
        <v>337</v>
      </c>
      <c r="D195" s="6"/>
      <c r="E195" s="6"/>
      <c r="F195" s="6">
        <v>616</v>
      </c>
      <c r="G195" s="7"/>
      <c r="H195" s="6"/>
      <c r="I195" s="6">
        <v>64537260.3</v>
      </c>
      <c r="J195" s="6">
        <v>847.853</v>
      </c>
      <c r="K195" s="6">
        <v>76118.45485007425</v>
      </c>
      <c r="L195" s="6"/>
      <c r="M195" s="6"/>
      <c r="N195" s="6"/>
      <c r="O195" s="7">
        <v>451.9701815741933</v>
      </c>
      <c r="P195" s="15"/>
      <c r="Q195" s="6" t="b">
        <v>1</v>
      </c>
    </row>
    <row r="196" spans="1:17">
      <c r="A196" s="6" t="s">
        <v>26</v>
      </c>
      <c r="B196" s="6" t="s">
        <v>86</v>
      </c>
      <c r="C196" s="6" t="s">
        <v>200</v>
      </c>
      <c r="D196" s="6"/>
      <c r="E196" s="6"/>
      <c r="F196" s="6">
        <v>225</v>
      </c>
      <c r="G196" s="7"/>
      <c r="H196" s="6"/>
      <c r="I196" s="6">
        <v>78182396.40000001</v>
      </c>
      <c r="J196" s="6">
        <v>1055.901</v>
      </c>
      <c r="K196" s="6">
        <v>74043.30178681524</v>
      </c>
      <c r="L196" s="6"/>
      <c r="M196" s="6"/>
      <c r="N196" s="6"/>
      <c r="O196" s="7">
        <v>451.9701815741933</v>
      </c>
      <c r="P196" s="15"/>
      <c r="Q196" s="6" t="b">
        <v>1</v>
      </c>
    </row>
    <row r="197" spans="1:17">
      <c r="A197" s="6" t="s">
        <v>26</v>
      </c>
      <c r="B197" s="6" t="s">
        <v>86</v>
      </c>
      <c r="C197" s="6" t="s">
        <v>201</v>
      </c>
      <c r="D197" s="6"/>
      <c r="E197" s="6"/>
      <c r="F197" s="6">
        <v>1474</v>
      </c>
      <c r="G197" s="7"/>
      <c r="H197" s="6"/>
      <c r="I197" s="6">
        <v>90256492.40000001</v>
      </c>
      <c r="J197" s="6">
        <v>1559.011</v>
      </c>
      <c r="K197" s="6">
        <v>57893.42884687793</v>
      </c>
      <c r="L197" s="6"/>
      <c r="M197" s="6"/>
      <c r="N197" s="6"/>
      <c r="O197" s="7">
        <v>252.6451916881565</v>
      </c>
      <c r="P197" s="15"/>
      <c r="Q197" s="6" t="b">
        <v>1</v>
      </c>
    </row>
    <row r="198" spans="1:17">
      <c r="A198" s="6" t="s">
        <v>26</v>
      </c>
      <c r="B198" s="6" t="s">
        <v>86</v>
      </c>
      <c r="C198" s="6" t="s">
        <v>202</v>
      </c>
      <c r="D198" s="6"/>
      <c r="E198" s="6"/>
      <c r="F198" s="6">
        <v>12515</v>
      </c>
      <c r="G198" s="7"/>
      <c r="H198" s="6"/>
      <c r="I198" s="6">
        <v>1701985937.8</v>
      </c>
      <c r="J198" s="6">
        <v>18746.539</v>
      </c>
      <c r="K198" s="6">
        <v>90789.34185131452</v>
      </c>
      <c r="L198" s="6"/>
      <c r="M198" s="6"/>
      <c r="N198" s="6"/>
      <c r="O198" s="7">
        <v>697.7150668008592</v>
      </c>
      <c r="P198" s="15"/>
      <c r="Q198" s="6" t="b">
        <v>1</v>
      </c>
    </row>
    <row r="199" spans="1:17">
      <c r="A199" s="6" t="s">
        <v>26</v>
      </c>
      <c r="B199" s="6" t="s">
        <v>86</v>
      </c>
      <c r="C199" s="6" t="s">
        <v>203</v>
      </c>
      <c r="D199" s="6"/>
      <c r="E199" s="6"/>
      <c r="F199" s="6">
        <v>15391</v>
      </c>
      <c r="G199" s="7"/>
      <c r="H199" s="6"/>
      <c r="I199" s="6">
        <v>561263837.3</v>
      </c>
      <c r="J199" s="6">
        <v>25459.736</v>
      </c>
      <c r="K199" s="6">
        <v>22045.15542894867</v>
      </c>
      <c r="L199" s="6"/>
      <c r="M199" s="6"/>
      <c r="N199" s="6"/>
      <c r="O199" s="7">
        <v>36.45826544798079</v>
      </c>
      <c r="P199" s="15"/>
      <c r="Q199" s="6" t="b">
        <v>1</v>
      </c>
    </row>
    <row r="200" spans="1:17">
      <c r="A200" s="6" t="s">
        <v>26</v>
      </c>
      <c r="B200" s="6" t="s">
        <v>86</v>
      </c>
      <c r="C200" s="6" t="s">
        <v>204</v>
      </c>
      <c r="D200" s="6"/>
      <c r="E200" s="6"/>
      <c r="F200" s="6">
        <v>9663</v>
      </c>
      <c r="G200" s="7"/>
      <c r="H200" s="6"/>
      <c r="I200" s="6">
        <v>839178887.3</v>
      </c>
      <c r="J200" s="6">
        <v>18107.473</v>
      </c>
      <c r="K200" s="6">
        <v>46344.34011305719</v>
      </c>
      <c r="L200" s="6"/>
      <c r="M200" s="6"/>
      <c r="N200" s="6"/>
      <c r="O200" s="7">
        <v>282.3708869513238</v>
      </c>
      <c r="P200" s="15"/>
      <c r="Q200" s="6" t="b">
        <v>1</v>
      </c>
    </row>
    <row r="201" spans="1:17">
      <c r="A201" s="6" t="s">
        <v>26</v>
      </c>
      <c r="B201" s="6" t="s">
        <v>86</v>
      </c>
      <c r="C201" s="6" t="s">
        <v>338</v>
      </c>
      <c r="D201" s="6"/>
      <c r="E201" s="6"/>
      <c r="F201" s="6">
        <v>367</v>
      </c>
      <c r="G201" s="7"/>
      <c r="H201" s="6"/>
      <c r="I201" s="6">
        <v>50360701.7</v>
      </c>
      <c r="J201" s="6">
        <v>700.2089999999999</v>
      </c>
      <c r="K201" s="6">
        <v>71922.38560201312</v>
      </c>
      <c r="L201" s="6"/>
      <c r="M201" s="6"/>
      <c r="N201" s="6"/>
      <c r="O201" s="7">
        <v>451.9701815741933</v>
      </c>
      <c r="P201" s="15"/>
      <c r="Q201" s="6" t="b">
        <v>1</v>
      </c>
    </row>
    <row r="202" spans="1:17">
      <c r="A202" s="6" t="s">
        <v>26</v>
      </c>
      <c r="B202" s="6" t="s">
        <v>86</v>
      </c>
      <c r="C202" s="6" t="s">
        <v>339</v>
      </c>
      <c r="D202" s="6"/>
      <c r="E202" s="6"/>
      <c r="F202" s="6">
        <v>52</v>
      </c>
      <c r="G202" s="7"/>
      <c r="H202" s="6"/>
      <c r="I202" s="6">
        <v>10132182.7</v>
      </c>
      <c r="J202" s="6">
        <v>87.59100000000001</v>
      </c>
      <c r="K202" s="6">
        <v>115676.0706008608</v>
      </c>
      <c r="L202" s="6"/>
      <c r="M202" s="6"/>
      <c r="N202" s="6"/>
      <c r="O202" s="7">
        <v>451.9701815741933</v>
      </c>
      <c r="P202" s="15"/>
      <c r="Q202" s="6" t="b">
        <v>1</v>
      </c>
    </row>
    <row r="203" spans="1:17">
      <c r="A203" s="6" t="s">
        <v>26</v>
      </c>
      <c r="B203" s="6" t="s">
        <v>86</v>
      </c>
      <c r="C203" s="6" t="s">
        <v>205</v>
      </c>
      <c r="D203" s="6"/>
      <c r="E203" s="6"/>
      <c r="F203" s="6">
        <v>4438</v>
      </c>
      <c r="G203" s="7"/>
      <c r="H203" s="6"/>
      <c r="I203" s="6">
        <v>271955709</v>
      </c>
      <c r="J203" s="6">
        <v>4519.308</v>
      </c>
      <c r="K203" s="6">
        <v>60176.4051044983</v>
      </c>
      <c r="L203" s="6"/>
      <c r="M203" s="6"/>
      <c r="N203" s="6"/>
      <c r="O203" s="7">
        <v>349.8393223627801</v>
      </c>
      <c r="P203" s="15"/>
      <c r="Q203" s="6" t="b">
        <v>1</v>
      </c>
    </row>
    <row r="204" spans="1:17">
      <c r="A204" s="6" t="s">
        <v>26</v>
      </c>
      <c r="B204" s="6" t="s">
        <v>86</v>
      </c>
      <c r="C204" s="6" t="s">
        <v>340</v>
      </c>
      <c r="D204" s="6"/>
      <c r="E204" s="6"/>
      <c r="F204" s="6">
        <v>384</v>
      </c>
      <c r="G204" s="7"/>
      <c r="H204" s="6"/>
      <c r="I204" s="6">
        <v>431653552.8</v>
      </c>
      <c r="J204" s="6">
        <v>5661.106</v>
      </c>
      <c r="K204" s="6">
        <v>76248.97905109002</v>
      </c>
      <c r="L204" s="6"/>
      <c r="M204" s="6"/>
      <c r="N204" s="6"/>
      <c r="O204" s="7">
        <v>493.4303772432997</v>
      </c>
      <c r="P204" s="15"/>
      <c r="Q204" s="6" t="b">
        <v>1</v>
      </c>
    </row>
    <row r="205" spans="1:17">
      <c r="A205" s="6" t="s">
        <v>26</v>
      </c>
      <c r="B205" s="6" t="s">
        <v>86</v>
      </c>
      <c r="C205" s="6" t="s">
        <v>208</v>
      </c>
      <c r="D205" s="6"/>
      <c r="E205" s="6"/>
      <c r="F205" s="6">
        <v>1</v>
      </c>
      <c r="G205" s="7"/>
      <c r="H205" s="6"/>
      <c r="I205" s="6">
        <v>40488</v>
      </c>
      <c r="J205" s="6">
        <v>1.365</v>
      </c>
      <c r="K205" s="6">
        <v>29661.53846153846</v>
      </c>
      <c r="L205" s="6"/>
      <c r="M205" s="6"/>
      <c r="N205" s="6"/>
      <c r="O205" s="7">
        <v>264.5688055811611</v>
      </c>
      <c r="P205" s="15"/>
      <c r="Q205" s="6" t="b">
        <v>0</v>
      </c>
    </row>
    <row r="206" spans="1:17">
      <c r="A206" s="6" t="s">
        <v>26</v>
      </c>
      <c r="B206" s="6" t="s">
        <v>86</v>
      </c>
      <c r="C206" s="6" t="s">
        <v>210</v>
      </c>
      <c r="D206" s="6"/>
      <c r="E206" s="6"/>
      <c r="F206" s="6">
        <v>84</v>
      </c>
      <c r="G206" s="7"/>
      <c r="H206" s="6"/>
      <c r="I206" s="6">
        <v>2567290</v>
      </c>
      <c r="J206" s="6">
        <v>35.557</v>
      </c>
      <c r="K206" s="6">
        <v>72202.09803976712</v>
      </c>
      <c r="L206" s="6"/>
      <c r="M206" s="6"/>
      <c r="N206" s="6"/>
      <c r="O206" s="7">
        <v>41.25571732552256</v>
      </c>
      <c r="P206" s="15"/>
      <c r="Q206" s="6" t="b">
        <v>1</v>
      </c>
    </row>
    <row r="207" spans="1:17">
      <c r="A207" s="6" t="s">
        <v>26</v>
      </c>
      <c r="B207" s="6" t="s">
        <v>86</v>
      </c>
      <c r="C207" s="6" t="s">
        <v>211</v>
      </c>
      <c r="D207" s="6"/>
      <c r="E207" s="6"/>
      <c r="F207" s="6">
        <v>2747</v>
      </c>
      <c r="G207" s="7"/>
      <c r="H207" s="6"/>
      <c r="I207" s="6">
        <v>310310681.7</v>
      </c>
      <c r="J207" s="6">
        <v>5847.968</v>
      </c>
      <c r="K207" s="6">
        <v>53062.99242745514</v>
      </c>
      <c r="L207" s="6"/>
      <c r="M207" s="6"/>
      <c r="N207" s="6"/>
      <c r="O207" s="7">
        <v>428.5692830776331</v>
      </c>
      <c r="P207" s="15"/>
      <c r="Q207" s="6" t="b">
        <v>1</v>
      </c>
    </row>
    <row r="208" spans="1:17">
      <c r="A208" s="6" t="s">
        <v>26</v>
      </c>
      <c r="B208" s="6" t="s">
        <v>86</v>
      </c>
      <c r="C208" s="6" t="s">
        <v>212</v>
      </c>
      <c r="D208" s="6"/>
      <c r="E208" s="6"/>
      <c r="F208" s="6">
        <v>780</v>
      </c>
      <c r="G208" s="7"/>
      <c r="H208" s="6"/>
      <c r="I208" s="6">
        <v>71805424</v>
      </c>
      <c r="J208" s="6">
        <v>1376.729</v>
      </c>
      <c r="K208" s="6">
        <v>52156.54206456027</v>
      </c>
      <c r="L208" s="6"/>
      <c r="M208" s="6"/>
      <c r="N208" s="6"/>
      <c r="O208" s="7">
        <v>424.5473914405644</v>
      </c>
      <c r="P208" s="15"/>
      <c r="Q208" s="6" t="b">
        <v>1</v>
      </c>
    </row>
    <row r="209" spans="1:17">
      <c r="A209" s="6" t="s">
        <v>26</v>
      </c>
      <c r="B209" s="6" t="s">
        <v>86</v>
      </c>
      <c r="C209" s="6" t="s">
        <v>213</v>
      </c>
      <c r="D209" s="6"/>
      <c r="E209" s="6"/>
      <c r="F209" s="6">
        <v>296</v>
      </c>
      <c r="G209" s="7"/>
      <c r="H209" s="6"/>
      <c r="I209" s="6">
        <v>105624274.2</v>
      </c>
      <c r="J209" s="6">
        <v>1152.353</v>
      </c>
      <c r="K209" s="6">
        <v>91659.65133947671</v>
      </c>
      <c r="L209" s="6"/>
      <c r="M209" s="6"/>
      <c r="N209" s="6"/>
      <c r="O209" s="7">
        <v>451.9701815741933</v>
      </c>
      <c r="P209" s="15"/>
      <c r="Q209" s="6" t="b">
        <v>1</v>
      </c>
    </row>
    <row r="210" spans="1:17">
      <c r="A210" s="6" t="s">
        <v>26</v>
      </c>
      <c r="B210" s="6" t="s">
        <v>86</v>
      </c>
      <c r="C210" s="6" t="s">
        <v>214</v>
      </c>
      <c r="D210" s="6"/>
      <c r="E210" s="6"/>
      <c r="F210" s="6">
        <v>129</v>
      </c>
      <c r="G210" s="7"/>
      <c r="H210" s="6"/>
      <c r="I210" s="6">
        <v>3200810</v>
      </c>
      <c r="J210" s="6">
        <v>51.202</v>
      </c>
      <c r="K210" s="6">
        <v>62513.37838365689</v>
      </c>
      <c r="L210" s="6"/>
      <c r="M210" s="6"/>
      <c r="N210" s="6"/>
      <c r="O210" s="7">
        <v>293.845633171886</v>
      </c>
      <c r="P210" s="15"/>
      <c r="Q210" s="6" t="b">
        <v>1</v>
      </c>
    </row>
    <row r="211" spans="1:17">
      <c r="A211" s="6" t="s">
        <v>26</v>
      </c>
      <c r="B211" s="6" t="s">
        <v>86</v>
      </c>
      <c r="C211" s="6" t="s">
        <v>215</v>
      </c>
      <c r="D211" s="6"/>
      <c r="E211" s="6"/>
      <c r="F211" s="6">
        <v>4597</v>
      </c>
      <c r="G211" s="7"/>
      <c r="H211" s="6"/>
      <c r="I211" s="6">
        <v>1020835299.5</v>
      </c>
      <c r="J211" s="6">
        <v>11061.101</v>
      </c>
      <c r="K211" s="6">
        <v>92290.56849765679</v>
      </c>
      <c r="L211" s="6"/>
      <c r="M211" s="6"/>
      <c r="N211" s="6"/>
      <c r="O211" s="7">
        <v>609.0968047756232</v>
      </c>
      <c r="P211" s="15"/>
      <c r="Q211" s="6" t="b">
        <v>1</v>
      </c>
    </row>
    <row r="212" spans="1:17">
      <c r="A212" s="6" t="s">
        <v>26</v>
      </c>
      <c r="B212" s="6" t="s">
        <v>86</v>
      </c>
      <c r="C212" s="6" t="s">
        <v>341</v>
      </c>
      <c r="D212" s="6"/>
      <c r="E212" s="6"/>
      <c r="F212" s="6">
        <v>55</v>
      </c>
      <c r="G212" s="7"/>
      <c r="H212" s="6"/>
      <c r="I212" s="6">
        <v>11898999.5</v>
      </c>
      <c r="J212" s="6">
        <v>176.49</v>
      </c>
      <c r="K212" s="6">
        <v>67420.24760609666</v>
      </c>
      <c r="L212" s="6"/>
      <c r="M212" s="6"/>
      <c r="N212" s="6"/>
      <c r="O212" s="7">
        <v>451.9701815741933</v>
      </c>
      <c r="P212" s="15"/>
      <c r="Q212" s="6" t="b">
        <v>1</v>
      </c>
    </row>
    <row r="213" spans="1:17">
      <c r="A213" s="6" t="s">
        <v>26</v>
      </c>
      <c r="B213" s="6" t="s">
        <v>86</v>
      </c>
      <c r="C213" s="6" t="s">
        <v>217</v>
      </c>
      <c r="D213" s="6"/>
      <c r="E213" s="6"/>
      <c r="F213" s="6">
        <v>3252</v>
      </c>
      <c r="G213" s="7"/>
      <c r="H213" s="6"/>
      <c r="I213" s="6">
        <v>451904128.3</v>
      </c>
      <c r="J213" s="6">
        <v>5905.895</v>
      </c>
      <c r="K213" s="6">
        <v>76517.46742873012</v>
      </c>
      <c r="L213" s="6"/>
      <c r="M213" s="6"/>
      <c r="N213" s="6"/>
      <c r="O213" s="7">
        <v>261.7605408215886</v>
      </c>
      <c r="P213" s="15"/>
      <c r="Q213" s="6" t="b">
        <v>1</v>
      </c>
    </row>
    <row r="214" spans="1:17">
      <c r="A214" s="6" t="s">
        <v>26</v>
      </c>
      <c r="B214" s="6" t="s">
        <v>86</v>
      </c>
      <c r="C214" s="6" t="s">
        <v>218</v>
      </c>
      <c r="D214" s="6"/>
      <c r="E214" s="6"/>
      <c r="F214" s="6">
        <v>428</v>
      </c>
      <c r="G214" s="7"/>
      <c r="H214" s="6"/>
      <c r="I214" s="6">
        <v>64207715.9</v>
      </c>
      <c r="J214" s="6">
        <v>815.376</v>
      </c>
      <c r="K214" s="6">
        <v>78746.14398755912</v>
      </c>
      <c r="L214" s="6"/>
      <c r="M214" s="6"/>
      <c r="N214" s="6"/>
      <c r="O214" s="7">
        <v>396.7427143882843</v>
      </c>
      <c r="P214" s="15"/>
      <c r="Q214" s="6" t="b">
        <v>1</v>
      </c>
    </row>
    <row r="215" spans="1:17">
      <c r="A215" s="6" t="s">
        <v>26</v>
      </c>
      <c r="B215" s="6" t="s">
        <v>86</v>
      </c>
      <c r="C215" s="6" t="s">
        <v>219</v>
      </c>
      <c r="D215" s="6"/>
      <c r="E215" s="6"/>
      <c r="F215" s="6">
        <v>1</v>
      </c>
      <c r="G215" s="7"/>
      <c r="H215" s="6"/>
      <c r="I215" s="6">
        <v>56060</v>
      </c>
      <c r="J215" s="6">
        <v>1.885</v>
      </c>
      <c r="K215" s="6">
        <v>29740.05305039788</v>
      </c>
      <c r="L215" s="6"/>
      <c r="M215" s="6"/>
      <c r="N215" s="6"/>
      <c r="O215" s="7">
        <v>267.4890129580569</v>
      </c>
      <c r="P215" s="15"/>
      <c r="Q215" s="6" t="b">
        <v>0</v>
      </c>
    </row>
    <row r="216" spans="1:17">
      <c r="A216" s="6" t="s">
        <v>26</v>
      </c>
      <c r="B216" s="6" t="s">
        <v>86</v>
      </c>
      <c r="C216" s="6" t="s">
        <v>220</v>
      </c>
      <c r="D216" s="6"/>
      <c r="E216" s="6"/>
      <c r="F216" s="6">
        <v>334</v>
      </c>
      <c r="G216" s="7"/>
      <c r="H216" s="6"/>
      <c r="I216" s="6">
        <v>4836605</v>
      </c>
      <c r="J216" s="6">
        <v>87.922</v>
      </c>
      <c r="K216" s="6">
        <v>55010.17947726394</v>
      </c>
      <c r="L216" s="6"/>
      <c r="M216" s="6"/>
      <c r="N216" s="6"/>
      <c r="O216" s="7">
        <v>176.4519360147678</v>
      </c>
      <c r="P216" s="15"/>
      <c r="Q216" s="6" t="b">
        <v>1</v>
      </c>
    </row>
    <row r="217" spans="1:17">
      <c r="A217" s="6" t="s">
        <v>26</v>
      </c>
      <c r="B217" s="6" t="s">
        <v>86</v>
      </c>
      <c r="C217" s="6" t="s">
        <v>221</v>
      </c>
      <c r="D217" s="6"/>
      <c r="E217" s="6"/>
      <c r="F217" s="6">
        <v>1</v>
      </c>
      <c r="G217" s="7"/>
      <c r="H217" s="6"/>
      <c r="I217" s="6">
        <v>21801</v>
      </c>
      <c r="J217" s="6">
        <v>0.65</v>
      </c>
      <c r="K217" s="6">
        <v>33540</v>
      </c>
      <c r="L217" s="6"/>
      <c r="M217" s="6"/>
      <c r="N217" s="6"/>
      <c r="O217" s="7">
        <v>236.3904140109926</v>
      </c>
      <c r="P217" s="15"/>
      <c r="Q217" s="6" t="b">
        <v>0</v>
      </c>
    </row>
    <row r="218" spans="1:17">
      <c r="A218" s="6" t="s">
        <v>26</v>
      </c>
      <c r="B218" s="6" t="s">
        <v>86</v>
      </c>
      <c r="C218" s="6" t="s">
        <v>342</v>
      </c>
      <c r="D218" s="6"/>
      <c r="E218" s="6"/>
      <c r="F218" s="6">
        <v>4917</v>
      </c>
      <c r="G218" s="7"/>
      <c r="H218" s="6"/>
      <c r="I218" s="6">
        <v>155445276</v>
      </c>
      <c r="J218" s="6">
        <v>4671.497</v>
      </c>
      <c r="K218" s="6">
        <v>33275.25972937583</v>
      </c>
      <c r="L218" s="6"/>
      <c r="M218" s="6"/>
      <c r="N218" s="6"/>
      <c r="O218" s="7">
        <v>105.474019511098</v>
      </c>
      <c r="P218" s="15"/>
      <c r="Q218" s="6" t="b">
        <v>1</v>
      </c>
    </row>
    <row r="219" spans="1:17">
      <c r="A219" s="6" t="s">
        <v>26</v>
      </c>
      <c r="B219" s="6" t="s">
        <v>86</v>
      </c>
      <c r="C219" s="6" t="s">
        <v>343</v>
      </c>
      <c r="D219" s="6"/>
      <c r="E219" s="6"/>
      <c r="F219" s="6">
        <v>11</v>
      </c>
      <c r="G219" s="7"/>
      <c r="H219" s="6"/>
      <c r="I219" s="6">
        <v>9297399.9</v>
      </c>
      <c r="J219" s="6">
        <v>133.307</v>
      </c>
      <c r="K219" s="6">
        <v>69744.27374406446</v>
      </c>
      <c r="L219" s="6"/>
      <c r="M219" s="6"/>
      <c r="N219" s="6"/>
      <c r="O219" s="7">
        <v>451.9701815741933</v>
      </c>
      <c r="P219" s="15"/>
      <c r="Q219" s="6" t="b">
        <v>1</v>
      </c>
    </row>
    <row r="220" spans="1:17">
      <c r="A220" s="6" t="s">
        <v>26</v>
      </c>
      <c r="B220" s="6" t="s">
        <v>86</v>
      </c>
      <c r="C220" s="6" t="s">
        <v>223</v>
      </c>
      <c r="D220" s="6"/>
      <c r="E220" s="6"/>
      <c r="F220" s="6">
        <v>3500</v>
      </c>
      <c r="G220" s="7"/>
      <c r="H220" s="6"/>
      <c r="I220" s="6">
        <v>146268036.8</v>
      </c>
      <c r="J220" s="6">
        <v>5990.01</v>
      </c>
      <c r="K220" s="6">
        <v>24418.66320757394</v>
      </c>
      <c r="L220" s="6"/>
      <c r="M220" s="6"/>
      <c r="N220" s="6"/>
      <c r="O220" s="7">
        <v>32.47790042156176</v>
      </c>
      <c r="P220" s="15"/>
      <c r="Q220" s="6" t="b">
        <v>1</v>
      </c>
    </row>
    <row r="221" spans="1:17">
      <c r="A221" s="6" t="s">
        <v>26</v>
      </c>
      <c r="B221" s="6" t="s">
        <v>86</v>
      </c>
      <c r="C221" s="6" t="s">
        <v>224</v>
      </c>
      <c r="D221" s="6"/>
      <c r="E221" s="6"/>
      <c r="F221" s="6">
        <v>3830</v>
      </c>
      <c r="G221" s="7"/>
      <c r="H221" s="6"/>
      <c r="I221" s="6">
        <v>282571854.7</v>
      </c>
      <c r="J221" s="6">
        <v>6302.812</v>
      </c>
      <c r="K221" s="6">
        <v>44832.66432506633</v>
      </c>
      <c r="L221" s="6"/>
      <c r="M221" s="6"/>
      <c r="N221" s="6"/>
      <c r="O221" s="7">
        <v>268.7752973488854</v>
      </c>
      <c r="P221" s="15"/>
      <c r="Q221" s="6" t="b">
        <v>1</v>
      </c>
    </row>
    <row r="222" spans="1:17">
      <c r="A222" s="6" t="s">
        <v>26</v>
      </c>
      <c r="B222" s="6" t="s">
        <v>86</v>
      </c>
      <c r="C222" s="6" t="s">
        <v>226</v>
      </c>
      <c r="D222" s="6"/>
      <c r="E222" s="6"/>
      <c r="F222" s="6">
        <v>5159</v>
      </c>
      <c r="G222" s="7"/>
      <c r="H222" s="6"/>
      <c r="I222" s="6">
        <v>587640690.8</v>
      </c>
      <c r="J222" s="6">
        <v>7854.15</v>
      </c>
      <c r="K222" s="6">
        <v>74819.13266235047</v>
      </c>
      <c r="L222" s="6"/>
      <c r="M222" s="6"/>
      <c r="N222" s="6"/>
      <c r="O222" s="7">
        <v>479.7185582753972</v>
      </c>
      <c r="P222" s="15"/>
      <c r="Q222" s="6" t="b">
        <v>1</v>
      </c>
    </row>
    <row r="223" spans="1:17">
      <c r="A223" s="6" t="s">
        <v>26</v>
      </c>
      <c r="B223" s="6" t="s">
        <v>86</v>
      </c>
      <c r="C223" s="6" t="s">
        <v>344</v>
      </c>
      <c r="D223" s="6"/>
      <c r="E223" s="6"/>
      <c r="F223" s="6">
        <v>114</v>
      </c>
      <c r="G223" s="7"/>
      <c r="H223" s="6"/>
      <c r="I223" s="6">
        <v>67600177.40000001</v>
      </c>
      <c r="J223" s="6">
        <v>841.706</v>
      </c>
      <c r="K223" s="6">
        <v>80313.28920074231</v>
      </c>
      <c r="L223" s="6"/>
      <c r="M223" s="6"/>
      <c r="N223" s="6"/>
      <c r="O223" s="7">
        <v>451.9701815741933</v>
      </c>
      <c r="P223" s="15"/>
      <c r="Q223" s="6" t="b">
        <v>1</v>
      </c>
    </row>
    <row r="224" spans="1:17">
      <c r="A224" s="6" t="s">
        <v>26</v>
      </c>
      <c r="B224" s="6" t="s">
        <v>86</v>
      </c>
      <c r="C224" s="6" t="s">
        <v>345</v>
      </c>
      <c r="D224" s="6"/>
      <c r="E224" s="6"/>
      <c r="F224" s="6">
        <v>4062</v>
      </c>
      <c r="G224" s="7"/>
      <c r="H224" s="6"/>
      <c r="I224" s="6">
        <v>79160789.59999999</v>
      </c>
      <c r="J224" s="6">
        <v>2504.806</v>
      </c>
      <c r="K224" s="6">
        <v>31603.56115403747</v>
      </c>
      <c r="L224" s="6"/>
      <c r="M224" s="6"/>
      <c r="N224" s="6"/>
      <c r="O224" s="7">
        <v>45.25131199277246</v>
      </c>
      <c r="P224" s="15"/>
      <c r="Q224" s="6" t="b">
        <v>1</v>
      </c>
    </row>
    <row r="225" spans="1:17">
      <c r="A225" s="6" t="s">
        <v>26</v>
      </c>
      <c r="B225" s="6" t="s">
        <v>86</v>
      </c>
      <c r="C225" s="6" t="s">
        <v>227</v>
      </c>
      <c r="D225" s="6"/>
      <c r="E225" s="6"/>
      <c r="F225" s="6">
        <v>2609</v>
      </c>
      <c r="G225" s="7"/>
      <c r="H225" s="6"/>
      <c r="I225" s="6">
        <v>105130687.7</v>
      </c>
      <c r="J225" s="6">
        <v>2100.218</v>
      </c>
      <c r="K225" s="6">
        <v>50057.03584104127</v>
      </c>
      <c r="L225" s="6"/>
      <c r="M225" s="6"/>
      <c r="N225" s="6"/>
      <c r="O225" s="7">
        <v>198.7256973986927</v>
      </c>
      <c r="P225" s="15"/>
      <c r="Q225" s="6" t="b">
        <v>1</v>
      </c>
    </row>
    <row r="226" spans="1:17">
      <c r="A226" s="6" t="s">
        <v>26</v>
      </c>
      <c r="B226" s="6" t="s">
        <v>86</v>
      </c>
      <c r="C226" s="6" t="s">
        <v>228</v>
      </c>
      <c r="D226" s="6"/>
      <c r="E226" s="6"/>
      <c r="F226" s="6">
        <v>36</v>
      </c>
      <c r="G226" s="7"/>
      <c r="H226" s="6"/>
      <c r="I226" s="6">
        <v>5943573</v>
      </c>
      <c r="J226" s="6">
        <v>73.672</v>
      </c>
      <c r="K226" s="6">
        <v>80676.14561841678</v>
      </c>
      <c r="L226" s="6"/>
      <c r="M226" s="6"/>
      <c r="N226" s="6"/>
      <c r="O226" s="7">
        <v>339.5211833266362</v>
      </c>
      <c r="P226" s="15"/>
      <c r="Q226" s="6" t="b">
        <v>1</v>
      </c>
    </row>
    <row r="227" spans="1:17">
      <c r="A227" s="6" t="s">
        <v>26</v>
      </c>
      <c r="B227" s="6" t="s">
        <v>86</v>
      </c>
      <c r="C227" s="6" t="s">
        <v>229</v>
      </c>
      <c r="D227" s="6"/>
      <c r="E227" s="6"/>
      <c r="F227" s="6">
        <v>4245</v>
      </c>
      <c r="G227" s="7"/>
      <c r="H227" s="6"/>
      <c r="I227" s="6">
        <v>94050401.90000001</v>
      </c>
      <c r="J227" s="6">
        <v>4440.374</v>
      </c>
      <c r="K227" s="6">
        <v>21180.73880713652</v>
      </c>
      <c r="L227" s="6"/>
      <c r="M227" s="6"/>
      <c r="N227" s="6"/>
      <c r="O227" s="7">
        <v>14.51981827266712</v>
      </c>
      <c r="P227" s="15"/>
      <c r="Q227" s="6" t="b">
        <v>1</v>
      </c>
    </row>
    <row r="228" spans="1:17">
      <c r="A228" s="6" t="s">
        <v>26</v>
      </c>
      <c r="B228" s="6" t="s">
        <v>86</v>
      </c>
      <c r="C228" s="6" t="s">
        <v>230</v>
      </c>
      <c r="D228" s="6"/>
      <c r="E228" s="6"/>
      <c r="F228" s="6">
        <v>4878</v>
      </c>
      <c r="G228" s="7"/>
      <c r="H228" s="6"/>
      <c r="I228" s="6">
        <v>94455339.7</v>
      </c>
      <c r="J228" s="6">
        <v>3005.645</v>
      </c>
      <c r="K228" s="6">
        <v>31425.98001427314</v>
      </c>
      <c r="L228" s="6"/>
      <c r="M228" s="6"/>
      <c r="N228" s="6"/>
      <c r="O228" s="7">
        <v>32.26249113769556</v>
      </c>
      <c r="P228" s="15"/>
      <c r="Q228" s="6" t="b">
        <v>1</v>
      </c>
    </row>
    <row r="229" spans="1:17">
      <c r="A229" s="6" t="s">
        <v>26</v>
      </c>
      <c r="B229" s="6" t="s">
        <v>86</v>
      </c>
      <c r="C229" s="6" t="s">
        <v>231</v>
      </c>
      <c r="D229" s="6"/>
      <c r="E229" s="6"/>
      <c r="F229" s="6">
        <v>101</v>
      </c>
      <c r="G229" s="7"/>
      <c r="H229" s="6"/>
      <c r="I229" s="6">
        <v>25430000</v>
      </c>
      <c r="J229" s="6">
        <v>274.054</v>
      </c>
      <c r="K229" s="6">
        <v>92791.93151714627</v>
      </c>
      <c r="L229" s="6"/>
      <c r="M229" s="6"/>
      <c r="N229" s="6"/>
      <c r="O229" s="7">
        <v>451.9701815741933</v>
      </c>
      <c r="P229" s="15"/>
      <c r="Q229" s="6" t="b">
        <v>1</v>
      </c>
    </row>
    <row r="230" spans="1:17">
      <c r="A230" s="6" t="s">
        <v>26</v>
      </c>
      <c r="B230" s="6" t="s">
        <v>86</v>
      </c>
      <c r="C230" s="6" t="s">
        <v>346</v>
      </c>
      <c r="D230" s="6"/>
      <c r="E230" s="6"/>
      <c r="F230" s="6">
        <v>72</v>
      </c>
      <c r="G230" s="7"/>
      <c r="H230" s="6"/>
      <c r="I230" s="6">
        <v>18912500</v>
      </c>
      <c r="J230" s="6">
        <v>206.849</v>
      </c>
      <c r="K230" s="6">
        <v>91431.43065714603</v>
      </c>
      <c r="L230" s="6"/>
      <c r="M230" s="6"/>
      <c r="N230" s="6"/>
      <c r="O230" s="7">
        <v>451.9701815741933</v>
      </c>
      <c r="P230" s="15"/>
      <c r="Q230" s="6" t="b">
        <v>1</v>
      </c>
    </row>
    <row r="231" spans="1:17">
      <c r="A231" s="6" t="s">
        <v>26</v>
      </c>
      <c r="B231" s="6" t="s">
        <v>86</v>
      </c>
      <c r="C231" s="6" t="s">
        <v>232</v>
      </c>
      <c r="D231" s="6"/>
      <c r="E231" s="6"/>
      <c r="F231" s="6">
        <v>1</v>
      </c>
      <c r="G231" s="7"/>
      <c r="H231" s="6"/>
      <c r="I231" s="6">
        <v>21801</v>
      </c>
      <c r="J231" s="6">
        <v>0.65</v>
      </c>
      <c r="K231" s="6">
        <v>33540</v>
      </c>
      <c r="L231" s="6"/>
      <c r="M231" s="6"/>
      <c r="N231" s="6"/>
      <c r="O231" s="7">
        <v>245.5921884479748</v>
      </c>
      <c r="P231" s="15"/>
      <c r="Q231" s="6" t="b">
        <v>0</v>
      </c>
    </row>
    <row r="232" spans="1:17">
      <c r="A232" s="6" t="s">
        <v>26</v>
      </c>
      <c r="B232" s="6" t="s">
        <v>86</v>
      </c>
      <c r="C232" s="6" t="s">
        <v>233</v>
      </c>
      <c r="D232" s="6"/>
      <c r="E232" s="6"/>
      <c r="F232" s="6">
        <v>2650</v>
      </c>
      <c r="G232" s="7"/>
      <c r="H232" s="6"/>
      <c r="I232" s="6">
        <v>125063669.4</v>
      </c>
      <c r="J232" s="6">
        <v>2921.65</v>
      </c>
      <c r="K232" s="6">
        <v>42805.8355381377</v>
      </c>
      <c r="L232" s="6"/>
      <c r="M232" s="6"/>
      <c r="N232" s="6"/>
      <c r="O232" s="7">
        <v>661.1808065859076</v>
      </c>
      <c r="P232" s="15"/>
      <c r="Q232" s="6" t="b">
        <v>1</v>
      </c>
    </row>
    <row r="233" spans="1:17">
      <c r="A233" s="6" t="s">
        <v>26</v>
      </c>
      <c r="B233" s="6" t="s">
        <v>86</v>
      </c>
      <c r="C233" s="6" t="s">
        <v>234</v>
      </c>
      <c r="D233" s="6"/>
      <c r="E233" s="6"/>
      <c r="F233" s="6">
        <v>2951</v>
      </c>
      <c r="G233" s="7"/>
      <c r="H233" s="6"/>
      <c r="I233" s="6">
        <v>137918844.2</v>
      </c>
      <c r="J233" s="6">
        <v>2231.762</v>
      </c>
      <c r="K233" s="6">
        <v>61798.18645536575</v>
      </c>
      <c r="L233" s="6"/>
      <c r="M233" s="6"/>
      <c r="N233" s="6"/>
      <c r="O233" s="7">
        <v>350.7540175350312</v>
      </c>
      <c r="P233" s="15"/>
      <c r="Q233" s="6" t="b">
        <v>1</v>
      </c>
    </row>
    <row r="234" spans="1:17">
      <c r="A234" s="6" t="s">
        <v>26</v>
      </c>
      <c r="B234" s="6" t="s">
        <v>86</v>
      </c>
      <c r="C234" s="6" t="s">
        <v>236</v>
      </c>
      <c r="D234" s="6"/>
      <c r="E234" s="6"/>
      <c r="F234" s="6">
        <v>3572</v>
      </c>
      <c r="G234" s="7"/>
      <c r="H234" s="6"/>
      <c r="I234" s="6">
        <v>516772083.3</v>
      </c>
      <c r="J234" s="6">
        <v>11434.855</v>
      </c>
      <c r="K234" s="6">
        <v>45192.70977200848</v>
      </c>
      <c r="L234" s="6"/>
      <c r="M234" s="6"/>
      <c r="N234" s="6"/>
      <c r="O234" s="7">
        <v>268.3814742912604</v>
      </c>
      <c r="P234" s="15"/>
      <c r="Q234" s="6" t="b">
        <v>1</v>
      </c>
    </row>
    <row r="235" spans="1:17">
      <c r="A235" s="6" t="s">
        <v>26</v>
      </c>
      <c r="B235" s="6" t="s">
        <v>86</v>
      </c>
      <c r="C235" s="6" t="s">
        <v>237</v>
      </c>
      <c r="D235" s="6"/>
      <c r="E235" s="6"/>
      <c r="F235" s="6">
        <v>11</v>
      </c>
      <c r="G235" s="7"/>
      <c r="H235" s="6"/>
      <c r="I235" s="6">
        <v>6616112</v>
      </c>
      <c r="J235" s="6">
        <v>104.86</v>
      </c>
      <c r="K235" s="6">
        <v>63094.71676521076</v>
      </c>
      <c r="L235" s="6"/>
      <c r="M235" s="6"/>
      <c r="N235" s="6"/>
      <c r="O235" s="7">
        <v>302.5483535614543</v>
      </c>
      <c r="P235" s="15"/>
      <c r="Q235" s="6" t="b">
        <v>1</v>
      </c>
    </row>
    <row r="236" spans="1:17">
      <c r="A236" s="6" t="s">
        <v>26</v>
      </c>
      <c r="B236" s="6" t="s">
        <v>86</v>
      </c>
      <c r="C236" s="6" t="s">
        <v>238</v>
      </c>
      <c r="D236" s="6"/>
      <c r="E236" s="6"/>
      <c r="F236" s="6">
        <v>1</v>
      </c>
      <c r="G236" s="7"/>
      <c r="H236" s="6"/>
      <c r="I236" s="6">
        <v>24916</v>
      </c>
      <c r="J236" s="6">
        <v>0.845</v>
      </c>
      <c r="K236" s="6">
        <v>29486.39053254438</v>
      </c>
      <c r="L236" s="6"/>
      <c r="M236" s="6"/>
      <c r="N236" s="6"/>
      <c r="O236" s="7">
        <v>275.0457073286304</v>
      </c>
      <c r="P236" s="15"/>
      <c r="Q236" s="6" t="b">
        <v>0</v>
      </c>
    </row>
    <row r="237" spans="1:17">
      <c r="A237" s="6" t="s">
        <v>26</v>
      </c>
      <c r="B237" s="6" t="s">
        <v>86</v>
      </c>
      <c r="C237" s="6" t="s">
        <v>239</v>
      </c>
      <c r="D237" s="6"/>
      <c r="E237" s="6"/>
      <c r="F237" s="6">
        <v>2707</v>
      </c>
      <c r="G237" s="7"/>
      <c r="H237" s="6"/>
      <c r="I237" s="6">
        <v>357756891.9</v>
      </c>
      <c r="J237" s="6">
        <v>4374.284</v>
      </c>
      <c r="K237" s="6">
        <v>81786.38878957105</v>
      </c>
      <c r="L237" s="6"/>
      <c r="M237" s="6"/>
      <c r="N237" s="6"/>
      <c r="O237" s="7">
        <v>686.0886878825123</v>
      </c>
      <c r="P237" s="15"/>
      <c r="Q237" s="6" t="b">
        <v>1</v>
      </c>
    </row>
    <row r="238" spans="1:17">
      <c r="A238" s="6" t="s">
        <v>26</v>
      </c>
      <c r="B238" s="6" t="s">
        <v>86</v>
      </c>
      <c r="C238" s="6" t="s">
        <v>347</v>
      </c>
      <c r="D238" s="6"/>
      <c r="E238" s="6"/>
      <c r="F238" s="6">
        <v>16</v>
      </c>
      <c r="G238" s="7"/>
      <c r="H238" s="6"/>
      <c r="I238" s="6">
        <v>5941772.9</v>
      </c>
      <c r="J238" s="6">
        <v>64.51000000000001</v>
      </c>
      <c r="K238" s="6">
        <v>92106.23004185398</v>
      </c>
      <c r="L238" s="6"/>
      <c r="M238" s="6"/>
      <c r="N238" s="6"/>
      <c r="O238" s="7">
        <v>451.9701815741933</v>
      </c>
      <c r="P238" s="15"/>
      <c r="Q238" s="6" t="b">
        <v>1</v>
      </c>
    </row>
    <row r="239" spans="1:17">
      <c r="A239" s="6" t="s">
        <v>26</v>
      </c>
      <c r="B239" s="6" t="s">
        <v>86</v>
      </c>
      <c r="C239" s="6" t="s">
        <v>240</v>
      </c>
      <c r="D239" s="6"/>
      <c r="E239" s="6"/>
      <c r="F239" s="6">
        <v>1</v>
      </c>
      <c r="G239" s="7"/>
      <c r="H239" s="6"/>
      <c r="I239" s="6">
        <v>52945</v>
      </c>
      <c r="J239" s="6">
        <v>1.625</v>
      </c>
      <c r="K239" s="6">
        <v>32581.53846153846</v>
      </c>
      <c r="L239" s="6"/>
      <c r="M239" s="6"/>
      <c r="N239" s="6"/>
      <c r="O239" s="7">
        <v>283.2180933539677</v>
      </c>
      <c r="P239" s="15"/>
      <c r="Q239" s="6" t="b">
        <v>0</v>
      </c>
    </row>
    <row r="240" spans="1:17">
      <c r="A240" s="6" t="s">
        <v>26</v>
      </c>
      <c r="B240" s="6" t="s">
        <v>86</v>
      </c>
      <c r="C240" s="6" t="s">
        <v>241</v>
      </c>
      <c r="D240" s="6"/>
      <c r="E240" s="6"/>
      <c r="F240" s="6">
        <v>1786</v>
      </c>
      <c r="G240" s="7"/>
      <c r="H240" s="6"/>
      <c r="I240" s="6">
        <v>114881909.4</v>
      </c>
      <c r="J240" s="6">
        <v>2667.255</v>
      </c>
      <c r="K240" s="6">
        <v>43071.21343853512</v>
      </c>
      <c r="L240" s="6"/>
      <c r="M240" s="6"/>
      <c r="N240" s="6"/>
      <c r="O240" s="7">
        <v>31.67612954376446</v>
      </c>
      <c r="P240" s="15"/>
      <c r="Q240" s="6" t="b">
        <v>1</v>
      </c>
    </row>
    <row r="241" spans="1:17">
      <c r="A241" s="6" t="s">
        <v>26</v>
      </c>
      <c r="B241" s="6" t="s">
        <v>86</v>
      </c>
      <c r="C241" s="6" t="s">
        <v>242</v>
      </c>
      <c r="D241" s="6"/>
      <c r="E241" s="6"/>
      <c r="F241" s="6">
        <v>7329</v>
      </c>
      <c r="G241" s="7"/>
      <c r="H241" s="6"/>
      <c r="I241" s="6">
        <v>482490003.1</v>
      </c>
      <c r="J241" s="6">
        <v>8432.004999999999</v>
      </c>
      <c r="K241" s="6">
        <v>57221.26624687723</v>
      </c>
      <c r="L241" s="6"/>
      <c r="M241" s="6"/>
      <c r="N241" s="6"/>
      <c r="O241" s="7">
        <v>340.4658527886728</v>
      </c>
      <c r="P241" s="15"/>
      <c r="Q241" s="6" t="b">
        <v>1</v>
      </c>
    </row>
    <row r="242" spans="1:17">
      <c r="A242" s="6" t="s">
        <v>26</v>
      </c>
      <c r="B242" s="6" t="s">
        <v>86</v>
      </c>
      <c r="C242" s="6" t="s">
        <v>243</v>
      </c>
      <c r="D242" s="6"/>
      <c r="E242" s="6"/>
      <c r="F242" s="6">
        <v>1</v>
      </c>
      <c r="G242" s="7"/>
      <c r="H242" s="6"/>
      <c r="I242" s="6">
        <v>24916</v>
      </c>
      <c r="J242" s="6">
        <v>0.845</v>
      </c>
      <c r="K242" s="6">
        <v>29486.39053254438</v>
      </c>
      <c r="L242" s="6"/>
      <c r="M242" s="6"/>
      <c r="N242" s="6"/>
      <c r="O242" s="7">
        <v>449.1280596042487</v>
      </c>
      <c r="P242" s="15"/>
      <c r="Q242" s="6" t="b">
        <v>0</v>
      </c>
    </row>
    <row r="243" spans="1:17">
      <c r="A243" s="6" t="s">
        <v>26</v>
      </c>
      <c r="B243" s="6" t="s">
        <v>86</v>
      </c>
      <c r="C243" s="6" t="s">
        <v>245</v>
      </c>
      <c r="D243" s="6"/>
      <c r="E243" s="6"/>
      <c r="F243" s="6">
        <v>1279</v>
      </c>
      <c r="G243" s="7"/>
      <c r="H243" s="6"/>
      <c r="I243" s="6">
        <v>69626021.7</v>
      </c>
      <c r="J243" s="6">
        <v>2712.95</v>
      </c>
      <c r="K243" s="6">
        <v>25664.32175307323</v>
      </c>
      <c r="L243" s="6"/>
      <c r="M243" s="6"/>
      <c r="N243" s="6"/>
      <c r="O243" s="7">
        <v>18.53860477863087</v>
      </c>
      <c r="P243" s="15"/>
      <c r="Q243" s="6" t="b">
        <v>1</v>
      </c>
    </row>
    <row r="244" spans="1:17">
      <c r="A244" s="6" t="s">
        <v>26</v>
      </c>
      <c r="B244" s="6" t="s">
        <v>86</v>
      </c>
      <c r="C244" s="6" t="s">
        <v>348</v>
      </c>
      <c r="D244" s="6"/>
      <c r="E244" s="6"/>
      <c r="F244" s="6">
        <v>297</v>
      </c>
      <c r="G244" s="7"/>
      <c r="H244" s="6"/>
      <c r="I244" s="6">
        <v>143413865.3</v>
      </c>
      <c r="J244" s="6">
        <v>1652.031</v>
      </c>
      <c r="K244" s="6">
        <v>86810.6381175656</v>
      </c>
      <c r="L244" s="6"/>
      <c r="M244" s="6"/>
      <c r="N244" s="6"/>
      <c r="O244" s="7">
        <v>451.9701815741933</v>
      </c>
      <c r="P244" s="15"/>
      <c r="Q244" s="6" t="b">
        <v>1</v>
      </c>
    </row>
    <row r="245" spans="1:17">
      <c r="A245" s="6" t="s">
        <v>26</v>
      </c>
      <c r="B245" s="6" t="s">
        <v>86</v>
      </c>
      <c r="C245" s="6" t="s">
        <v>349</v>
      </c>
      <c r="D245" s="6"/>
      <c r="E245" s="6"/>
      <c r="F245" s="6">
        <v>42</v>
      </c>
      <c r="G245" s="7"/>
      <c r="H245" s="6"/>
      <c r="I245" s="6">
        <v>17118415</v>
      </c>
      <c r="J245" s="6">
        <v>207.601</v>
      </c>
      <c r="K245" s="6">
        <v>82458.24923772043</v>
      </c>
      <c r="L245" s="6"/>
      <c r="M245" s="6"/>
      <c r="N245" s="6"/>
      <c r="O245" s="7">
        <v>451.9701815741933</v>
      </c>
      <c r="P245" s="15"/>
      <c r="Q245" s="6" t="b">
        <v>1</v>
      </c>
    </row>
    <row r="246" spans="1:17">
      <c r="A246" s="6" t="s">
        <v>26</v>
      </c>
      <c r="B246" s="6" t="s">
        <v>86</v>
      </c>
      <c r="C246" s="6" t="s">
        <v>350</v>
      </c>
      <c r="D246" s="6"/>
      <c r="E246" s="6"/>
      <c r="F246" s="6">
        <v>21</v>
      </c>
      <c r="G246" s="7"/>
      <c r="H246" s="6"/>
      <c r="I246" s="6">
        <v>35565199.9</v>
      </c>
      <c r="J246" s="6">
        <v>413.665</v>
      </c>
      <c r="K246" s="6">
        <v>85975.84978182829</v>
      </c>
      <c r="L246" s="6"/>
      <c r="M246" s="6"/>
      <c r="N246" s="6"/>
      <c r="O246" s="7">
        <v>451.9701815741933</v>
      </c>
      <c r="P246" s="15"/>
      <c r="Q246" s="6" t="b">
        <v>1</v>
      </c>
    </row>
    <row r="247" spans="1:17">
      <c r="A247" s="6" t="s">
        <v>26</v>
      </c>
      <c r="B247" s="6" t="s">
        <v>86</v>
      </c>
      <c r="C247" s="6" t="s">
        <v>247</v>
      </c>
      <c r="D247" s="6"/>
      <c r="E247" s="6"/>
      <c r="F247" s="6">
        <v>3159</v>
      </c>
      <c r="G247" s="7"/>
      <c r="H247" s="6"/>
      <c r="I247" s="6">
        <v>200533067.7</v>
      </c>
      <c r="J247" s="6">
        <v>4195.534</v>
      </c>
      <c r="K247" s="6">
        <v>47796.79242260937</v>
      </c>
      <c r="L247" s="6"/>
      <c r="M247" s="6"/>
      <c r="N247" s="6"/>
      <c r="O247" s="7">
        <v>251.9830759206961</v>
      </c>
      <c r="P247" s="15"/>
      <c r="Q247" s="6" t="b">
        <v>1</v>
      </c>
    </row>
    <row r="248" spans="1:17">
      <c r="A248" s="6" t="s">
        <v>26</v>
      </c>
      <c r="B248" s="6" t="s">
        <v>86</v>
      </c>
      <c r="C248" s="6" t="s">
        <v>248</v>
      </c>
      <c r="D248" s="6"/>
      <c r="E248" s="6"/>
      <c r="F248" s="6">
        <v>204</v>
      </c>
      <c r="G248" s="7"/>
      <c r="H248" s="6"/>
      <c r="I248" s="6">
        <v>53700189</v>
      </c>
      <c r="J248" s="6">
        <v>503.213</v>
      </c>
      <c r="K248" s="6">
        <v>106714.629788976</v>
      </c>
      <c r="L248" s="6"/>
      <c r="M248" s="6"/>
      <c r="N248" s="6"/>
      <c r="O248" s="7">
        <v>839.9464083119385</v>
      </c>
      <c r="P248" s="15"/>
      <c r="Q248" s="6" t="b">
        <v>1</v>
      </c>
    </row>
    <row r="249" spans="1:17">
      <c r="A249" s="6" t="s">
        <v>26</v>
      </c>
      <c r="B249" s="6" t="s">
        <v>86</v>
      </c>
      <c r="C249" s="6" t="s">
        <v>249</v>
      </c>
      <c r="D249" s="6"/>
      <c r="E249" s="6"/>
      <c r="F249" s="6">
        <v>9871</v>
      </c>
      <c r="G249" s="7"/>
      <c r="H249" s="6"/>
      <c r="I249" s="6">
        <v>392853318.6</v>
      </c>
      <c r="J249" s="6">
        <v>15024.698</v>
      </c>
      <c r="K249" s="6">
        <v>26147.16905457934</v>
      </c>
      <c r="L249" s="6"/>
      <c r="M249" s="6"/>
      <c r="N249" s="6"/>
      <c r="O249" s="7">
        <v>35.31144060484218</v>
      </c>
      <c r="P249" s="15"/>
      <c r="Q249" s="6" t="b">
        <v>1</v>
      </c>
    </row>
    <row r="250" spans="1:17">
      <c r="A250" s="6" t="s">
        <v>26</v>
      </c>
      <c r="B250" s="6" t="s">
        <v>86</v>
      </c>
      <c r="C250" s="6" t="s">
        <v>351</v>
      </c>
      <c r="D250" s="6"/>
      <c r="E250" s="6"/>
      <c r="F250" s="6">
        <v>20</v>
      </c>
      <c r="G250" s="7"/>
      <c r="H250" s="6"/>
      <c r="I250" s="6">
        <v>8690102</v>
      </c>
      <c r="J250" s="6">
        <v>152.666</v>
      </c>
      <c r="K250" s="6">
        <v>56922.31407124049</v>
      </c>
      <c r="L250" s="6"/>
      <c r="M250" s="6"/>
      <c r="N250" s="6"/>
      <c r="O250" s="7">
        <v>154.2277986236377</v>
      </c>
      <c r="P250" s="15"/>
      <c r="Q250" s="6" t="b">
        <v>1</v>
      </c>
    </row>
    <row r="251" spans="1:17">
      <c r="A251" s="6" t="s">
        <v>26</v>
      </c>
      <c r="B251" s="6" t="s">
        <v>86</v>
      </c>
      <c r="C251" s="6" t="s">
        <v>352</v>
      </c>
      <c r="D251" s="6"/>
      <c r="E251" s="6"/>
      <c r="F251" s="6">
        <v>262</v>
      </c>
      <c r="G251" s="7"/>
      <c r="H251" s="6"/>
      <c r="I251" s="6">
        <v>63349759.2</v>
      </c>
      <c r="J251" s="6">
        <v>694.55</v>
      </c>
      <c r="K251" s="6">
        <v>91209.78936001728</v>
      </c>
      <c r="L251" s="6"/>
      <c r="M251" s="6"/>
      <c r="N251" s="6"/>
      <c r="O251" s="7">
        <v>451.9701815741933</v>
      </c>
      <c r="P251" s="15"/>
      <c r="Q251" s="6" t="b">
        <v>1</v>
      </c>
    </row>
    <row r="252" spans="1:17">
      <c r="A252" s="6" t="s">
        <v>26</v>
      </c>
      <c r="B252" s="6" t="s">
        <v>86</v>
      </c>
      <c r="C252" s="6" t="s">
        <v>251</v>
      </c>
      <c r="D252" s="6"/>
      <c r="E252" s="6"/>
      <c r="F252" s="6">
        <v>19</v>
      </c>
      <c r="G252" s="7"/>
      <c r="H252" s="6"/>
      <c r="I252" s="6">
        <v>1148924</v>
      </c>
      <c r="J252" s="6">
        <v>30.631</v>
      </c>
      <c r="K252" s="6">
        <v>37508.53710293493</v>
      </c>
      <c r="L252" s="6"/>
      <c r="M252" s="6"/>
      <c r="N252" s="6"/>
      <c r="O252" s="7">
        <v>23.35842936112786</v>
      </c>
      <c r="P252" s="15"/>
      <c r="Q252" s="6" t="b">
        <v>1</v>
      </c>
    </row>
    <row r="253" spans="1:17">
      <c r="A253" s="6" t="s">
        <v>26</v>
      </c>
      <c r="B253" s="6" t="s">
        <v>86</v>
      </c>
      <c r="C253" s="6" t="s">
        <v>252</v>
      </c>
      <c r="D253" s="6"/>
      <c r="E253" s="6"/>
      <c r="F253" s="6">
        <v>1422</v>
      </c>
      <c r="G253" s="7"/>
      <c r="H253" s="6"/>
      <c r="I253" s="6">
        <v>75184863.59999999</v>
      </c>
      <c r="J253" s="6">
        <v>1630.804</v>
      </c>
      <c r="K253" s="6">
        <v>46102.94284291674</v>
      </c>
      <c r="L253" s="6"/>
      <c r="M253" s="6"/>
      <c r="N253" s="6"/>
      <c r="O253" s="7">
        <v>146.0660680726646</v>
      </c>
      <c r="P253" s="15"/>
      <c r="Q253" s="6" t="b">
        <v>1</v>
      </c>
    </row>
    <row r="254" spans="1:17">
      <c r="A254" s="6" t="s">
        <v>26</v>
      </c>
      <c r="B254" s="6" t="s">
        <v>86</v>
      </c>
      <c r="C254" s="6" t="s">
        <v>253</v>
      </c>
      <c r="D254" s="6"/>
      <c r="E254" s="6"/>
      <c r="F254" s="6">
        <v>1689</v>
      </c>
      <c r="G254" s="7"/>
      <c r="H254" s="6"/>
      <c r="I254" s="6">
        <v>136776454.8</v>
      </c>
      <c r="J254" s="6">
        <v>3552.586</v>
      </c>
      <c r="K254" s="6">
        <v>38500.53307646881</v>
      </c>
      <c r="L254" s="6"/>
      <c r="M254" s="6"/>
      <c r="N254" s="6"/>
      <c r="O254" s="7">
        <v>39.73271310900653</v>
      </c>
      <c r="P254" s="15"/>
      <c r="Q254" s="6" t="b">
        <v>1</v>
      </c>
    </row>
    <row r="255" spans="1:17">
      <c r="A255" s="6" t="s">
        <v>26</v>
      </c>
      <c r="B255" s="6" t="s">
        <v>86</v>
      </c>
      <c r="C255" s="6" t="s">
        <v>353</v>
      </c>
      <c r="D255" s="6"/>
      <c r="E255" s="6"/>
      <c r="F255" s="6">
        <v>34</v>
      </c>
      <c r="G255" s="7"/>
      <c r="H255" s="6"/>
      <c r="I255" s="6">
        <v>11392024.9</v>
      </c>
      <c r="J255" s="6">
        <v>140.633</v>
      </c>
      <c r="K255" s="6">
        <v>81005.34654028571</v>
      </c>
      <c r="L255" s="6"/>
      <c r="M255" s="6"/>
      <c r="N255" s="6"/>
      <c r="O255" s="7">
        <v>2634.779784663041</v>
      </c>
      <c r="P255" s="15"/>
      <c r="Q255" s="6" t="b">
        <v>1</v>
      </c>
    </row>
    <row r="256" spans="1:17">
      <c r="A256" s="6" t="s">
        <v>26</v>
      </c>
      <c r="B256" s="6" t="s">
        <v>86</v>
      </c>
      <c r="C256" s="6" t="s">
        <v>254</v>
      </c>
      <c r="D256" s="6"/>
      <c r="E256" s="6"/>
      <c r="F256" s="6">
        <v>1</v>
      </c>
      <c r="G256" s="7"/>
      <c r="H256" s="6"/>
      <c r="I256" s="6">
        <v>24916</v>
      </c>
      <c r="J256" s="6">
        <v>0.78</v>
      </c>
      <c r="K256" s="6">
        <v>31943.58974358974</v>
      </c>
      <c r="L256" s="6"/>
      <c r="M256" s="6"/>
      <c r="N256" s="6"/>
      <c r="O256" s="7">
        <v>258.7679411313543</v>
      </c>
      <c r="P256" s="15"/>
      <c r="Q256" s="6" t="b">
        <v>0</v>
      </c>
    </row>
    <row r="257" spans="1:17">
      <c r="A257" s="6" t="s">
        <v>26</v>
      </c>
      <c r="B257" s="6" t="s">
        <v>86</v>
      </c>
      <c r="C257" s="6" t="s">
        <v>257</v>
      </c>
      <c r="D257" s="6"/>
      <c r="E257" s="6"/>
      <c r="F257" s="6">
        <v>135</v>
      </c>
      <c r="G257" s="7"/>
      <c r="H257" s="6"/>
      <c r="I257" s="6">
        <v>36240514.9</v>
      </c>
      <c r="J257" s="6">
        <v>393.783</v>
      </c>
      <c r="K257" s="6">
        <v>92031.68978853835</v>
      </c>
      <c r="L257" s="6"/>
      <c r="M257" s="6"/>
      <c r="N257" s="6"/>
      <c r="O257" s="7">
        <v>451.9701815741933</v>
      </c>
      <c r="P257" s="15"/>
      <c r="Q257" s="6" t="b">
        <v>1</v>
      </c>
    </row>
    <row r="258" spans="1:17">
      <c r="A258" s="6" t="s">
        <v>26</v>
      </c>
      <c r="B258" s="6" t="s">
        <v>86</v>
      </c>
      <c r="C258" s="6" t="s">
        <v>258</v>
      </c>
      <c r="D258" s="6"/>
      <c r="E258" s="6"/>
      <c r="F258" s="6">
        <v>71</v>
      </c>
      <c r="G258" s="7"/>
      <c r="H258" s="6"/>
      <c r="I258" s="6">
        <v>17375000</v>
      </c>
      <c r="J258" s="6">
        <v>203.624</v>
      </c>
      <c r="K258" s="6">
        <v>85328.84139394178</v>
      </c>
      <c r="L258" s="6"/>
      <c r="M258" s="6"/>
      <c r="N258" s="6"/>
      <c r="O258" s="7">
        <v>451.9701815741933</v>
      </c>
      <c r="P258" s="15"/>
      <c r="Q258" s="6" t="b">
        <v>1</v>
      </c>
    </row>
    <row r="259" spans="1:17">
      <c r="A259" s="6" t="s">
        <v>26</v>
      </c>
      <c r="B259" s="6" t="s">
        <v>86</v>
      </c>
      <c r="C259" s="6" t="s">
        <v>259</v>
      </c>
      <c r="D259" s="6"/>
      <c r="E259" s="6"/>
      <c r="F259" s="6">
        <v>260</v>
      </c>
      <c r="G259" s="7"/>
      <c r="H259" s="6"/>
      <c r="I259" s="6">
        <v>102929426.2</v>
      </c>
      <c r="J259" s="6">
        <v>1719.788</v>
      </c>
      <c r="K259" s="6">
        <v>59850.06651982686</v>
      </c>
      <c r="L259" s="6"/>
      <c r="M259" s="6"/>
      <c r="N259" s="6"/>
      <c r="O259" s="7">
        <v>336.1081665859857</v>
      </c>
      <c r="P259" s="15"/>
      <c r="Q259" s="6" t="b">
        <v>1</v>
      </c>
    </row>
    <row r="260" spans="1:17">
      <c r="A260" s="6" t="s">
        <v>26</v>
      </c>
      <c r="B260" s="6" t="s">
        <v>86</v>
      </c>
      <c r="C260" s="6" t="s">
        <v>260</v>
      </c>
      <c r="D260" s="6"/>
      <c r="E260" s="6"/>
      <c r="F260" s="6">
        <v>2466</v>
      </c>
      <c r="G260" s="7"/>
      <c r="H260" s="6"/>
      <c r="I260" s="6">
        <v>3112152898.9</v>
      </c>
      <c r="J260" s="6">
        <v>54681.988</v>
      </c>
      <c r="K260" s="6">
        <v>56913.67510083943</v>
      </c>
      <c r="L260" s="6"/>
      <c r="M260" s="6"/>
      <c r="N260" s="6"/>
      <c r="O260" s="7">
        <v>451.9701815741933</v>
      </c>
      <c r="P260" s="15"/>
      <c r="Q260" s="6" t="b">
        <v>1</v>
      </c>
    </row>
    <row r="261" spans="1:17">
      <c r="A261" s="6" t="s">
        <v>26</v>
      </c>
      <c r="B261" s="6" t="s">
        <v>86</v>
      </c>
      <c r="C261" s="6" t="s">
        <v>262</v>
      </c>
      <c r="D261" s="6"/>
      <c r="E261" s="6"/>
      <c r="F261" s="6">
        <v>10</v>
      </c>
      <c r="G261" s="7"/>
      <c r="H261" s="6"/>
      <c r="I261" s="6">
        <v>4255707</v>
      </c>
      <c r="J261" s="6">
        <v>86.533</v>
      </c>
      <c r="K261" s="6">
        <v>49180.16248136549</v>
      </c>
      <c r="L261" s="6"/>
      <c r="M261" s="6"/>
      <c r="N261" s="6"/>
      <c r="O261" s="7">
        <v>261.9532615113973</v>
      </c>
      <c r="P261" s="15"/>
      <c r="Q261" s="6" t="b">
        <v>1</v>
      </c>
    </row>
    <row r="262" spans="1:17">
      <c r="A262" s="6" t="s">
        <v>26</v>
      </c>
      <c r="B262" s="6" t="s">
        <v>86</v>
      </c>
      <c r="C262" s="6" t="s">
        <v>263</v>
      </c>
      <c r="D262" s="6"/>
      <c r="E262" s="6"/>
      <c r="F262" s="6">
        <v>884</v>
      </c>
      <c r="G262" s="7"/>
      <c r="H262" s="6"/>
      <c r="I262" s="6">
        <v>292096349.4</v>
      </c>
      <c r="J262" s="6">
        <v>3283.955</v>
      </c>
      <c r="K262" s="6">
        <v>88946.51400521626</v>
      </c>
      <c r="L262" s="6"/>
      <c r="M262" s="6"/>
      <c r="N262" s="6"/>
      <c r="O262" s="7">
        <v>451.3282699753466</v>
      </c>
      <c r="P262" s="15"/>
      <c r="Q262" s="6" t="b">
        <v>1</v>
      </c>
    </row>
    <row r="263" spans="1:17">
      <c r="A263" s="6" t="s">
        <v>26</v>
      </c>
      <c r="B263" s="6" t="s">
        <v>86</v>
      </c>
      <c r="C263" s="6" t="s">
        <v>264</v>
      </c>
      <c r="D263" s="6"/>
      <c r="E263" s="6"/>
      <c r="F263" s="6">
        <v>708</v>
      </c>
      <c r="G263" s="7"/>
      <c r="H263" s="6"/>
      <c r="I263" s="6">
        <v>214855570.8</v>
      </c>
      <c r="J263" s="6">
        <v>2028.321</v>
      </c>
      <c r="K263" s="6">
        <v>105927.7948608726</v>
      </c>
      <c r="L263" s="6"/>
      <c r="M263" s="6"/>
      <c r="N263" s="6"/>
      <c r="O263" s="7">
        <v>874.3951717774094</v>
      </c>
      <c r="P263" s="15"/>
      <c r="Q263" s="6" t="b">
        <v>1</v>
      </c>
    </row>
    <row r="264" spans="1:17">
      <c r="A264" s="6" t="s">
        <v>26</v>
      </c>
      <c r="B264" s="6" t="s">
        <v>86</v>
      </c>
      <c r="C264" s="6" t="s">
        <v>265</v>
      </c>
      <c r="D264" s="6"/>
      <c r="E264" s="6"/>
      <c r="F264" s="6">
        <v>4263</v>
      </c>
      <c r="G264" s="7"/>
      <c r="H264" s="6"/>
      <c r="I264" s="6">
        <v>494746635.9</v>
      </c>
      <c r="J264" s="6">
        <v>5578.323</v>
      </c>
      <c r="K264" s="6">
        <v>88690.92662794892</v>
      </c>
      <c r="L264" s="6"/>
      <c r="M264" s="6"/>
      <c r="N264" s="6"/>
      <c r="O264" s="7">
        <v>682.0811347030041</v>
      </c>
      <c r="P264" s="15"/>
      <c r="Q264" s="6" t="b">
        <v>1</v>
      </c>
    </row>
    <row r="265" spans="1:17">
      <c r="A265" s="6" t="s">
        <v>26</v>
      </c>
      <c r="B265" s="6" t="s">
        <v>86</v>
      </c>
      <c r="C265" s="6" t="s">
        <v>266</v>
      </c>
      <c r="D265" s="6"/>
      <c r="E265" s="6"/>
      <c r="F265" s="6">
        <v>1922</v>
      </c>
      <c r="G265" s="7"/>
      <c r="H265" s="6"/>
      <c r="I265" s="6">
        <v>88286549.8</v>
      </c>
      <c r="J265" s="6">
        <v>1559.877</v>
      </c>
      <c r="K265" s="6">
        <v>56598.40474601523</v>
      </c>
      <c r="L265" s="6"/>
      <c r="M265" s="6"/>
      <c r="N265" s="6"/>
      <c r="O265" s="7">
        <v>161.6906737948952</v>
      </c>
      <c r="P265" s="15"/>
      <c r="Q265" s="6" t="b">
        <v>1</v>
      </c>
    </row>
    <row r="266" spans="1:17">
      <c r="A266" s="6" t="s">
        <v>26</v>
      </c>
      <c r="B266" s="6" t="s">
        <v>86</v>
      </c>
      <c r="C266" s="6" t="s">
        <v>354</v>
      </c>
      <c r="D266" s="6"/>
      <c r="E266" s="6"/>
      <c r="F266" s="6">
        <v>18</v>
      </c>
      <c r="G266" s="7"/>
      <c r="H266" s="6"/>
      <c r="I266" s="6">
        <v>161828</v>
      </c>
      <c r="J266" s="6">
        <v>2.915</v>
      </c>
      <c r="K266" s="6">
        <v>55515.6089193825</v>
      </c>
      <c r="L266" s="6"/>
      <c r="M266" s="6"/>
      <c r="N266" s="6"/>
      <c r="O266" s="7">
        <v>156.9899070910757</v>
      </c>
      <c r="P266" s="15"/>
      <c r="Q266" s="6" t="b">
        <v>0</v>
      </c>
    </row>
    <row r="267" spans="1:17">
      <c r="A267" s="6" t="s">
        <v>26</v>
      </c>
      <c r="B267" s="6" t="s">
        <v>86</v>
      </c>
      <c r="C267" s="6" t="s">
        <v>355</v>
      </c>
      <c r="D267" s="6"/>
      <c r="E267" s="6"/>
      <c r="F267" s="6">
        <v>157</v>
      </c>
      <c r="G267" s="7"/>
      <c r="H267" s="6"/>
      <c r="I267" s="6">
        <v>48037499.5</v>
      </c>
      <c r="J267" s="6">
        <v>552.015</v>
      </c>
      <c r="K267" s="6">
        <v>87022.09088521145</v>
      </c>
      <c r="L267" s="6"/>
      <c r="M267" s="6"/>
      <c r="N267" s="6"/>
      <c r="O267" s="7">
        <v>451.9701815741933</v>
      </c>
      <c r="P267" s="15"/>
      <c r="Q267" s="6" t="b">
        <v>1</v>
      </c>
    </row>
    <row r="268" spans="1:17">
      <c r="A268" s="6" t="s">
        <v>26</v>
      </c>
      <c r="B268" s="6" t="s">
        <v>86</v>
      </c>
      <c r="C268" s="6" t="s">
        <v>267</v>
      </c>
      <c r="D268" s="6"/>
      <c r="E268" s="6"/>
      <c r="F268" s="6">
        <v>25413</v>
      </c>
      <c r="G268" s="7"/>
      <c r="H268" s="6"/>
      <c r="I268" s="6">
        <v>648269086.6</v>
      </c>
      <c r="J268" s="6">
        <v>22070.477</v>
      </c>
      <c r="K268" s="6">
        <v>29372.68127915858</v>
      </c>
      <c r="L268" s="6"/>
      <c r="M268" s="6"/>
      <c r="N268" s="6"/>
      <c r="O268" s="7">
        <v>32.22575922348866</v>
      </c>
      <c r="P268" s="15"/>
      <c r="Q268" s="6" t="b">
        <v>1</v>
      </c>
    </row>
    <row r="269" spans="1:17">
      <c r="A269" s="6" t="s">
        <v>26</v>
      </c>
      <c r="B269" s="6" t="s">
        <v>86</v>
      </c>
      <c r="C269" s="6" t="s">
        <v>268</v>
      </c>
      <c r="D269" s="6"/>
      <c r="E269" s="6"/>
      <c r="F269" s="6">
        <v>1</v>
      </c>
      <c r="G269" s="7"/>
      <c r="H269" s="6"/>
      <c r="I269" s="6">
        <v>21801</v>
      </c>
      <c r="J269" s="6">
        <v>0.65</v>
      </c>
      <c r="K269" s="6">
        <v>33540</v>
      </c>
      <c r="L269" s="6"/>
      <c r="M269" s="6"/>
      <c r="N269" s="6"/>
      <c r="O269" s="7">
        <v>303.6646643550266</v>
      </c>
      <c r="P269" s="15"/>
      <c r="Q269" s="6" t="b">
        <v>0</v>
      </c>
    </row>
    <row r="270" spans="1:17">
      <c r="A270" s="6" t="s">
        <v>26</v>
      </c>
      <c r="B270" s="6" t="s">
        <v>86</v>
      </c>
      <c r="C270" s="6" t="s">
        <v>269</v>
      </c>
      <c r="D270" s="6"/>
      <c r="E270" s="6"/>
      <c r="F270" s="6">
        <v>120</v>
      </c>
      <c r="G270" s="7"/>
      <c r="H270" s="6"/>
      <c r="I270" s="6">
        <v>34625000.9</v>
      </c>
      <c r="J270" s="6">
        <v>413.234</v>
      </c>
      <c r="K270" s="6">
        <v>83790.30016891156</v>
      </c>
      <c r="L270" s="6"/>
      <c r="M270" s="6"/>
      <c r="N270" s="6"/>
      <c r="O270" s="7">
        <v>451.9701815741933</v>
      </c>
      <c r="P270" s="15"/>
      <c r="Q270" s="6" t="b">
        <v>1</v>
      </c>
    </row>
    <row r="271" spans="1:17">
      <c r="A271" s="6" t="s">
        <v>26</v>
      </c>
      <c r="B271" s="6" t="s">
        <v>86</v>
      </c>
      <c r="C271" s="6" t="s">
        <v>356</v>
      </c>
      <c r="D271" s="6"/>
      <c r="E271" s="6"/>
      <c r="F271" s="6">
        <v>15</v>
      </c>
      <c r="G271" s="7"/>
      <c r="H271" s="6"/>
      <c r="I271" s="6">
        <v>18843499.7</v>
      </c>
      <c r="J271" s="6">
        <v>342.223</v>
      </c>
      <c r="K271" s="6">
        <v>55062.04930703079</v>
      </c>
      <c r="L271" s="6"/>
      <c r="M271" s="6"/>
      <c r="N271" s="6"/>
      <c r="O271" s="7">
        <v>451.9701815741933</v>
      </c>
      <c r="P271" s="15"/>
      <c r="Q271" s="6" t="b">
        <v>1</v>
      </c>
    </row>
    <row r="272" spans="1:17">
      <c r="A272" s="6" t="s">
        <v>26</v>
      </c>
      <c r="B272" s="6" t="s">
        <v>86</v>
      </c>
      <c r="C272" s="6" t="s">
        <v>270</v>
      </c>
      <c r="D272" s="6"/>
      <c r="E272" s="6"/>
      <c r="F272" s="6">
        <v>1110</v>
      </c>
      <c r="G272" s="7"/>
      <c r="H272" s="6"/>
      <c r="I272" s="6">
        <v>37029107</v>
      </c>
      <c r="J272" s="6">
        <v>758.292</v>
      </c>
      <c r="K272" s="6">
        <v>48832.25327446419</v>
      </c>
      <c r="L272" s="6"/>
      <c r="M272" s="6"/>
      <c r="N272" s="6"/>
      <c r="O272" s="7">
        <v>750.0772519113011</v>
      </c>
      <c r="P272" s="15"/>
      <c r="Q272" s="6" t="b">
        <v>1</v>
      </c>
    </row>
    <row r="273" spans="1:17">
      <c r="A273" s="6" t="s">
        <v>26</v>
      </c>
      <c r="B273" s="6" t="s">
        <v>86</v>
      </c>
      <c r="C273" s="6" t="s">
        <v>271</v>
      </c>
      <c r="D273" s="6"/>
      <c r="E273" s="6"/>
      <c r="F273" s="6">
        <v>6557</v>
      </c>
      <c r="G273" s="7"/>
      <c r="H273" s="6"/>
      <c r="I273" s="6">
        <v>820799070.2</v>
      </c>
      <c r="J273" s="6">
        <v>10121.931</v>
      </c>
      <c r="K273" s="6">
        <v>81091.15446449892</v>
      </c>
      <c r="L273" s="6"/>
      <c r="M273" s="6"/>
      <c r="N273" s="6"/>
      <c r="O273" s="7">
        <v>379.045761045938</v>
      </c>
      <c r="P273" s="15"/>
      <c r="Q273" s="6" t="b">
        <v>1</v>
      </c>
    </row>
    <row r="274" spans="1:17">
      <c r="A274" s="6" t="s">
        <v>26</v>
      </c>
      <c r="B274" s="6" t="s">
        <v>86</v>
      </c>
      <c r="C274" s="6" t="s">
        <v>272</v>
      </c>
      <c r="D274" s="6"/>
      <c r="E274" s="6"/>
      <c r="F274" s="6">
        <v>13</v>
      </c>
      <c r="G274" s="7"/>
      <c r="H274" s="6"/>
      <c r="I274" s="6">
        <v>1523870</v>
      </c>
      <c r="J274" s="6">
        <v>42.793</v>
      </c>
      <c r="K274" s="6">
        <v>35610.26336083005</v>
      </c>
      <c r="L274" s="6"/>
      <c r="M274" s="6"/>
      <c r="N274" s="6"/>
      <c r="O274" s="7">
        <v>267.7410617510034</v>
      </c>
      <c r="P274" s="15"/>
      <c r="Q274" s="6" t="b">
        <v>1</v>
      </c>
    </row>
    <row r="275" spans="1:17">
      <c r="A275" s="6" t="s">
        <v>26</v>
      </c>
      <c r="B275" s="6" t="s">
        <v>86</v>
      </c>
      <c r="C275" s="6" t="s">
        <v>273</v>
      </c>
      <c r="D275" s="6"/>
      <c r="E275" s="6"/>
      <c r="F275" s="6">
        <v>2019</v>
      </c>
      <c r="G275" s="7"/>
      <c r="H275" s="6"/>
      <c r="I275" s="6">
        <v>223837670</v>
      </c>
      <c r="J275" s="6">
        <v>3293.001</v>
      </c>
      <c r="K275" s="6">
        <v>67973.7631418879</v>
      </c>
      <c r="L275" s="6"/>
      <c r="M275" s="6"/>
      <c r="N275" s="6"/>
      <c r="O275" s="7">
        <v>468.3411733623363</v>
      </c>
      <c r="P275" s="15"/>
      <c r="Q275" s="6" t="b">
        <v>1</v>
      </c>
    </row>
    <row r="276" spans="1:17">
      <c r="A276" s="6" t="s">
        <v>26</v>
      </c>
      <c r="B276" s="6" t="s">
        <v>86</v>
      </c>
      <c r="C276" s="6" t="s">
        <v>274</v>
      </c>
      <c r="D276" s="6"/>
      <c r="E276" s="6"/>
      <c r="F276" s="6">
        <v>28</v>
      </c>
      <c r="G276" s="7"/>
      <c r="H276" s="6"/>
      <c r="I276" s="6">
        <v>6492000</v>
      </c>
      <c r="J276" s="6">
        <v>82.327</v>
      </c>
      <c r="K276" s="6">
        <v>78856.2682959418</v>
      </c>
      <c r="L276" s="6"/>
      <c r="M276" s="6"/>
      <c r="N276" s="6"/>
      <c r="O276" s="7">
        <v>414.1854760879625</v>
      </c>
      <c r="P276" s="15"/>
      <c r="Q276" s="6" t="b">
        <v>1</v>
      </c>
    </row>
    <row r="277" spans="1:17">
      <c r="A277" s="6" t="s">
        <v>26</v>
      </c>
      <c r="B277" s="6" t="s">
        <v>86</v>
      </c>
      <c r="C277" s="6" t="s">
        <v>276</v>
      </c>
      <c r="D277" s="6"/>
      <c r="E277" s="6"/>
      <c r="F277" s="6">
        <v>1241</v>
      </c>
      <c r="G277" s="7"/>
      <c r="H277" s="6"/>
      <c r="I277" s="6">
        <v>91630648</v>
      </c>
      <c r="J277" s="6">
        <v>1519.043</v>
      </c>
      <c r="K277" s="6">
        <v>60321.29966037828</v>
      </c>
      <c r="L277" s="6"/>
      <c r="M277" s="6"/>
      <c r="N277" s="6"/>
      <c r="O277" s="7">
        <v>475.412397543766</v>
      </c>
      <c r="P277" s="15"/>
      <c r="Q277" s="6" t="b">
        <v>1</v>
      </c>
    </row>
    <row r="278" spans="1:17">
      <c r="A278" s="6" t="s">
        <v>26</v>
      </c>
      <c r="B278" s="6" t="s">
        <v>86</v>
      </c>
      <c r="C278" s="6" t="s">
        <v>277</v>
      </c>
      <c r="D278" s="6"/>
      <c r="E278" s="6"/>
      <c r="F278" s="6">
        <v>41</v>
      </c>
      <c r="G278" s="7"/>
      <c r="H278" s="6"/>
      <c r="I278" s="6">
        <v>303702</v>
      </c>
      <c r="J278" s="6">
        <v>5.178</v>
      </c>
      <c r="K278" s="6">
        <v>58652.37543453071</v>
      </c>
      <c r="L278" s="6"/>
      <c r="M278" s="6"/>
      <c r="N278" s="6"/>
      <c r="O278" s="7">
        <v>171.5334456728316</v>
      </c>
      <c r="P278" s="15"/>
      <c r="Q278" s="6" t="b">
        <v>0</v>
      </c>
    </row>
    <row r="279" spans="1:17">
      <c r="A279" s="6" t="s">
        <v>26</v>
      </c>
      <c r="B279" s="6" t="s">
        <v>86</v>
      </c>
      <c r="C279" s="6" t="s">
        <v>278</v>
      </c>
      <c r="D279" s="6"/>
      <c r="E279" s="6"/>
      <c r="F279" s="6">
        <v>2415</v>
      </c>
      <c r="G279" s="7"/>
      <c r="H279" s="6"/>
      <c r="I279" s="6">
        <v>267714525.9</v>
      </c>
      <c r="J279" s="6">
        <v>5038.953</v>
      </c>
      <c r="K279" s="6">
        <v>53128.99840502581</v>
      </c>
      <c r="L279" s="6"/>
      <c r="M279" s="6"/>
      <c r="N279" s="6"/>
      <c r="O279" s="7">
        <v>404.4467220411868</v>
      </c>
      <c r="P279" s="15"/>
      <c r="Q279" s="6" t="b">
        <v>1</v>
      </c>
    </row>
    <row r="280" spans="1:17">
      <c r="A280" s="6" t="s">
        <v>26</v>
      </c>
      <c r="B280" s="6" t="s">
        <v>86</v>
      </c>
      <c r="C280" s="6" t="s">
        <v>279</v>
      </c>
      <c r="D280" s="6"/>
      <c r="E280" s="6"/>
      <c r="F280" s="6">
        <v>2</v>
      </c>
      <c r="G280" s="7"/>
      <c r="H280" s="6"/>
      <c r="I280" s="6">
        <v>3975000</v>
      </c>
      <c r="J280" s="6">
        <v>72.053</v>
      </c>
      <c r="K280" s="6">
        <v>55167.7237588997</v>
      </c>
      <c r="L280" s="6"/>
      <c r="M280" s="6"/>
      <c r="N280" s="6"/>
      <c r="O280" s="7">
        <v>451.9701815741933</v>
      </c>
      <c r="P280" s="15"/>
      <c r="Q280" s="6" t="b">
        <v>1</v>
      </c>
    </row>
    <row r="281" spans="1:17">
      <c r="A281" s="6" t="s">
        <v>26</v>
      </c>
      <c r="B281" s="6" t="s">
        <v>86</v>
      </c>
      <c r="C281" s="6" t="s">
        <v>280</v>
      </c>
      <c r="D281" s="6"/>
      <c r="E281" s="6"/>
      <c r="F281" s="6">
        <v>3498</v>
      </c>
      <c r="G281" s="7"/>
      <c r="H281" s="6"/>
      <c r="I281" s="6">
        <v>613140564.5</v>
      </c>
      <c r="J281" s="6">
        <v>6347.274</v>
      </c>
      <c r="K281" s="6">
        <v>96599.03834307451</v>
      </c>
      <c r="L281" s="6"/>
      <c r="M281" s="6"/>
      <c r="N281" s="6"/>
      <c r="O281" s="7">
        <v>769.3869741253302</v>
      </c>
      <c r="P281" s="15"/>
      <c r="Q281" s="6" t="b">
        <v>1</v>
      </c>
    </row>
    <row r="282" spans="1:17">
      <c r="A282" s="6" t="s">
        <v>26</v>
      </c>
      <c r="B282" s="6" t="s">
        <v>86</v>
      </c>
      <c r="C282" s="6" t="s">
        <v>281</v>
      </c>
      <c r="D282" s="6"/>
      <c r="E282" s="6"/>
      <c r="F282" s="6">
        <v>6437</v>
      </c>
      <c r="G282" s="7"/>
      <c r="H282" s="6"/>
      <c r="I282" s="6">
        <v>421750783.9</v>
      </c>
      <c r="J282" s="6">
        <v>6497.998</v>
      </c>
      <c r="K282" s="6">
        <v>64904.72664042063</v>
      </c>
      <c r="L282" s="6"/>
      <c r="M282" s="6"/>
      <c r="N282" s="6"/>
      <c r="O282" s="7">
        <v>203.2128606575701</v>
      </c>
      <c r="P282" s="15"/>
      <c r="Q282" s="6" t="b">
        <v>1</v>
      </c>
    </row>
    <row r="283" spans="1:17">
      <c r="A283" s="6" t="s">
        <v>26</v>
      </c>
      <c r="B283" s="6" t="s">
        <v>86</v>
      </c>
      <c r="C283" s="6" t="s">
        <v>283</v>
      </c>
      <c r="D283" s="6"/>
      <c r="E283" s="6"/>
      <c r="F283" s="6">
        <v>4418</v>
      </c>
      <c r="G283" s="7"/>
      <c r="H283" s="6"/>
      <c r="I283" s="6">
        <v>192202441.2</v>
      </c>
      <c r="J283" s="6">
        <v>4393.233</v>
      </c>
      <c r="K283" s="6">
        <v>43749.65798536066</v>
      </c>
      <c r="L283" s="6"/>
      <c r="M283" s="6"/>
      <c r="N283" s="6"/>
      <c r="O283" s="7">
        <v>633.2931607412047</v>
      </c>
      <c r="P283" s="15"/>
      <c r="Q283" s="6" t="b">
        <v>1</v>
      </c>
    </row>
    <row r="284" spans="1:17">
      <c r="A284" s="6" t="s">
        <v>26</v>
      </c>
      <c r="B284" s="6" t="s">
        <v>86</v>
      </c>
      <c r="C284" s="6" t="s">
        <v>284</v>
      </c>
      <c r="D284" s="6"/>
      <c r="E284" s="6"/>
      <c r="F284" s="6">
        <v>462</v>
      </c>
      <c r="G284" s="7"/>
      <c r="H284" s="6"/>
      <c r="I284" s="6">
        <v>52345359.9</v>
      </c>
      <c r="J284" s="6">
        <v>823.749</v>
      </c>
      <c r="K284" s="6">
        <v>63545.27884100618</v>
      </c>
      <c r="L284" s="6"/>
      <c r="M284" s="6"/>
      <c r="N284" s="6"/>
      <c r="O284" s="7">
        <v>569.2190838458464</v>
      </c>
      <c r="P284" s="15"/>
      <c r="Q284" s="6" t="b">
        <v>1</v>
      </c>
    </row>
    <row r="285" spans="1:17">
      <c r="A285" s="6" t="s">
        <v>26</v>
      </c>
      <c r="B285" s="6" t="s">
        <v>86</v>
      </c>
      <c r="C285" s="6" t="s">
        <v>285</v>
      </c>
      <c r="D285" s="6"/>
      <c r="E285" s="6"/>
      <c r="F285" s="6">
        <v>39</v>
      </c>
      <c r="G285" s="7"/>
      <c r="H285" s="6"/>
      <c r="I285" s="6">
        <v>7710776.7</v>
      </c>
      <c r="J285" s="6">
        <v>61.888</v>
      </c>
      <c r="K285" s="6">
        <v>124592.4363366081</v>
      </c>
      <c r="L285" s="6"/>
      <c r="M285" s="6"/>
      <c r="N285" s="6"/>
      <c r="O285" s="7">
        <v>1837.079117789349</v>
      </c>
      <c r="P285" s="15"/>
      <c r="Q285" s="6" t="b">
        <v>1</v>
      </c>
    </row>
    <row r="286" spans="1:17">
      <c r="A286" s="6" t="s">
        <v>26</v>
      </c>
      <c r="B286" s="6" t="s">
        <v>86</v>
      </c>
      <c r="C286" s="6" t="s">
        <v>357</v>
      </c>
      <c r="D286" s="6"/>
      <c r="E286" s="6"/>
      <c r="F286" s="6">
        <v>173</v>
      </c>
      <c r="G286" s="7"/>
      <c r="H286" s="6"/>
      <c r="I286" s="6">
        <v>44094599.6</v>
      </c>
      <c r="J286" s="6">
        <v>548.675</v>
      </c>
      <c r="K286" s="6">
        <v>80365.60732674171</v>
      </c>
      <c r="L286" s="6"/>
      <c r="M286" s="6"/>
      <c r="N286" s="6"/>
      <c r="O286" s="7">
        <v>451.9701815741933</v>
      </c>
      <c r="P286" s="15"/>
      <c r="Q286" s="6" t="b">
        <v>1</v>
      </c>
    </row>
    <row r="287" spans="1:17">
      <c r="A287" s="6" t="s">
        <v>26</v>
      </c>
      <c r="B287" s="6" t="s">
        <v>86</v>
      </c>
      <c r="C287" s="6" t="s">
        <v>288</v>
      </c>
      <c r="D287" s="6"/>
      <c r="E287" s="6"/>
      <c r="F287" s="6">
        <v>1</v>
      </c>
      <c r="G287" s="7"/>
      <c r="H287" s="6"/>
      <c r="I287" s="6">
        <v>31144</v>
      </c>
      <c r="J287" s="6">
        <v>0.975</v>
      </c>
      <c r="K287" s="6">
        <v>31942.5641025641</v>
      </c>
      <c r="L287" s="6"/>
      <c r="M287" s="6"/>
      <c r="N287" s="6"/>
      <c r="O287" s="7">
        <v>544.0291583209088</v>
      </c>
      <c r="P287" s="15"/>
      <c r="Q287" s="6" t="b">
        <v>0</v>
      </c>
    </row>
    <row r="288" spans="1:17">
      <c r="A288" s="6" t="s">
        <v>26</v>
      </c>
      <c r="B288" s="6" t="s">
        <v>86</v>
      </c>
      <c r="C288" s="6" t="s">
        <v>358</v>
      </c>
      <c r="D288" s="6"/>
      <c r="E288" s="6"/>
      <c r="F288" s="6">
        <v>13</v>
      </c>
      <c r="G288" s="7"/>
      <c r="H288" s="6"/>
      <c r="I288" s="6">
        <v>11306100</v>
      </c>
      <c r="J288" s="6">
        <v>206.107</v>
      </c>
      <c r="K288" s="6">
        <v>54855.48768358183</v>
      </c>
      <c r="L288" s="6"/>
      <c r="M288" s="6"/>
      <c r="N288" s="6"/>
      <c r="O288" s="7">
        <v>451.9701815741933</v>
      </c>
      <c r="P288" s="15"/>
      <c r="Q288" s="6" t="b">
        <v>1</v>
      </c>
    </row>
    <row r="289" spans="1:17">
      <c r="A289" s="6" t="s">
        <v>26</v>
      </c>
      <c r="B289" s="6" t="s">
        <v>86</v>
      </c>
      <c r="C289" s="6" t="s">
        <v>359</v>
      </c>
      <c r="D289" s="6"/>
      <c r="E289" s="6"/>
      <c r="F289" s="6">
        <v>955</v>
      </c>
      <c r="G289" s="7"/>
      <c r="H289" s="6"/>
      <c r="I289" s="6">
        <v>87536977.7</v>
      </c>
      <c r="J289" s="6">
        <v>1237.827</v>
      </c>
      <c r="K289" s="6">
        <v>70718.26491100938</v>
      </c>
      <c r="L289" s="6"/>
      <c r="M289" s="6"/>
      <c r="N289" s="6"/>
      <c r="O289" s="7">
        <v>199.1599867171888</v>
      </c>
      <c r="P289" s="15"/>
      <c r="Q289" s="6" t="b">
        <v>1</v>
      </c>
    </row>
    <row r="290" spans="1:17">
      <c r="A290" s="6" t="s">
        <v>26</v>
      </c>
      <c r="B290" s="6" t="s">
        <v>86</v>
      </c>
      <c r="C290" s="6" t="s">
        <v>289</v>
      </c>
      <c r="D290" s="6"/>
      <c r="E290" s="6"/>
      <c r="F290" s="6">
        <v>145</v>
      </c>
      <c r="G290" s="7"/>
      <c r="H290" s="6"/>
      <c r="I290" s="6">
        <v>95086622.5</v>
      </c>
      <c r="J290" s="6">
        <v>1602.337</v>
      </c>
      <c r="K290" s="6">
        <v>59342.46197897197</v>
      </c>
      <c r="L290" s="6"/>
      <c r="M290" s="6"/>
      <c r="N290" s="6"/>
      <c r="O290" s="7">
        <v>451.9701815741933</v>
      </c>
      <c r="P290" s="15"/>
      <c r="Q290" s="6" t="b">
        <v>1</v>
      </c>
    </row>
    <row r="291" spans="1:17">
      <c r="A291" s="6" t="s">
        <v>26</v>
      </c>
      <c r="B291" s="6" t="s">
        <v>86</v>
      </c>
      <c r="C291" s="6" t="s">
        <v>360</v>
      </c>
      <c r="D291" s="6"/>
      <c r="E291" s="6"/>
      <c r="F291" s="6">
        <v>16</v>
      </c>
      <c r="G291" s="7"/>
      <c r="H291" s="6"/>
      <c r="I291" s="6">
        <v>91318987.59999999</v>
      </c>
      <c r="J291" s="6">
        <v>1087.163</v>
      </c>
      <c r="K291" s="6">
        <v>83997.51242453983</v>
      </c>
      <c r="L291" s="6"/>
      <c r="M291" s="6"/>
      <c r="N291" s="6"/>
      <c r="O291" s="7">
        <v>451.9701815741933</v>
      </c>
      <c r="P291" s="15"/>
      <c r="Q291" s="6" t="b">
        <v>1</v>
      </c>
    </row>
    <row r="292" spans="1:17">
      <c r="A292" s="6" t="s">
        <v>26</v>
      </c>
      <c r="B292" s="6" t="s">
        <v>86</v>
      </c>
      <c r="C292" s="6" t="s">
        <v>292</v>
      </c>
      <c r="D292" s="6"/>
      <c r="E292" s="6"/>
      <c r="F292" s="6">
        <v>866</v>
      </c>
      <c r="G292" s="7"/>
      <c r="H292" s="6"/>
      <c r="I292" s="6">
        <v>248591117.8</v>
      </c>
      <c r="J292" s="6">
        <v>2314.55</v>
      </c>
      <c r="K292" s="6">
        <v>107403.6498671448</v>
      </c>
      <c r="L292" s="6"/>
      <c r="M292" s="6"/>
      <c r="N292" s="6"/>
      <c r="O292" s="7">
        <v>850.8288739098172</v>
      </c>
      <c r="P292" s="15"/>
      <c r="Q292" s="6" t="b">
        <v>1</v>
      </c>
    </row>
    <row r="293" spans="1:17">
      <c r="A293" s="6" t="s">
        <v>26</v>
      </c>
      <c r="B293" s="6" t="s">
        <v>86</v>
      </c>
      <c r="C293" s="6" t="s">
        <v>293</v>
      </c>
      <c r="D293" s="6"/>
      <c r="E293" s="6"/>
      <c r="F293" s="6">
        <v>2413</v>
      </c>
      <c r="G293" s="7"/>
      <c r="H293" s="6"/>
      <c r="I293" s="6">
        <v>248223743.4</v>
      </c>
      <c r="J293" s="6">
        <v>5967.3</v>
      </c>
      <c r="K293" s="6">
        <v>41597.32934492987</v>
      </c>
      <c r="L293" s="6"/>
      <c r="M293" s="6"/>
      <c r="N293" s="6"/>
      <c r="O293" s="7">
        <v>3.995242602283395</v>
      </c>
      <c r="P293" s="15"/>
      <c r="Q293" s="6" t="b">
        <v>1</v>
      </c>
    </row>
    <row r="294" spans="1:17">
      <c r="A294" s="6" t="s">
        <v>26</v>
      </c>
      <c r="B294" s="6" t="s">
        <v>86</v>
      </c>
      <c r="C294" s="6" t="s">
        <v>295</v>
      </c>
      <c r="D294" s="6"/>
      <c r="E294" s="6"/>
      <c r="F294" s="6">
        <v>1773</v>
      </c>
      <c r="G294" s="7"/>
      <c r="H294" s="6"/>
      <c r="I294" s="6">
        <v>45285015.9</v>
      </c>
      <c r="J294" s="6">
        <v>1078.096</v>
      </c>
      <c r="K294" s="6">
        <v>42004.62287217464</v>
      </c>
      <c r="L294" s="6"/>
      <c r="M294" s="6"/>
      <c r="N294" s="6"/>
      <c r="O294" s="7">
        <v>35.61347370366894</v>
      </c>
      <c r="P294" s="15"/>
      <c r="Q294" s="6" t="b">
        <v>1</v>
      </c>
    </row>
    <row r="295" spans="1:17">
      <c r="A295" s="6" t="s">
        <v>26</v>
      </c>
      <c r="B295" s="6" t="s">
        <v>86</v>
      </c>
      <c r="C295" s="6" t="s">
        <v>296</v>
      </c>
      <c r="D295" s="6"/>
      <c r="E295" s="6"/>
      <c r="F295" s="6">
        <v>1892</v>
      </c>
      <c r="G295" s="7"/>
      <c r="H295" s="6"/>
      <c r="I295" s="6">
        <v>157427383.4</v>
      </c>
      <c r="J295" s="6">
        <v>1983.685</v>
      </c>
      <c r="K295" s="6">
        <v>79361.07970771569</v>
      </c>
      <c r="L295" s="6"/>
      <c r="M295" s="6"/>
      <c r="N295" s="6"/>
      <c r="O295" s="7">
        <v>1293.203413800726</v>
      </c>
      <c r="P295" s="15"/>
      <c r="Q295" s="6" t="b">
        <v>1</v>
      </c>
    </row>
    <row r="296" spans="1:17">
      <c r="A296" s="6" t="s">
        <v>26</v>
      </c>
      <c r="B296" s="6" t="s">
        <v>86</v>
      </c>
      <c r="C296" s="6" t="s">
        <v>297</v>
      </c>
      <c r="D296" s="6"/>
      <c r="E296" s="6"/>
      <c r="F296" s="6">
        <v>61</v>
      </c>
      <c r="G296" s="7"/>
      <c r="H296" s="6"/>
      <c r="I296" s="6">
        <v>20774999.7</v>
      </c>
      <c r="J296" s="6">
        <v>204.28</v>
      </c>
      <c r="K296" s="6">
        <v>101698.6474446838</v>
      </c>
      <c r="L296" s="6"/>
      <c r="M296" s="6"/>
      <c r="N296" s="6"/>
      <c r="O296" s="7">
        <v>451.9701815741933</v>
      </c>
      <c r="P296" s="15"/>
      <c r="Q296" s="6" t="b">
        <v>1</v>
      </c>
    </row>
    <row r="297" spans="1:17">
      <c r="A297" s="6" t="s">
        <v>26</v>
      </c>
      <c r="B297" s="6" t="s">
        <v>86</v>
      </c>
      <c r="C297" s="6" t="s">
        <v>298</v>
      </c>
      <c r="D297" s="6"/>
      <c r="E297" s="6"/>
      <c r="F297" s="6">
        <v>1</v>
      </c>
      <c r="G297" s="7"/>
      <c r="H297" s="6"/>
      <c r="I297" s="6">
        <v>5655</v>
      </c>
      <c r="J297" s="6">
        <v>0.05</v>
      </c>
      <c r="K297" s="6">
        <v>113100</v>
      </c>
      <c r="L297" s="6"/>
      <c r="M297" s="6"/>
      <c r="N297" s="6"/>
      <c r="O297" s="7">
        <v>324.3245763744201</v>
      </c>
      <c r="P297" s="15"/>
      <c r="Q297" s="6" t="b">
        <v>0</v>
      </c>
    </row>
    <row r="298" spans="1:17">
      <c r="A298" s="6" t="s">
        <v>26</v>
      </c>
      <c r="B298" s="6" t="s">
        <v>86</v>
      </c>
      <c r="C298" s="6" t="s">
        <v>300</v>
      </c>
      <c r="D298" s="6"/>
      <c r="E298" s="6"/>
      <c r="F298" s="6">
        <v>36</v>
      </c>
      <c r="G298" s="7"/>
      <c r="H298" s="6"/>
      <c r="I298" s="6">
        <v>40796384.8</v>
      </c>
      <c r="J298" s="6">
        <v>673.062</v>
      </c>
      <c r="K298" s="6">
        <v>60613.11558221976</v>
      </c>
      <c r="L298" s="6"/>
      <c r="M298" s="6"/>
      <c r="N298" s="6"/>
      <c r="O298" s="7">
        <v>451.9701815741933</v>
      </c>
      <c r="P298" s="15"/>
      <c r="Q298" s="6" t="b">
        <v>1</v>
      </c>
    </row>
    <row r="299" spans="1:17">
      <c r="A299" s="6" t="s">
        <v>26</v>
      </c>
      <c r="B299" s="6" t="s">
        <v>86</v>
      </c>
      <c r="C299" s="6" t="s">
        <v>302</v>
      </c>
      <c r="D299" s="6"/>
      <c r="E299" s="6"/>
      <c r="F299" s="6">
        <v>783</v>
      </c>
      <c r="G299" s="7"/>
      <c r="H299" s="6"/>
      <c r="I299" s="6">
        <v>678411875.4</v>
      </c>
      <c r="J299" s="6">
        <v>8401.736999999999</v>
      </c>
      <c r="K299" s="6">
        <v>80746.62125224819</v>
      </c>
      <c r="L299" s="6"/>
      <c r="M299" s="6"/>
      <c r="N299" s="6"/>
      <c r="O299" s="7">
        <v>451.9701815741933</v>
      </c>
      <c r="P299" s="15"/>
      <c r="Q299" s="6" t="b">
        <v>1</v>
      </c>
    </row>
    <row r="300" spans="1:17">
      <c r="A300" s="6" t="s">
        <v>26</v>
      </c>
      <c r="B300" s="6" t="s">
        <v>86</v>
      </c>
      <c r="C300" s="6" t="s">
        <v>304</v>
      </c>
      <c r="D300" s="6"/>
      <c r="E300" s="6"/>
      <c r="F300" s="6">
        <v>52</v>
      </c>
      <c r="G300" s="7"/>
      <c r="H300" s="6"/>
      <c r="I300" s="6">
        <v>111108824.6</v>
      </c>
      <c r="J300" s="6">
        <v>1793.989</v>
      </c>
      <c r="K300" s="6">
        <v>61933.94976223377</v>
      </c>
      <c r="L300" s="6"/>
      <c r="M300" s="6"/>
      <c r="N300" s="6"/>
      <c r="O300" s="7">
        <v>451.9701815741933</v>
      </c>
      <c r="P300" s="15"/>
      <c r="Q300" s="6" t="b">
        <v>1</v>
      </c>
    </row>
    <row r="301" spans="1:17">
      <c r="A301" s="6" t="s">
        <v>26</v>
      </c>
      <c r="B301" s="6" t="s">
        <v>86</v>
      </c>
      <c r="C301" s="6" t="s">
        <v>361</v>
      </c>
      <c r="D301" s="6"/>
      <c r="E301" s="6"/>
      <c r="F301" s="6">
        <v>314</v>
      </c>
      <c r="G301" s="7"/>
      <c r="H301" s="6"/>
      <c r="I301" s="6">
        <v>400228210.5</v>
      </c>
      <c r="J301" s="6">
        <v>6790.246</v>
      </c>
      <c r="K301" s="6">
        <v>58941.63635603187</v>
      </c>
      <c r="L301" s="6"/>
      <c r="M301" s="6"/>
      <c r="N301" s="6"/>
      <c r="O301" s="7">
        <v>451.9701815741933</v>
      </c>
      <c r="P301" s="15"/>
      <c r="Q301" s="6" t="b">
        <v>1</v>
      </c>
    </row>
    <row r="302" spans="1:17">
      <c r="A302" s="6" t="s">
        <v>26</v>
      </c>
      <c r="B302" s="6" t="s">
        <v>86</v>
      </c>
      <c r="C302" s="6" t="s">
        <v>305</v>
      </c>
      <c r="D302" s="6"/>
      <c r="E302" s="6"/>
      <c r="F302" s="6">
        <v>2488</v>
      </c>
      <c r="G302" s="7"/>
      <c r="H302" s="6"/>
      <c r="I302" s="6">
        <v>620980539.1</v>
      </c>
      <c r="J302" s="6">
        <v>6299.557</v>
      </c>
      <c r="K302" s="6">
        <v>98575.27110239657</v>
      </c>
      <c r="L302" s="6"/>
      <c r="M302" s="6"/>
      <c r="N302" s="6"/>
      <c r="O302" s="7">
        <v>750.4291563106931</v>
      </c>
      <c r="P302" s="15"/>
      <c r="Q302" s="6" t="b">
        <v>1</v>
      </c>
    </row>
    <row r="303" spans="1:17">
      <c r="A303" s="6" t="s">
        <v>26</v>
      </c>
      <c r="B303" s="6" t="s">
        <v>86</v>
      </c>
      <c r="C303" s="6" t="s">
        <v>306</v>
      </c>
      <c r="D303" s="6"/>
      <c r="E303" s="6"/>
      <c r="F303" s="6">
        <v>770</v>
      </c>
      <c r="G303" s="7"/>
      <c r="H303" s="6"/>
      <c r="I303" s="6">
        <v>13667341.6</v>
      </c>
      <c r="J303" s="6">
        <v>251.99</v>
      </c>
      <c r="K303" s="6">
        <v>54237.63482677883</v>
      </c>
      <c r="L303" s="6"/>
      <c r="M303" s="6"/>
      <c r="N303" s="6"/>
      <c r="O303" s="7">
        <v>192.7642372881266</v>
      </c>
      <c r="P303" s="15"/>
      <c r="Q303" s="6" t="b">
        <v>1</v>
      </c>
    </row>
    <row r="304" spans="1:17">
      <c r="A304" s="6" t="s">
        <v>26</v>
      </c>
      <c r="B304" s="6" t="s">
        <v>86</v>
      </c>
      <c r="C304" s="6" t="s">
        <v>362</v>
      </c>
      <c r="D304" s="6"/>
      <c r="E304" s="6"/>
      <c r="F304" s="6">
        <v>1598</v>
      </c>
      <c r="G304" s="7"/>
      <c r="H304" s="6"/>
      <c r="I304" s="6">
        <v>1864882344.5</v>
      </c>
      <c r="J304" s="6">
        <v>32488.386</v>
      </c>
      <c r="K304" s="6">
        <v>57401.5078649952</v>
      </c>
      <c r="L304" s="6"/>
      <c r="M304" s="6"/>
      <c r="N304" s="6"/>
      <c r="O304" s="7">
        <v>451.9701815741933</v>
      </c>
      <c r="P304" s="15"/>
      <c r="Q304" s="6" t="b">
        <v>1</v>
      </c>
    </row>
    <row r="305" spans="1:17">
      <c r="A305" s="6" t="s">
        <v>26</v>
      </c>
      <c r="B305" s="6" t="s">
        <v>86</v>
      </c>
      <c r="C305" s="6" t="s">
        <v>309</v>
      </c>
      <c r="D305" s="6"/>
      <c r="E305" s="6"/>
      <c r="F305" s="6">
        <v>1285</v>
      </c>
      <c r="G305" s="7"/>
      <c r="H305" s="6"/>
      <c r="I305" s="6">
        <v>1005601817.8</v>
      </c>
      <c r="J305" s="6">
        <v>13121.045</v>
      </c>
      <c r="K305" s="6">
        <v>76640.37565605484</v>
      </c>
      <c r="L305" s="6"/>
      <c r="M305" s="6"/>
      <c r="N305" s="6"/>
      <c r="O305" s="7">
        <v>451.9701815741933</v>
      </c>
      <c r="P305" s="15"/>
      <c r="Q305" s="6" t="b">
        <v>1</v>
      </c>
    </row>
    <row r="306" spans="1:17">
      <c r="A306" s="6" t="s">
        <v>26</v>
      </c>
      <c r="B306" s="6" t="s">
        <v>86</v>
      </c>
      <c r="C306" s="6" t="s">
        <v>310</v>
      </c>
      <c r="D306" s="6"/>
      <c r="E306" s="6"/>
      <c r="F306" s="6">
        <v>50</v>
      </c>
      <c r="G306" s="7"/>
      <c r="H306" s="6"/>
      <c r="I306" s="6">
        <v>76772729.8</v>
      </c>
      <c r="J306" s="6">
        <v>849.178</v>
      </c>
      <c r="K306" s="6">
        <v>90408.28872156367</v>
      </c>
      <c r="L306" s="6"/>
      <c r="M306" s="6"/>
      <c r="N306" s="6"/>
      <c r="O306" s="7">
        <v>451.9701815741933</v>
      </c>
      <c r="P306" s="15"/>
      <c r="Q306" s="6" t="b">
        <v>1</v>
      </c>
    </row>
    <row r="307" spans="1:17">
      <c r="A307" s="6" t="s">
        <v>26</v>
      </c>
      <c r="B307" s="6" t="s">
        <v>86</v>
      </c>
      <c r="C307" s="6" t="s">
        <v>311</v>
      </c>
      <c r="D307" s="6"/>
      <c r="E307" s="6"/>
      <c r="F307" s="6">
        <v>122</v>
      </c>
      <c r="G307" s="7"/>
      <c r="H307" s="6"/>
      <c r="I307" s="6">
        <v>31068399.5</v>
      </c>
      <c r="J307" s="6">
        <v>689.572</v>
      </c>
      <c r="K307" s="6">
        <v>45054.61286131107</v>
      </c>
      <c r="L307" s="6"/>
      <c r="M307" s="6"/>
      <c r="N307" s="6"/>
      <c r="O307" s="7">
        <v>291.2234100725122</v>
      </c>
      <c r="P307" s="15"/>
      <c r="Q307" s="6" t="b">
        <v>1</v>
      </c>
    </row>
    <row r="308" spans="1:17">
      <c r="A308" s="6" t="s">
        <v>26</v>
      </c>
      <c r="B308" s="6" t="s">
        <v>86</v>
      </c>
      <c r="C308" s="6" t="s">
        <v>312</v>
      </c>
      <c r="D308" s="6"/>
      <c r="E308" s="6"/>
      <c r="F308" s="6">
        <v>3135</v>
      </c>
      <c r="G308" s="7"/>
      <c r="H308" s="6"/>
      <c r="I308" s="6">
        <v>431329884.6</v>
      </c>
      <c r="J308" s="6">
        <v>5313.958</v>
      </c>
      <c r="K308" s="6">
        <v>81169.23103268788</v>
      </c>
      <c r="L308" s="6"/>
      <c r="M308" s="6"/>
      <c r="N308" s="6"/>
      <c r="O308" s="7">
        <v>451.4026120904046</v>
      </c>
      <c r="P308" s="15"/>
      <c r="Q308" s="6" t="b">
        <v>1</v>
      </c>
    </row>
    <row r="309" spans="1:17">
      <c r="A309" s="6" t="s">
        <v>26</v>
      </c>
      <c r="B309" s="6" t="s">
        <v>86</v>
      </c>
      <c r="C309" s="6" t="s">
        <v>313</v>
      </c>
      <c r="D309" s="6"/>
      <c r="E309" s="6"/>
      <c r="F309" s="6">
        <v>2</v>
      </c>
      <c r="G309" s="7"/>
      <c r="H309" s="6"/>
      <c r="I309" s="6">
        <v>80976</v>
      </c>
      <c r="J309" s="6">
        <v>2.73</v>
      </c>
      <c r="K309" s="6">
        <v>29661.53846153846</v>
      </c>
      <c r="L309" s="6"/>
      <c r="M309" s="6"/>
      <c r="N309" s="6"/>
      <c r="O309" s="7">
        <v>283.7661400853958</v>
      </c>
      <c r="P309" s="15"/>
      <c r="Q309" s="6" t="b">
        <v>0</v>
      </c>
    </row>
    <row r="310" spans="1:17">
      <c r="A310" s="6" t="s">
        <v>26</v>
      </c>
      <c r="B310" s="6" t="s">
        <v>86</v>
      </c>
      <c r="C310" s="6" t="s">
        <v>315</v>
      </c>
      <c r="D310" s="6"/>
      <c r="E310" s="6"/>
      <c r="F310" s="6">
        <v>4</v>
      </c>
      <c r="G310" s="7"/>
      <c r="H310" s="6"/>
      <c r="I310" s="6">
        <v>919834</v>
      </c>
      <c r="J310" s="6">
        <v>24.552</v>
      </c>
      <c r="K310" s="6">
        <v>37464.72792440534</v>
      </c>
      <c r="L310" s="6"/>
      <c r="M310" s="6"/>
      <c r="N310" s="6"/>
      <c r="O310" s="7">
        <v>356.3464054438552</v>
      </c>
      <c r="P310" s="15"/>
      <c r="Q310" s="6" t="b">
        <v>1</v>
      </c>
    </row>
    <row r="311" spans="1:17">
      <c r="A311" s="6" t="s">
        <v>26</v>
      </c>
      <c r="B311" s="6" t="s">
        <v>86</v>
      </c>
      <c r="C311" s="6" t="s">
        <v>317</v>
      </c>
      <c r="D311" s="6"/>
      <c r="E311" s="6"/>
      <c r="F311" s="6">
        <v>1</v>
      </c>
      <c r="G311" s="7"/>
      <c r="H311" s="6"/>
      <c r="I311" s="6">
        <v>49832</v>
      </c>
      <c r="J311" s="6">
        <v>1.69</v>
      </c>
      <c r="K311" s="6">
        <v>29486.39053254438</v>
      </c>
      <c r="L311" s="6"/>
      <c r="M311" s="6"/>
      <c r="N311" s="6"/>
      <c r="O311" s="7">
        <v>275.377452360177</v>
      </c>
      <c r="P311" s="15"/>
      <c r="Q311" s="6" t="b">
        <v>0</v>
      </c>
    </row>
    <row r="312" spans="1:17">
      <c r="A312" s="6" t="s">
        <v>26</v>
      </c>
      <c r="B312" s="6" t="s">
        <v>86</v>
      </c>
      <c r="C312" s="6" t="s">
        <v>319</v>
      </c>
      <c r="D312" s="6"/>
      <c r="E312" s="6"/>
      <c r="F312" s="6">
        <v>309</v>
      </c>
      <c r="G312" s="7"/>
      <c r="H312" s="6"/>
      <c r="I312" s="6">
        <v>98269915.59999999</v>
      </c>
      <c r="J312" s="6">
        <v>1309.989</v>
      </c>
      <c r="K312" s="6">
        <v>75015.8326520299</v>
      </c>
      <c r="L312" s="6"/>
      <c r="M312" s="6"/>
      <c r="N312" s="6"/>
      <c r="O312" s="7">
        <v>451.9701815741933</v>
      </c>
      <c r="P312" s="15"/>
      <c r="Q312" s="6" t="b">
        <v>1</v>
      </c>
    </row>
    <row r="313" spans="1:17">
      <c r="A313" s="6" t="s">
        <v>26</v>
      </c>
      <c r="B313" s="6" t="s">
        <v>86</v>
      </c>
      <c r="C313" s="6" t="s">
        <v>363</v>
      </c>
      <c r="D313" s="6"/>
      <c r="E313" s="6"/>
      <c r="F313" s="6">
        <v>17</v>
      </c>
      <c r="G313" s="7"/>
      <c r="H313" s="6"/>
      <c r="I313" s="6">
        <v>29213769.5</v>
      </c>
      <c r="J313" s="6">
        <v>338.313</v>
      </c>
      <c r="K313" s="6">
        <v>86351.30633466643</v>
      </c>
      <c r="L313" s="6"/>
      <c r="M313" s="6"/>
      <c r="N313" s="6"/>
      <c r="O313" s="7">
        <v>451.9701815741933</v>
      </c>
      <c r="P313" s="15"/>
      <c r="Q313" s="6" t="b">
        <v>1</v>
      </c>
    </row>
    <row r="314" spans="1:17">
      <c r="A314" s="6" t="s">
        <v>26</v>
      </c>
      <c r="B314" s="6" t="s">
        <v>86</v>
      </c>
      <c r="C314" s="6" t="s">
        <v>320</v>
      </c>
      <c r="D314" s="6"/>
      <c r="E314" s="6"/>
      <c r="F314" s="6">
        <v>96</v>
      </c>
      <c r="G314" s="7"/>
      <c r="H314" s="6"/>
      <c r="I314" s="6">
        <v>9093092</v>
      </c>
      <c r="J314" s="6">
        <v>174.796</v>
      </c>
      <c r="K314" s="6">
        <v>52021.16753243782</v>
      </c>
      <c r="L314" s="6"/>
      <c r="M314" s="6"/>
      <c r="N314" s="6"/>
      <c r="O314" s="7">
        <v>258.2999591151238</v>
      </c>
      <c r="P314" s="15"/>
      <c r="Q314" s="6" t="b">
        <v>1</v>
      </c>
    </row>
    <row r="315" spans="1:17">
      <c r="A315" s="6" t="s">
        <v>26</v>
      </c>
      <c r="B315" s="6" t="s">
        <v>86</v>
      </c>
      <c r="C315" s="6" t="s">
        <v>321</v>
      </c>
      <c r="D315" s="6"/>
      <c r="E315" s="6"/>
      <c r="F315" s="6">
        <v>92</v>
      </c>
      <c r="G315" s="7"/>
      <c r="H315" s="6"/>
      <c r="I315" s="6">
        <v>32299132</v>
      </c>
      <c r="J315" s="6">
        <v>382.051</v>
      </c>
      <c r="K315" s="6">
        <v>84541.41462789</v>
      </c>
      <c r="L315" s="6"/>
      <c r="M315" s="6"/>
      <c r="N315" s="6"/>
      <c r="O315" s="7">
        <v>304.7348291043775</v>
      </c>
      <c r="P315" s="15"/>
      <c r="Q315" s="6" t="b">
        <v>1</v>
      </c>
    </row>
    <row r="316" spans="1:17">
      <c r="A316" s="6" t="s">
        <v>26</v>
      </c>
      <c r="B316" s="6" t="s">
        <v>86</v>
      </c>
      <c r="C316" s="6" t="s">
        <v>322</v>
      </c>
      <c r="D316" s="6"/>
      <c r="E316" s="6"/>
      <c r="F316" s="6">
        <v>15</v>
      </c>
      <c r="G316" s="7"/>
      <c r="H316" s="6"/>
      <c r="I316" s="6">
        <v>3800830</v>
      </c>
      <c r="J316" s="6">
        <v>84.09700000000001</v>
      </c>
      <c r="K316" s="6">
        <v>45195.78581875691</v>
      </c>
      <c r="L316" s="6"/>
      <c r="M316" s="6"/>
      <c r="N316" s="6"/>
      <c r="O316" s="7">
        <v>272.578971967791</v>
      </c>
      <c r="P316" s="15"/>
      <c r="Q316" s="6" t="b">
        <v>1</v>
      </c>
    </row>
    <row r="317" spans="1:17">
      <c r="A317" s="6" t="s">
        <v>26</v>
      </c>
      <c r="B317" s="6" t="s">
        <v>86</v>
      </c>
      <c r="C317" s="6" t="s">
        <v>323</v>
      </c>
      <c r="D317" s="6"/>
      <c r="E317" s="6"/>
      <c r="F317" s="6">
        <v>760</v>
      </c>
      <c r="G317" s="7"/>
      <c r="H317" s="6"/>
      <c r="I317" s="6">
        <v>57737711.8</v>
      </c>
      <c r="J317" s="6">
        <v>1111.768</v>
      </c>
      <c r="K317" s="6">
        <v>51933.23768987774</v>
      </c>
      <c r="L317" s="6"/>
      <c r="M317" s="6"/>
      <c r="N317" s="6"/>
      <c r="O317" s="7">
        <v>324.9700968201185</v>
      </c>
      <c r="P317" s="15"/>
      <c r="Q317" s="6" t="b">
        <v>1</v>
      </c>
    </row>
    <row r="318" spans="1:17">
      <c r="A318" s="6" t="s">
        <v>26</v>
      </c>
      <c r="B318" s="6" t="s">
        <v>86</v>
      </c>
      <c r="C318" s="6" t="s">
        <v>324</v>
      </c>
      <c r="D318" s="6"/>
      <c r="E318" s="6"/>
      <c r="F318" s="6">
        <v>42</v>
      </c>
      <c r="G318" s="7"/>
      <c r="H318" s="6"/>
      <c r="I318" s="6">
        <v>12553286.8</v>
      </c>
      <c r="J318" s="6">
        <v>190.329</v>
      </c>
      <c r="K318" s="6">
        <v>65955.72298493661</v>
      </c>
      <c r="L318" s="6"/>
      <c r="M318" s="6"/>
      <c r="N318" s="6"/>
      <c r="O318" s="7">
        <v>302.5925708019206</v>
      </c>
      <c r="P318" s="15"/>
      <c r="Q318" s="6" t="b">
        <v>1</v>
      </c>
    </row>
    <row r="319" spans="1:17">
      <c r="A319" s="6" t="s">
        <v>26</v>
      </c>
      <c r="B319" s="6" t="s">
        <v>86</v>
      </c>
      <c r="C319" s="6" t="s">
        <v>364</v>
      </c>
      <c r="D319" s="6"/>
      <c r="E319" s="6"/>
      <c r="F319" s="6">
        <v>1209</v>
      </c>
      <c r="G319" s="7"/>
      <c r="H319" s="6"/>
      <c r="I319" s="6">
        <v>68733455.90000001</v>
      </c>
      <c r="J319" s="6">
        <v>1213.983</v>
      </c>
      <c r="K319" s="6">
        <v>56618.13707440715</v>
      </c>
      <c r="L319" s="6"/>
      <c r="M319" s="6"/>
      <c r="N319" s="6"/>
      <c r="O319" s="7">
        <v>451.9701815741933</v>
      </c>
      <c r="P319" s="15"/>
      <c r="Q319" s="6" t="b">
        <v>1</v>
      </c>
    </row>
    <row r="320" spans="1:17">
      <c r="A320" s="6" t="s">
        <v>26</v>
      </c>
      <c r="B320" s="6" t="s">
        <v>86</v>
      </c>
      <c r="C320" s="6" t="s">
        <v>326</v>
      </c>
      <c r="D320" s="6"/>
      <c r="E320" s="6"/>
      <c r="F320" s="6">
        <v>5104</v>
      </c>
      <c r="G320" s="7"/>
      <c r="H320" s="6"/>
      <c r="I320" s="6">
        <v>988546979.1</v>
      </c>
      <c r="J320" s="6">
        <v>10162.519</v>
      </c>
      <c r="K320" s="6">
        <v>97273.81361845424</v>
      </c>
      <c r="L320" s="6"/>
      <c r="M320" s="6"/>
      <c r="N320" s="6"/>
      <c r="O320" s="7">
        <v>688.8919925258242</v>
      </c>
      <c r="P320" s="15"/>
      <c r="Q320" s="6" t="b">
        <v>1</v>
      </c>
    </row>
    <row r="321" spans="1:17">
      <c r="A321" s="6" t="s">
        <v>26</v>
      </c>
      <c r="B321" s="6" t="s">
        <v>86</v>
      </c>
      <c r="C321" s="6" t="s">
        <v>327</v>
      </c>
      <c r="D321" s="6"/>
      <c r="E321" s="6"/>
      <c r="F321" s="6">
        <v>1322</v>
      </c>
      <c r="G321" s="7"/>
      <c r="H321" s="6"/>
      <c r="I321" s="6">
        <v>69124030.09999999</v>
      </c>
      <c r="J321" s="6">
        <v>1615.693</v>
      </c>
      <c r="K321" s="6">
        <v>42782.89879327323</v>
      </c>
      <c r="L321" s="6"/>
      <c r="M321" s="6"/>
      <c r="N321" s="6"/>
      <c r="O321" s="7">
        <v>165.6166956202507</v>
      </c>
      <c r="P321" s="15"/>
      <c r="Q321" s="6" t="b">
        <v>1</v>
      </c>
    </row>
    <row r="322" spans="1:17">
      <c r="A322" s="6" t="s">
        <v>26</v>
      </c>
      <c r="B322" s="6" t="s">
        <v>86</v>
      </c>
      <c r="C322" s="6" t="s">
        <v>329</v>
      </c>
      <c r="D322" s="6"/>
      <c r="E322" s="6"/>
      <c r="F322" s="6">
        <v>317</v>
      </c>
      <c r="G322" s="7"/>
      <c r="H322" s="6"/>
      <c r="I322" s="6">
        <v>84602224</v>
      </c>
      <c r="J322" s="6">
        <v>993.61</v>
      </c>
      <c r="K322" s="6">
        <v>85146.30891396021</v>
      </c>
      <c r="L322" s="6"/>
      <c r="M322" s="6"/>
      <c r="N322" s="6"/>
      <c r="O322" s="7">
        <v>386.1917192306831</v>
      </c>
      <c r="P322" s="15"/>
      <c r="Q322" s="6" t="b">
        <v>1</v>
      </c>
    </row>
    <row r="323" spans="1:17">
      <c r="A323" s="6" t="s">
        <v>26</v>
      </c>
      <c r="B323" s="6" t="s">
        <v>86</v>
      </c>
      <c r="C323" s="6" t="s">
        <v>330</v>
      </c>
      <c r="D323" s="6"/>
      <c r="E323" s="6"/>
      <c r="F323" s="6">
        <v>576</v>
      </c>
      <c r="G323" s="7"/>
      <c r="H323" s="6"/>
      <c r="I323" s="6">
        <v>77653081.8</v>
      </c>
      <c r="J323" s="6">
        <v>1135.333</v>
      </c>
      <c r="K323" s="6">
        <v>68396.7450959322</v>
      </c>
      <c r="L323" s="6"/>
      <c r="M323" s="6"/>
      <c r="N323" s="6"/>
      <c r="O323" s="7">
        <v>451.9701815741933</v>
      </c>
      <c r="P323" s="15"/>
      <c r="Q323" s="6" t="b">
        <v>1</v>
      </c>
    </row>
    <row r="324" spans="1:17">
      <c r="A324" s="6" t="s">
        <v>26</v>
      </c>
      <c r="B324" s="6" t="s">
        <v>86</v>
      </c>
      <c r="C324" s="6" t="s">
        <v>365</v>
      </c>
      <c r="D324" s="6"/>
      <c r="E324" s="6"/>
      <c r="F324" s="6">
        <v>277</v>
      </c>
      <c r="G324" s="7"/>
      <c r="H324" s="6"/>
      <c r="I324" s="6">
        <v>12144486</v>
      </c>
      <c r="J324" s="6">
        <v>243.341</v>
      </c>
      <c r="K324" s="6">
        <v>49907.27415437595</v>
      </c>
      <c r="L324" s="6"/>
      <c r="M324" s="6"/>
      <c r="N324" s="6"/>
      <c r="O324" s="7">
        <v>113.3236327971893</v>
      </c>
      <c r="P324" s="15"/>
      <c r="Q324" s="6" t="b">
        <v>1</v>
      </c>
    </row>
    <row r="325" spans="1:17">
      <c r="A325" s="6" t="s">
        <v>26</v>
      </c>
      <c r="B325" s="6" t="s">
        <v>86</v>
      </c>
      <c r="C325" s="6" t="s">
        <v>331</v>
      </c>
      <c r="D325" s="6"/>
      <c r="E325" s="6"/>
      <c r="F325" s="6">
        <v>60</v>
      </c>
      <c r="G325" s="7"/>
      <c r="H325" s="6"/>
      <c r="I325" s="6">
        <v>7931964</v>
      </c>
      <c r="J325" s="6">
        <v>85.20100000000001</v>
      </c>
      <c r="K325" s="6">
        <v>93097.07632539523</v>
      </c>
      <c r="L325" s="6"/>
      <c r="M325" s="6"/>
      <c r="N325" s="6"/>
      <c r="O325" s="7">
        <v>441.4683255829086</v>
      </c>
      <c r="P325" s="15"/>
      <c r="Q325" s="6" t="b">
        <v>1</v>
      </c>
    </row>
    <row r="326" spans="1:17">
      <c r="A326" s="6" t="s">
        <v>26</v>
      </c>
      <c r="B326" s="6" t="s">
        <v>86</v>
      </c>
      <c r="C326" s="6" t="s">
        <v>332</v>
      </c>
      <c r="D326" s="6"/>
      <c r="E326" s="6"/>
      <c r="F326" s="6">
        <v>2773</v>
      </c>
      <c r="G326" s="7"/>
      <c r="H326" s="6"/>
      <c r="I326" s="6">
        <v>329393285.2</v>
      </c>
      <c r="J326" s="6">
        <v>6222.51</v>
      </c>
      <c r="K326" s="6">
        <v>52935.75827117996</v>
      </c>
      <c r="L326" s="6"/>
      <c r="M326" s="6"/>
      <c r="N326" s="6"/>
      <c r="O326" s="7">
        <v>409.016255828171</v>
      </c>
      <c r="P326" s="15"/>
      <c r="Q326" s="6" t="b">
        <v>1</v>
      </c>
    </row>
    <row r="327" spans="1:17">
      <c r="A327" s="6" t="s">
        <v>26</v>
      </c>
      <c r="B327" s="6" t="s">
        <v>88</v>
      </c>
      <c r="C327" s="6" t="s">
        <v>335</v>
      </c>
      <c r="D327" s="6"/>
      <c r="E327" s="6"/>
      <c r="F327" s="6">
        <v>353</v>
      </c>
      <c r="G327" s="7"/>
      <c r="H327" s="6"/>
      <c r="I327" s="6">
        <v>421134063.5</v>
      </c>
      <c r="J327" s="6">
        <v>9510.517</v>
      </c>
      <c r="K327" s="6">
        <v>44280.88015614714</v>
      </c>
      <c r="L327" s="6"/>
      <c r="M327" s="6"/>
      <c r="N327" s="6"/>
      <c r="O327" s="7">
        <v>903.9705391491844</v>
      </c>
      <c r="P327" s="15"/>
      <c r="Q327" s="6" t="b">
        <v>1</v>
      </c>
    </row>
    <row r="328" spans="1:17">
      <c r="A328" s="6" t="s">
        <v>26</v>
      </c>
      <c r="B328" s="6" t="s">
        <v>88</v>
      </c>
      <c r="C328" s="6" t="s">
        <v>200</v>
      </c>
      <c r="D328" s="6"/>
      <c r="E328" s="6"/>
      <c r="F328" s="6">
        <v>82</v>
      </c>
      <c r="G328" s="7"/>
      <c r="H328" s="6"/>
      <c r="I328" s="6">
        <v>50899498.3</v>
      </c>
      <c r="J328" s="6">
        <v>1550.265</v>
      </c>
      <c r="K328" s="6">
        <v>32832.77265499769</v>
      </c>
      <c r="L328" s="6"/>
      <c r="M328" s="6"/>
      <c r="N328" s="6"/>
      <c r="O328" s="7">
        <v>903.9705391491844</v>
      </c>
      <c r="P328" s="15"/>
      <c r="Q328" s="6" t="b">
        <v>1</v>
      </c>
    </row>
    <row r="329" spans="1:17">
      <c r="A329" s="6" t="s">
        <v>26</v>
      </c>
      <c r="B329" s="6" t="s">
        <v>88</v>
      </c>
      <c r="C329" s="6" t="s">
        <v>204</v>
      </c>
      <c r="D329" s="6"/>
      <c r="E329" s="6"/>
      <c r="F329" s="6">
        <v>31</v>
      </c>
      <c r="G329" s="7"/>
      <c r="H329" s="6"/>
      <c r="I329" s="6">
        <v>71577054</v>
      </c>
      <c r="J329" s="6">
        <v>1506.388</v>
      </c>
      <c r="K329" s="6">
        <v>47515.6825465949</v>
      </c>
      <c r="L329" s="6"/>
      <c r="M329" s="6"/>
      <c r="N329" s="6"/>
      <c r="O329" s="7">
        <v>402.3682954312609</v>
      </c>
      <c r="P329" s="15"/>
      <c r="Q329" s="6" t="b">
        <v>1</v>
      </c>
    </row>
    <row r="330" spans="1:17">
      <c r="A330" s="6" t="s">
        <v>26</v>
      </c>
      <c r="B330" s="6" t="s">
        <v>88</v>
      </c>
      <c r="C330" s="6" t="s">
        <v>340</v>
      </c>
      <c r="D330" s="6"/>
      <c r="E330" s="6"/>
      <c r="F330" s="6">
        <v>104</v>
      </c>
      <c r="G330" s="7"/>
      <c r="H330" s="6"/>
      <c r="I330" s="6">
        <v>137248812.6</v>
      </c>
      <c r="J330" s="6">
        <v>1203.474</v>
      </c>
      <c r="K330" s="6">
        <v>114043.8535439901</v>
      </c>
      <c r="L330" s="6"/>
      <c r="M330" s="6"/>
      <c r="N330" s="6"/>
      <c r="O330" s="7">
        <v>42.78764202800693</v>
      </c>
      <c r="P330" s="15"/>
      <c r="Q330" s="6" t="b">
        <v>1</v>
      </c>
    </row>
    <row r="331" spans="1:17">
      <c r="A331" s="6" t="s">
        <v>26</v>
      </c>
      <c r="B331" s="6" t="s">
        <v>88</v>
      </c>
      <c r="C331" s="6" t="s">
        <v>236</v>
      </c>
      <c r="D331" s="6"/>
      <c r="E331" s="6"/>
      <c r="F331" s="6">
        <v>10</v>
      </c>
      <c r="G331" s="7"/>
      <c r="H331" s="6"/>
      <c r="I331" s="6">
        <v>20620025</v>
      </c>
      <c r="J331" s="6">
        <v>526.928</v>
      </c>
      <c r="K331" s="6">
        <v>39132.52854279902</v>
      </c>
      <c r="L331" s="6"/>
      <c r="M331" s="6"/>
      <c r="N331" s="6"/>
      <c r="O331" s="7">
        <v>386.3205880828466</v>
      </c>
      <c r="P331" s="15"/>
      <c r="Q331" s="6" t="b">
        <v>1</v>
      </c>
    </row>
    <row r="332" spans="1:17">
      <c r="A332" s="6" t="s">
        <v>26</v>
      </c>
      <c r="B332" s="6" t="s">
        <v>88</v>
      </c>
      <c r="C332" s="6" t="s">
        <v>260</v>
      </c>
      <c r="D332" s="6"/>
      <c r="E332" s="6"/>
      <c r="F332" s="6">
        <v>1031</v>
      </c>
      <c r="G332" s="7"/>
      <c r="H332" s="6"/>
      <c r="I332" s="6">
        <v>793099692.2</v>
      </c>
      <c r="J332" s="6">
        <v>24629.959</v>
      </c>
      <c r="K332" s="6">
        <v>32200.609517864</v>
      </c>
      <c r="L332" s="6"/>
      <c r="M332" s="6"/>
      <c r="N332" s="6"/>
      <c r="O332" s="7">
        <v>903.9705391491844</v>
      </c>
      <c r="P332" s="15"/>
      <c r="Q332" s="6" t="b">
        <v>1</v>
      </c>
    </row>
    <row r="333" spans="1:17">
      <c r="A333" s="6" t="s">
        <v>26</v>
      </c>
      <c r="B333" s="6" t="s">
        <v>88</v>
      </c>
      <c r="C333" s="6" t="s">
        <v>289</v>
      </c>
      <c r="D333" s="6"/>
      <c r="E333" s="6"/>
      <c r="F333" s="6">
        <v>131</v>
      </c>
      <c r="G333" s="7"/>
      <c r="H333" s="6"/>
      <c r="I333" s="6">
        <v>64727196.2</v>
      </c>
      <c r="J333" s="6">
        <v>1862.258</v>
      </c>
      <c r="K333" s="6">
        <v>34757.37314593359</v>
      </c>
      <c r="L333" s="6"/>
      <c r="M333" s="6"/>
      <c r="N333" s="6"/>
      <c r="O333" s="7">
        <v>903.9705391491844</v>
      </c>
      <c r="P333" s="15"/>
      <c r="Q333" s="6" t="b">
        <v>1</v>
      </c>
    </row>
    <row r="334" spans="1:17">
      <c r="A334" s="6" t="s">
        <v>26</v>
      </c>
      <c r="B334" s="6" t="s">
        <v>88</v>
      </c>
      <c r="C334" s="6" t="s">
        <v>302</v>
      </c>
      <c r="D334" s="6"/>
      <c r="E334" s="6"/>
      <c r="F334" s="6">
        <v>555</v>
      </c>
      <c r="G334" s="7"/>
      <c r="H334" s="6"/>
      <c r="I334" s="6">
        <v>426092380.5</v>
      </c>
      <c r="J334" s="6">
        <v>12818.377</v>
      </c>
      <c r="K334" s="6">
        <v>33240.74338740388</v>
      </c>
      <c r="L334" s="6"/>
      <c r="M334" s="6"/>
      <c r="N334" s="6"/>
      <c r="O334" s="7">
        <v>903.9705391491844</v>
      </c>
      <c r="P334" s="15"/>
      <c r="Q334" s="6" t="b">
        <v>1</v>
      </c>
    </row>
    <row r="335" spans="1:17">
      <c r="A335" s="6" t="s">
        <v>26</v>
      </c>
      <c r="B335" s="6" t="s">
        <v>88</v>
      </c>
      <c r="C335" s="6" t="s">
        <v>361</v>
      </c>
      <c r="D335" s="6"/>
      <c r="E335" s="6"/>
      <c r="F335" s="6">
        <v>63</v>
      </c>
      <c r="G335" s="7"/>
      <c r="H335" s="6"/>
      <c r="I335" s="6">
        <v>30009830.5</v>
      </c>
      <c r="J335" s="6">
        <v>715.713</v>
      </c>
      <c r="K335" s="6">
        <v>41929.97821752574</v>
      </c>
      <c r="L335" s="6"/>
      <c r="M335" s="6"/>
      <c r="N335" s="6"/>
      <c r="O335" s="7">
        <v>903.9705391491844</v>
      </c>
      <c r="P335" s="15"/>
      <c r="Q335" s="6" t="b">
        <v>1</v>
      </c>
    </row>
    <row r="336" spans="1:17">
      <c r="A336" s="6" t="s">
        <v>26</v>
      </c>
      <c r="B336" s="6" t="s">
        <v>88</v>
      </c>
      <c r="C336" s="6" t="s">
        <v>362</v>
      </c>
      <c r="D336" s="6"/>
      <c r="E336" s="6"/>
      <c r="F336" s="6">
        <v>244</v>
      </c>
      <c r="G336" s="7"/>
      <c r="H336" s="6"/>
      <c r="I336" s="6">
        <v>78675398.09999999</v>
      </c>
      <c r="J336" s="6">
        <v>2178.994</v>
      </c>
      <c r="K336" s="6">
        <v>36106.29405129155</v>
      </c>
      <c r="L336" s="6"/>
      <c r="M336" s="6"/>
      <c r="N336" s="6"/>
      <c r="O336" s="7">
        <v>903.9705391491844</v>
      </c>
      <c r="P336" s="15"/>
      <c r="Q336" s="6" t="b">
        <v>1</v>
      </c>
    </row>
    <row r="337" spans="1:17">
      <c r="A337" s="6" t="s">
        <v>26</v>
      </c>
      <c r="B337" s="6" t="s">
        <v>88</v>
      </c>
      <c r="C337" s="6" t="s">
        <v>309</v>
      </c>
      <c r="D337" s="6"/>
      <c r="E337" s="6"/>
      <c r="F337" s="6">
        <v>627</v>
      </c>
      <c r="G337" s="7"/>
      <c r="H337" s="6"/>
      <c r="I337" s="6">
        <v>178786913.1</v>
      </c>
      <c r="J337" s="6">
        <v>4119.382</v>
      </c>
      <c r="K337" s="6">
        <v>43401.39202919273</v>
      </c>
      <c r="L337" s="6"/>
      <c r="M337" s="6"/>
      <c r="N337" s="6"/>
      <c r="O337" s="7">
        <v>903.9705391491844</v>
      </c>
      <c r="P337" s="15"/>
      <c r="Q337" s="6" t="b">
        <v>1</v>
      </c>
    </row>
    <row r="338" spans="1:17">
      <c r="A338" s="6" t="s">
        <v>26</v>
      </c>
      <c r="B338" s="6" t="s">
        <v>88</v>
      </c>
      <c r="C338" s="6" t="s">
        <v>310</v>
      </c>
      <c r="D338" s="6"/>
      <c r="E338" s="6"/>
      <c r="F338" s="6">
        <v>13</v>
      </c>
      <c r="G338" s="7"/>
      <c r="H338" s="6"/>
      <c r="I338" s="6">
        <v>55400392.2</v>
      </c>
      <c r="J338" s="6">
        <v>327.418</v>
      </c>
      <c r="K338" s="6">
        <v>169203.8684495049</v>
      </c>
      <c r="L338" s="6"/>
      <c r="M338" s="6"/>
      <c r="N338" s="6"/>
      <c r="O338" s="7">
        <v>903.9705391491844</v>
      </c>
      <c r="P338" s="15"/>
      <c r="Q338" s="6" t="b">
        <v>1</v>
      </c>
    </row>
    <row r="339" spans="1:17">
      <c r="A339" s="6" t="s">
        <v>26</v>
      </c>
      <c r="B339" s="6" t="s">
        <v>90</v>
      </c>
      <c r="C339" s="6" t="s">
        <v>194</v>
      </c>
      <c r="D339" s="6"/>
      <c r="E339" s="6"/>
      <c r="F339" s="6">
        <v>4</v>
      </c>
      <c r="G339" s="7"/>
      <c r="H339" s="6"/>
      <c r="I339" s="6">
        <v>17297</v>
      </c>
      <c r="J339" s="6">
        <v>0.346</v>
      </c>
      <c r="K339" s="6">
        <v>49991.32947976879</v>
      </c>
      <c r="L339" s="6"/>
      <c r="M339" s="6"/>
      <c r="N339" s="6"/>
      <c r="O339" s="7">
        <v>423.6160990010997</v>
      </c>
      <c r="P339" s="15"/>
      <c r="Q339" s="6" t="b">
        <v>0</v>
      </c>
    </row>
    <row r="340" spans="1:17">
      <c r="A340" s="6" t="s">
        <v>26</v>
      </c>
      <c r="B340" s="6" t="s">
        <v>90</v>
      </c>
      <c r="C340" s="6" t="s">
        <v>335</v>
      </c>
      <c r="D340" s="6"/>
      <c r="E340" s="6"/>
      <c r="F340" s="6">
        <v>245</v>
      </c>
      <c r="G340" s="7"/>
      <c r="H340" s="6"/>
      <c r="I340" s="6">
        <v>489030188.1</v>
      </c>
      <c r="J340" s="6">
        <v>5110.136</v>
      </c>
      <c r="K340" s="6">
        <v>95698.07693963528</v>
      </c>
      <c r="L340" s="6"/>
      <c r="M340" s="6"/>
      <c r="N340" s="6"/>
      <c r="O340" s="7">
        <v>424.741964010539</v>
      </c>
      <c r="P340" s="15"/>
      <c r="Q340" s="6" t="b">
        <v>1</v>
      </c>
    </row>
    <row r="341" spans="1:17">
      <c r="A341" s="6" t="s">
        <v>26</v>
      </c>
      <c r="B341" s="6" t="s">
        <v>90</v>
      </c>
      <c r="C341" s="6" t="s">
        <v>197</v>
      </c>
      <c r="D341" s="6"/>
      <c r="E341" s="6"/>
      <c r="F341" s="6">
        <v>495</v>
      </c>
      <c r="G341" s="7"/>
      <c r="H341" s="6"/>
      <c r="I341" s="6">
        <v>1592558.9</v>
      </c>
      <c r="J341" s="6">
        <v>64.027</v>
      </c>
      <c r="K341" s="6">
        <v>24873.23941462196</v>
      </c>
      <c r="L341" s="6"/>
      <c r="M341" s="6"/>
      <c r="N341" s="6"/>
      <c r="O341" s="7">
        <v>274.6286844278893</v>
      </c>
      <c r="P341" s="15"/>
      <c r="Q341" s="6" t="b">
        <v>1</v>
      </c>
    </row>
    <row r="342" spans="1:17">
      <c r="A342" s="6" t="s">
        <v>26</v>
      </c>
      <c r="B342" s="6" t="s">
        <v>90</v>
      </c>
      <c r="C342" s="6" t="s">
        <v>199</v>
      </c>
      <c r="D342" s="6"/>
      <c r="E342" s="6"/>
      <c r="F342" s="6">
        <v>936</v>
      </c>
      <c r="G342" s="7"/>
      <c r="H342" s="6"/>
      <c r="I342" s="6">
        <v>15084112.7</v>
      </c>
      <c r="J342" s="6">
        <v>268.464</v>
      </c>
      <c r="K342" s="6">
        <v>56186.72410453543</v>
      </c>
      <c r="L342" s="6"/>
      <c r="M342" s="6"/>
      <c r="N342" s="6"/>
      <c r="O342" s="7">
        <v>269.9984209665465</v>
      </c>
      <c r="P342" s="15"/>
      <c r="Q342" s="6" t="b">
        <v>1</v>
      </c>
    </row>
    <row r="343" spans="1:17">
      <c r="A343" s="6" t="s">
        <v>26</v>
      </c>
      <c r="B343" s="6" t="s">
        <v>90</v>
      </c>
      <c r="C343" s="6" t="s">
        <v>337</v>
      </c>
      <c r="D343" s="6"/>
      <c r="E343" s="6"/>
      <c r="F343" s="6">
        <v>3</v>
      </c>
      <c r="G343" s="7"/>
      <c r="H343" s="6"/>
      <c r="I343" s="6">
        <v>41319</v>
      </c>
      <c r="J343" s="6">
        <v>0.5640000000000001</v>
      </c>
      <c r="K343" s="6">
        <v>73260.63829787233</v>
      </c>
      <c r="L343" s="6"/>
      <c r="M343" s="6"/>
      <c r="N343" s="6"/>
      <c r="O343" s="7">
        <v>424.741964010539</v>
      </c>
      <c r="P343" s="15"/>
      <c r="Q343" s="6" t="b">
        <v>0</v>
      </c>
    </row>
    <row r="344" spans="1:17">
      <c r="A344" s="6" t="s">
        <v>26</v>
      </c>
      <c r="B344" s="6" t="s">
        <v>90</v>
      </c>
      <c r="C344" s="6" t="s">
        <v>202</v>
      </c>
      <c r="D344" s="6"/>
      <c r="E344" s="6"/>
      <c r="F344" s="6">
        <v>1528</v>
      </c>
      <c r="G344" s="7"/>
      <c r="H344" s="6"/>
      <c r="I344" s="6">
        <v>57551079.8</v>
      </c>
      <c r="J344" s="6">
        <v>589.898</v>
      </c>
      <c r="K344" s="6">
        <v>97561.06954083586</v>
      </c>
      <c r="L344" s="6"/>
      <c r="M344" s="6"/>
      <c r="N344" s="6"/>
      <c r="O344" s="7">
        <v>669.6449862373206</v>
      </c>
      <c r="P344" s="15"/>
      <c r="Q344" s="6" t="b">
        <v>1</v>
      </c>
    </row>
    <row r="345" spans="1:17">
      <c r="A345" s="6" t="s">
        <v>26</v>
      </c>
      <c r="B345" s="6" t="s">
        <v>90</v>
      </c>
      <c r="C345" s="6" t="s">
        <v>203</v>
      </c>
      <c r="D345" s="6"/>
      <c r="E345" s="6"/>
      <c r="F345" s="6">
        <v>2475</v>
      </c>
      <c r="G345" s="7"/>
      <c r="H345" s="6"/>
      <c r="I345" s="6">
        <v>210068479.8</v>
      </c>
      <c r="J345" s="6">
        <v>11772.493</v>
      </c>
      <c r="K345" s="6">
        <v>17844.00974373058</v>
      </c>
      <c r="L345" s="6"/>
      <c r="M345" s="6"/>
      <c r="N345" s="6"/>
      <c r="O345" s="7">
        <v>17.23062956255647</v>
      </c>
      <c r="P345" s="15"/>
      <c r="Q345" s="6" t="b">
        <v>1</v>
      </c>
    </row>
    <row r="346" spans="1:17">
      <c r="A346" s="6" t="s">
        <v>26</v>
      </c>
      <c r="B346" s="6" t="s">
        <v>90</v>
      </c>
      <c r="C346" s="6" t="s">
        <v>204</v>
      </c>
      <c r="D346" s="6"/>
      <c r="E346" s="6"/>
      <c r="F346" s="6">
        <v>324</v>
      </c>
      <c r="G346" s="7"/>
      <c r="H346" s="6"/>
      <c r="I346" s="6">
        <v>24690447.8</v>
      </c>
      <c r="J346" s="6">
        <v>508.856</v>
      </c>
      <c r="K346" s="6">
        <v>48521.48309148364</v>
      </c>
      <c r="L346" s="6"/>
      <c r="M346" s="6"/>
      <c r="N346" s="6"/>
      <c r="O346" s="7">
        <v>312.9781386268409</v>
      </c>
      <c r="P346" s="15"/>
      <c r="Q346" s="6" t="b">
        <v>1</v>
      </c>
    </row>
    <row r="347" spans="1:17">
      <c r="A347" s="6" t="s">
        <v>26</v>
      </c>
      <c r="B347" s="6" t="s">
        <v>90</v>
      </c>
      <c r="C347" s="6" t="s">
        <v>206</v>
      </c>
      <c r="D347" s="6"/>
      <c r="E347" s="6"/>
      <c r="F347" s="6">
        <v>11</v>
      </c>
      <c r="G347" s="7"/>
      <c r="H347" s="6"/>
      <c r="I347" s="6">
        <v>78833</v>
      </c>
      <c r="J347" s="6">
        <v>1.725</v>
      </c>
      <c r="K347" s="6">
        <v>45700.28985507246</v>
      </c>
      <c r="L347" s="6"/>
      <c r="M347" s="6"/>
      <c r="N347" s="6"/>
      <c r="O347" s="7">
        <v>427.7113668828223</v>
      </c>
      <c r="P347" s="15"/>
      <c r="Q347" s="6" t="b">
        <v>0</v>
      </c>
    </row>
    <row r="348" spans="1:17">
      <c r="A348" s="6" t="s">
        <v>26</v>
      </c>
      <c r="B348" s="6" t="s">
        <v>90</v>
      </c>
      <c r="C348" s="6" t="s">
        <v>340</v>
      </c>
      <c r="D348" s="6"/>
      <c r="E348" s="6"/>
      <c r="F348" s="6">
        <v>10</v>
      </c>
      <c r="G348" s="7"/>
      <c r="H348" s="6"/>
      <c r="I348" s="6">
        <v>2812499.4</v>
      </c>
      <c r="J348" s="6">
        <v>30.235</v>
      </c>
      <c r="K348" s="6">
        <v>93021.31304779231</v>
      </c>
      <c r="L348" s="6"/>
      <c r="M348" s="6"/>
      <c r="N348" s="6"/>
      <c r="O348" s="7">
        <v>517.1443099504505</v>
      </c>
      <c r="P348" s="15"/>
      <c r="Q348" s="6" t="b">
        <v>1</v>
      </c>
    </row>
    <row r="349" spans="1:17">
      <c r="A349" s="6" t="s">
        <v>26</v>
      </c>
      <c r="B349" s="6" t="s">
        <v>90</v>
      </c>
      <c r="C349" s="6" t="s">
        <v>207</v>
      </c>
      <c r="D349" s="6"/>
      <c r="E349" s="6"/>
      <c r="F349" s="6">
        <v>111</v>
      </c>
      <c r="G349" s="7"/>
      <c r="H349" s="6"/>
      <c r="I349" s="6">
        <v>741249</v>
      </c>
      <c r="J349" s="6">
        <v>11.904</v>
      </c>
      <c r="K349" s="6">
        <v>62268.90120967742</v>
      </c>
      <c r="L349" s="6"/>
      <c r="M349" s="6"/>
      <c r="N349" s="6"/>
      <c r="O349" s="7">
        <v>301.6307195046099</v>
      </c>
      <c r="P349" s="15"/>
      <c r="Q349" s="6" t="b">
        <v>0</v>
      </c>
    </row>
    <row r="350" spans="1:17">
      <c r="A350" s="6" t="s">
        <v>26</v>
      </c>
      <c r="B350" s="6" t="s">
        <v>90</v>
      </c>
      <c r="C350" s="6" t="s">
        <v>208</v>
      </c>
      <c r="D350" s="6"/>
      <c r="E350" s="6"/>
      <c r="F350" s="6">
        <v>9</v>
      </c>
      <c r="G350" s="7"/>
      <c r="H350" s="6"/>
      <c r="I350" s="6">
        <v>78687</v>
      </c>
      <c r="J350" s="6">
        <v>1.582</v>
      </c>
      <c r="K350" s="6">
        <v>49738.93805309735</v>
      </c>
      <c r="L350" s="6"/>
      <c r="M350" s="6"/>
      <c r="N350" s="6"/>
      <c r="O350" s="7">
        <v>294.1863663094451</v>
      </c>
      <c r="P350" s="15"/>
      <c r="Q350" s="6" t="b">
        <v>0</v>
      </c>
    </row>
    <row r="351" spans="1:17">
      <c r="A351" s="6" t="s">
        <v>26</v>
      </c>
      <c r="B351" s="6" t="s">
        <v>90</v>
      </c>
      <c r="C351" s="6" t="s">
        <v>209</v>
      </c>
      <c r="D351" s="6"/>
      <c r="E351" s="6"/>
      <c r="F351" s="6">
        <v>146</v>
      </c>
      <c r="G351" s="7"/>
      <c r="H351" s="6"/>
      <c r="I351" s="6">
        <v>1062408</v>
      </c>
      <c r="J351" s="6">
        <v>16.534</v>
      </c>
      <c r="K351" s="6">
        <v>64255.95742107173</v>
      </c>
      <c r="L351" s="6"/>
      <c r="M351" s="6"/>
      <c r="N351" s="6"/>
      <c r="O351" s="7">
        <v>269.6149609046623</v>
      </c>
      <c r="P351" s="15"/>
      <c r="Q351" s="6" t="b">
        <v>0</v>
      </c>
    </row>
    <row r="352" spans="1:17">
      <c r="A352" s="6" t="s">
        <v>26</v>
      </c>
      <c r="B352" s="6" t="s">
        <v>90</v>
      </c>
      <c r="C352" s="6" t="s">
        <v>210</v>
      </c>
      <c r="D352" s="6"/>
      <c r="E352" s="6"/>
      <c r="F352" s="6">
        <v>105</v>
      </c>
      <c r="G352" s="7"/>
      <c r="H352" s="6"/>
      <c r="I352" s="6">
        <v>477958.5</v>
      </c>
      <c r="J352" s="6">
        <v>10.673</v>
      </c>
      <c r="K352" s="6">
        <v>44782.02005059496</v>
      </c>
      <c r="L352" s="6"/>
      <c r="M352" s="6"/>
      <c r="N352" s="6"/>
      <c r="O352" s="7">
        <v>50.4822705186535</v>
      </c>
      <c r="P352" s="15"/>
      <c r="Q352" s="6" t="b">
        <v>0</v>
      </c>
    </row>
    <row r="353" spans="1:17">
      <c r="A353" s="6" t="s">
        <v>26</v>
      </c>
      <c r="B353" s="6" t="s">
        <v>90</v>
      </c>
      <c r="C353" s="6" t="s">
        <v>211</v>
      </c>
      <c r="D353" s="6"/>
      <c r="E353" s="6"/>
      <c r="F353" s="6">
        <v>55</v>
      </c>
      <c r="G353" s="7"/>
      <c r="H353" s="6"/>
      <c r="I353" s="6">
        <v>6472083.8</v>
      </c>
      <c r="J353" s="6">
        <v>138.61</v>
      </c>
      <c r="K353" s="6">
        <v>46692.76242695332</v>
      </c>
      <c r="L353" s="6"/>
      <c r="M353" s="6"/>
      <c r="N353" s="6"/>
      <c r="O353" s="7">
        <v>451.9062034125726</v>
      </c>
      <c r="P353" s="15"/>
      <c r="Q353" s="6" t="b">
        <v>1</v>
      </c>
    </row>
    <row r="354" spans="1:17">
      <c r="A354" s="6" t="s">
        <v>26</v>
      </c>
      <c r="B354" s="6" t="s">
        <v>90</v>
      </c>
      <c r="C354" s="6" t="s">
        <v>212</v>
      </c>
      <c r="D354" s="6"/>
      <c r="E354" s="6"/>
      <c r="F354" s="6">
        <v>8</v>
      </c>
      <c r="G354" s="7"/>
      <c r="H354" s="6"/>
      <c r="I354" s="6">
        <v>2399849.9</v>
      </c>
      <c r="J354" s="6">
        <v>47.461</v>
      </c>
      <c r="K354" s="6">
        <v>50564.67204652241</v>
      </c>
      <c r="L354" s="6"/>
      <c r="M354" s="6"/>
      <c r="N354" s="6"/>
      <c r="O354" s="7">
        <v>449.1828151172284</v>
      </c>
      <c r="P354" s="15"/>
      <c r="Q354" s="6" t="b">
        <v>1</v>
      </c>
    </row>
    <row r="355" spans="1:17">
      <c r="A355" s="6" t="s">
        <v>26</v>
      </c>
      <c r="B355" s="6" t="s">
        <v>90</v>
      </c>
      <c r="C355" s="6" t="s">
        <v>213</v>
      </c>
      <c r="D355" s="6"/>
      <c r="E355" s="6"/>
      <c r="F355" s="6">
        <v>105</v>
      </c>
      <c r="G355" s="7"/>
      <c r="H355" s="6"/>
      <c r="I355" s="6">
        <v>47514931.6</v>
      </c>
      <c r="J355" s="6">
        <v>540.421</v>
      </c>
      <c r="K355" s="6">
        <v>87922.06742521108</v>
      </c>
      <c r="L355" s="6"/>
      <c r="M355" s="6"/>
      <c r="N355" s="6"/>
      <c r="O355" s="7">
        <v>424.741964010539</v>
      </c>
      <c r="P355" s="15"/>
      <c r="Q355" s="6" t="b">
        <v>1</v>
      </c>
    </row>
    <row r="356" spans="1:17">
      <c r="A356" s="6" t="s">
        <v>26</v>
      </c>
      <c r="B356" s="6" t="s">
        <v>90</v>
      </c>
      <c r="C356" s="6" t="s">
        <v>214</v>
      </c>
      <c r="D356" s="6"/>
      <c r="E356" s="6"/>
      <c r="F356" s="6">
        <v>220</v>
      </c>
      <c r="G356" s="7"/>
      <c r="H356" s="6"/>
      <c r="I356" s="6">
        <v>615351.5</v>
      </c>
      <c r="J356" s="6">
        <v>21.052</v>
      </c>
      <c r="K356" s="6">
        <v>29230.07315219457</v>
      </c>
      <c r="L356" s="6"/>
      <c r="M356" s="6"/>
      <c r="N356" s="6"/>
      <c r="O356" s="7">
        <v>263.1582625362872</v>
      </c>
      <c r="P356" s="15"/>
      <c r="Q356" s="6" t="b">
        <v>1</v>
      </c>
    </row>
    <row r="357" spans="1:17">
      <c r="A357" s="6" t="s">
        <v>26</v>
      </c>
      <c r="B357" s="6" t="s">
        <v>90</v>
      </c>
      <c r="C357" s="6" t="s">
        <v>215</v>
      </c>
      <c r="D357" s="6"/>
      <c r="E357" s="6"/>
      <c r="F357" s="6">
        <v>1413</v>
      </c>
      <c r="G357" s="7"/>
      <c r="H357" s="6"/>
      <c r="I357" s="6">
        <v>45281773.8</v>
      </c>
      <c r="J357" s="6">
        <v>459.941</v>
      </c>
      <c r="K357" s="6">
        <v>98451.26614065717</v>
      </c>
      <c r="L357" s="6"/>
      <c r="M357" s="6"/>
      <c r="N357" s="6"/>
      <c r="O357" s="7">
        <v>578.9913638162978</v>
      </c>
      <c r="P357" s="15"/>
      <c r="Q357" s="6" t="b">
        <v>1</v>
      </c>
    </row>
    <row r="358" spans="1:17">
      <c r="A358" s="6" t="s">
        <v>26</v>
      </c>
      <c r="B358" s="6" t="s">
        <v>90</v>
      </c>
      <c r="C358" s="6" t="s">
        <v>216</v>
      </c>
      <c r="D358" s="6"/>
      <c r="E358" s="6"/>
      <c r="F358" s="6">
        <v>363</v>
      </c>
      <c r="G358" s="7"/>
      <c r="H358" s="6"/>
      <c r="I358" s="6">
        <v>3322903</v>
      </c>
      <c r="J358" s="6">
        <v>55.991</v>
      </c>
      <c r="K358" s="6">
        <v>59347.09149684771</v>
      </c>
      <c r="L358" s="6"/>
      <c r="M358" s="6"/>
      <c r="N358" s="6"/>
      <c r="O358" s="7">
        <v>245.7451640500088</v>
      </c>
      <c r="P358" s="15"/>
      <c r="Q358" s="6" t="b">
        <v>1</v>
      </c>
    </row>
    <row r="359" spans="1:17">
      <c r="A359" s="6" t="s">
        <v>26</v>
      </c>
      <c r="B359" s="6" t="s">
        <v>90</v>
      </c>
      <c r="C359" s="6" t="s">
        <v>217</v>
      </c>
      <c r="D359" s="6"/>
      <c r="E359" s="6"/>
      <c r="F359" s="6">
        <v>701</v>
      </c>
      <c r="G359" s="7"/>
      <c r="H359" s="6"/>
      <c r="I359" s="6">
        <v>3426860.5</v>
      </c>
      <c r="J359" s="6">
        <v>115.788</v>
      </c>
      <c r="K359" s="6">
        <v>29595.99008532836</v>
      </c>
      <c r="L359" s="6"/>
      <c r="M359" s="6"/>
      <c r="N359" s="6"/>
      <c r="O359" s="7">
        <v>233.5448906351215</v>
      </c>
      <c r="P359" s="15"/>
      <c r="Q359" s="6" t="b">
        <v>1</v>
      </c>
    </row>
    <row r="360" spans="1:17">
      <c r="A360" s="6" t="s">
        <v>26</v>
      </c>
      <c r="B360" s="6" t="s">
        <v>90</v>
      </c>
      <c r="C360" s="6" t="s">
        <v>219</v>
      </c>
      <c r="D360" s="6"/>
      <c r="E360" s="6"/>
      <c r="F360" s="6">
        <v>33</v>
      </c>
      <c r="G360" s="7"/>
      <c r="H360" s="6"/>
      <c r="I360" s="6">
        <v>573533.9</v>
      </c>
      <c r="J360" s="6">
        <v>11.83</v>
      </c>
      <c r="K360" s="6">
        <v>48481.31022823331</v>
      </c>
      <c r="L360" s="6"/>
      <c r="M360" s="6"/>
      <c r="N360" s="6"/>
      <c r="O360" s="7">
        <v>297.5083785254791</v>
      </c>
      <c r="P360" s="15"/>
      <c r="Q360" s="6" t="b">
        <v>0</v>
      </c>
    </row>
    <row r="361" spans="1:17">
      <c r="A361" s="6" t="s">
        <v>26</v>
      </c>
      <c r="B361" s="6" t="s">
        <v>90</v>
      </c>
      <c r="C361" s="6" t="s">
        <v>220</v>
      </c>
      <c r="D361" s="6"/>
      <c r="E361" s="6"/>
      <c r="F361" s="6">
        <v>256</v>
      </c>
      <c r="G361" s="7"/>
      <c r="H361" s="6"/>
      <c r="I361" s="6">
        <v>3721190.5</v>
      </c>
      <c r="J361" s="6">
        <v>69.008</v>
      </c>
      <c r="K361" s="6">
        <v>53924.04503825644</v>
      </c>
      <c r="L361" s="6"/>
      <c r="M361" s="6"/>
      <c r="N361" s="6"/>
      <c r="O361" s="7">
        <v>204.2343228020965</v>
      </c>
      <c r="P361" s="15"/>
      <c r="Q361" s="6" t="b">
        <v>1</v>
      </c>
    </row>
    <row r="362" spans="1:17">
      <c r="A362" s="6" t="s">
        <v>26</v>
      </c>
      <c r="B362" s="6" t="s">
        <v>90</v>
      </c>
      <c r="C362" s="6" t="s">
        <v>221</v>
      </c>
      <c r="D362" s="6"/>
      <c r="E362" s="6"/>
      <c r="F362" s="6">
        <v>11</v>
      </c>
      <c r="G362" s="7"/>
      <c r="H362" s="6"/>
      <c r="I362" s="6">
        <v>79431</v>
      </c>
      <c r="J362" s="6">
        <v>1.56</v>
      </c>
      <c r="K362" s="6">
        <v>50917.30769230769</v>
      </c>
      <c r="L362" s="6"/>
      <c r="M362" s="6"/>
      <c r="N362" s="6"/>
      <c r="O362" s="7">
        <v>259.035550898617</v>
      </c>
      <c r="P362" s="15"/>
      <c r="Q362" s="6" t="b">
        <v>0</v>
      </c>
    </row>
    <row r="363" spans="1:17">
      <c r="A363" s="6" t="s">
        <v>26</v>
      </c>
      <c r="B363" s="6" t="s">
        <v>90</v>
      </c>
      <c r="C363" s="6" t="s">
        <v>222</v>
      </c>
      <c r="D363" s="6"/>
      <c r="E363" s="6"/>
      <c r="F363" s="6">
        <v>143</v>
      </c>
      <c r="G363" s="7"/>
      <c r="H363" s="6"/>
      <c r="I363" s="6">
        <v>1074966</v>
      </c>
      <c r="J363" s="6">
        <v>17.251</v>
      </c>
      <c r="K363" s="6">
        <v>62313.25720248101</v>
      </c>
      <c r="L363" s="6"/>
      <c r="M363" s="6"/>
      <c r="N363" s="6"/>
      <c r="O363" s="7">
        <v>256.6852816806829</v>
      </c>
      <c r="P363" s="15"/>
      <c r="Q363" s="6" t="b">
        <v>0</v>
      </c>
    </row>
    <row r="364" spans="1:17">
      <c r="A364" s="6" t="s">
        <v>26</v>
      </c>
      <c r="B364" s="6" t="s">
        <v>90</v>
      </c>
      <c r="C364" s="6" t="s">
        <v>342</v>
      </c>
      <c r="D364" s="6"/>
      <c r="E364" s="6"/>
      <c r="F364" s="6">
        <v>90</v>
      </c>
      <c r="G364" s="7"/>
      <c r="H364" s="6"/>
      <c r="I364" s="6">
        <v>3873763.9</v>
      </c>
      <c r="J364" s="6">
        <v>122.299</v>
      </c>
      <c r="K364" s="6">
        <v>31674.534542392</v>
      </c>
      <c r="L364" s="6"/>
      <c r="M364" s="6"/>
      <c r="N364" s="6"/>
      <c r="O364" s="7">
        <v>112.783426408943</v>
      </c>
      <c r="P364" s="15"/>
      <c r="Q364" s="6" t="b">
        <v>1</v>
      </c>
    </row>
    <row r="365" spans="1:17">
      <c r="A365" s="6" t="s">
        <v>26</v>
      </c>
      <c r="B365" s="6" t="s">
        <v>90</v>
      </c>
      <c r="C365" s="6" t="s">
        <v>223</v>
      </c>
      <c r="D365" s="6"/>
      <c r="E365" s="6"/>
      <c r="F365" s="6">
        <v>87</v>
      </c>
      <c r="G365" s="7"/>
      <c r="H365" s="6"/>
      <c r="I365" s="6">
        <v>2270072.9</v>
      </c>
      <c r="J365" s="6">
        <v>90.499</v>
      </c>
      <c r="K365" s="6">
        <v>25083.95562381905</v>
      </c>
      <c r="L365" s="6"/>
      <c r="M365" s="6"/>
      <c r="N365" s="6"/>
      <c r="O365" s="7">
        <v>10.14751849918675</v>
      </c>
      <c r="P365" s="15"/>
      <c r="Q365" s="6" t="b">
        <v>1</v>
      </c>
    </row>
    <row r="366" spans="1:17">
      <c r="A366" s="6" t="s">
        <v>26</v>
      </c>
      <c r="B366" s="6" t="s">
        <v>90</v>
      </c>
      <c r="C366" s="6" t="s">
        <v>224</v>
      </c>
      <c r="D366" s="6"/>
      <c r="E366" s="6"/>
      <c r="F366" s="6">
        <v>54</v>
      </c>
      <c r="G366" s="7"/>
      <c r="H366" s="6"/>
      <c r="I366" s="6">
        <v>8760140.300000001</v>
      </c>
      <c r="J366" s="6">
        <v>204.679</v>
      </c>
      <c r="K366" s="6">
        <v>42799.40931898241</v>
      </c>
      <c r="L366" s="6"/>
      <c r="M366" s="6"/>
      <c r="N366" s="6"/>
      <c r="O366" s="7">
        <v>299.1580690186865</v>
      </c>
      <c r="P366" s="15"/>
      <c r="Q366" s="6" t="b">
        <v>1</v>
      </c>
    </row>
    <row r="367" spans="1:17">
      <c r="A367" s="6" t="s">
        <v>26</v>
      </c>
      <c r="B367" s="6" t="s">
        <v>90</v>
      </c>
      <c r="C367" s="6" t="s">
        <v>225</v>
      </c>
      <c r="D367" s="6"/>
      <c r="E367" s="6"/>
      <c r="F367" s="6">
        <v>3</v>
      </c>
      <c r="G367" s="7"/>
      <c r="H367" s="6"/>
      <c r="I367" s="6">
        <v>45063</v>
      </c>
      <c r="J367" s="6">
        <v>0.441</v>
      </c>
      <c r="K367" s="6">
        <v>102183.6734693878</v>
      </c>
      <c r="L367" s="6"/>
      <c r="M367" s="6"/>
      <c r="N367" s="6"/>
      <c r="O367" s="7">
        <v>437.4752035505743</v>
      </c>
      <c r="P367" s="15"/>
      <c r="Q367" s="6" t="b">
        <v>0</v>
      </c>
    </row>
    <row r="368" spans="1:17">
      <c r="A368" s="6" t="s">
        <v>26</v>
      </c>
      <c r="B368" s="6" t="s">
        <v>90</v>
      </c>
      <c r="C368" s="6" t="s">
        <v>227</v>
      </c>
      <c r="D368" s="6"/>
      <c r="E368" s="6"/>
      <c r="F368" s="6">
        <v>389</v>
      </c>
      <c r="G368" s="7"/>
      <c r="H368" s="6"/>
      <c r="I368" s="6">
        <v>5786924</v>
      </c>
      <c r="J368" s="6">
        <v>105.015</v>
      </c>
      <c r="K368" s="6">
        <v>55105.68966338142</v>
      </c>
      <c r="L368" s="6"/>
      <c r="M368" s="6"/>
      <c r="N368" s="6"/>
      <c r="O368" s="7">
        <v>225.8504957637251</v>
      </c>
      <c r="P368" s="15"/>
      <c r="Q368" s="6" t="b">
        <v>1</v>
      </c>
    </row>
    <row r="369" spans="1:17">
      <c r="A369" s="6" t="s">
        <v>26</v>
      </c>
      <c r="B369" s="6" t="s">
        <v>90</v>
      </c>
      <c r="C369" s="6" t="s">
        <v>228</v>
      </c>
      <c r="D369" s="6"/>
      <c r="E369" s="6"/>
      <c r="F369" s="6">
        <v>7</v>
      </c>
      <c r="G369" s="7"/>
      <c r="H369" s="6"/>
      <c r="I369" s="6">
        <v>36286</v>
      </c>
      <c r="J369" s="6">
        <v>0.776</v>
      </c>
      <c r="K369" s="6">
        <v>46760.30927835051</v>
      </c>
      <c r="L369" s="6"/>
      <c r="M369" s="6"/>
      <c r="N369" s="6"/>
      <c r="O369" s="7">
        <v>357.021322060185</v>
      </c>
      <c r="P369" s="15"/>
      <c r="Q369" s="6" t="b">
        <v>0</v>
      </c>
    </row>
    <row r="370" spans="1:17">
      <c r="A370" s="6" t="s">
        <v>26</v>
      </c>
      <c r="B370" s="6" t="s">
        <v>90</v>
      </c>
      <c r="C370" s="6" t="s">
        <v>230</v>
      </c>
      <c r="D370" s="6"/>
      <c r="E370" s="6"/>
      <c r="F370" s="6">
        <v>6625</v>
      </c>
      <c r="G370" s="7"/>
      <c r="H370" s="6"/>
      <c r="I370" s="6">
        <v>52837781.6</v>
      </c>
      <c r="J370" s="6">
        <v>2004.647</v>
      </c>
      <c r="K370" s="6">
        <v>26357.64880300622</v>
      </c>
      <c r="L370" s="6"/>
      <c r="M370" s="6"/>
      <c r="N370" s="6"/>
      <c r="O370" s="7">
        <v>37.00536209785778</v>
      </c>
      <c r="P370" s="15"/>
      <c r="Q370" s="6" t="b">
        <v>1</v>
      </c>
    </row>
    <row r="371" spans="1:17">
      <c r="A371" s="6" t="s">
        <v>26</v>
      </c>
      <c r="B371" s="6" t="s">
        <v>90</v>
      </c>
      <c r="C371" s="6" t="s">
        <v>231</v>
      </c>
      <c r="D371" s="6"/>
      <c r="E371" s="6"/>
      <c r="F371" s="6">
        <v>62</v>
      </c>
      <c r="G371" s="7"/>
      <c r="H371" s="6"/>
      <c r="I371" s="6">
        <v>17149998.5</v>
      </c>
      <c r="J371" s="6">
        <v>208.554</v>
      </c>
      <c r="K371" s="6">
        <v>82232.89172108902</v>
      </c>
      <c r="L371" s="6"/>
      <c r="M371" s="6"/>
      <c r="N371" s="6"/>
      <c r="O371" s="7">
        <v>424.741964010539</v>
      </c>
      <c r="P371" s="15"/>
      <c r="Q371" s="6" t="b">
        <v>1</v>
      </c>
    </row>
    <row r="372" spans="1:17">
      <c r="A372" s="6" t="s">
        <v>26</v>
      </c>
      <c r="B372" s="6" t="s">
        <v>90</v>
      </c>
      <c r="C372" s="6" t="s">
        <v>346</v>
      </c>
      <c r="D372" s="6"/>
      <c r="E372" s="6"/>
      <c r="F372" s="6">
        <v>40</v>
      </c>
      <c r="G372" s="7"/>
      <c r="H372" s="6"/>
      <c r="I372" s="6">
        <v>12520493.5</v>
      </c>
      <c r="J372" s="6">
        <v>137.341</v>
      </c>
      <c r="K372" s="6">
        <v>91163.5527628312</v>
      </c>
      <c r="L372" s="6"/>
      <c r="M372" s="6"/>
      <c r="N372" s="6"/>
      <c r="O372" s="7">
        <v>424.741964010539</v>
      </c>
      <c r="P372" s="15"/>
      <c r="Q372" s="6" t="b">
        <v>1</v>
      </c>
    </row>
    <row r="373" spans="1:17">
      <c r="A373" s="6" t="s">
        <v>26</v>
      </c>
      <c r="B373" s="6" t="s">
        <v>90</v>
      </c>
      <c r="C373" s="6" t="s">
        <v>232</v>
      </c>
      <c r="D373" s="6"/>
      <c r="E373" s="6"/>
      <c r="F373" s="6">
        <v>11</v>
      </c>
      <c r="G373" s="7"/>
      <c r="H373" s="6"/>
      <c r="I373" s="6">
        <v>74013</v>
      </c>
      <c r="J373" s="6">
        <v>1.357</v>
      </c>
      <c r="K373" s="6">
        <v>54541.63596168018</v>
      </c>
      <c r="L373" s="6"/>
      <c r="M373" s="6"/>
      <c r="N373" s="6"/>
      <c r="O373" s="7">
        <v>276.9315494846678</v>
      </c>
      <c r="P373" s="15"/>
      <c r="Q373" s="6" t="b">
        <v>0</v>
      </c>
    </row>
    <row r="374" spans="1:17">
      <c r="A374" s="6" t="s">
        <v>26</v>
      </c>
      <c r="B374" s="6" t="s">
        <v>90</v>
      </c>
      <c r="C374" s="6" t="s">
        <v>233</v>
      </c>
      <c r="D374" s="6"/>
      <c r="E374" s="6"/>
      <c r="F374" s="6">
        <v>129</v>
      </c>
      <c r="G374" s="7"/>
      <c r="H374" s="6"/>
      <c r="I374" s="6">
        <v>6317927</v>
      </c>
      <c r="J374" s="6">
        <v>140.366</v>
      </c>
      <c r="K374" s="6">
        <v>45010.3800065543</v>
      </c>
      <c r="L374" s="6"/>
      <c r="M374" s="6"/>
      <c r="N374" s="6"/>
      <c r="O374" s="7">
        <v>690.5259167218594</v>
      </c>
      <c r="P374" s="15"/>
      <c r="Q374" s="6" t="b">
        <v>1</v>
      </c>
    </row>
    <row r="375" spans="1:17">
      <c r="A375" s="6" t="s">
        <v>26</v>
      </c>
      <c r="B375" s="6" t="s">
        <v>90</v>
      </c>
      <c r="C375" s="6" t="s">
        <v>234</v>
      </c>
      <c r="D375" s="6"/>
      <c r="E375" s="6"/>
      <c r="F375" s="6">
        <v>144</v>
      </c>
      <c r="G375" s="7"/>
      <c r="H375" s="6"/>
      <c r="I375" s="6">
        <v>84079554.90000001</v>
      </c>
      <c r="J375" s="6">
        <v>630.085</v>
      </c>
      <c r="K375" s="6">
        <v>133441.6069260497</v>
      </c>
      <c r="L375" s="6"/>
      <c r="M375" s="6"/>
      <c r="N375" s="6"/>
      <c r="O375" s="7">
        <v>352.5306258153824</v>
      </c>
      <c r="P375" s="15"/>
      <c r="Q375" s="6" t="b">
        <v>1</v>
      </c>
    </row>
    <row r="376" spans="1:17">
      <c r="A376" s="6" t="s">
        <v>26</v>
      </c>
      <c r="B376" s="6" t="s">
        <v>90</v>
      </c>
      <c r="C376" s="6" t="s">
        <v>235</v>
      </c>
      <c r="D376" s="6"/>
      <c r="E376" s="6"/>
      <c r="F376" s="6">
        <v>122</v>
      </c>
      <c r="G376" s="7"/>
      <c r="H376" s="6"/>
      <c r="I376" s="6">
        <v>313404</v>
      </c>
      <c r="J376" s="6">
        <v>11.369</v>
      </c>
      <c r="K376" s="6">
        <v>27566.54059284018</v>
      </c>
      <c r="L376" s="6"/>
      <c r="M376" s="6"/>
      <c r="N376" s="6"/>
      <c r="O376" s="7">
        <v>73.62077430498674</v>
      </c>
      <c r="P376" s="15"/>
      <c r="Q376" s="6" t="b">
        <v>0</v>
      </c>
    </row>
    <row r="377" spans="1:17">
      <c r="A377" s="6" t="s">
        <v>26</v>
      </c>
      <c r="B377" s="6" t="s">
        <v>90</v>
      </c>
      <c r="C377" s="6" t="s">
        <v>236</v>
      </c>
      <c r="D377" s="6"/>
      <c r="E377" s="6"/>
      <c r="F377" s="6">
        <v>113</v>
      </c>
      <c r="G377" s="7"/>
      <c r="H377" s="6"/>
      <c r="I377" s="6">
        <v>24892490.9</v>
      </c>
      <c r="J377" s="6">
        <v>520.718</v>
      </c>
      <c r="K377" s="6">
        <v>47804.16828302459</v>
      </c>
      <c r="L377" s="6"/>
      <c r="M377" s="6"/>
      <c r="N377" s="6"/>
      <c r="O377" s="7">
        <v>299.4676391596166</v>
      </c>
      <c r="P377" s="15"/>
      <c r="Q377" s="6" t="b">
        <v>1</v>
      </c>
    </row>
    <row r="378" spans="1:17">
      <c r="A378" s="6" t="s">
        <v>26</v>
      </c>
      <c r="B378" s="6" t="s">
        <v>90</v>
      </c>
      <c r="C378" s="6" t="s">
        <v>237</v>
      </c>
      <c r="D378" s="6"/>
      <c r="E378" s="6"/>
      <c r="F378" s="6">
        <v>29</v>
      </c>
      <c r="G378" s="7"/>
      <c r="H378" s="6"/>
      <c r="I378" s="6">
        <v>454086.9</v>
      </c>
      <c r="J378" s="6">
        <v>9.673999999999999</v>
      </c>
      <c r="K378" s="6">
        <v>46938.89807732066</v>
      </c>
      <c r="L378" s="6"/>
      <c r="M378" s="6"/>
      <c r="N378" s="6"/>
      <c r="O378" s="7">
        <v>334.603727911291</v>
      </c>
      <c r="P378" s="15"/>
      <c r="Q378" s="6" t="b">
        <v>0</v>
      </c>
    </row>
    <row r="379" spans="1:17">
      <c r="A379" s="6" t="s">
        <v>26</v>
      </c>
      <c r="B379" s="6" t="s">
        <v>90</v>
      </c>
      <c r="C379" s="6" t="s">
        <v>238</v>
      </c>
      <c r="D379" s="6"/>
      <c r="E379" s="6"/>
      <c r="F379" s="6">
        <v>2</v>
      </c>
      <c r="G379" s="7"/>
      <c r="H379" s="6"/>
      <c r="I379" s="6">
        <v>10473</v>
      </c>
      <c r="J379" s="6">
        <v>0.142</v>
      </c>
      <c r="K379" s="6">
        <v>73753.52112676056</v>
      </c>
      <c r="L379" s="6"/>
      <c r="M379" s="6"/>
      <c r="N379" s="6"/>
      <c r="O379" s="7">
        <v>303.5349993838991</v>
      </c>
      <c r="P379" s="15"/>
      <c r="Q379" s="6" t="b">
        <v>0</v>
      </c>
    </row>
    <row r="380" spans="1:17">
      <c r="A380" s="6" t="s">
        <v>26</v>
      </c>
      <c r="B380" s="6" t="s">
        <v>90</v>
      </c>
      <c r="C380" s="6" t="s">
        <v>239</v>
      </c>
      <c r="D380" s="6"/>
      <c r="E380" s="6"/>
      <c r="F380" s="6">
        <v>50</v>
      </c>
      <c r="G380" s="7"/>
      <c r="H380" s="6"/>
      <c r="I380" s="6">
        <v>2633773</v>
      </c>
      <c r="J380" s="6">
        <v>33.82</v>
      </c>
      <c r="K380" s="6">
        <v>77876.19751626256</v>
      </c>
      <c r="L380" s="6"/>
      <c r="M380" s="6"/>
      <c r="N380" s="6"/>
      <c r="O380" s="7">
        <v>657.7225616618096</v>
      </c>
      <c r="P380" s="15"/>
      <c r="Q380" s="6" t="b">
        <v>1</v>
      </c>
    </row>
    <row r="381" spans="1:17">
      <c r="A381" s="6" t="s">
        <v>26</v>
      </c>
      <c r="B381" s="6" t="s">
        <v>90</v>
      </c>
      <c r="C381" s="6" t="s">
        <v>240</v>
      </c>
      <c r="D381" s="6"/>
      <c r="E381" s="6"/>
      <c r="F381" s="6">
        <v>27</v>
      </c>
      <c r="G381" s="7"/>
      <c r="H381" s="6"/>
      <c r="I381" s="6">
        <v>314568</v>
      </c>
      <c r="J381" s="6">
        <v>6.118</v>
      </c>
      <c r="K381" s="6">
        <v>51416.80287675711</v>
      </c>
      <c r="L381" s="6"/>
      <c r="M381" s="6"/>
      <c r="N381" s="6"/>
      <c r="O381" s="7">
        <v>315.3411341356373</v>
      </c>
      <c r="P381" s="15"/>
      <c r="Q381" s="6" t="b">
        <v>0</v>
      </c>
    </row>
    <row r="382" spans="1:17">
      <c r="A382" s="6" t="s">
        <v>26</v>
      </c>
      <c r="B382" s="6" t="s">
        <v>90</v>
      </c>
      <c r="C382" s="6" t="s">
        <v>241</v>
      </c>
      <c r="D382" s="6"/>
      <c r="E382" s="6"/>
      <c r="F382" s="6">
        <v>39</v>
      </c>
      <c r="G382" s="7"/>
      <c r="H382" s="6"/>
      <c r="I382" s="6">
        <v>3005939.6</v>
      </c>
      <c r="J382" s="6">
        <v>113.911</v>
      </c>
      <c r="K382" s="6">
        <v>26388.49277067184</v>
      </c>
      <c r="L382" s="6"/>
      <c r="M382" s="6"/>
      <c r="N382" s="6"/>
      <c r="O382" s="7">
        <v>0.7221357521464935</v>
      </c>
      <c r="P382" s="15"/>
      <c r="Q382" s="6" t="b">
        <v>1</v>
      </c>
    </row>
    <row r="383" spans="1:17">
      <c r="A383" s="6" t="s">
        <v>26</v>
      </c>
      <c r="B383" s="6" t="s">
        <v>90</v>
      </c>
      <c r="C383" s="6" t="s">
        <v>242</v>
      </c>
      <c r="D383" s="6"/>
      <c r="E383" s="6"/>
      <c r="F383" s="6">
        <v>3</v>
      </c>
      <c r="G383" s="7"/>
      <c r="H383" s="6"/>
      <c r="I383" s="6">
        <v>6446176</v>
      </c>
      <c r="J383" s="6">
        <v>132.6</v>
      </c>
      <c r="K383" s="6">
        <v>48613.69532428356</v>
      </c>
      <c r="L383" s="6"/>
      <c r="M383" s="6"/>
      <c r="N383" s="6"/>
      <c r="O383" s="7">
        <v>341.7764649201497</v>
      </c>
      <c r="P383" s="15"/>
      <c r="Q383" s="6" t="b">
        <v>1</v>
      </c>
    </row>
    <row r="384" spans="1:17">
      <c r="A384" s="6" t="s">
        <v>26</v>
      </c>
      <c r="B384" s="6" t="s">
        <v>90</v>
      </c>
      <c r="C384" s="6" t="s">
        <v>243</v>
      </c>
      <c r="D384" s="6"/>
      <c r="E384" s="6"/>
      <c r="F384" s="6">
        <v>2</v>
      </c>
      <c r="G384" s="7"/>
      <c r="H384" s="6"/>
      <c r="I384" s="6">
        <v>10126</v>
      </c>
      <c r="J384" s="6">
        <v>0.261</v>
      </c>
      <c r="K384" s="6">
        <v>38796.93486590038</v>
      </c>
      <c r="L384" s="6"/>
      <c r="M384" s="6"/>
      <c r="N384" s="6"/>
      <c r="O384" s="7">
        <v>480.8993819270008</v>
      </c>
      <c r="P384" s="15"/>
      <c r="Q384" s="6" t="b">
        <v>0</v>
      </c>
    </row>
    <row r="385" spans="1:17">
      <c r="A385" s="6" t="s">
        <v>26</v>
      </c>
      <c r="B385" s="6" t="s">
        <v>90</v>
      </c>
      <c r="C385" s="6" t="s">
        <v>244</v>
      </c>
      <c r="D385" s="6"/>
      <c r="E385" s="6"/>
      <c r="F385" s="6">
        <v>9</v>
      </c>
      <c r="G385" s="7"/>
      <c r="H385" s="6"/>
      <c r="I385" s="6">
        <v>66236</v>
      </c>
      <c r="J385" s="6">
        <v>1.305</v>
      </c>
      <c r="K385" s="6">
        <v>50755.55555555555</v>
      </c>
      <c r="L385" s="6"/>
      <c r="M385" s="6"/>
      <c r="N385" s="6"/>
      <c r="O385" s="7">
        <v>379.4769819237792</v>
      </c>
      <c r="P385" s="15"/>
      <c r="Q385" s="6" t="b">
        <v>0</v>
      </c>
    </row>
    <row r="386" spans="1:17">
      <c r="A386" s="6" t="s">
        <v>26</v>
      </c>
      <c r="B386" s="6" t="s">
        <v>90</v>
      </c>
      <c r="C386" s="6" t="s">
        <v>245</v>
      </c>
      <c r="D386" s="6"/>
      <c r="E386" s="6"/>
      <c r="F386" s="6">
        <v>6</v>
      </c>
      <c r="G386" s="7"/>
      <c r="H386" s="6"/>
      <c r="I386" s="6">
        <v>521156</v>
      </c>
      <c r="J386" s="6">
        <v>32.609</v>
      </c>
      <c r="K386" s="6">
        <v>15981.96816829709</v>
      </c>
      <c r="L386" s="6"/>
      <c r="M386" s="6"/>
      <c r="N386" s="6"/>
      <c r="O386" s="7">
        <v>15.13071496293858</v>
      </c>
      <c r="P386" s="15"/>
      <c r="Q386" s="6" t="b">
        <v>1</v>
      </c>
    </row>
    <row r="387" spans="1:17">
      <c r="A387" s="6" t="s">
        <v>26</v>
      </c>
      <c r="B387" s="6" t="s">
        <v>90</v>
      </c>
      <c r="C387" s="6" t="s">
        <v>246</v>
      </c>
      <c r="D387" s="6"/>
      <c r="E387" s="6"/>
      <c r="F387" s="6">
        <v>43</v>
      </c>
      <c r="G387" s="7"/>
      <c r="H387" s="6"/>
      <c r="I387" s="6">
        <v>128424</v>
      </c>
      <c r="J387" s="6">
        <v>5.012</v>
      </c>
      <c r="K387" s="6">
        <v>25623.30407023144</v>
      </c>
      <c r="L387" s="6"/>
      <c r="M387" s="6"/>
      <c r="N387" s="6"/>
      <c r="O387" s="7">
        <v>47.15243274885964</v>
      </c>
      <c r="P387" s="15"/>
      <c r="Q387" s="6" t="b">
        <v>0</v>
      </c>
    </row>
    <row r="388" spans="1:17">
      <c r="A388" s="6" t="s">
        <v>26</v>
      </c>
      <c r="B388" s="6" t="s">
        <v>90</v>
      </c>
      <c r="C388" s="6" t="s">
        <v>348</v>
      </c>
      <c r="D388" s="6"/>
      <c r="E388" s="6"/>
      <c r="F388" s="6">
        <v>65</v>
      </c>
      <c r="G388" s="7"/>
      <c r="H388" s="6"/>
      <c r="I388" s="6">
        <v>58049998.2</v>
      </c>
      <c r="J388" s="6">
        <v>689.644</v>
      </c>
      <c r="K388" s="6">
        <v>84173.86100654831</v>
      </c>
      <c r="L388" s="6"/>
      <c r="M388" s="6"/>
      <c r="N388" s="6"/>
      <c r="O388" s="7">
        <v>424.741964010539</v>
      </c>
      <c r="P388" s="15"/>
      <c r="Q388" s="6" t="b">
        <v>1</v>
      </c>
    </row>
    <row r="389" spans="1:17">
      <c r="A389" s="6" t="s">
        <v>26</v>
      </c>
      <c r="B389" s="6" t="s">
        <v>90</v>
      </c>
      <c r="C389" s="6" t="s">
        <v>247</v>
      </c>
      <c r="D389" s="6"/>
      <c r="E389" s="6"/>
      <c r="F389" s="6">
        <v>101</v>
      </c>
      <c r="G389" s="7"/>
      <c r="H389" s="6"/>
      <c r="I389" s="6">
        <v>11837184.9</v>
      </c>
      <c r="J389" s="6">
        <v>248.639</v>
      </c>
      <c r="K389" s="6">
        <v>47607.91710069619</v>
      </c>
      <c r="L389" s="6"/>
      <c r="M389" s="6"/>
      <c r="N389" s="6"/>
      <c r="O389" s="7">
        <v>282.8914307464408</v>
      </c>
      <c r="P389" s="15"/>
      <c r="Q389" s="6" t="b">
        <v>1</v>
      </c>
    </row>
    <row r="390" spans="1:17">
      <c r="A390" s="6" t="s">
        <v>26</v>
      </c>
      <c r="B390" s="6" t="s">
        <v>90</v>
      </c>
      <c r="C390" s="6" t="s">
        <v>248</v>
      </c>
      <c r="D390" s="6"/>
      <c r="E390" s="6"/>
      <c r="F390" s="6">
        <v>21</v>
      </c>
      <c r="G390" s="7"/>
      <c r="H390" s="6"/>
      <c r="I390" s="6">
        <v>13613536</v>
      </c>
      <c r="J390" s="6">
        <v>128.757</v>
      </c>
      <c r="K390" s="6">
        <v>105730.4534899073</v>
      </c>
      <c r="L390" s="6"/>
      <c r="M390" s="6"/>
      <c r="N390" s="6"/>
      <c r="O390" s="7">
        <v>863.0100057052202</v>
      </c>
      <c r="P390" s="15"/>
      <c r="Q390" s="6" t="b">
        <v>1</v>
      </c>
    </row>
    <row r="391" spans="1:17">
      <c r="A391" s="6" t="s">
        <v>26</v>
      </c>
      <c r="B391" s="6" t="s">
        <v>90</v>
      </c>
      <c r="C391" s="6" t="s">
        <v>249</v>
      </c>
      <c r="D391" s="6"/>
      <c r="E391" s="6"/>
      <c r="F391" s="6">
        <v>1913</v>
      </c>
      <c r="G391" s="7"/>
      <c r="H391" s="6"/>
      <c r="I391" s="6">
        <v>14915498</v>
      </c>
      <c r="J391" s="6">
        <v>606.168</v>
      </c>
      <c r="K391" s="6">
        <v>24606.21147932586</v>
      </c>
      <c r="L391" s="6"/>
      <c r="M391" s="6"/>
      <c r="N391" s="6"/>
      <c r="O391" s="7">
        <v>38.73777476686599</v>
      </c>
      <c r="P391" s="15"/>
      <c r="Q391" s="6" t="b">
        <v>1</v>
      </c>
    </row>
    <row r="392" spans="1:17">
      <c r="A392" s="6" t="s">
        <v>26</v>
      </c>
      <c r="B392" s="6" t="s">
        <v>90</v>
      </c>
      <c r="C392" s="6" t="s">
        <v>351</v>
      </c>
      <c r="D392" s="6"/>
      <c r="E392" s="6"/>
      <c r="F392" s="6">
        <v>1</v>
      </c>
      <c r="G392" s="7"/>
      <c r="H392" s="6"/>
      <c r="I392" s="6">
        <v>339667</v>
      </c>
      <c r="J392" s="6">
        <v>5.6</v>
      </c>
      <c r="K392" s="6">
        <v>60654.82142857143</v>
      </c>
      <c r="L392" s="6"/>
      <c r="M392" s="6"/>
      <c r="N392" s="6"/>
      <c r="O392" s="7">
        <v>121.9821639918459</v>
      </c>
      <c r="P392" s="15"/>
      <c r="Q392" s="6" t="b">
        <v>0</v>
      </c>
    </row>
    <row r="393" spans="1:17">
      <c r="A393" s="6" t="s">
        <v>26</v>
      </c>
      <c r="B393" s="6" t="s">
        <v>90</v>
      </c>
      <c r="C393" s="6" t="s">
        <v>250</v>
      </c>
      <c r="D393" s="6"/>
      <c r="E393" s="6"/>
      <c r="F393" s="6">
        <v>14</v>
      </c>
      <c r="G393" s="7"/>
      <c r="H393" s="6"/>
      <c r="I393" s="6">
        <v>174099</v>
      </c>
      <c r="J393" s="6">
        <v>4.023</v>
      </c>
      <c r="K393" s="6">
        <v>43275.91349739001</v>
      </c>
      <c r="L393" s="6"/>
      <c r="M393" s="6"/>
      <c r="N393" s="6"/>
      <c r="O393" s="7">
        <v>478.2314395346593</v>
      </c>
      <c r="P393" s="15"/>
      <c r="Q393" s="6" t="b">
        <v>0</v>
      </c>
    </row>
    <row r="394" spans="1:17">
      <c r="A394" s="6" t="s">
        <v>26</v>
      </c>
      <c r="B394" s="6" t="s">
        <v>90</v>
      </c>
      <c r="C394" s="6" t="s">
        <v>251</v>
      </c>
      <c r="D394" s="6"/>
      <c r="E394" s="6"/>
      <c r="F394" s="6">
        <v>889</v>
      </c>
      <c r="G394" s="7"/>
      <c r="H394" s="6"/>
      <c r="I394" s="6">
        <v>3489990</v>
      </c>
      <c r="J394" s="6">
        <v>147.617</v>
      </c>
      <c r="K394" s="6">
        <v>23642.19568206914</v>
      </c>
      <c r="L394" s="6"/>
      <c r="M394" s="6"/>
      <c r="N394" s="6"/>
      <c r="O394" s="7">
        <v>51.31776882364383</v>
      </c>
      <c r="P394" s="15"/>
      <c r="Q394" s="6" t="b">
        <v>1</v>
      </c>
    </row>
    <row r="395" spans="1:17">
      <c r="A395" s="6" t="s">
        <v>26</v>
      </c>
      <c r="B395" s="6" t="s">
        <v>90</v>
      </c>
      <c r="C395" s="6" t="s">
        <v>252</v>
      </c>
      <c r="D395" s="6"/>
      <c r="E395" s="6"/>
      <c r="F395" s="6">
        <v>8</v>
      </c>
      <c r="G395" s="7"/>
      <c r="H395" s="6"/>
      <c r="I395" s="6">
        <v>55762</v>
      </c>
      <c r="J395" s="6">
        <v>1.18</v>
      </c>
      <c r="K395" s="6">
        <v>47255.93220338984</v>
      </c>
      <c r="L395" s="6"/>
      <c r="M395" s="6"/>
      <c r="N395" s="6"/>
      <c r="O395" s="7">
        <v>176.3947567873716</v>
      </c>
      <c r="P395" s="15"/>
      <c r="Q395" s="6" t="b">
        <v>0</v>
      </c>
    </row>
    <row r="396" spans="1:17">
      <c r="A396" s="6" t="s">
        <v>26</v>
      </c>
      <c r="B396" s="6" t="s">
        <v>90</v>
      </c>
      <c r="C396" s="6" t="s">
        <v>253</v>
      </c>
      <c r="D396" s="6"/>
      <c r="E396" s="6"/>
      <c r="F396" s="6">
        <v>588</v>
      </c>
      <c r="G396" s="7"/>
      <c r="H396" s="6"/>
      <c r="I396" s="6">
        <v>4945669.9</v>
      </c>
      <c r="J396" s="6">
        <v>152.424</v>
      </c>
      <c r="K396" s="6">
        <v>32446.79249986879</v>
      </c>
      <c r="L396" s="6"/>
      <c r="M396" s="6"/>
      <c r="N396" s="6"/>
      <c r="O396" s="7">
        <v>42.64579715782721</v>
      </c>
      <c r="P396" s="15"/>
      <c r="Q396" s="6" t="b">
        <v>1</v>
      </c>
    </row>
    <row r="397" spans="1:17">
      <c r="A397" s="6" t="s">
        <v>26</v>
      </c>
      <c r="B397" s="6" t="s">
        <v>90</v>
      </c>
      <c r="C397" s="6" t="s">
        <v>254</v>
      </c>
      <c r="D397" s="6"/>
      <c r="E397" s="6"/>
      <c r="F397" s="6">
        <v>6</v>
      </c>
      <c r="G397" s="7"/>
      <c r="H397" s="6"/>
      <c r="I397" s="6">
        <v>27888</v>
      </c>
      <c r="J397" s="6">
        <v>0.448</v>
      </c>
      <c r="K397" s="6">
        <v>62250.00000000001</v>
      </c>
      <c r="L397" s="6"/>
      <c r="M397" s="6"/>
      <c r="N397" s="6"/>
      <c r="O397" s="7">
        <v>290.720663408523</v>
      </c>
      <c r="P397" s="15"/>
      <c r="Q397" s="6" t="b">
        <v>0</v>
      </c>
    </row>
    <row r="398" spans="1:17">
      <c r="A398" s="6" t="s">
        <v>26</v>
      </c>
      <c r="B398" s="6" t="s">
        <v>90</v>
      </c>
      <c r="C398" s="6" t="s">
        <v>256</v>
      </c>
      <c r="D398" s="6"/>
      <c r="E398" s="6"/>
      <c r="F398" s="6">
        <v>85</v>
      </c>
      <c r="G398" s="7"/>
      <c r="H398" s="6"/>
      <c r="I398" s="6">
        <v>518455</v>
      </c>
      <c r="J398" s="6">
        <v>8.723000000000001</v>
      </c>
      <c r="K398" s="6">
        <v>59435.40066490886</v>
      </c>
      <c r="L398" s="6"/>
      <c r="M398" s="6"/>
      <c r="N398" s="6"/>
      <c r="O398" s="7">
        <v>283.7413238916242</v>
      </c>
      <c r="P398" s="15"/>
      <c r="Q398" s="6" t="b">
        <v>0</v>
      </c>
    </row>
    <row r="399" spans="1:17">
      <c r="A399" s="6" t="s">
        <v>26</v>
      </c>
      <c r="B399" s="6" t="s">
        <v>90</v>
      </c>
      <c r="C399" s="6" t="s">
        <v>257</v>
      </c>
      <c r="D399" s="6"/>
      <c r="E399" s="6"/>
      <c r="F399" s="6">
        <v>77</v>
      </c>
      <c r="G399" s="7"/>
      <c r="H399" s="6"/>
      <c r="I399" s="6">
        <v>19311323</v>
      </c>
      <c r="J399" s="6">
        <v>226.484</v>
      </c>
      <c r="K399" s="6">
        <v>85265.7273803006</v>
      </c>
      <c r="L399" s="6"/>
      <c r="M399" s="6"/>
      <c r="N399" s="6"/>
      <c r="O399" s="7">
        <v>424.741964010539</v>
      </c>
      <c r="P399" s="15"/>
      <c r="Q399" s="6" t="b">
        <v>1</v>
      </c>
    </row>
    <row r="400" spans="1:17">
      <c r="A400" s="6" t="s">
        <v>26</v>
      </c>
      <c r="B400" s="6" t="s">
        <v>90</v>
      </c>
      <c r="C400" s="6" t="s">
        <v>258</v>
      </c>
      <c r="D400" s="6"/>
      <c r="E400" s="6"/>
      <c r="F400" s="6">
        <v>7</v>
      </c>
      <c r="G400" s="7"/>
      <c r="H400" s="6"/>
      <c r="I400" s="6">
        <v>5774999.8</v>
      </c>
      <c r="J400" s="6">
        <v>69.893</v>
      </c>
      <c r="K400" s="6">
        <v>82626.29734022004</v>
      </c>
      <c r="L400" s="6"/>
      <c r="M400" s="6"/>
      <c r="N400" s="6"/>
      <c r="O400" s="7">
        <v>424.741964010539</v>
      </c>
      <c r="P400" s="15"/>
      <c r="Q400" s="6" t="b">
        <v>1</v>
      </c>
    </row>
    <row r="401" spans="1:17">
      <c r="A401" s="6" t="s">
        <v>26</v>
      </c>
      <c r="B401" s="6" t="s">
        <v>90</v>
      </c>
      <c r="C401" s="6" t="s">
        <v>260</v>
      </c>
      <c r="D401" s="6"/>
      <c r="E401" s="6"/>
      <c r="F401" s="6">
        <v>213</v>
      </c>
      <c r="G401" s="7"/>
      <c r="H401" s="6"/>
      <c r="I401" s="6">
        <v>238595986.7</v>
      </c>
      <c r="J401" s="6">
        <v>4275.54</v>
      </c>
      <c r="K401" s="6">
        <v>55804.87767627013</v>
      </c>
      <c r="L401" s="6"/>
      <c r="M401" s="6"/>
      <c r="N401" s="6"/>
      <c r="O401" s="7">
        <v>424.741964010539</v>
      </c>
      <c r="P401" s="15"/>
      <c r="Q401" s="6" t="b">
        <v>1</v>
      </c>
    </row>
    <row r="402" spans="1:17">
      <c r="A402" s="6" t="s">
        <v>26</v>
      </c>
      <c r="B402" s="6" t="s">
        <v>90</v>
      </c>
      <c r="C402" s="6" t="s">
        <v>261</v>
      </c>
      <c r="D402" s="6"/>
      <c r="E402" s="6"/>
      <c r="F402" s="6">
        <v>84</v>
      </c>
      <c r="G402" s="7"/>
      <c r="H402" s="6"/>
      <c r="I402" s="6">
        <v>1007804</v>
      </c>
      <c r="J402" s="6">
        <v>9.824999999999999</v>
      </c>
      <c r="K402" s="6">
        <v>102575.4707379135</v>
      </c>
      <c r="L402" s="6"/>
      <c r="M402" s="6"/>
      <c r="N402" s="6"/>
      <c r="O402" s="7">
        <v>415.517970410485</v>
      </c>
      <c r="P402" s="15"/>
      <c r="Q402" s="6" t="b">
        <v>0</v>
      </c>
    </row>
    <row r="403" spans="1:17">
      <c r="A403" s="6" t="s">
        <v>26</v>
      </c>
      <c r="B403" s="6" t="s">
        <v>90</v>
      </c>
      <c r="C403" s="6" t="s">
        <v>263</v>
      </c>
      <c r="D403" s="6"/>
      <c r="E403" s="6"/>
      <c r="F403" s="6">
        <v>78</v>
      </c>
      <c r="G403" s="7"/>
      <c r="H403" s="6"/>
      <c r="I403" s="6">
        <v>13322517</v>
      </c>
      <c r="J403" s="6">
        <v>202.173</v>
      </c>
      <c r="K403" s="6">
        <v>65896.61824279206</v>
      </c>
      <c r="L403" s="6"/>
      <c r="M403" s="6"/>
      <c r="N403" s="6"/>
      <c r="O403" s="7">
        <v>424.6983712103444</v>
      </c>
      <c r="P403" s="15"/>
      <c r="Q403" s="6" t="b">
        <v>1</v>
      </c>
    </row>
    <row r="404" spans="1:17">
      <c r="A404" s="6" t="s">
        <v>26</v>
      </c>
      <c r="B404" s="6" t="s">
        <v>90</v>
      </c>
      <c r="C404" s="6" t="s">
        <v>265</v>
      </c>
      <c r="D404" s="6"/>
      <c r="E404" s="6"/>
      <c r="F404" s="6">
        <v>72</v>
      </c>
      <c r="G404" s="7"/>
      <c r="H404" s="6"/>
      <c r="I404" s="6">
        <v>9921484.9</v>
      </c>
      <c r="J404" s="6">
        <v>112.3</v>
      </c>
      <c r="K404" s="6">
        <v>88348.04007123776</v>
      </c>
      <c r="L404" s="6"/>
      <c r="M404" s="6"/>
      <c r="N404" s="6"/>
      <c r="O404" s="7">
        <v>654.0917506051676</v>
      </c>
      <c r="P404" s="15"/>
      <c r="Q404" s="6" t="b">
        <v>1</v>
      </c>
    </row>
    <row r="405" spans="1:17">
      <c r="A405" s="6" t="s">
        <v>26</v>
      </c>
      <c r="B405" s="6" t="s">
        <v>90</v>
      </c>
      <c r="C405" s="6" t="s">
        <v>266</v>
      </c>
      <c r="D405" s="6"/>
      <c r="E405" s="6"/>
      <c r="F405" s="6">
        <v>1157</v>
      </c>
      <c r="G405" s="7"/>
      <c r="H405" s="6"/>
      <c r="I405" s="6">
        <v>21080672</v>
      </c>
      <c r="J405" s="6">
        <v>356.78</v>
      </c>
      <c r="K405" s="6">
        <v>59085.91288749369</v>
      </c>
      <c r="L405" s="6"/>
      <c r="M405" s="6"/>
      <c r="N405" s="6"/>
      <c r="O405" s="7">
        <v>190.3248728543655</v>
      </c>
      <c r="P405" s="15"/>
      <c r="Q405" s="6" t="b">
        <v>1</v>
      </c>
    </row>
    <row r="406" spans="1:17">
      <c r="A406" s="6" t="s">
        <v>26</v>
      </c>
      <c r="B406" s="6" t="s">
        <v>90</v>
      </c>
      <c r="C406" s="6" t="s">
        <v>267</v>
      </c>
      <c r="D406" s="6"/>
      <c r="E406" s="6"/>
      <c r="F406" s="6">
        <v>18509</v>
      </c>
      <c r="G406" s="7"/>
      <c r="H406" s="6"/>
      <c r="I406" s="6">
        <v>322210600.7</v>
      </c>
      <c r="J406" s="6">
        <v>11430.993</v>
      </c>
      <c r="K406" s="6">
        <v>28187.4549918804</v>
      </c>
      <c r="L406" s="6"/>
      <c r="M406" s="6"/>
      <c r="N406" s="6"/>
      <c r="O406" s="7">
        <v>28.18315110574689</v>
      </c>
      <c r="P406" s="15"/>
      <c r="Q406" s="6" t="b">
        <v>1</v>
      </c>
    </row>
    <row r="407" spans="1:17">
      <c r="A407" s="6" t="s">
        <v>26</v>
      </c>
      <c r="B407" s="6" t="s">
        <v>90</v>
      </c>
      <c r="C407" s="6" t="s">
        <v>366</v>
      </c>
      <c r="D407" s="6"/>
      <c r="E407" s="6"/>
      <c r="F407" s="6">
        <v>5</v>
      </c>
      <c r="G407" s="7"/>
      <c r="H407" s="6"/>
      <c r="I407" s="6">
        <v>21165891.5</v>
      </c>
      <c r="J407" s="6">
        <v>268.832</v>
      </c>
      <c r="K407" s="6">
        <v>78732.78292762766</v>
      </c>
      <c r="L407" s="6"/>
      <c r="M407" s="6"/>
      <c r="N407" s="6"/>
      <c r="O407" s="7">
        <v>424.741964010539</v>
      </c>
      <c r="P407" s="15"/>
      <c r="Q407" s="6" t="b">
        <v>1</v>
      </c>
    </row>
    <row r="408" spans="1:17">
      <c r="A408" s="6" t="s">
        <v>26</v>
      </c>
      <c r="B408" s="6" t="s">
        <v>90</v>
      </c>
      <c r="C408" s="6" t="s">
        <v>268</v>
      </c>
      <c r="D408" s="6"/>
      <c r="E408" s="6"/>
      <c r="F408" s="6">
        <v>9</v>
      </c>
      <c r="G408" s="7"/>
      <c r="H408" s="6"/>
      <c r="I408" s="6">
        <v>65172</v>
      </c>
      <c r="J408" s="6">
        <v>1.323</v>
      </c>
      <c r="K408" s="6">
        <v>49260.77097505669</v>
      </c>
      <c r="L408" s="6"/>
      <c r="M408" s="6"/>
      <c r="N408" s="6"/>
      <c r="O408" s="7">
        <v>335.8955182190211</v>
      </c>
      <c r="P408" s="15"/>
      <c r="Q408" s="6" t="b">
        <v>0</v>
      </c>
    </row>
    <row r="409" spans="1:17">
      <c r="A409" s="6" t="s">
        <v>26</v>
      </c>
      <c r="B409" s="6" t="s">
        <v>90</v>
      </c>
      <c r="C409" s="6" t="s">
        <v>269</v>
      </c>
      <c r="D409" s="6"/>
      <c r="E409" s="6"/>
      <c r="F409" s="6">
        <v>56</v>
      </c>
      <c r="G409" s="7"/>
      <c r="H409" s="6"/>
      <c r="I409" s="6">
        <v>17324999.3</v>
      </c>
      <c r="J409" s="6">
        <v>205.23</v>
      </c>
      <c r="K409" s="6">
        <v>84417.47941334113</v>
      </c>
      <c r="L409" s="6"/>
      <c r="M409" s="6"/>
      <c r="N409" s="6"/>
      <c r="O409" s="7">
        <v>424.741964010539</v>
      </c>
      <c r="P409" s="15"/>
      <c r="Q409" s="6" t="b">
        <v>1</v>
      </c>
    </row>
    <row r="410" spans="1:17">
      <c r="A410" s="6" t="s">
        <v>26</v>
      </c>
      <c r="B410" s="6" t="s">
        <v>90</v>
      </c>
      <c r="C410" s="6" t="s">
        <v>270</v>
      </c>
      <c r="D410" s="6"/>
      <c r="E410" s="6"/>
      <c r="F410" s="6">
        <v>6</v>
      </c>
      <c r="G410" s="7"/>
      <c r="H410" s="6"/>
      <c r="I410" s="6">
        <v>1808320</v>
      </c>
      <c r="J410" s="6">
        <v>33.1</v>
      </c>
      <c r="K410" s="6">
        <v>54632.02416918429</v>
      </c>
      <c r="L410" s="6"/>
      <c r="M410" s="6"/>
      <c r="N410" s="6"/>
      <c r="O410" s="7">
        <v>776.2835855617955</v>
      </c>
      <c r="P410" s="15"/>
      <c r="Q410" s="6" t="b">
        <v>1</v>
      </c>
    </row>
    <row r="411" spans="1:17">
      <c r="A411" s="6" t="s">
        <v>26</v>
      </c>
      <c r="B411" s="6" t="s">
        <v>90</v>
      </c>
      <c r="C411" s="6" t="s">
        <v>271</v>
      </c>
      <c r="D411" s="6"/>
      <c r="E411" s="6"/>
      <c r="F411" s="6">
        <v>816</v>
      </c>
      <c r="G411" s="7"/>
      <c r="H411" s="6"/>
      <c r="I411" s="6">
        <v>15671380</v>
      </c>
      <c r="J411" s="6">
        <v>151.684</v>
      </c>
      <c r="K411" s="6">
        <v>103315.9726800454</v>
      </c>
      <c r="L411" s="6"/>
      <c r="M411" s="6"/>
      <c r="N411" s="6"/>
      <c r="O411" s="7">
        <v>347.4209985369154</v>
      </c>
      <c r="P411" s="15"/>
      <c r="Q411" s="6" t="b">
        <v>1</v>
      </c>
    </row>
    <row r="412" spans="1:17">
      <c r="A412" s="6" t="s">
        <v>26</v>
      </c>
      <c r="B412" s="6" t="s">
        <v>90</v>
      </c>
      <c r="C412" s="6" t="s">
        <v>273</v>
      </c>
      <c r="D412" s="6"/>
      <c r="E412" s="6"/>
      <c r="F412" s="6">
        <v>278</v>
      </c>
      <c r="G412" s="7"/>
      <c r="H412" s="6"/>
      <c r="I412" s="6">
        <v>26355493.3</v>
      </c>
      <c r="J412" s="6">
        <v>383.095</v>
      </c>
      <c r="K412" s="6">
        <v>68796.23409337111</v>
      </c>
      <c r="L412" s="6"/>
      <c r="M412" s="6"/>
      <c r="N412" s="6"/>
      <c r="O412" s="7">
        <v>498.6736513667729</v>
      </c>
      <c r="P412" s="15"/>
      <c r="Q412" s="6" t="b">
        <v>1</v>
      </c>
    </row>
    <row r="413" spans="1:17">
      <c r="A413" s="6" t="s">
        <v>26</v>
      </c>
      <c r="B413" s="6" t="s">
        <v>90</v>
      </c>
      <c r="C413" s="6" t="s">
        <v>276</v>
      </c>
      <c r="D413" s="6"/>
      <c r="E413" s="6"/>
      <c r="F413" s="6">
        <v>46</v>
      </c>
      <c r="G413" s="7"/>
      <c r="H413" s="6"/>
      <c r="I413" s="6">
        <v>5582234.9</v>
      </c>
      <c r="J413" s="6">
        <v>88.07299999999999</v>
      </c>
      <c r="K413" s="6">
        <v>63381.90932521886</v>
      </c>
      <c r="L413" s="6"/>
      <c r="M413" s="6"/>
      <c r="N413" s="6"/>
      <c r="O413" s="7">
        <v>505.1891155335659</v>
      </c>
      <c r="P413" s="15"/>
      <c r="Q413" s="6" t="b">
        <v>1</v>
      </c>
    </row>
    <row r="414" spans="1:17">
      <c r="A414" s="6" t="s">
        <v>26</v>
      </c>
      <c r="B414" s="6" t="s">
        <v>90</v>
      </c>
      <c r="C414" s="6" t="s">
        <v>277</v>
      </c>
      <c r="D414" s="6"/>
      <c r="E414" s="6"/>
      <c r="F414" s="6">
        <v>64</v>
      </c>
      <c r="G414" s="7"/>
      <c r="H414" s="6"/>
      <c r="I414" s="6">
        <v>572425</v>
      </c>
      <c r="J414" s="6">
        <v>9.968999999999999</v>
      </c>
      <c r="K414" s="6">
        <v>57420.50356103922</v>
      </c>
      <c r="L414" s="6"/>
      <c r="M414" s="6"/>
      <c r="N414" s="6"/>
      <c r="O414" s="7">
        <v>198.951167514727</v>
      </c>
      <c r="P414" s="15"/>
      <c r="Q414" s="6" t="b">
        <v>0</v>
      </c>
    </row>
    <row r="415" spans="1:17">
      <c r="A415" s="6" t="s">
        <v>26</v>
      </c>
      <c r="B415" s="6" t="s">
        <v>90</v>
      </c>
      <c r="C415" s="6" t="s">
        <v>278</v>
      </c>
      <c r="D415" s="6"/>
      <c r="E415" s="6"/>
      <c r="F415" s="6">
        <v>30</v>
      </c>
      <c r="G415" s="7"/>
      <c r="H415" s="6"/>
      <c r="I415" s="6">
        <v>7463935.7</v>
      </c>
      <c r="J415" s="6">
        <v>160.097</v>
      </c>
      <c r="K415" s="6">
        <v>46621.33394129809</v>
      </c>
      <c r="L415" s="6"/>
      <c r="M415" s="6"/>
      <c r="N415" s="6"/>
      <c r="O415" s="7">
        <v>429.1305343066973</v>
      </c>
      <c r="P415" s="15"/>
      <c r="Q415" s="6" t="b">
        <v>1</v>
      </c>
    </row>
    <row r="416" spans="1:17">
      <c r="A416" s="6" t="s">
        <v>26</v>
      </c>
      <c r="B416" s="6" t="s">
        <v>90</v>
      </c>
      <c r="C416" s="6" t="s">
        <v>280</v>
      </c>
      <c r="D416" s="6"/>
      <c r="E416" s="6"/>
      <c r="F416" s="6">
        <v>30</v>
      </c>
      <c r="G416" s="7"/>
      <c r="H416" s="6"/>
      <c r="I416" s="6">
        <v>28333012.9</v>
      </c>
      <c r="J416" s="6">
        <v>321.237</v>
      </c>
      <c r="K416" s="6">
        <v>88199.71827653726</v>
      </c>
      <c r="L416" s="6"/>
      <c r="M416" s="6"/>
      <c r="N416" s="6"/>
      <c r="O416" s="7">
        <v>793.2344292388034</v>
      </c>
      <c r="P416" s="15"/>
      <c r="Q416" s="6" t="b">
        <v>1</v>
      </c>
    </row>
    <row r="417" spans="1:17">
      <c r="A417" s="6" t="s">
        <v>26</v>
      </c>
      <c r="B417" s="6" t="s">
        <v>90</v>
      </c>
      <c r="C417" s="6" t="s">
        <v>281</v>
      </c>
      <c r="D417" s="6"/>
      <c r="E417" s="6"/>
      <c r="F417" s="6">
        <v>1446</v>
      </c>
      <c r="G417" s="7"/>
      <c r="H417" s="6"/>
      <c r="I417" s="6">
        <v>70077106.90000001</v>
      </c>
      <c r="J417" s="6">
        <v>995.756</v>
      </c>
      <c r="K417" s="6">
        <v>70375.78171760954</v>
      </c>
      <c r="L417" s="6"/>
      <c r="M417" s="6"/>
      <c r="N417" s="6"/>
      <c r="O417" s="7">
        <v>230.2772853970025</v>
      </c>
      <c r="P417" s="15"/>
      <c r="Q417" s="6" t="b">
        <v>1</v>
      </c>
    </row>
    <row r="418" spans="1:17">
      <c r="A418" s="6" t="s">
        <v>26</v>
      </c>
      <c r="B418" s="6" t="s">
        <v>90</v>
      </c>
      <c r="C418" s="6" t="s">
        <v>283</v>
      </c>
      <c r="D418" s="6"/>
      <c r="E418" s="6"/>
      <c r="F418" s="6">
        <v>95</v>
      </c>
      <c r="G418" s="7"/>
      <c r="H418" s="6"/>
      <c r="I418" s="6">
        <v>20421865</v>
      </c>
      <c r="J418" s="6">
        <v>490.044</v>
      </c>
      <c r="K418" s="6">
        <v>41673.53339700109</v>
      </c>
      <c r="L418" s="6"/>
      <c r="M418" s="6"/>
      <c r="N418" s="6"/>
      <c r="O418" s="7">
        <v>661.1426712395941</v>
      </c>
      <c r="P418" s="15"/>
      <c r="Q418" s="6" t="b">
        <v>1</v>
      </c>
    </row>
    <row r="419" spans="1:17">
      <c r="A419" s="6" t="s">
        <v>26</v>
      </c>
      <c r="B419" s="6" t="s">
        <v>90</v>
      </c>
      <c r="C419" s="6" t="s">
        <v>284</v>
      </c>
      <c r="D419" s="6"/>
      <c r="E419" s="6"/>
      <c r="F419" s="6">
        <v>21</v>
      </c>
      <c r="G419" s="7"/>
      <c r="H419" s="6"/>
      <c r="I419" s="6">
        <v>338442</v>
      </c>
      <c r="J419" s="6">
        <v>8.630000000000001</v>
      </c>
      <c r="K419" s="6">
        <v>39216.91772885284</v>
      </c>
      <c r="L419" s="6"/>
      <c r="M419" s="6"/>
      <c r="N419" s="6"/>
      <c r="O419" s="7">
        <v>594.1258678155324</v>
      </c>
      <c r="P419" s="15"/>
      <c r="Q419" s="6" t="b">
        <v>0</v>
      </c>
    </row>
    <row r="420" spans="1:17">
      <c r="A420" s="6" t="s">
        <v>26</v>
      </c>
      <c r="B420" s="6" t="s">
        <v>90</v>
      </c>
      <c r="C420" s="6" t="s">
        <v>287</v>
      </c>
      <c r="D420" s="6"/>
      <c r="E420" s="6"/>
      <c r="F420" s="6">
        <v>321</v>
      </c>
      <c r="G420" s="7"/>
      <c r="H420" s="6"/>
      <c r="I420" s="6">
        <v>837790</v>
      </c>
      <c r="J420" s="6">
        <v>32.927</v>
      </c>
      <c r="K420" s="6">
        <v>25443.86066146324</v>
      </c>
      <c r="L420" s="6"/>
      <c r="M420" s="6"/>
      <c r="N420" s="6"/>
      <c r="O420" s="7">
        <v>150.9492839195271</v>
      </c>
      <c r="P420" s="15"/>
      <c r="Q420" s="6" t="b">
        <v>1</v>
      </c>
    </row>
    <row r="421" spans="1:17">
      <c r="A421" s="6" t="s">
        <v>26</v>
      </c>
      <c r="B421" s="6" t="s">
        <v>90</v>
      </c>
      <c r="C421" s="6" t="s">
        <v>357</v>
      </c>
      <c r="D421" s="6"/>
      <c r="E421" s="6"/>
      <c r="F421" s="6">
        <v>1</v>
      </c>
      <c r="G421" s="7"/>
      <c r="H421" s="6"/>
      <c r="I421" s="6">
        <v>33566</v>
      </c>
      <c r="J421" s="6">
        <v>0.36</v>
      </c>
      <c r="K421" s="6">
        <v>93238.88888888889</v>
      </c>
      <c r="L421" s="6"/>
      <c r="M421" s="6"/>
      <c r="N421" s="6"/>
      <c r="O421" s="7">
        <v>424.741964010539</v>
      </c>
      <c r="P421" s="15"/>
      <c r="Q421" s="6" t="b">
        <v>0</v>
      </c>
    </row>
    <row r="422" spans="1:17">
      <c r="A422" s="6" t="s">
        <v>26</v>
      </c>
      <c r="B422" s="6" t="s">
        <v>90</v>
      </c>
      <c r="C422" s="6" t="s">
        <v>288</v>
      </c>
      <c r="D422" s="6"/>
      <c r="E422" s="6"/>
      <c r="F422" s="6">
        <v>5</v>
      </c>
      <c r="G422" s="7"/>
      <c r="H422" s="6"/>
      <c r="I422" s="6">
        <v>22493</v>
      </c>
      <c r="J422" s="6">
        <v>0.492</v>
      </c>
      <c r="K422" s="6">
        <v>45717.47967479675</v>
      </c>
      <c r="L422" s="6"/>
      <c r="M422" s="6"/>
      <c r="N422" s="6"/>
      <c r="O422" s="7">
        <v>569.6301716418725</v>
      </c>
      <c r="P422" s="15"/>
      <c r="Q422" s="6" t="b">
        <v>0</v>
      </c>
    </row>
    <row r="423" spans="1:17">
      <c r="A423" s="6" t="s">
        <v>26</v>
      </c>
      <c r="B423" s="6" t="s">
        <v>90</v>
      </c>
      <c r="C423" s="6" t="s">
        <v>289</v>
      </c>
      <c r="D423" s="6"/>
      <c r="E423" s="6"/>
      <c r="F423" s="6">
        <v>14</v>
      </c>
      <c r="G423" s="7"/>
      <c r="H423" s="6"/>
      <c r="I423" s="6">
        <v>4537553.7</v>
      </c>
      <c r="J423" s="6">
        <v>67.58799999999999</v>
      </c>
      <c r="K423" s="6">
        <v>67135.49298692077</v>
      </c>
      <c r="L423" s="6"/>
      <c r="M423" s="6"/>
      <c r="N423" s="6"/>
      <c r="O423" s="7">
        <v>424.741964010539</v>
      </c>
      <c r="P423" s="15"/>
      <c r="Q423" s="6" t="b">
        <v>1</v>
      </c>
    </row>
    <row r="424" spans="1:17">
      <c r="A424" s="6" t="s">
        <v>26</v>
      </c>
      <c r="B424" s="6" t="s">
        <v>90</v>
      </c>
      <c r="C424" s="6" t="s">
        <v>290</v>
      </c>
      <c r="D424" s="6"/>
      <c r="E424" s="6"/>
      <c r="F424" s="6">
        <v>19</v>
      </c>
      <c r="G424" s="7"/>
      <c r="H424" s="6"/>
      <c r="I424" s="6">
        <v>34035</v>
      </c>
      <c r="J424" s="6">
        <v>1.308</v>
      </c>
      <c r="K424" s="6">
        <v>26020.64220183486</v>
      </c>
      <c r="L424" s="6"/>
      <c r="M424" s="6"/>
      <c r="N424" s="6"/>
      <c r="O424" s="7">
        <v>47.80006893963343</v>
      </c>
      <c r="P424" s="15"/>
      <c r="Q424" s="6" t="b">
        <v>0</v>
      </c>
    </row>
    <row r="425" spans="1:17">
      <c r="A425" s="6" t="s">
        <v>26</v>
      </c>
      <c r="B425" s="6" t="s">
        <v>90</v>
      </c>
      <c r="C425" s="6" t="s">
        <v>292</v>
      </c>
      <c r="D425" s="6"/>
      <c r="E425" s="6"/>
      <c r="F425" s="6">
        <v>346</v>
      </c>
      <c r="G425" s="7"/>
      <c r="H425" s="6"/>
      <c r="I425" s="6">
        <v>5239842</v>
      </c>
      <c r="J425" s="6">
        <v>51.293</v>
      </c>
      <c r="K425" s="6">
        <v>102155.1088842532</v>
      </c>
      <c r="L425" s="6"/>
      <c r="M425" s="6"/>
      <c r="N425" s="6"/>
      <c r="O425" s="7">
        <v>828.8159470066316</v>
      </c>
      <c r="P425" s="15"/>
      <c r="Q425" s="6" t="b">
        <v>1</v>
      </c>
    </row>
    <row r="426" spans="1:17">
      <c r="A426" s="6" t="s">
        <v>26</v>
      </c>
      <c r="B426" s="6" t="s">
        <v>90</v>
      </c>
      <c r="C426" s="6" t="s">
        <v>293</v>
      </c>
      <c r="D426" s="6"/>
      <c r="E426" s="6"/>
      <c r="F426" s="6">
        <v>4121</v>
      </c>
      <c r="G426" s="7"/>
      <c r="H426" s="6"/>
      <c r="I426" s="6">
        <v>127787356.7</v>
      </c>
      <c r="J426" s="6">
        <v>3113.585</v>
      </c>
      <c r="K426" s="6">
        <v>41041.87189365314</v>
      </c>
      <c r="L426" s="6"/>
      <c r="M426" s="6"/>
      <c r="N426" s="6"/>
      <c r="O426" s="7">
        <v>35.60257034043926</v>
      </c>
      <c r="P426" s="15"/>
      <c r="Q426" s="6" t="b">
        <v>1</v>
      </c>
    </row>
    <row r="427" spans="1:17">
      <c r="A427" s="6" t="s">
        <v>26</v>
      </c>
      <c r="B427" s="6" t="s">
        <v>90</v>
      </c>
      <c r="C427" s="6" t="s">
        <v>294</v>
      </c>
      <c r="D427" s="6"/>
      <c r="E427" s="6"/>
      <c r="F427" s="6">
        <v>60</v>
      </c>
      <c r="G427" s="7"/>
      <c r="H427" s="6"/>
      <c r="I427" s="6">
        <v>704236</v>
      </c>
      <c r="J427" s="6">
        <v>6.925</v>
      </c>
      <c r="K427" s="6">
        <v>101694.7292418773</v>
      </c>
      <c r="L427" s="6"/>
      <c r="M427" s="6"/>
      <c r="N427" s="6"/>
      <c r="O427" s="7">
        <v>618.2224229349592</v>
      </c>
      <c r="P427" s="15"/>
      <c r="Q427" s="6" t="b">
        <v>0</v>
      </c>
    </row>
    <row r="428" spans="1:17">
      <c r="A428" s="6" t="s">
        <v>26</v>
      </c>
      <c r="B428" s="6" t="s">
        <v>90</v>
      </c>
      <c r="C428" s="6" t="s">
        <v>295</v>
      </c>
      <c r="D428" s="6"/>
      <c r="E428" s="6"/>
      <c r="F428" s="6">
        <v>2866</v>
      </c>
      <c r="G428" s="7"/>
      <c r="H428" s="6"/>
      <c r="I428" s="6">
        <v>18372839.1</v>
      </c>
      <c r="J428" s="6">
        <v>622.193</v>
      </c>
      <c r="K428" s="6">
        <v>29529.16394109224</v>
      </c>
      <c r="L428" s="6"/>
      <c r="M428" s="6"/>
      <c r="N428" s="6"/>
      <c r="O428" s="7">
        <v>41.14903347667781</v>
      </c>
      <c r="P428" s="15"/>
      <c r="Q428" s="6" t="b">
        <v>1</v>
      </c>
    </row>
    <row r="429" spans="1:17">
      <c r="A429" s="6" t="s">
        <v>26</v>
      </c>
      <c r="B429" s="6" t="s">
        <v>90</v>
      </c>
      <c r="C429" s="6" t="s">
        <v>296</v>
      </c>
      <c r="D429" s="6"/>
      <c r="E429" s="6"/>
      <c r="F429" s="6">
        <v>69</v>
      </c>
      <c r="G429" s="7"/>
      <c r="H429" s="6"/>
      <c r="I429" s="6">
        <v>1669295</v>
      </c>
      <c r="J429" s="6">
        <v>28.779</v>
      </c>
      <c r="K429" s="6">
        <v>58003.92647416519</v>
      </c>
      <c r="L429" s="6"/>
      <c r="M429" s="6"/>
      <c r="N429" s="6"/>
      <c r="O429" s="7">
        <v>1263.328271823403</v>
      </c>
      <c r="P429" s="15"/>
      <c r="Q429" s="6" t="b">
        <v>1</v>
      </c>
    </row>
    <row r="430" spans="1:17">
      <c r="A430" s="6" t="s">
        <v>26</v>
      </c>
      <c r="B430" s="6" t="s">
        <v>90</v>
      </c>
      <c r="C430" s="6" t="s">
        <v>297</v>
      </c>
      <c r="D430" s="6"/>
      <c r="E430" s="6"/>
      <c r="F430" s="6">
        <v>26</v>
      </c>
      <c r="G430" s="7"/>
      <c r="H430" s="6"/>
      <c r="I430" s="6">
        <v>5775000</v>
      </c>
      <c r="J430" s="6">
        <v>66.627</v>
      </c>
      <c r="K430" s="6">
        <v>86676.57256067361</v>
      </c>
      <c r="L430" s="6"/>
      <c r="M430" s="6"/>
      <c r="N430" s="6"/>
      <c r="O430" s="7">
        <v>424.741964010539</v>
      </c>
      <c r="P430" s="15"/>
      <c r="Q430" s="6" t="b">
        <v>1</v>
      </c>
    </row>
    <row r="431" spans="1:17">
      <c r="A431" s="6" t="s">
        <v>26</v>
      </c>
      <c r="B431" s="6" t="s">
        <v>90</v>
      </c>
      <c r="C431" s="6" t="s">
        <v>298</v>
      </c>
      <c r="D431" s="6"/>
      <c r="E431" s="6"/>
      <c r="F431" s="6">
        <v>7</v>
      </c>
      <c r="G431" s="7"/>
      <c r="H431" s="6"/>
      <c r="I431" s="6">
        <v>2257780</v>
      </c>
      <c r="J431" s="6">
        <v>46.461</v>
      </c>
      <c r="K431" s="6">
        <v>48595.16583801468</v>
      </c>
      <c r="L431" s="6"/>
      <c r="M431" s="6"/>
      <c r="N431" s="6"/>
      <c r="O431" s="7">
        <v>332.5633840563616</v>
      </c>
      <c r="P431" s="15"/>
      <c r="Q431" s="6" t="b">
        <v>1</v>
      </c>
    </row>
    <row r="432" spans="1:17">
      <c r="A432" s="6" t="s">
        <v>26</v>
      </c>
      <c r="B432" s="6" t="s">
        <v>90</v>
      </c>
      <c r="C432" s="6" t="s">
        <v>299</v>
      </c>
      <c r="D432" s="6"/>
      <c r="E432" s="6"/>
      <c r="F432" s="6">
        <v>333</v>
      </c>
      <c r="G432" s="7"/>
      <c r="H432" s="6"/>
      <c r="I432" s="6">
        <v>930173.5</v>
      </c>
      <c r="J432" s="6">
        <v>35.812</v>
      </c>
      <c r="K432" s="6">
        <v>25973.79370043561</v>
      </c>
      <c r="L432" s="6"/>
      <c r="M432" s="6"/>
      <c r="N432" s="6"/>
      <c r="O432" s="7">
        <v>40.95524286225702</v>
      </c>
      <c r="P432" s="15"/>
      <c r="Q432" s="6" t="b">
        <v>1</v>
      </c>
    </row>
    <row r="433" spans="1:17">
      <c r="A433" s="6" t="s">
        <v>26</v>
      </c>
      <c r="B433" s="6" t="s">
        <v>90</v>
      </c>
      <c r="C433" s="6" t="s">
        <v>302</v>
      </c>
      <c r="D433" s="6"/>
      <c r="E433" s="6"/>
      <c r="F433" s="6">
        <v>149</v>
      </c>
      <c r="G433" s="7"/>
      <c r="H433" s="6"/>
      <c r="I433" s="6">
        <v>91875884.8</v>
      </c>
      <c r="J433" s="6">
        <v>1219.057</v>
      </c>
      <c r="K433" s="6">
        <v>75366.35678233257</v>
      </c>
      <c r="L433" s="6"/>
      <c r="M433" s="6"/>
      <c r="N433" s="6"/>
      <c r="O433" s="7">
        <v>424.741964010539</v>
      </c>
      <c r="P433" s="15"/>
      <c r="Q433" s="6" t="b">
        <v>1</v>
      </c>
    </row>
    <row r="434" spans="1:17">
      <c r="A434" s="6" t="s">
        <v>26</v>
      </c>
      <c r="B434" s="6" t="s">
        <v>90</v>
      </c>
      <c r="C434" s="6" t="s">
        <v>303</v>
      </c>
      <c r="D434" s="6"/>
      <c r="E434" s="6"/>
      <c r="F434" s="6">
        <v>141</v>
      </c>
      <c r="G434" s="7"/>
      <c r="H434" s="6"/>
      <c r="I434" s="6">
        <v>376067.5</v>
      </c>
      <c r="J434" s="6">
        <v>14.508</v>
      </c>
      <c r="K434" s="6">
        <v>25921.38819961401</v>
      </c>
      <c r="L434" s="6"/>
      <c r="M434" s="6"/>
      <c r="N434" s="6"/>
      <c r="O434" s="7">
        <v>19.19163074501164</v>
      </c>
      <c r="P434" s="15"/>
      <c r="Q434" s="6" t="b">
        <v>0</v>
      </c>
    </row>
    <row r="435" spans="1:17">
      <c r="A435" s="6" t="s">
        <v>26</v>
      </c>
      <c r="B435" s="6" t="s">
        <v>90</v>
      </c>
      <c r="C435" s="6" t="s">
        <v>361</v>
      </c>
      <c r="D435" s="6"/>
      <c r="E435" s="6"/>
      <c r="F435" s="6">
        <v>5</v>
      </c>
      <c r="G435" s="7"/>
      <c r="H435" s="6"/>
      <c r="I435" s="6">
        <v>4097624.8</v>
      </c>
      <c r="J435" s="6">
        <v>53.003</v>
      </c>
      <c r="K435" s="6">
        <v>77309.29947361469</v>
      </c>
      <c r="L435" s="6"/>
      <c r="M435" s="6"/>
      <c r="N435" s="6"/>
      <c r="O435" s="7">
        <v>424.741964010539</v>
      </c>
      <c r="P435" s="15"/>
      <c r="Q435" s="6" t="b">
        <v>1</v>
      </c>
    </row>
    <row r="436" spans="1:17">
      <c r="A436" s="6" t="s">
        <v>26</v>
      </c>
      <c r="B436" s="6" t="s">
        <v>90</v>
      </c>
      <c r="C436" s="6" t="s">
        <v>305</v>
      </c>
      <c r="D436" s="6"/>
      <c r="E436" s="6"/>
      <c r="F436" s="6">
        <v>1051</v>
      </c>
      <c r="G436" s="7"/>
      <c r="H436" s="6"/>
      <c r="I436" s="6">
        <v>23692442.7</v>
      </c>
      <c r="J436" s="6">
        <v>240.502</v>
      </c>
      <c r="K436" s="6">
        <v>98512.45602947168</v>
      </c>
      <c r="L436" s="6"/>
      <c r="M436" s="6"/>
      <c r="N436" s="6"/>
      <c r="O436" s="7">
        <v>724.1571055036358</v>
      </c>
      <c r="P436" s="15"/>
      <c r="Q436" s="6" t="b">
        <v>1</v>
      </c>
    </row>
    <row r="437" spans="1:17">
      <c r="A437" s="6" t="s">
        <v>26</v>
      </c>
      <c r="B437" s="6" t="s">
        <v>90</v>
      </c>
      <c r="C437" s="6" t="s">
        <v>306</v>
      </c>
      <c r="D437" s="6"/>
      <c r="E437" s="6"/>
      <c r="F437" s="6">
        <v>154</v>
      </c>
      <c r="G437" s="7"/>
      <c r="H437" s="6"/>
      <c r="I437" s="6">
        <v>2380741.9</v>
      </c>
      <c r="J437" s="6">
        <v>46.805</v>
      </c>
      <c r="K437" s="6">
        <v>50865.11911120607</v>
      </c>
      <c r="L437" s="6"/>
      <c r="M437" s="6"/>
      <c r="N437" s="6"/>
      <c r="O437" s="7">
        <v>220.5023189058961</v>
      </c>
      <c r="P437" s="15"/>
      <c r="Q437" s="6" t="b">
        <v>1</v>
      </c>
    </row>
    <row r="438" spans="1:17">
      <c r="A438" s="6" t="s">
        <v>26</v>
      </c>
      <c r="B438" s="6" t="s">
        <v>90</v>
      </c>
      <c r="C438" s="6" t="s">
        <v>307</v>
      </c>
      <c r="D438" s="6"/>
      <c r="E438" s="6"/>
      <c r="F438" s="6">
        <v>121</v>
      </c>
      <c r="G438" s="7"/>
      <c r="H438" s="6"/>
      <c r="I438" s="6">
        <v>353157</v>
      </c>
      <c r="J438" s="6">
        <v>13.462</v>
      </c>
      <c r="K438" s="6">
        <v>26233.62056158074</v>
      </c>
      <c r="L438" s="6"/>
      <c r="M438" s="6"/>
      <c r="N438" s="6"/>
      <c r="O438" s="7">
        <v>59.82942206120848</v>
      </c>
      <c r="P438" s="15"/>
      <c r="Q438" s="6" t="b">
        <v>0</v>
      </c>
    </row>
    <row r="439" spans="1:17">
      <c r="A439" s="6" t="s">
        <v>26</v>
      </c>
      <c r="B439" s="6" t="s">
        <v>90</v>
      </c>
      <c r="C439" s="6" t="s">
        <v>362</v>
      </c>
      <c r="D439" s="6"/>
      <c r="E439" s="6"/>
      <c r="F439" s="6">
        <v>141</v>
      </c>
      <c r="G439" s="7"/>
      <c r="H439" s="6"/>
      <c r="I439" s="6">
        <v>71274469.40000001</v>
      </c>
      <c r="J439" s="6">
        <v>1253.681</v>
      </c>
      <c r="K439" s="6">
        <v>56852.15728722059</v>
      </c>
      <c r="L439" s="6"/>
      <c r="M439" s="6"/>
      <c r="N439" s="6"/>
      <c r="O439" s="7">
        <v>424.741964010539</v>
      </c>
      <c r="P439" s="15"/>
      <c r="Q439" s="6" t="b">
        <v>1</v>
      </c>
    </row>
    <row r="440" spans="1:17">
      <c r="A440" s="6" t="s">
        <v>26</v>
      </c>
      <c r="B440" s="6" t="s">
        <v>90</v>
      </c>
      <c r="C440" s="6" t="s">
        <v>308</v>
      </c>
      <c r="D440" s="6"/>
      <c r="E440" s="6"/>
      <c r="F440" s="6">
        <v>117</v>
      </c>
      <c r="G440" s="7"/>
      <c r="H440" s="6"/>
      <c r="I440" s="6">
        <v>1287006</v>
      </c>
      <c r="J440" s="6">
        <v>11.719</v>
      </c>
      <c r="K440" s="6">
        <v>109822.1691270586</v>
      </c>
      <c r="L440" s="6"/>
      <c r="M440" s="6"/>
      <c r="N440" s="6"/>
      <c r="O440" s="7">
        <v>454.1628751318923</v>
      </c>
      <c r="P440" s="15"/>
      <c r="Q440" s="6" t="b">
        <v>0</v>
      </c>
    </row>
    <row r="441" spans="1:17">
      <c r="A441" s="6" t="s">
        <v>26</v>
      </c>
      <c r="B441" s="6" t="s">
        <v>90</v>
      </c>
      <c r="C441" s="6" t="s">
        <v>309</v>
      </c>
      <c r="D441" s="6"/>
      <c r="E441" s="6"/>
      <c r="F441" s="6">
        <v>383</v>
      </c>
      <c r="G441" s="7"/>
      <c r="H441" s="6"/>
      <c r="I441" s="6">
        <v>267845504.7</v>
      </c>
      <c r="J441" s="6">
        <v>3665.33</v>
      </c>
      <c r="K441" s="6">
        <v>73075.41331885532</v>
      </c>
      <c r="L441" s="6"/>
      <c r="M441" s="6"/>
      <c r="N441" s="6"/>
      <c r="O441" s="7">
        <v>424.741964010539</v>
      </c>
      <c r="P441" s="15"/>
      <c r="Q441" s="6" t="b">
        <v>1</v>
      </c>
    </row>
    <row r="442" spans="1:17">
      <c r="A442" s="6" t="s">
        <v>26</v>
      </c>
      <c r="B442" s="6" t="s">
        <v>90</v>
      </c>
      <c r="C442" s="6" t="s">
        <v>310</v>
      </c>
      <c r="D442" s="6"/>
      <c r="E442" s="6"/>
      <c r="F442" s="6">
        <v>8</v>
      </c>
      <c r="G442" s="7"/>
      <c r="H442" s="6"/>
      <c r="I442" s="6">
        <v>13448499.8</v>
      </c>
      <c r="J442" s="6">
        <v>185.268</v>
      </c>
      <c r="K442" s="6">
        <v>72589.43692380768</v>
      </c>
      <c r="L442" s="6"/>
      <c r="M442" s="6"/>
      <c r="N442" s="6"/>
      <c r="O442" s="7">
        <v>424.741964010539</v>
      </c>
      <c r="P442" s="15"/>
      <c r="Q442" s="6" t="b">
        <v>1</v>
      </c>
    </row>
    <row r="443" spans="1:17">
      <c r="A443" s="6" t="s">
        <v>26</v>
      </c>
      <c r="B443" s="6" t="s">
        <v>90</v>
      </c>
      <c r="C443" s="6" t="s">
        <v>312</v>
      </c>
      <c r="D443" s="6"/>
      <c r="E443" s="6"/>
      <c r="F443" s="6">
        <v>476</v>
      </c>
      <c r="G443" s="7"/>
      <c r="H443" s="6"/>
      <c r="I443" s="6">
        <v>17795431.7</v>
      </c>
      <c r="J443" s="6">
        <v>181.514</v>
      </c>
      <c r="K443" s="6">
        <v>98038.89341868946</v>
      </c>
      <c r="L443" s="6"/>
      <c r="M443" s="6"/>
      <c r="N443" s="6"/>
      <c r="O443" s="7">
        <v>421.5334151029352</v>
      </c>
      <c r="P443" s="15"/>
      <c r="Q443" s="6" t="b">
        <v>1</v>
      </c>
    </row>
    <row r="444" spans="1:17">
      <c r="A444" s="6" t="s">
        <v>26</v>
      </c>
      <c r="B444" s="6" t="s">
        <v>90</v>
      </c>
      <c r="C444" s="6" t="s">
        <v>313</v>
      </c>
      <c r="D444" s="6"/>
      <c r="E444" s="6"/>
      <c r="F444" s="6">
        <v>22</v>
      </c>
      <c r="G444" s="7"/>
      <c r="H444" s="6"/>
      <c r="I444" s="6">
        <v>136930</v>
      </c>
      <c r="J444" s="6">
        <v>2.527</v>
      </c>
      <c r="K444" s="6">
        <v>54186.78274633953</v>
      </c>
      <c r="L444" s="6"/>
      <c r="M444" s="6"/>
      <c r="N444" s="6"/>
      <c r="O444" s="7">
        <v>315.203694755429</v>
      </c>
      <c r="P444" s="15"/>
      <c r="Q444" s="6" t="b">
        <v>0</v>
      </c>
    </row>
    <row r="445" spans="1:17">
      <c r="A445" s="6" t="s">
        <v>26</v>
      </c>
      <c r="B445" s="6" t="s">
        <v>90</v>
      </c>
      <c r="C445" s="6" t="s">
        <v>315</v>
      </c>
      <c r="D445" s="6"/>
      <c r="E445" s="6"/>
      <c r="F445" s="6">
        <v>17</v>
      </c>
      <c r="G445" s="7"/>
      <c r="H445" s="6"/>
      <c r="I445" s="6">
        <v>121234</v>
      </c>
      <c r="J445" s="6">
        <v>2.319</v>
      </c>
      <c r="K445" s="6">
        <v>52278.56834842604</v>
      </c>
      <c r="L445" s="6"/>
      <c r="M445" s="6"/>
      <c r="N445" s="6"/>
      <c r="O445" s="7">
        <v>374.7876158094542</v>
      </c>
      <c r="P445" s="15"/>
      <c r="Q445" s="6" t="b">
        <v>0</v>
      </c>
    </row>
    <row r="446" spans="1:17">
      <c r="A446" s="6" t="s">
        <v>26</v>
      </c>
      <c r="B446" s="6" t="s">
        <v>90</v>
      </c>
      <c r="C446" s="6" t="s">
        <v>316</v>
      </c>
      <c r="D446" s="6"/>
      <c r="E446" s="6"/>
      <c r="F446" s="6">
        <v>207</v>
      </c>
      <c r="G446" s="7"/>
      <c r="H446" s="6"/>
      <c r="I446" s="6">
        <v>2655216</v>
      </c>
      <c r="J446" s="6">
        <v>25.265</v>
      </c>
      <c r="K446" s="6">
        <v>105094.6368493964</v>
      </c>
      <c r="L446" s="6"/>
      <c r="M446" s="6"/>
      <c r="N446" s="6"/>
      <c r="O446" s="7">
        <v>662.6690693152301</v>
      </c>
      <c r="P446" s="15"/>
      <c r="Q446" s="6" t="b">
        <v>1</v>
      </c>
    </row>
    <row r="447" spans="1:17">
      <c r="A447" s="6" t="s">
        <v>26</v>
      </c>
      <c r="B447" s="6" t="s">
        <v>90</v>
      </c>
      <c r="C447" s="6" t="s">
        <v>317</v>
      </c>
      <c r="D447" s="6"/>
      <c r="E447" s="6"/>
      <c r="F447" s="6">
        <v>11</v>
      </c>
      <c r="G447" s="7"/>
      <c r="H447" s="6"/>
      <c r="I447" s="6">
        <v>94037</v>
      </c>
      <c r="J447" s="6">
        <v>1.753</v>
      </c>
      <c r="K447" s="6">
        <v>53643.46833998859</v>
      </c>
      <c r="L447" s="6"/>
      <c r="M447" s="6"/>
      <c r="N447" s="6"/>
      <c r="O447" s="7">
        <v>304.6325158057894</v>
      </c>
      <c r="P447" s="15"/>
      <c r="Q447" s="6" t="b">
        <v>0</v>
      </c>
    </row>
    <row r="448" spans="1:17">
      <c r="A448" s="6" t="s">
        <v>26</v>
      </c>
      <c r="B448" s="6" t="s">
        <v>90</v>
      </c>
      <c r="C448" s="6" t="s">
        <v>320</v>
      </c>
      <c r="D448" s="6"/>
      <c r="E448" s="6"/>
      <c r="F448" s="6">
        <v>4</v>
      </c>
      <c r="G448" s="7"/>
      <c r="H448" s="6"/>
      <c r="I448" s="6">
        <v>447851</v>
      </c>
      <c r="J448" s="6">
        <v>8.596</v>
      </c>
      <c r="K448" s="6">
        <v>52099.93020009307</v>
      </c>
      <c r="L448" s="6"/>
      <c r="M448" s="6"/>
      <c r="N448" s="6"/>
      <c r="O448" s="7">
        <v>288.6288028219745</v>
      </c>
      <c r="P448" s="15"/>
      <c r="Q448" s="6" t="b">
        <v>0</v>
      </c>
    </row>
    <row r="449" spans="1:17">
      <c r="A449" s="6" t="s">
        <v>26</v>
      </c>
      <c r="B449" s="6" t="s">
        <v>90</v>
      </c>
      <c r="C449" s="6" t="s">
        <v>322</v>
      </c>
      <c r="D449" s="6"/>
      <c r="E449" s="6"/>
      <c r="F449" s="6">
        <v>5</v>
      </c>
      <c r="G449" s="7"/>
      <c r="H449" s="6"/>
      <c r="I449" s="6">
        <v>20986</v>
      </c>
      <c r="J449" s="6">
        <v>0.478</v>
      </c>
      <c r="K449" s="6">
        <v>43903.76569037657</v>
      </c>
      <c r="L449" s="6"/>
      <c r="M449" s="6"/>
      <c r="N449" s="6"/>
      <c r="O449" s="7">
        <v>301.3841785159343</v>
      </c>
      <c r="P449" s="15"/>
      <c r="Q449" s="6" t="b">
        <v>0</v>
      </c>
    </row>
    <row r="450" spans="1:17">
      <c r="A450" s="6" t="s">
        <v>26</v>
      </c>
      <c r="B450" s="6" t="s">
        <v>90</v>
      </c>
      <c r="C450" s="6" t="s">
        <v>323</v>
      </c>
      <c r="D450" s="6"/>
      <c r="E450" s="6"/>
      <c r="F450" s="6">
        <v>25</v>
      </c>
      <c r="G450" s="7"/>
      <c r="H450" s="6"/>
      <c r="I450" s="6">
        <v>546187</v>
      </c>
      <c r="J450" s="6">
        <v>13.716</v>
      </c>
      <c r="K450" s="6">
        <v>39821.15777194517</v>
      </c>
      <c r="L450" s="6"/>
      <c r="M450" s="6"/>
      <c r="N450" s="6"/>
      <c r="O450" s="7">
        <v>348.9820647775071</v>
      </c>
      <c r="P450" s="15"/>
      <c r="Q450" s="6" t="b">
        <v>0</v>
      </c>
    </row>
    <row r="451" spans="1:17">
      <c r="A451" s="6" t="s">
        <v>26</v>
      </c>
      <c r="B451" s="6" t="s">
        <v>90</v>
      </c>
      <c r="C451" s="6" t="s">
        <v>324</v>
      </c>
      <c r="D451" s="6"/>
      <c r="E451" s="6"/>
      <c r="F451" s="6">
        <v>24</v>
      </c>
      <c r="G451" s="7"/>
      <c r="H451" s="6"/>
      <c r="I451" s="6">
        <v>269460</v>
      </c>
      <c r="J451" s="6">
        <v>5.425</v>
      </c>
      <c r="K451" s="6">
        <v>49670.04608294931</v>
      </c>
      <c r="L451" s="6"/>
      <c r="M451" s="6"/>
      <c r="N451" s="6"/>
      <c r="O451" s="7">
        <v>324.1176029781772</v>
      </c>
      <c r="P451" s="15"/>
      <c r="Q451" s="6" t="b">
        <v>0</v>
      </c>
    </row>
    <row r="452" spans="1:17">
      <c r="A452" s="6" t="s">
        <v>26</v>
      </c>
      <c r="B452" s="6" t="s">
        <v>90</v>
      </c>
      <c r="C452" s="6" t="s">
        <v>325</v>
      </c>
      <c r="D452" s="6"/>
      <c r="E452" s="6"/>
      <c r="F452" s="6">
        <v>260</v>
      </c>
      <c r="G452" s="7"/>
      <c r="H452" s="6"/>
      <c r="I452" s="6">
        <v>675355.5</v>
      </c>
      <c r="J452" s="6">
        <v>24.844</v>
      </c>
      <c r="K452" s="6">
        <v>27183.84720656899</v>
      </c>
      <c r="L452" s="6"/>
      <c r="M452" s="6"/>
      <c r="N452" s="6"/>
      <c r="O452" s="7">
        <v>307.5835716053591</v>
      </c>
      <c r="P452" s="15"/>
      <c r="Q452" s="6" t="b">
        <v>1</v>
      </c>
    </row>
    <row r="453" spans="1:17">
      <c r="A453" s="6" t="s">
        <v>26</v>
      </c>
      <c r="B453" s="6" t="s">
        <v>90</v>
      </c>
      <c r="C453" s="6" t="s">
        <v>364</v>
      </c>
      <c r="D453" s="6"/>
      <c r="E453" s="6"/>
      <c r="F453" s="6">
        <v>25</v>
      </c>
      <c r="G453" s="7"/>
      <c r="H453" s="6"/>
      <c r="I453" s="6">
        <v>1765374</v>
      </c>
      <c r="J453" s="6">
        <v>34.43</v>
      </c>
      <c r="K453" s="6">
        <v>51274.29567237874</v>
      </c>
      <c r="L453" s="6"/>
      <c r="M453" s="6"/>
      <c r="N453" s="6"/>
      <c r="O453" s="7">
        <v>424.741964010539</v>
      </c>
      <c r="P453" s="15"/>
      <c r="Q453" s="6" t="b">
        <v>1</v>
      </c>
    </row>
    <row r="454" spans="1:17">
      <c r="A454" s="6" t="s">
        <v>26</v>
      </c>
      <c r="B454" s="6" t="s">
        <v>90</v>
      </c>
      <c r="C454" s="6" t="s">
        <v>326</v>
      </c>
      <c r="D454" s="6"/>
      <c r="E454" s="6"/>
      <c r="F454" s="6">
        <v>240</v>
      </c>
      <c r="G454" s="7"/>
      <c r="H454" s="6"/>
      <c r="I454" s="6">
        <v>11222865</v>
      </c>
      <c r="J454" s="6">
        <v>153.308</v>
      </c>
      <c r="K454" s="6">
        <v>73204.69251441542</v>
      </c>
      <c r="L454" s="6"/>
      <c r="M454" s="6"/>
      <c r="N454" s="6"/>
      <c r="O454" s="7">
        <v>667.6959641696535</v>
      </c>
      <c r="P454" s="15"/>
      <c r="Q454" s="6" t="b">
        <v>1</v>
      </c>
    </row>
    <row r="455" spans="1:17">
      <c r="A455" s="6" t="s">
        <v>26</v>
      </c>
      <c r="B455" s="6" t="s">
        <v>90</v>
      </c>
      <c r="C455" s="6" t="s">
        <v>327</v>
      </c>
      <c r="D455" s="6"/>
      <c r="E455" s="6"/>
      <c r="F455" s="6">
        <v>133</v>
      </c>
      <c r="G455" s="7"/>
      <c r="H455" s="6"/>
      <c r="I455" s="6">
        <v>918934</v>
      </c>
      <c r="J455" s="6">
        <v>15.205</v>
      </c>
      <c r="K455" s="6">
        <v>60436.30384741861</v>
      </c>
      <c r="L455" s="6"/>
      <c r="M455" s="6"/>
      <c r="N455" s="6"/>
      <c r="O455" s="7">
        <v>194.3721002616535</v>
      </c>
      <c r="P455" s="15"/>
      <c r="Q455" s="6" t="b">
        <v>0</v>
      </c>
    </row>
    <row r="456" spans="1:17">
      <c r="A456" s="6" t="s">
        <v>26</v>
      </c>
      <c r="B456" s="6" t="s">
        <v>90</v>
      </c>
      <c r="C456" s="6" t="s">
        <v>329</v>
      </c>
      <c r="D456" s="6"/>
      <c r="E456" s="6"/>
      <c r="F456" s="6">
        <v>20</v>
      </c>
      <c r="G456" s="7"/>
      <c r="H456" s="6"/>
      <c r="I456" s="6">
        <v>251519</v>
      </c>
      <c r="J456" s="6">
        <v>5.244</v>
      </c>
      <c r="K456" s="6">
        <v>47963.19603356217</v>
      </c>
      <c r="L456" s="6"/>
      <c r="M456" s="6"/>
      <c r="N456" s="6"/>
      <c r="O456" s="7">
        <v>416.9178071273881</v>
      </c>
      <c r="P456" s="15"/>
      <c r="Q456" s="6" t="b">
        <v>0</v>
      </c>
    </row>
    <row r="457" spans="1:17">
      <c r="A457" s="6" t="s">
        <v>26</v>
      </c>
      <c r="B457" s="6" t="s">
        <v>90</v>
      </c>
      <c r="C457" s="6" t="s">
        <v>330</v>
      </c>
      <c r="D457" s="6"/>
      <c r="E457" s="6"/>
      <c r="F457" s="6">
        <v>1</v>
      </c>
      <c r="G457" s="7"/>
      <c r="H457" s="6"/>
      <c r="I457" s="6">
        <v>6564</v>
      </c>
      <c r="J457" s="6">
        <v>0.07199999999999999</v>
      </c>
      <c r="K457" s="6">
        <v>91166.66666666667</v>
      </c>
      <c r="L457" s="6"/>
      <c r="M457" s="6"/>
      <c r="N457" s="6"/>
      <c r="O457" s="7">
        <v>424.741964010539</v>
      </c>
      <c r="P457" s="15"/>
      <c r="Q457" s="6" t="b">
        <v>0</v>
      </c>
    </row>
    <row r="458" spans="1:17">
      <c r="A458" s="6" t="s">
        <v>26</v>
      </c>
      <c r="B458" s="6" t="s">
        <v>90</v>
      </c>
      <c r="C458" s="6" t="s">
        <v>365</v>
      </c>
      <c r="D458" s="6"/>
      <c r="E458" s="6"/>
      <c r="F458" s="6">
        <v>31</v>
      </c>
      <c r="G458" s="7"/>
      <c r="H458" s="6"/>
      <c r="I458" s="6">
        <v>1274979</v>
      </c>
      <c r="J458" s="6">
        <v>24.143</v>
      </c>
      <c r="K458" s="6">
        <v>52809.46858302614</v>
      </c>
      <c r="L458" s="6"/>
      <c r="M458" s="6"/>
      <c r="N458" s="6"/>
      <c r="O458" s="7">
        <v>83.24657531205193</v>
      </c>
      <c r="P458" s="15"/>
      <c r="Q458" s="6" t="b">
        <v>1</v>
      </c>
    </row>
    <row r="459" spans="1:17">
      <c r="A459" s="6" t="s">
        <v>26</v>
      </c>
      <c r="B459" s="6" t="s">
        <v>90</v>
      </c>
      <c r="C459" s="6" t="s">
        <v>331</v>
      </c>
      <c r="D459" s="6"/>
      <c r="E459" s="6"/>
      <c r="F459" s="6">
        <v>10</v>
      </c>
      <c r="G459" s="7"/>
      <c r="H459" s="6"/>
      <c r="I459" s="6">
        <v>73752</v>
      </c>
      <c r="J459" s="6">
        <v>1.52</v>
      </c>
      <c r="K459" s="6">
        <v>48521.05263157895</v>
      </c>
      <c r="L459" s="6"/>
      <c r="M459" s="6"/>
      <c r="N459" s="6"/>
      <c r="O459" s="7">
        <v>461.8375244077242</v>
      </c>
      <c r="P459" s="15"/>
      <c r="Q459" s="6" t="b">
        <v>0</v>
      </c>
    </row>
    <row r="460" spans="1:17">
      <c r="A460" s="6" t="s">
        <v>26</v>
      </c>
      <c r="B460" s="6" t="s">
        <v>90</v>
      </c>
      <c r="C460" s="6" t="s">
        <v>332</v>
      </c>
      <c r="D460" s="6"/>
      <c r="E460" s="6"/>
      <c r="F460" s="6">
        <v>28</v>
      </c>
      <c r="G460" s="7"/>
      <c r="H460" s="6"/>
      <c r="I460" s="6">
        <v>9446237.6</v>
      </c>
      <c r="J460" s="6">
        <v>183.49</v>
      </c>
      <c r="K460" s="6">
        <v>51480.939560739</v>
      </c>
      <c r="L460" s="6"/>
      <c r="M460" s="6"/>
      <c r="N460" s="6"/>
      <c r="O460" s="7">
        <v>432.2716608683988</v>
      </c>
      <c r="P460" s="15"/>
      <c r="Q460" s="6" t="b">
        <v>1</v>
      </c>
    </row>
    <row r="461" spans="1:17">
      <c r="A461" s="6" t="s">
        <v>26</v>
      </c>
      <c r="B461" s="6" t="s">
        <v>177</v>
      </c>
      <c r="C461" s="6" t="s">
        <v>197</v>
      </c>
      <c r="D461" s="6"/>
      <c r="E461" s="6"/>
      <c r="F461" s="6">
        <v>3</v>
      </c>
      <c r="G461" s="7"/>
      <c r="H461" s="6"/>
      <c r="I461" s="6">
        <v>4152493</v>
      </c>
      <c r="J461" s="6">
        <v>91.34999999999999</v>
      </c>
      <c r="K461" s="6">
        <v>45456.95675971538</v>
      </c>
      <c r="L461" s="6"/>
      <c r="M461" s="6"/>
      <c r="N461" s="6"/>
      <c r="O461" s="7">
        <v>285.8319134594388</v>
      </c>
      <c r="P461" s="15"/>
      <c r="Q461" s="6" t="b">
        <v>1</v>
      </c>
    </row>
    <row r="462" spans="1:17">
      <c r="A462" s="6" t="s">
        <v>26</v>
      </c>
      <c r="B462" s="6" t="s">
        <v>177</v>
      </c>
      <c r="C462" s="6" t="s">
        <v>199</v>
      </c>
      <c r="D462" s="6"/>
      <c r="E462" s="6"/>
      <c r="F462" s="6">
        <v>2</v>
      </c>
      <c r="G462" s="7"/>
      <c r="H462" s="6"/>
      <c r="I462" s="6">
        <v>1700000</v>
      </c>
      <c r="J462" s="6">
        <v>37.5</v>
      </c>
      <c r="K462" s="6">
        <v>45333.33333333334</v>
      </c>
      <c r="L462" s="6"/>
      <c r="M462" s="6"/>
      <c r="N462" s="6"/>
      <c r="O462" s="7">
        <v>241.4778320610757</v>
      </c>
      <c r="P462" s="15"/>
      <c r="Q462" s="6" t="b">
        <v>1</v>
      </c>
    </row>
    <row r="463" spans="1:17">
      <c r="A463" s="6" t="s">
        <v>26</v>
      </c>
      <c r="B463" s="6" t="s">
        <v>177</v>
      </c>
      <c r="C463" s="6" t="s">
        <v>203</v>
      </c>
      <c r="D463" s="6"/>
      <c r="E463" s="6"/>
      <c r="F463" s="6">
        <v>80</v>
      </c>
      <c r="G463" s="7"/>
      <c r="H463" s="6"/>
      <c r="I463" s="6">
        <v>49750265.9</v>
      </c>
      <c r="J463" s="6">
        <v>2661.77</v>
      </c>
      <c r="K463" s="6">
        <v>18690.67045612506</v>
      </c>
      <c r="L463" s="6"/>
      <c r="M463" s="6"/>
      <c r="N463" s="6"/>
      <c r="O463" s="7">
        <v>20.54638885088016</v>
      </c>
      <c r="P463" s="15"/>
      <c r="Q463" s="6" t="b">
        <v>1</v>
      </c>
    </row>
    <row r="464" spans="1:17">
      <c r="A464" s="6" t="s">
        <v>26</v>
      </c>
      <c r="B464" s="6" t="s">
        <v>177</v>
      </c>
      <c r="C464" s="6" t="s">
        <v>204</v>
      </c>
      <c r="D464" s="6"/>
      <c r="E464" s="6"/>
      <c r="F464" s="6">
        <v>1</v>
      </c>
      <c r="G464" s="7"/>
      <c r="H464" s="6"/>
      <c r="I464" s="6">
        <v>3681000</v>
      </c>
      <c r="J464" s="6">
        <v>96.39</v>
      </c>
      <c r="K464" s="6">
        <v>38188.60877684407</v>
      </c>
      <c r="L464" s="6"/>
      <c r="M464" s="6"/>
      <c r="N464" s="6"/>
      <c r="O464" s="7">
        <v>305.9401777469564</v>
      </c>
      <c r="P464" s="15"/>
      <c r="Q464" s="6" t="b">
        <v>1</v>
      </c>
    </row>
    <row r="465" spans="1:17">
      <c r="A465" s="6" t="s">
        <v>26</v>
      </c>
      <c r="B465" s="6" t="s">
        <v>177</v>
      </c>
      <c r="C465" s="6" t="s">
        <v>211</v>
      </c>
      <c r="D465" s="6"/>
      <c r="E465" s="6"/>
      <c r="F465" s="6">
        <v>5</v>
      </c>
      <c r="G465" s="7"/>
      <c r="H465" s="6"/>
      <c r="I465" s="6">
        <v>9043390</v>
      </c>
      <c r="J465" s="6">
        <v>212.19</v>
      </c>
      <c r="K465" s="6">
        <v>42619.3034544512</v>
      </c>
      <c r="L465" s="6"/>
      <c r="M465" s="6"/>
      <c r="N465" s="6"/>
      <c r="O465" s="7">
        <v>420.1995481028812</v>
      </c>
      <c r="P465" s="15"/>
      <c r="Q465" s="6" t="b">
        <v>1</v>
      </c>
    </row>
    <row r="466" spans="1:17">
      <c r="A466" s="6" t="s">
        <v>26</v>
      </c>
      <c r="B466" s="6" t="s">
        <v>177</v>
      </c>
      <c r="C466" s="6" t="s">
        <v>212</v>
      </c>
      <c r="D466" s="6"/>
      <c r="E466" s="6"/>
      <c r="F466" s="6">
        <v>3</v>
      </c>
      <c r="G466" s="7"/>
      <c r="H466" s="6"/>
      <c r="I466" s="6">
        <v>5992449</v>
      </c>
      <c r="J466" s="6">
        <v>89.3</v>
      </c>
      <c r="K466" s="6">
        <v>67104.69204927213</v>
      </c>
      <c r="L466" s="6"/>
      <c r="M466" s="6"/>
      <c r="N466" s="6"/>
      <c r="O466" s="7">
        <v>418.0778182651758</v>
      </c>
      <c r="P466" s="15"/>
      <c r="Q466" s="6" t="b">
        <v>1</v>
      </c>
    </row>
    <row r="467" spans="1:17">
      <c r="A467" s="6" t="s">
        <v>26</v>
      </c>
      <c r="B467" s="6" t="s">
        <v>177</v>
      </c>
      <c r="C467" s="6" t="s">
        <v>215</v>
      </c>
      <c r="D467" s="6"/>
      <c r="E467" s="6"/>
      <c r="F467" s="6">
        <v>12</v>
      </c>
      <c r="G467" s="7"/>
      <c r="H467" s="6"/>
      <c r="I467" s="6">
        <v>58603263</v>
      </c>
      <c r="J467" s="6">
        <v>633.505</v>
      </c>
      <c r="K467" s="6">
        <v>92506.3937932613</v>
      </c>
      <c r="L467" s="6"/>
      <c r="M467" s="6"/>
      <c r="N467" s="6"/>
      <c r="O467" s="7">
        <v>606.0240308885295</v>
      </c>
      <c r="P467" s="15"/>
      <c r="Q467" s="6" t="b">
        <v>1</v>
      </c>
    </row>
    <row r="468" spans="1:17">
      <c r="A468" s="6" t="s">
        <v>26</v>
      </c>
      <c r="B468" s="6" t="s">
        <v>177</v>
      </c>
      <c r="C468" s="6" t="s">
        <v>342</v>
      </c>
      <c r="D468" s="6"/>
      <c r="E468" s="6"/>
      <c r="F468" s="6">
        <v>7</v>
      </c>
      <c r="G468" s="7"/>
      <c r="H468" s="6"/>
      <c r="I468" s="6">
        <v>5824986</v>
      </c>
      <c r="J468" s="6">
        <v>217.69</v>
      </c>
      <c r="K468" s="6">
        <v>26758.16987459231</v>
      </c>
      <c r="L468" s="6"/>
      <c r="M468" s="6"/>
      <c r="N468" s="6"/>
      <c r="O468" s="7">
        <v>80.77530521191696</v>
      </c>
      <c r="P468" s="15"/>
      <c r="Q468" s="6" t="b">
        <v>1</v>
      </c>
    </row>
    <row r="469" spans="1:17">
      <c r="A469" s="6" t="s">
        <v>26</v>
      </c>
      <c r="B469" s="6" t="s">
        <v>177</v>
      </c>
      <c r="C469" s="6" t="s">
        <v>223</v>
      </c>
      <c r="D469" s="6"/>
      <c r="E469" s="6"/>
      <c r="F469" s="6">
        <v>1</v>
      </c>
      <c r="G469" s="7"/>
      <c r="H469" s="6"/>
      <c r="I469" s="6">
        <v>49872</v>
      </c>
      <c r="J469" s="6">
        <v>3.038</v>
      </c>
      <c r="K469" s="6">
        <v>16416.06319947334</v>
      </c>
      <c r="L469" s="6"/>
      <c r="M469" s="6"/>
      <c r="N469" s="6"/>
      <c r="O469" s="7">
        <v>24.11413745905914</v>
      </c>
      <c r="P469" s="15"/>
      <c r="Q469" s="6" t="b">
        <v>0</v>
      </c>
    </row>
    <row r="470" spans="1:17">
      <c r="A470" s="6" t="s">
        <v>26</v>
      </c>
      <c r="B470" s="6" t="s">
        <v>177</v>
      </c>
      <c r="C470" s="6" t="s">
        <v>226</v>
      </c>
      <c r="D470" s="6"/>
      <c r="E470" s="6"/>
      <c r="F470" s="6">
        <v>3</v>
      </c>
      <c r="G470" s="7"/>
      <c r="H470" s="6"/>
      <c r="I470" s="6">
        <v>6159717</v>
      </c>
      <c r="J470" s="6">
        <v>90.97</v>
      </c>
      <c r="K470" s="6">
        <v>67711.52028141146</v>
      </c>
      <c r="L470" s="6"/>
      <c r="M470" s="6"/>
      <c r="N470" s="6"/>
      <c r="O470" s="7">
        <v>505.0977738026642</v>
      </c>
      <c r="P470" s="15"/>
      <c r="Q470" s="6" t="b">
        <v>1</v>
      </c>
    </row>
    <row r="471" spans="1:17">
      <c r="A471" s="6" t="s">
        <v>26</v>
      </c>
      <c r="B471" s="6" t="s">
        <v>177</v>
      </c>
      <c r="C471" s="6" t="s">
        <v>345</v>
      </c>
      <c r="D471" s="6"/>
      <c r="E471" s="6"/>
      <c r="F471" s="6">
        <v>1</v>
      </c>
      <c r="G471" s="7"/>
      <c r="H471" s="6"/>
      <c r="I471" s="6">
        <v>801540</v>
      </c>
      <c r="J471" s="6">
        <v>27.65</v>
      </c>
      <c r="K471" s="6">
        <v>28988.78842676311</v>
      </c>
      <c r="L471" s="6"/>
      <c r="M471" s="6"/>
      <c r="N471" s="6"/>
      <c r="O471" s="7">
        <v>50.24440489935981</v>
      </c>
      <c r="P471" s="15"/>
      <c r="Q471" s="6" t="b">
        <v>1</v>
      </c>
    </row>
    <row r="472" spans="1:17">
      <c r="A472" s="6" t="s">
        <v>26</v>
      </c>
      <c r="B472" s="6" t="s">
        <v>177</v>
      </c>
      <c r="C472" s="6" t="s">
        <v>233</v>
      </c>
      <c r="D472" s="6"/>
      <c r="E472" s="6"/>
      <c r="F472" s="6">
        <v>4</v>
      </c>
      <c r="G472" s="7"/>
      <c r="H472" s="6"/>
      <c r="I472" s="6">
        <v>3721206</v>
      </c>
      <c r="J472" s="6">
        <v>102</v>
      </c>
      <c r="K472" s="6">
        <v>36482.41176470588</v>
      </c>
      <c r="L472" s="6"/>
      <c r="M472" s="6"/>
      <c r="N472" s="6"/>
      <c r="O472" s="7">
        <v>663.2717294850985</v>
      </c>
      <c r="P472" s="15"/>
      <c r="Q472" s="6" t="b">
        <v>1</v>
      </c>
    </row>
    <row r="473" spans="1:17">
      <c r="A473" s="6" t="s">
        <v>26</v>
      </c>
      <c r="B473" s="6" t="s">
        <v>177</v>
      </c>
      <c r="C473" s="6" t="s">
        <v>247</v>
      </c>
      <c r="D473" s="6"/>
      <c r="E473" s="6"/>
      <c r="F473" s="6">
        <v>9</v>
      </c>
      <c r="G473" s="7"/>
      <c r="H473" s="6"/>
      <c r="I473" s="6">
        <v>7571484</v>
      </c>
      <c r="J473" s="6">
        <v>175.8</v>
      </c>
      <c r="K473" s="6">
        <v>43068.73720136519</v>
      </c>
      <c r="L473" s="6"/>
      <c r="M473" s="6"/>
      <c r="N473" s="6"/>
      <c r="O473" s="7">
        <v>259.2294487826146</v>
      </c>
      <c r="P473" s="15"/>
      <c r="Q473" s="6" t="b">
        <v>1</v>
      </c>
    </row>
    <row r="474" spans="1:17">
      <c r="A474" s="6" t="s">
        <v>26</v>
      </c>
      <c r="B474" s="6" t="s">
        <v>177</v>
      </c>
      <c r="C474" s="6" t="s">
        <v>249</v>
      </c>
      <c r="D474" s="6"/>
      <c r="E474" s="6"/>
      <c r="F474" s="6">
        <v>8</v>
      </c>
      <c r="G474" s="7"/>
      <c r="H474" s="6"/>
      <c r="I474" s="6">
        <v>5974227</v>
      </c>
      <c r="J474" s="6">
        <v>410.92</v>
      </c>
      <c r="K474" s="6">
        <v>14538.66202667186</v>
      </c>
      <c r="L474" s="6"/>
      <c r="M474" s="6"/>
      <c r="N474" s="6"/>
      <c r="O474" s="7">
        <v>5.884398412851984</v>
      </c>
      <c r="P474" s="15"/>
      <c r="Q474" s="6" t="b">
        <v>1</v>
      </c>
    </row>
    <row r="475" spans="1:17">
      <c r="A475" s="6" t="s">
        <v>26</v>
      </c>
      <c r="B475" s="6" t="s">
        <v>177</v>
      </c>
      <c r="C475" s="6" t="s">
        <v>255</v>
      </c>
      <c r="D475" s="6"/>
      <c r="E475" s="6"/>
      <c r="F475" s="6">
        <v>4</v>
      </c>
      <c r="G475" s="7"/>
      <c r="H475" s="6"/>
      <c r="I475" s="6">
        <v>1166599</v>
      </c>
      <c r="J475" s="6">
        <v>30.88</v>
      </c>
      <c r="K475" s="6">
        <v>37778.46502590673</v>
      </c>
      <c r="L475" s="6"/>
      <c r="M475" s="6"/>
      <c r="N475" s="6"/>
      <c r="O475" s="7">
        <v>552.3840518781204</v>
      </c>
      <c r="P475" s="15"/>
      <c r="Q475" s="6" t="b">
        <v>1</v>
      </c>
    </row>
    <row r="476" spans="1:17">
      <c r="A476" s="6" t="s">
        <v>26</v>
      </c>
      <c r="B476" s="6" t="s">
        <v>177</v>
      </c>
      <c r="C476" s="6" t="s">
        <v>263</v>
      </c>
      <c r="D476" s="6"/>
      <c r="E476" s="6"/>
      <c r="F476" s="6">
        <v>2</v>
      </c>
      <c r="G476" s="7"/>
      <c r="H476" s="6"/>
      <c r="I476" s="6">
        <v>5200000</v>
      </c>
      <c r="J476" s="6">
        <v>48.76000000000001</v>
      </c>
      <c r="K476" s="6">
        <v>106644.7908121411</v>
      </c>
      <c r="L476" s="6"/>
      <c r="M476" s="6"/>
      <c r="N476" s="6"/>
      <c r="O476" s="7">
        <v>455.4438371160538</v>
      </c>
      <c r="P476" s="15"/>
      <c r="Q476" s="6" t="b">
        <v>1</v>
      </c>
    </row>
    <row r="477" spans="1:17">
      <c r="A477" s="6" t="s">
        <v>26</v>
      </c>
      <c r="B477" s="6" t="s">
        <v>177</v>
      </c>
      <c r="C477" s="6" t="s">
        <v>267</v>
      </c>
      <c r="D477" s="6"/>
      <c r="E477" s="6"/>
      <c r="F477" s="6">
        <v>18</v>
      </c>
      <c r="G477" s="7"/>
      <c r="H477" s="6"/>
      <c r="I477" s="6">
        <v>5285266.5</v>
      </c>
      <c r="J477" s="6">
        <v>333.348</v>
      </c>
      <c r="K477" s="6">
        <v>15855.10187551748</v>
      </c>
      <c r="L477" s="6"/>
      <c r="M477" s="6"/>
      <c r="N477" s="6"/>
      <c r="O477" s="7">
        <v>5.945729144847547</v>
      </c>
      <c r="P477" s="15"/>
      <c r="Q477" s="6" t="b">
        <v>1</v>
      </c>
    </row>
    <row r="478" spans="1:17">
      <c r="A478" s="6" t="s">
        <v>26</v>
      </c>
      <c r="B478" s="6" t="s">
        <v>177</v>
      </c>
      <c r="C478" s="6" t="s">
        <v>270</v>
      </c>
      <c r="D478" s="6"/>
      <c r="E478" s="6"/>
      <c r="F478" s="6">
        <v>8</v>
      </c>
      <c r="G478" s="7"/>
      <c r="H478" s="6"/>
      <c r="I478" s="6">
        <v>1531295</v>
      </c>
      <c r="J478" s="6">
        <v>30.5</v>
      </c>
      <c r="K478" s="6">
        <v>50206.39344262295</v>
      </c>
      <c r="L478" s="6"/>
      <c r="M478" s="6"/>
      <c r="N478" s="6"/>
      <c r="O478" s="7">
        <v>745.9343347182456</v>
      </c>
      <c r="P478" s="15"/>
      <c r="Q478" s="6" t="b">
        <v>1</v>
      </c>
    </row>
    <row r="479" spans="1:17">
      <c r="A479" s="6" t="s">
        <v>26</v>
      </c>
      <c r="B479" s="6" t="s">
        <v>177</v>
      </c>
      <c r="C479" s="6" t="s">
        <v>271</v>
      </c>
      <c r="D479" s="6"/>
      <c r="E479" s="6"/>
      <c r="F479" s="6">
        <v>1</v>
      </c>
      <c r="G479" s="7"/>
      <c r="H479" s="6"/>
      <c r="I479" s="6">
        <v>2712820</v>
      </c>
      <c r="J479" s="6">
        <v>35.28</v>
      </c>
      <c r="K479" s="6">
        <v>76893.99092970521</v>
      </c>
      <c r="L479" s="6"/>
      <c r="M479" s="6"/>
      <c r="N479" s="6"/>
      <c r="O479" s="7">
        <v>371.2363057406118</v>
      </c>
      <c r="P479" s="15"/>
      <c r="Q479" s="6" t="b">
        <v>1</v>
      </c>
    </row>
    <row r="480" spans="1:17">
      <c r="A480" s="6" t="s">
        <v>26</v>
      </c>
      <c r="B480" s="6" t="s">
        <v>177</v>
      </c>
      <c r="C480" s="6" t="s">
        <v>273</v>
      </c>
      <c r="D480" s="6"/>
      <c r="E480" s="6"/>
      <c r="F480" s="6">
        <v>6</v>
      </c>
      <c r="G480" s="7"/>
      <c r="H480" s="6"/>
      <c r="I480" s="6">
        <v>10493202</v>
      </c>
      <c r="J480" s="6">
        <v>153.5</v>
      </c>
      <c r="K480" s="6">
        <v>68359.62214983713</v>
      </c>
      <c r="L480" s="6"/>
      <c r="M480" s="6"/>
      <c r="N480" s="6"/>
      <c r="O480" s="7">
        <v>473.1956270698328</v>
      </c>
      <c r="P480" s="15"/>
      <c r="Q480" s="6" t="b">
        <v>1</v>
      </c>
    </row>
    <row r="481" spans="1:17">
      <c r="A481" s="6" t="s">
        <v>26</v>
      </c>
      <c r="B481" s="6" t="s">
        <v>177</v>
      </c>
      <c r="C481" s="6" t="s">
        <v>276</v>
      </c>
      <c r="D481" s="6"/>
      <c r="E481" s="6"/>
      <c r="F481" s="6">
        <v>5</v>
      </c>
      <c r="G481" s="7"/>
      <c r="H481" s="6"/>
      <c r="I481" s="6">
        <v>7404000</v>
      </c>
      <c r="J481" s="6">
        <v>121.65</v>
      </c>
      <c r="K481" s="6">
        <v>60863.13193588163</v>
      </c>
      <c r="L481" s="6"/>
      <c r="M481" s="6"/>
      <c r="N481" s="6"/>
      <c r="O481" s="7">
        <v>478.7418943916687</v>
      </c>
      <c r="P481" s="15"/>
      <c r="Q481" s="6" t="b">
        <v>1</v>
      </c>
    </row>
    <row r="482" spans="1:17">
      <c r="A482" s="6" t="s">
        <v>26</v>
      </c>
      <c r="B482" s="6" t="s">
        <v>177</v>
      </c>
      <c r="C482" s="6" t="s">
        <v>280</v>
      </c>
      <c r="D482" s="6"/>
      <c r="E482" s="6"/>
      <c r="F482" s="6">
        <v>2</v>
      </c>
      <c r="G482" s="7"/>
      <c r="H482" s="6"/>
      <c r="I482" s="6">
        <v>3950000</v>
      </c>
      <c r="J482" s="6">
        <v>46.26</v>
      </c>
      <c r="K482" s="6">
        <v>85386.94336359706</v>
      </c>
      <c r="L482" s="6"/>
      <c r="M482" s="6"/>
      <c r="N482" s="6"/>
      <c r="O482" s="7">
        <v>761.5984491964712</v>
      </c>
      <c r="P482" s="15"/>
      <c r="Q482" s="6" t="b">
        <v>1</v>
      </c>
    </row>
    <row r="483" spans="1:17">
      <c r="A483" s="6" t="s">
        <v>26</v>
      </c>
      <c r="B483" s="6" t="s">
        <v>177</v>
      </c>
      <c r="C483" s="6" t="s">
        <v>283</v>
      </c>
      <c r="D483" s="6"/>
      <c r="E483" s="6"/>
      <c r="F483" s="6">
        <v>8</v>
      </c>
      <c r="G483" s="7"/>
      <c r="H483" s="6"/>
      <c r="I483" s="6">
        <v>11793365</v>
      </c>
      <c r="J483" s="6">
        <v>287.108</v>
      </c>
      <c r="K483" s="6">
        <v>41076.40678768965</v>
      </c>
      <c r="L483" s="6"/>
      <c r="M483" s="6"/>
      <c r="N483" s="6"/>
      <c r="O483" s="7">
        <v>632.1831315873533</v>
      </c>
      <c r="P483" s="15"/>
      <c r="Q483" s="6" t="b">
        <v>1</v>
      </c>
    </row>
    <row r="484" spans="1:17">
      <c r="A484" s="6" t="s">
        <v>26</v>
      </c>
      <c r="B484" s="6" t="s">
        <v>177</v>
      </c>
      <c r="C484" s="6" t="s">
        <v>284</v>
      </c>
      <c r="D484" s="6"/>
      <c r="E484" s="6"/>
      <c r="F484" s="6">
        <v>2</v>
      </c>
      <c r="G484" s="7"/>
      <c r="H484" s="6"/>
      <c r="I484" s="6">
        <v>4088089</v>
      </c>
      <c r="J484" s="6">
        <v>84.5</v>
      </c>
      <c r="K484" s="6">
        <v>48379.75147928994</v>
      </c>
      <c r="L484" s="6"/>
      <c r="M484" s="6"/>
      <c r="N484" s="6"/>
      <c r="O484" s="7">
        <v>563.0659550293902</v>
      </c>
      <c r="P484" s="15"/>
      <c r="Q484" s="6" t="b">
        <v>1</v>
      </c>
    </row>
    <row r="485" spans="1:17">
      <c r="A485" s="6" t="s">
        <v>26</v>
      </c>
      <c r="B485" s="6" t="s">
        <v>177</v>
      </c>
      <c r="C485" s="6" t="s">
        <v>359</v>
      </c>
      <c r="D485" s="6"/>
      <c r="E485" s="6"/>
      <c r="F485" s="6">
        <v>1</v>
      </c>
      <c r="G485" s="7"/>
      <c r="H485" s="6"/>
      <c r="I485" s="6">
        <v>3594520</v>
      </c>
      <c r="J485" s="6">
        <v>56.42</v>
      </c>
      <c r="K485" s="6">
        <v>63710.03190358029</v>
      </c>
      <c r="L485" s="6"/>
      <c r="M485" s="6"/>
      <c r="N485" s="6"/>
      <c r="O485" s="7">
        <v>171.680545791522</v>
      </c>
      <c r="P485" s="15"/>
      <c r="Q485" s="6" t="b">
        <v>1</v>
      </c>
    </row>
    <row r="486" spans="1:17">
      <c r="A486" s="6" t="s">
        <v>26</v>
      </c>
      <c r="B486" s="6" t="s">
        <v>177</v>
      </c>
      <c r="C486" s="6" t="s">
        <v>312</v>
      </c>
      <c r="D486" s="6"/>
      <c r="E486" s="6"/>
      <c r="F486" s="6">
        <v>1</v>
      </c>
      <c r="G486" s="7"/>
      <c r="H486" s="6"/>
      <c r="I486" s="6">
        <v>5962500</v>
      </c>
      <c r="J486" s="6">
        <v>70.56</v>
      </c>
      <c r="K486" s="6">
        <v>84502.55102040817</v>
      </c>
      <c r="L486" s="6"/>
      <c r="M486" s="6"/>
      <c r="N486" s="6"/>
      <c r="O486" s="7">
        <v>449.1040067377082</v>
      </c>
      <c r="P486" s="15"/>
      <c r="Q486" s="6" t="b">
        <v>1</v>
      </c>
    </row>
    <row r="487" spans="1:17">
      <c r="A487" s="6" t="s">
        <v>26</v>
      </c>
      <c r="B487" s="6" t="s">
        <v>177</v>
      </c>
      <c r="C487" s="6" t="s">
        <v>323</v>
      </c>
      <c r="D487" s="6"/>
      <c r="E487" s="6"/>
      <c r="F487" s="6">
        <v>1</v>
      </c>
      <c r="G487" s="7"/>
      <c r="H487" s="6"/>
      <c r="I487" s="6">
        <v>1570097</v>
      </c>
      <c r="J487" s="6">
        <v>46.8</v>
      </c>
      <c r="K487" s="6">
        <v>33549.0811965812</v>
      </c>
      <c r="L487" s="6"/>
      <c r="M487" s="6"/>
      <c r="N487" s="6"/>
      <c r="O487" s="7">
        <v>317.679350678906</v>
      </c>
      <c r="P487" s="15"/>
      <c r="Q487" s="6" t="b">
        <v>1</v>
      </c>
    </row>
    <row r="488" spans="1:17">
      <c r="A488" s="6" t="s">
        <v>26</v>
      </c>
      <c r="B488" s="6" t="s">
        <v>177</v>
      </c>
      <c r="C488" s="6" t="s">
        <v>364</v>
      </c>
      <c r="D488" s="6"/>
      <c r="E488" s="6"/>
      <c r="F488" s="6">
        <v>2</v>
      </c>
      <c r="G488" s="7"/>
      <c r="H488" s="6"/>
      <c r="I488" s="6">
        <v>1828006</v>
      </c>
      <c r="J488" s="6">
        <v>42</v>
      </c>
      <c r="K488" s="6">
        <v>43523.95238095238</v>
      </c>
      <c r="L488" s="6"/>
      <c r="M488" s="6"/>
      <c r="N488" s="6"/>
      <c r="O488" s="7">
        <v>455.0737138023253</v>
      </c>
      <c r="P488" s="15"/>
      <c r="Q488" s="6" t="b">
        <v>1</v>
      </c>
    </row>
    <row r="489" spans="1:17">
      <c r="A489" s="6" t="s">
        <v>26</v>
      </c>
      <c r="B489" s="6" t="s">
        <v>177</v>
      </c>
      <c r="C489" s="6" t="s">
        <v>326</v>
      </c>
      <c r="D489" s="6"/>
      <c r="E489" s="6"/>
      <c r="F489" s="6">
        <v>1</v>
      </c>
      <c r="G489" s="7"/>
      <c r="H489" s="6"/>
      <c r="I489" s="6">
        <v>6795000</v>
      </c>
      <c r="J489" s="6">
        <v>62.58</v>
      </c>
      <c r="K489" s="6">
        <v>108581.0162991371</v>
      </c>
      <c r="L489" s="6"/>
      <c r="M489" s="6"/>
      <c r="N489" s="6"/>
      <c r="O489" s="7">
        <v>700.3666692192766</v>
      </c>
      <c r="P489" s="15"/>
      <c r="Q489" s="6" t="b">
        <v>1</v>
      </c>
    </row>
    <row r="490" spans="1:17">
      <c r="A490" s="6" t="s">
        <v>26</v>
      </c>
      <c r="B490" s="6" t="s">
        <v>177</v>
      </c>
      <c r="C490" s="6" t="s">
        <v>332</v>
      </c>
      <c r="D490" s="6"/>
      <c r="E490" s="6"/>
      <c r="F490" s="6">
        <v>5</v>
      </c>
      <c r="G490" s="7"/>
      <c r="H490" s="6"/>
      <c r="I490" s="6">
        <v>7847506</v>
      </c>
      <c r="J490" s="6">
        <v>177.17</v>
      </c>
      <c r="K490" s="6">
        <v>44293.65016650674</v>
      </c>
      <c r="L490" s="6"/>
      <c r="M490" s="6"/>
      <c r="N490" s="6"/>
      <c r="O490" s="7">
        <v>400.5471292480185</v>
      </c>
      <c r="P490" s="15"/>
      <c r="Q490" s="6" t="b">
        <v>1</v>
      </c>
    </row>
    <row r="491" spans="1:17">
      <c r="A491" s="6" t="s">
        <v>26</v>
      </c>
      <c r="B491" s="6" t="s">
        <v>92</v>
      </c>
      <c r="C491" s="6" t="s">
        <v>199</v>
      </c>
      <c r="D491" s="6"/>
      <c r="E491" s="6"/>
      <c r="F491" s="6">
        <v>84</v>
      </c>
      <c r="G491" s="7"/>
      <c r="H491" s="6"/>
      <c r="I491" s="6">
        <v>3351653.6</v>
      </c>
      <c r="J491" s="6">
        <v>72.95100000000001</v>
      </c>
      <c r="K491" s="6">
        <v>45943.9020712533</v>
      </c>
      <c r="L491" s="6"/>
      <c r="M491" s="6"/>
      <c r="N491" s="6"/>
      <c r="O491" s="7">
        <v>189.330760901055</v>
      </c>
      <c r="P491" s="15"/>
      <c r="Q491" s="6" t="b">
        <v>1</v>
      </c>
    </row>
    <row r="492" spans="1:17">
      <c r="A492" s="6" t="s">
        <v>26</v>
      </c>
      <c r="B492" s="6" t="s">
        <v>92</v>
      </c>
      <c r="C492" s="6" t="s">
        <v>202</v>
      </c>
      <c r="D492" s="6"/>
      <c r="E492" s="6"/>
      <c r="F492" s="6">
        <v>539</v>
      </c>
      <c r="G492" s="7"/>
      <c r="H492" s="6"/>
      <c r="I492" s="6">
        <v>736467040.1</v>
      </c>
      <c r="J492" s="6">
        <v>6341.402</v>
      </c>
      <c r="K492" s="6">
        <v>116136.3118282046</v>
      </c>
      <c r="L492" s="6"/>
      <c r="M492" s="6"/>
      <c r="N492" s="6"/>
      <c r="O492" s="7">
        <v>1104.910864346574</v>
      </c>
      <c r="P492" s="15"/>
      <c r="Q492" s="6" t="b">
        <v>1</v>
      </c>
    </row>
    <row r="493" spans="1:17">
      <c r="A493" s="6" t="s">
        <v>26</v>
      </c>
      <c r="B493" s="6" t="s">
        <v>92</v>
      </c>
      <c r="C493" s="6" t="s">
        <v>203</v>
      </c>
      <c r="D493" s="6"/>
      <c r="E493" s="6"/>
      <c r="F493" s="6">
        <v>584</v>
      </c>
      <c r="G493" s="7"/>
      <c r="H493" s="6"/>
      <c r="I493" s="6">
        <v>60274613</v>
      </c>
      <c r="J493" s="6">
        <v>1123.73</v>
      </c>
      <c r="K493" s="6">
        <v>53637.98510318315</v>
      </c>
      <c r="L493" s="6"/>
      <c r="M493" s="6"/>
      <c r="N493" s="6"/>
      <c r="O493" s="7">
        <v>429.8849575188306</v>
      </c>
      <c r="P493" s="15"/>
      <c r="Q493" s="6" t="b">
        <v>1</v>
      </c>
    </row>
    <row r="494" spans="1:17">
      <c r="A494" s="6" t="s">
        <v>26</v>
      </c>
      <c r="B494" s="6" t="s">
        <v>92</v>
      </c>
      <c r="C494" s="6" t="s">
        <v>204</v>
      </c>
      <c r="D494" s="6"/>
      <c r="E494" s="6"/>
      <c r="F494" s="6">
        <v>2466</v>
      </c>
      <c r="G494" s="7"/>
      <c r="H494" s="6"/>
      <c r="I494" s="6">
        <v>426310254.9</v>
      </c>
      <c r="J494" s="6">
        <v>9281.529</v>
      </c>
      <c r="K494" s="6">
        <v>45931.03732154475</v>
      </c>
      <c r="L494" s="6"/>
      <c r="M494" s="6"/>
      <c r="N494" s="6"/>
      <c r="O494" s="7">
        <v>392.5110747795117</v>
      </c>
      <c r="P494" s="15"/>
      <c r="Q494" s="6" t="b">
        <v>1</v>
      </c>
    </row>
    <row r="495" spans="1:17">
      <c r="A495" s="6" t="s">
        <v>26</v>
      </c>
      <c r="B495" s="6" t="s">
        <v>92</v>
      </c>
      <c r="C495" s="6" t="s">
        <v>205</v>
      </c>
      <c r="D495" s="6"/>
      <c r="E495" s="6"/>
      <c r="F495" s="6">
        <v>686</v>
      </c>
      <c r="G495" s="7"/>
      <c r="H495" s="6"/>
      <c r="I495" s="6">
        <v>393569558.9</v>
      </c>
      <c r="J495" s="6">
        <v>5317.761</v>
      </c>
      <c r="K495" s="6">
        <v>74010.38875195781</v>
      </c>
      <c r="L495" s="6"/>
      <c r="M495" s="6"/>
      <c r="N495" s="6"/>
      <c r="O495" s="7">
        <v>713.789786551631</v>
      </c>
      <c r="P495" s="15"/>
      <c r="Q495" s="6" t="b">
        <v>1</v>
      </c>
    </row>
    <row r="496" spans="1:17">
      <c r="A496" s="6" t="s">
        <v>26</v>
      </c>
      <c r="B496" s="6" t="s">
        <v>92</v>
      </c>
      <c r="C496" s="6" t="s">
        <v>206</v>
      </c>
      <c r="D496" s="6"/>
      <c r="E496" s="6"/>
      <c r="F496" s="6">
        <v>1510</v>
      </c>
      <c r="G496" s="7"/>
      <c r="H496" s="6"/>
      <c r="I496" s="6">
        <v>67023975.7</v>
      </c>
      <c r="J496" s="6">
        <v>2095.694</v>
      </c>
      <c r="K496" s="6">
        <v>31981.7567354776</v>
      </c>
      <c r="L496" s="6"/>
      <c r="M496" s="6"/>
      <c r="N496" s="6"/>
      <c r="O496" s="7">
        <v>90.03904139381403</v>
      </c>
      <c r="P496" s="15"/>
      <c r="Q496" s="6" t="b">
        <v>1</v>
      </c>
    </row>
    <row r="497" spans="1:17">
      <c r="A497" s="6" t="s">
        <v>26</v>
      </c>
      <c r="B497" s="6" t="s">
        <v>92</v>
      </c>
      <c r="C497" s="6" t="s">
        <v>211</v>
      </c>
      <c r="D497" s="6"/>
      <c r="E497" s="6"/>
      <c r="F497" s="6">
        <v>35616</v>
      </c>
      <c r="G497" s="7"/>
      <c r="H497" s="6"/>
      <c r="I497" s="6">
        <v>563701070.2</v>
      </c>
      <c r="J497" s="6">
        <v>22248.979</v>
      </c>
      <c r="K497" s="6">
        <v>25336.04217074411</v>
      </c>
      <c r="L497" s="6"/>
      <c r="M497" s="6"/>
      <c r="N497" s="6"/>
      <c r="O497" s="7">
        <v>10.69134662204038</v>
      </c>
      <c r="P497" s="15"/>
      <c r="Q497" s="6" t="b">
        <v>1</v>
      </c>
    </row>
    <row r="498" spans="1:17">
      <c r="A498" s="6" t="s">
        <v>26</v>
      </c>
      <c r="B498" s="6" t="s">
        <v>92</v>
      </c>
      <c r="C498" s="6" t="s">
        <v>212</v>
      </c>
      <c r="D498" s="6"/>
      <c r="E498" s="6"/>
      <c r="F498" s="6">
        <v>450</v>
      </c>
      <c r="G498" s="7"/>
      <c r="H498" s="6"/>
      <c r="I498" s="6">
        <v>14736109.6</v>
      </c>
      <c r="J498" s="6">
        <v>627.922</v>
      </c>
      <c r="K498" s="6">
        <v>23468.05749758728</v>
      </c>
      <c r="L498" s="6"/>
      <c r="M498" s="6"/>
      <c r="N498" s="6"/>
      <c r="O498" s="7">
        <v>29.3131563771294</v>
      </c>
      <c r="P498" s="15"/>
      <c r="Q498" s="6" t="b">
        <v>1</v>
      </c>
    </row>
    <row r="499" spans="1:17">
      <c r="A499" s="6" t="s">
        <v>26</v>
      </c>
      <c r="B499" s="6" t="s">
        <v>92</v>
      </c>
      <c r="C499" s="6" t="s">
        <v>216</v>
      </c>
      <c r="D499" s="6"/>
      <c r="E499" s="6"/>
      <c r="F499" s="6">
        <v>68</v>
      </c>
      <c r="G499" s="7"/>
      <c r="H499" s="6"/>
      <c r="I499" s="6">
        <v>1041119</v>
      </c>
      <c r="J499" s="6">
        <v>18.905</v>
      </c>
      <c r="K499" s="6">
        <v>55071.09230362338</v>
      </c>
      <c r="L499" s="6"/>
      <c r="M499" s="6"/>
      <c r="N499" s="6"/>
      <c r="O499" s="7">
        <v>197.5754155359049</v>
      </c>
      <c r="P499" s="15"/>
      <c r="Q499" s="6" t="b">
        <v>0</v>
      </c>
    </row>
    <row r="500" spans="1:17">
      <c r="A500" s="6" t="s">
        <v>26</v>
      </c>
      <c r="B500" s="6" t="s">
        <v>92</v>
      </c>
      <c r="C500" s="6" t="s">
        <v>219</v>
      </c>
      <c r="D500" s="6"/>
      <c r="E500" s="6"/>
      <c r="F500" s="6">
        <v>5</v>
      </c>
      <c r="G500" s="7"/>
      <c r="H500" s="6"/>
      <c r="I500" s="6">
        <v>58440</v>
      </c>
      <c r="J500" s="6">
        <v>1.037</v>
      </c>
      <c r="K500" s="6">
        <v>56354.86981677917</v>
      </c>
      <c r="L500" s="6"/>
      <c r="M500" s="6"/>
      <c r="N500" s="6"/>
      <c r="O500" s="7">
        <v>403.7071265152184</v>
      </c>
      <c r="P500" s="15"/>
      <c r="Q500" s="6" t="b">
        <v>0</v>
      </c>
    </row>
    <row r="501" spans="1:17">
      <c r="A501" s="6" t="s">
        <v>26</v>
      </c>
      <c r="B501" s="6" t="s">
        <v>92</v>
      </c>
      <c r="C501" s="6" t="s">
        <v>220</v>
      </c>
      <c r="D501" s="6"/>
      <c r="E501" s="6"/>
      <c r="F501" s="6">
        <v>15</v>
      </c>
      <c r="G501" s="7"/>
      <c r="H501" s="6"/>
      <c r="I501" s="6">
        <v>202500</v>
      </c>
      <c r="J501" s="6">
        <v>3.257</v>
      </c>
      <c r="K501" s="6">
        <v>62173.77955173473</v>
      </c>
      <c r="L501" s="6"/>
      <c r="M501" s="6"/>
      <c r="N501" s="6"/>
      <c r="O501" s="7">
        <v>248.7624504328149</v>
      </c>
      <c r="P501" s="15"/>
      <c r="Q501" s="6" t="b">
        <v>0</v>
      </c>
    </row>
    <row r="502" spans="1:17">
      <c r="A502" s="6" t="s">
        <v>26</v>
      </c>
      <c r="B502" s="6" t="s">
        <v>92</v>
      </c>
      <c r="C502" s="6" t="s">
        <v>221</v>
      </c>
      <c r="D502" s="6"/>
      <c r="E502" s="6"/>
      <c r="F502" s="6">
        <v>13</v>
      </c>
      <c r="G502" s="7"/>
      <c r="H502" s="6"/>
      <c r="I502" s="6">
        <v>1532104</v>
      </c>
      <c r="J502" s="6">
        <v>34.468</v>
      </c>
      <c r="K502" s="6">
        <v>44450.04061738423</v>
      </c>
      <c r="L502" s="6"/>
      <c r="M502" s="6"/>
      <c r="N502" s="6"/>
      <c r="O502" s="7">
        <v>493.0032201386381</v>
      </c>
      <c r="P502" s="15"/>
      <c r="Q502" s="6" t="b">
        <v>1</v>
      </c>
    </row>
    <row r="503" spans="1:17">
      <c r="A503" s="6" t="s">
        <v>26</v>
      </c>
      <c r="B503" s="6" t="s">
        <v>92</v>
      </c>
      <c r="C503" s="6" t="s">
        <v>223</v>
      </c>
      <c r="D503" s="6"/>
      <c r="E503" s="6"/>
      <c r="F503" s="6">
        <v>5</v>
      </c>
      <c r="G503" s="7"/>
      <c r="H503" s="6"/>
      <c r="I503" s="6">
        <v>6559429.9</v>
      </c>
      <c r="J503" s="6">
        <v>135.995</v>
      </c>
      <c r="K503" s="6">
        <v>48232.87547336299</v>
      </c>
      <c r="L503" s="6"/>
      <c r="M503" s="6"/>
      <c r="N503" s="6"/>
      <c r="O503" s="7">
        <v>433.6733866419764</v>
      </c>
      <c r="P503" s="15"/>
      <c r="Q503" s="6" t="b">
        <v>1</v>
      </c>
    </row>
    <row r="504" spans="1:17">
      <c r="A504" s="6" t="s">
        <v>26</v>
      </c>
      <c r="B504" s="6" t="s">
        <v>92</v>
      </c>
      <c r="C504" s="6" t="s">
        <v>224</v>
      </c>
      <c r="D504" s="6"/>
      <c r="E504" s="6"/>
      <c r="F504" s="6">
        <v>1267</v>
      </c>
      <c r="G504" s="7"/>
      <c r="H504" s="6"/>
      <c r="I504" s="6">
        <v>161042857</v>
      </c>
      <c r="J504" s="6">
        <v>3441.594</v>
      </c>
      <c r="K504" s="6">
        <v>46793.10139429578</v>
      </c>
      <c r="L504" s="6"/>
      <c r="M504" s="6"/>
      <c r="N504" s="6"/>
      <c r="O504" s="7">
        <v>395.2420445964155</v>
      </c>
      <c r="P504" s="15"/>
      <c r="Q504" s="6" t="b">
        <v>1</v>
      </c>
    </row>
    <row r="505" spans="1:17">
      <c r="A505" s="6" t="s">
        <v>26</v>
      </c>
      <c r="B505" s="6" t="s">
        <v>92</v>
      </c>
      <c r="C505" s="6" t="s">
        <v>226</v>
      </c>
      <c r="D505" s="6"/>
      <c r="E505" s="6"/>
      <c r="F505" s="6">
        <v>13</v>
      </c>
      <c r="G505" s="7"/>
      <c r="H505" s="6"/>
      <c r="I505" s="6">
        <v>7699999.7</v>
      </c>
      <c r="J505" s="6">
        <v>66.589</v>
      </c>
      <c r="K505" s="6">
        <v>115634.7099370767</v>
      </c>
      <c r="L505" s="6"/>
      <c r="M505" s="6"/>
      <c r="N505" s="6"/>
      <c r="O505" s="7">
        <v>855.8079881354537</v>
      </c>
      <c r="P505" s="15"/>
      <c r="Q505" s="6" t="b">
        <v>1</v>
      </c>
    </row>
    <row r="506" spans="1:17">
      <c r="A506" s="6" t="s">
        <v>26</v>
      </c>
      <c r="B506" s="6" t="s">
        <v>92</v>
      </c>
      <c r="C506" s="6" t="s">
        <v>227</v>
      </c>
      <c r="D506" s="6"/>
      <c r="E506" s="6"/>
      <c r="F506" s="6">
        <v>100</v>
      </c>
      <c r="G506" s="7"/>
      <c r="H506" s="6"/>
      <c r="I506" s="6">
        <v>3631348</v>
      </c>
      <c r="J506" s="6">
        <v>68.267</v>
      </c>
      <c r="K506" s="6">
        <v>53193.31448576911</v>
      </c>
      <c r="L506" s="6"/>
      <c r="M506" s="6"/>
      <c r="N506" s="6"/>
      <c r="O506" s="7">
        <v>225.4880038812609</v>
      </c>
      <c r="P506" s="15"/>
      <c r="Q506" s="6" t="b">
        <v>1</v>
      </c>
    </row>
    <row r="507" spans="1:17">
      <c r="A507" s="6" t="s">
        <v>26</v>
      </c>
      <c r="B507" s="6" t="s">
        <v>92</v>
      </c>
      <c r="C507" s="6" t="s">
        <v>228</v>
      </c>
      <c r="D507" s="6"/>
      <c r="E507" s="6"/>
      <c r="F507" s="6">
        <v>40</v>
      </c>
      <c r="G507" s="7"/>
      <c r="H507" s="6"/>
      <c r="I507" s="6">
        <v>4662530.9</v>
      </c>
      <c r="J507" s="6">
        <v>116.323</v>
      </c>
      <c r="K507" s="6">
        <v>40082.62252520998</v>
      </c>
      <c r="L507" s="6"/>
      <c r="M507" s="6"/>
      <c r="N507" s="6"/>
      <c r="O507" s="7">
        <v>602.381107407144</v>
      </c>
      <c r="P507" s="15"/>
      <c r="Q507" s="6" t="b">
        <v>1</v>
      </c>
    </row>
    <row r="508" spans="1:17">
      <c r="A508" s="6" t="s">
        <v>26</v>
      </c>
      <c r="B508" s="6" t="s">
        <v>92</v>
      </c>
      <c r="C508" s="6" t="s">
        <v>367</v>
      </c>
      <c r="D508" s="6"/>
      <c r="E508" s="6"/>
      <c r="F508" s="6">
        <v>504</v>
      </c>
      <c r="G508" s="7"/>
      <c r="H508" s="6"/>
      <c r="I508" s="6">
        <v>7642516.5</v>
      </c>
      <c r="J508" s="6">
        <v>180.744</v>
      </c>
      <c r="K508" s="6">
        <v>42283.6525693799</v>
      </c>
      <c r="L508" s="6"/>
      <c r="M508" s="6"/>
      <c r="N508" s="6"/>
      <c r="O508" s="7">
        <v>38.56419282668178</v>
      </c>
      <c r="P508" s="15"/>
      <c r="Q508" s="6" t="b">
        <v>1</v>
      </c>
    </row>
    <row r="509" spans="1:17">
      <c r="A509" s="6" t="s">
        <v>26</v>
      </c>
      <c r="B509" s="6" t="s">
        <v>92</v>
      </c>
      <c r="C509" s="6" t="s">
        <v>232</v>
      </c>
      <c r="D509" s="6"/>
      <c r="E509" s="6"/>
      <c r="F509" s="6">
        <v>3</v>
      </c>
      <c r="G509" s="7"/>
      <c r="H509" s="6"/>
      <c r="I509" s="6">
        <v>17532</v>
      </c>
      <c r="J509" s="6">
        <v>0.24</v>
      </c>
      <c r="K509" s="6">
        <v>73050</v>
      </c>
      <c r="L509" s="6"/>
      <c r="M509" s="6"/>
      <c r="N509" s="6"/>
      <c r="O509" s="7">
        <v>363.7241742670267</v>
      </c>
      <c r="P509" s="15"/>
      <c r="Q509" s="6" t="b">
        <v>0</v>
      </c>
    </row>
    <row r="510" spans="1:17">
      <c r="A510" s="6" t="s">
        <v>26</v>
      </c>
      <c r="B510" s="6" t="s">
        <v>92</v>
      </c>
      <c r="C510" s="6" t="s">
        <v>233</v>
      </c>
      <c r="D510" s="6"/>
      <c r="E510" s="6"/>
      <c r="F510" s="6">
        <v>4</v>
      </c>
      <c r="G510" s="7"/>
      <c r="H510" s="6"/>
      <c r="I510" s="6">
        <v>81816</v>
      </c>
      <c r="J510" s="6">
        <v>1.285</v>
      </c>
      <c r="K510" s="6">
        <v>63670.03891050583</v>
      </c>
      <c r="L510" s="6"/>
      <c r="M510" s="6"/>
      <c r="N510" s="6"/>
      <c r="O510" s="7">
        <v>306.054730913553</v>
      </c>
      <c r="P510" s="15"/>
      <c r="Q510" s="6" t="b">
        <v>0</v>
      </c>
    </row>
    <row r="511" spans="1:17">
      <c r="A511" s="6" t="s">
        <v>26</v>
      </c>
      <c r="B511" s="6" t="s">
        <v>92</v>
      </c>
      <c r="C511" s="6" t="s">
        <v>234</v>
      </c>
      <c r="D511" s="6"/>
      <c r="E511" s="6"/>
      <c r="F511" s="6">
        <v>35</v>
      </c>
      <c r="G511" s="7"/>
      <c r="H511" s="6"/>
      <c r="I511" s="6">
        <v>2009891.9</v>
      </c>
      <c r="J511" s="6">
        <v>26.009</v>
      </c>
      <c r="K511" s="6">
        <v>77276.78495905263</v>
      </c>
      <c r="L511" s="6"/>
      <c r="M511" s="6"/>
      <c r="N511" s="6"/>
      <c r="O511" s="7">
        <v>710.6787007548056</v>
      </c>
      <c r="P511" s="15"/>
      <c r="Q511" s="6" t="b">
        <v>1</v>
      </c>
    </row>
    <row r="512" spans="1:17">
      <c r="A512" s="6" t="s">
        <v>26</v>
      </c>
      <c r="B512" s="6" t="s">
        <v>92</v>
      </c>
      <c r="C512" s="6" t="s">
        <v>236</v>
      </c>
      <c r="D512" s="6"/>
      <c r="E512" s="6"/>
      <c r="F512" s="6">
        <v>672</v>
      </c>
      <c r="G512" s="7"/>
      <c r="H512" s="6"/>
      <c r="I512" s="6">
        <v>254304287.1</v>
      </c>
      <c r="J512" s="6">
        <v>5694.203</v>
      </c>
      <c r="K512" s="6">
        <v>44660.20742498994</v>
      </c>
      <c r="L512" s="6"/>
      <c r="M512" s="6"/>
      <c r="N512" s="6"/>
      <c r="O512" s="7">
        <v>375.0961166535116</v>
      </c>
      <c r="P512" s="15"/>
      <c r="Q512" s="6" t="b">
        <v>1</v>
      </c>
    </row>
    <row r="513" spans="1:17">
      <c r="A513" s="6" t="s">
        <v>26</v>
      </c>
      <c r="B513" s="6" t="s">
        <v>92</v>
      </c>
      <c r="C513" s="6" t="s">
        <v>237</v>
      </c>
      <c r="D513" s="6"/>
      <c r="E513" s="6"/>
      <c r="F513" s="6">
        <v>4</v>
      </c>
      <c r="G513" s="7"/>
      <c r="H513" s="6"/>
      <c r="I513" s="6">
        <v>46752</v>
      </c>
      <c r="J513" s="6">
        <v>0.718</v>
      </c>
      <c r="K513" s="6">
        <v>65114.20612813371</v>
      </c>
      <c r="L513" s="6"/>
      <c r="M513" s="6"/>
      <c r="N513" s="6"/>
      <c r="O513" s="7">
        <v>332.7052247498816</v>
      </c>
      <c r="P513" s="15"/>
      <c r="Q513" s="6" t="b">
        <v>0</v>
      </c>
    </row>
    <row r="514" spans="1:17">
      <c r="A514" s="6" t="s">
        <v>26</v>
      </c>
      <c r="B514" s="6" t="s">
        <v>92</v>
      </c>
      <c r="C514" s="6" t="s">
        <v>368</v>
      </c>
      <c r="D514" s="6"/>
      <c r="E514" s="6"/>
      <c r="F514" s="6">
        <v>255</v>
      </c>
      <c r="G514" s="7"/>
      <c r="H514" s="6"/>
      <c r="I514" s="6">
        <v>2787085</v>
      </c>
      <c r="J514" s="6">
        <v>63.752</v>
      </c>
      <c r="K514" s="6">
        <v>43717.6088593299</v>
      </c>
      <c r="L514" s="6"/>
      <c r="M514" s="6"/>
      <c r="N514" s="6"/>
      <c r="O514" s="7">
        <v>46.56599232987285</v>
      </c>
      <c r="P514" s="15"/>
      <c r="Q514" s="6" t="b">
        <v>1</v>
      </c>
    </row>
    <row r="515" spans="1:17">
      <c r="A515" s="6" t="s">
        <v>26</v>
      </c>
      <c r="B515" s="6" t="s">
        <v>92</v>
      </c>
      <c r="C515" s="6" t="s">
        <v>240</v>
      </c>
      <c r="D515" s="6"/>
      <c r="E515" s="6"/>
      <c r="F515" s="6">
        <v>2</v>
      </c>
      <c r="G515" s="7"/>
      <c r="H515" s="6"/>
      <c r="I515" s="6">
        <v>11688</v>
      </c>
      <c r="J515" s="6">
        <v>0.164</v>
      </c>
      <c r="K515" s="6">
        <v>71268.29268292683</v>
      </c>
      <c r="L515" s="6"/>
      <c r="M515" s="6"/>
      <c r="N515" s="6"/>
      <c r="O515" s="7">
        <v>272.1261900451811</v>
      </c>
      <c r="P515" s="15"/>
      <c r="Q515" s="6" t="b">
        <v>0</v>
      </c>
    </row>
    <row r="516" spans="1:17">
      <c r="A516" s="6" t="s">
        <v>26</v>
      </c>
      <c r="B516" s="6" t="s">
        <v>92</v>
      </c>
      <c r="C516" s="6" t="s">
        <v>369</v>
      </c>
      <c r="D516" s="6"/>
      <c r="E516" s="6"/>
      <c r="F516" s="6">
        <v>306</v>
      </c>
      <c r="G516" s="7"/>
      <c r="H516" s="6"/>
      <c r="I516" s="6">
        <v>3964134.9</v>
      </c>
      <c r="J516" s="6">
        <v>97.099</v>
      </c>
      <c r="K516" s="6">
        <v>40825.70263339478</v>
      </c>
      <c r="L516" s="6"/>
      <c r="M516" s="6"/>
      <c r="N516" s="6"/>
      <c r="O516" s="7">
        <v>43.72968716280145</v>
      </c>
      <c r="P516" s="15"/>
      <c r="Q516" s="6" t="b">
        <v>1</v>
      </c>
    </row>
    <row r="517" spans="1:17">
      <c r="A517" s="6" t="s">
        <v>26</v>
      </c>
      <c r="B517" s="6" t="s">
        <v>92</v>
      </c>
      <c r="C517" s="6" t="s">
        <v>244</v>
      </c>
      <c r="D517" s="6"/>
      <c r="E517" s="6"/>
      <c r="F517" s="6">
        <v>2033</v>
      </c>
      <c r="G517" s="7"/>
      <c r="H517" s="6"/>
      <c r="I517" s="6">
        <v>35380796</v>
      </c>
      <c r="J517" s="6">
        <v>723.652</v>
      </c>
      <c r="K517" s="6">
        <v>48892.00333862133</v>
      </c>
      <c r="L517" s="6"/>
      <c r="M517" s="6"/>
      <c r="N517" s="6"/>
      <c r="O517" s="7">
        <v>62.99571872387861</v>
      </c>
      <c r="P517" s="15"/>
      <c r="Q517" s="6" t="b">
        <v>1</v>
      </c>
    </row>
    <row r="518" spans="1:17">
      <c r="A518" s="6" t="s">
        <v>26</v>
      </c>
      <c r="B518" s="6" t="s">
        <v>92</v>
      </c>
      <c r="C518" s="6" t="s">
        <v>245</v>
      </c>
      <c r="D518" s="6"/>
      <c r="E518" s="6"/>
      <c r="F518" s="6">
        <v>34</v>
      </c>
      <c r="G518" s="7"/>
      <c r="H518" s="6"/>
      <c r="I518" s="6">
        <v>12773974.8</v>
      </c>
      <c r="J518" s="6">
        <v>229.533</v>
      </c>
      <c r="K518" s="6">
        <v>55652.01866398296</v>
      </c>
      <c r="L518" s="6"/>
      <c r="M518" s="6"/>
      <c r="N518" s="6"/>
      <c r="O518" s="7">
        <v>427.6352685267743</v>
      </c>
      <c r="P518" s="15"/>
      <c r="Q518" s="6" t="b">
        <v>1</v>
      </c>
    </row>
    <row r="519" spans="1:17">
      <c r="A519" s="6" t="s">
        <v>26</v>
      </c>
      <c r="B519" s="6" t="s">
        <v>92</v>
      </c>
      <c r="C519" s="6" t="s">
        <v>348</v>
      </c>
      <c r="D519" s="6"/>
      <c r="E519" s="6"/>
      <c r="F519" s="6">
        <v>10</v>
      </c>
      <c r="G519" s="7"/>
      <c r="H519" s="6"/>
      <c r="I519" s="6">
        <v>25799999.3</v>
      </c>
      <c r="J519" s="6">
        <v>210.115</v>
      </c>
      <c r="K519" s="6">
        <v>122789.8974371178</v>
      </c>
      <c r="L519" s="6"/>
      <c r="M519" s="6"/>
      <c r="N519" s="6"/>
      <c r="O519" s="7">
        <v>863.5288395819475</v>
      </c>
      <c r="P519" s="15"/>
      <c r="Q519" s="6" t="b">
        <v>1</v>
      </c>
    </row>
    <row r="520" spans="1:17">
      <c r="A520" s="6" t="s">
        <v>26</v>
      </c>
      <c r="B520" s="6" t="s">
        <v>92</v>
      </c>
      <c r="C520" s="6" t="s">
        <v>247</v>
      </c>
      <c r="D520" s="6"/>
      <c r="E520" s="6"/>
      <c r="F520" s="6">
        <v>143</v>
      </c>
      <c r="G520" s="7"/>
      <c r="H520" s="6"/>
      <c r="I520" s="6">
        <v>43773666.3</v>
      </c>
      <c r="J520" s="6">
        <v>946.7190000000001</v>
      </c>
      <c r="K520" s="6">
        <v>46237.23227272295</v>
      </c>
      <c r="L520" s="6"/>
      <c r="M520" s="6"/>
      <c r="N520" s="6"/>
      <c r="O520" s="7">
        <v>228.2218494203277</v>
      </c>
      <c r="P520" s="15"/>
      <c r="Q520" s="6" t="b">
        <v>1</v>
      </c>
    </row>
    <row r="521" spans="1:17">
      <c r="A521" s="6" t="s">
        <v>26</v>
      </c>
      <c r="B521" s="6" t="s">
        <v>92</v>
      </c>
      <c r="C521" s="6" t="s">
        <v>248</v>
      </c>
      <c r="D521" s="6"/>
      <c r="E521" s="6"/>
      <c r="F521" s="6">
        <v>2359</v>
      </c>
      <c r="G521" s="7"/>
      <c r="H521" s="6"/>
      <c r="I521" s="6">
        <v>119313389.8</v>
      </c>
      <c r="J521" s="6">
        <v>2042.886</v>
      </c>
      <c r="K521" s="6">
        <v>58404.33083392808</v>
      </c>
      <c r="L521" s="6"/>
      <c r="M521" s="6"/>
      <c r="N521" s="6"/>
      <c r="O521" s="7">
        <v>421.7567822652278</v>
      </c>
      <c r="P521" s="15"/>
      <c r="Q521" s="6" t="b">
        <v>1</v>
      </c>
    </row>
    <row r="522" spans="1:17">
      <c r="A522" s="6" t="s">
        <v>26</v>
      </c>
      <c r="B522" s="6" t="s">
        <v>92</v>
      </c>
      <c r="C522" s="6" t="s">
        <v>249</v>
      </c>
      <c r="D522" s="6"/>
      <c r="E522" s="6"/>
      <c r="F522" s="6">
        <v>69</v>
      </c>
      <c r="G522" s="7"/>
      <c r="H522" s="6"/>
      <c r="I522" s="6">
        <v>11900122.4</v>
      </c>
      <c r="J522" s="6">
        <v>308.751</v>
      </c>
      <c r="K522" s="6">
        <v>38542.7817237839</v>
      </c>
      <c r="L522" s="6"/>
      <c r="M522" s="6"/>
      <c r="N522" s="6"/>
      <c r="O522" s="7">
        <v>404.3949820708437</v>
      </c>
      <c r="P522" s="15"/>
      <c r="Q522" s="6" t="b">
        <v>1</v>
      </c>
    </row>
    <row r="523" spans="1:17">
      <c r="A523" s="6" t="s">
        <v>26</v>
      </c>
      <c r="B523" s="6" t="s">
        <v>92</v>
      </c>
      <c r="C523" s="6" t="s">
        <v>250</v>
      </c>
      <c r="D523" s="6"/>
      <c r="E523" s="6"/>
      <c r="F523" s="6">
        <v>2117</v>
      </c>
      <c r="G523" s="7"/>
      <c r="H523" s="6"/>
      <c r="I523" s="6">
        <v>23202697.7</v>
      </c>
      <c r="J523" s="6">
        <v>621.696</v>
      </c>
      <c r="K523" s="6">
        <v>37321.61329653078</v>
      </c>
      <c r="L523" s="6"/>
      <c r="M523" s="6"/>
      <c r="N523" s="6"/>
      <c r="O523" s="7">
        <v>38.1306716097434</v>
      </c>
      <c r="P523" s="15"/>
      <c r="Q523" s="6" t="b">
        <v>1</v>
      </c>
    </row>
    <row r="524" spans="1:17">
      <c r="A524" s="6" t="s">
        <v>26</v>
      </c>
      <c r="B524" s="6" t="s">
        <v>92</v>
      </c>
      <c r="C524" s="6" t="s">
        <v>252</v>
      </c>
      <c r="D524" s="6"/>
      <c r="E524" s="6"/>
      <c r="F524" s="6">
        <v>3</v>
      </c>
      <c r="G524" s="7"/>
      <c r="H524" s="6"/>
      <c r="I524" s="6">
        <v>17532</v>
      </c>
      <c r="J524" s="6">
        <v>0.232</v>
      </c>
      <c r="K524" s="6">
        <v>75568.96551724138</v>
      </c>
      <c r="L524" s="6"/>
      <c r="M524" s="6"/>
      <c r="N524" s="6"/>
      <c r="O524" s="7">
        <v>386.274656396613</v>
      </c>
      <c r="P524" s="15"/>
      <c r="Q524" s="6" t="b">
        <v>0</v>
      </c>
    </row>
    <row r="525" spans="1:17">
      <c r="A525" s="6" t="s">
        <v>26</v>
      </c>
      <c r="B525" s="6" t="s">
        <v>92</v>
      </c>
      <c r="C525" s="6" t="s">
        <v>259</v>
      </c>
      <c r="D525" s="6"/>
      <c r="E525" s="6"/>
      <c r="F525" s="6">
        <v>28</v>
      </c>
      <c r="G525" s="7"/>
      <c r="H525" s="6"/>
      <c r="I525" s="6">
        <v>17304078.7</v>
      </c>
      <c r="J525" s="6">
        <v>217.828</v>
      </c>
      <c r="K525" s="6">
        <v>79439.18458600363</v>
      </c>
      <c r="L525" s="6"/>
      <c r="M525" s="6"/>
      <c r="N525" s="6"/>
      <c r="O525" s="7">
        <v>702.9674476966645</v>
      </c>
      <c r="P525" s="15"/>
      <c r="Q525" s="6" t="b">
        <v>1</v>
      </c>
    </row>
    <row r="526" spans="1:17">
      <c r="A526" s="6" t="s">
        <v>26</v>
      </c>
      <c r="B526" s="6" t="s">
        <v>92</v>
      </c>
      <c r="C526" s="6" t="s">
        <v>265</v>
      </c>
      <c r="D526" s="6"/>
      <c r="E526" s="6"/>
      <c r="F526" s="6">
        <v>2</v>
      </c>
      <c r="G526" s="7"/>
      <c r="H526" s="6"/>
      <c r="I526" s="6">
        <v>76928</v>
      </c>
      <c r="J526" s="6">
        <v>0.62</v>
      </c>
      <c r="K526" s="6">
        <v>124077.4193548387</v>
      </c>
      <c r="L526" s="6"/>
      <c r="M526" s="6"/>
      <c r="N526" s="6"/>
      <c r="O526" s="7">
        <v>1089.719936951538</v>
      </c>
      <c r="P526" s="15"/>
      <c r="Q526" s="6" t="b">
        <v>0</v>
      </c>
    </row>
    <row r="527" spans="1:17">
      <c r="A527" s="6" t="s">
        <v>26</v>
      </c>
      <c r="B527" s="6" t="s">
        <v>92</v>
      </c>
      <c r="C527" s="6" t="s">
        <v>266</v>
      </c>
      <c r="D527" s="6"/>
      <c r="E527" s="6"/>
      <c r="F527" s="6">
        <v>35</v>
      </c>
      <c r="G527" s="7"/>
      <c r="H527" s="6"/>
      <c r="I527" s="6">
        <v>1754570.8</v>
      </c>
      <c r="J527" s="6">
        <v>26.58</v>
      </c>
      <c r="K527" s="6">
        <v>66010.94055680964</v>
      </c>
      <c r="L527" s="6"/>
      <c r="M527" s="6"/>
      <c r="N527" s="6"/>
      <c r="O527" s="7">
        <v>265.9991462805911</v>
      </c>
      <c r="P527" s="15"/>
      <c r="Q527" s="6" t="b">
        <v>1</v>
      </c>
    </row>
    <row r="528" spans="1:17">
      <c r="A528" s="6" t="s">
        <v>26</v>
      </c>
      <c r="B528" s="6" t="s">
        <v>92</v>
      </c>
      <c r="C528" s="6" t="s">
        <v>267</v>
      </c>
      <c r="D528" s="6"/>
      <c r="E528" s="6"/>
      <c r="F528" s="6">
        <v>157</v>
      </c>
      <c r="G528" s="7"/>
      <c r="H528" s="6"/>
      <c r="I528" s="6">
        <v>14968851.9</v>
      </c>
      <c r="J528" s="6">
        <v>305.759</v>
      </c>
      <c r="K528" s="6">
        <v>48956.37381074637</v>
      </c>
      <c r="L528" s="6"/>
      <c r="M528" s="6"/>
      <c r="N528" s="6"/>
      <c r="O528" s="7">
        <v>415.3398107161648</v>
      </c>
      <c r="P528" s="15"/>
      <c r="Q528" s="6" t="b">
        <v>1</v>
      </c>
    </row>
    <row r="529" spans="1:17">
      <c r="A529" s="6" t="s">
        <v>26</v>
      </c>
      <c r="B529" s="6" t="s">
        <v>92</v>
      </c>
      <c r="C529" s="6" t="s">
        <v>268</v>
      </c>
      <c r="D529" s="6"/>
      <c r="E529" s="6"/>
      <c r="F529" s="6">
        <v>2</v>
      </c>
      <c r="G529" s="7"/>
      <c r="H529" s="6"/>
      <c r="I529" s="6">
        <v>11688</v>
      </c>
      <c r="J529" s="6">
        <v>0.152</v>
      </c>
      <c r="K529" s="6">
        <v>76894.73684210525</v>
      </c>
      <c r="L529" s="6"/>
      <c r="M529" s="6"/>
      <c r="N529" s="6"/>
      <c r="O529" s="7">
        <v>288.1896060296618</v>
      </c>
      <c r="P529" s="15"/>
      <c r="Q529" s="6" t="b">
        <v>0</v>
      </c>
    </row>
    <row r="530" spans="1:17">
      <c r="A530" s="6" t="s">
        <v>26</v>
      </c>
      <c r="B530" s="6" t="s">
        <v>92</v>
      </c>
      <c r="C530" s="6" t="s">
        <v>271</v>
      </c>
      <c r="D530" s="6"/>
      <c r="E530" s="6"/>
      <c r="F530" s="6">
        <v>62</v>
      </c>
      <c r="G530" s="7"/>
      <c r="H530" s="6"/>
      <c r="I530" s="6">
        <v>46437439.8</v>
      </c>
      <c r="J530" s="6">
        <v>377.99</v>
      </c>
      <c r="K530" s="6">
        <v>122853.6199370354</v>
      </c>
      <c r="L530" s="6"/>
      <c r="M530" s="6"/>
      <c r="N530" s="6"/>
      <c r="O530" s="7">
        <v>761.0889947089187</v>
      </c>
      <c r="P530" s="15"/>
      <c r="Q530" s="6" t="b">
        <v>1</v>
      </c>
    </row>
    <row r="531" spans="1:17">
      <c r="A531" s="6" t="s">
        <v>26</v>
      </c>
      <c r="B531" s="6" t="s">
        <v>92</v>
      </c>
      <c r="C531" s="6" t="s">
        <v>273</v>
      </c>
      <c r="D531" s="6"/>
      <c r="E531" s="6"/>
      <c r="F531" s="6">
        <v>431</v>
      </c>
      <c r="G531" s="7"/>
      <c r="H531" s="6"/>
      <c r="I531" s="6">
        <v>146864738.4</v>
      </c>
      <c r="J531" s="6">
        <v>3726.082</v>
      </c>
      <c r="K531" s="6">
        <v>39415.32644745876</v>
      </c>
      <c r="L531" s="6"/>
      <c r="M531" s="6"/>
      <c r="N531" s="6"/>
      <c r="O531" s="7">
        <v>197.6713309010956</v>
      </c>
      <c r="P531" s="15"/>
      <c r="Q531" s="6" t="b">
        <v>1</v>
      </c>
    </row>
    <row r="532" spans="1:17">
      <c r="A532" s="6" t="s">
        <v>26</v>
      </c>
      <c r="B532" s="6" t="s">
        <v>92</v>
      </c>
      <c r="C532" s="6" t="s">
        <v>278</v>
      </c>
      <c r="D532" s="6"/>
      <c r="E532" s="6"/>
      <c r="F532" s="6">
        <v>9949</v>
      </c>
      <c r="G532" s="7"/>
      <c r="H532" s="6"/>
      <c r="I532" s="6">
        <v>295671165.2</v>
      </c>
      <c r="J532" s="6">
        <v>9746.294</v>
      </c>
      <c r="K532" s="6">
        <v>30336.77880022909</v>
      </c>
      <c r="L532" s="6"/>
      <c r="M532" s="6"/>
      <c r="N532" s="6"/>
      <c r="O532" s="7">
        <v>31.58738836679995</v>
      </c>
      <c r="P532" s="15"/>
      <c r="Q532" s="6" t="b">
        <v>1</v>
      </c>
    </row>
    <row r="533" spans="1:17">
      <c r="A533" s="6" t="s">
        <v>26</v>
      </c>
      <c r="B533" s="6" t="s">
        <v>92</v>
      </c>
      <c r="C533" s="6" t="s">
        <v>280</v>
      </c>
      <c r="D533" s="6"/>
      <c r="E533" s="6"/>
      <c r="F533" s="6">
        <v>6573</v>
      </c>
      <c r="G533" s="7"/>
      <c r="H533" s="6"/>
      <c r="I533" s="6">
        <v>325452354.8</v>
      </c>
      <c r="J533" s="6">
        <v>5575.803</v>
      </c>
      <c r="K533" s="6">
        <v>58368.69681371454</v>
      </c>
      <c r="L533" s="6"/>
      <c r="M533" s="6"/>
      <c r="N533" s="6"/>
      <c r="O533" s="7">
        <v>351.9516267249423</v>
      </c>
      <c r="P533" s="15"/>
      <c r="Q533" s="6" t="b">
        <v>1</v>
      </c>
    </row>
    <row r="534" spans="1:17">
      <c r="A534" s="6" t="s">
        <v>26</v>
      </c>
      <c r="B534" s="6" t="s">
        <v>92</v>
      </c>
      <c r="C534" s="6" t="s">
        <v>281</v>
      </c>
      <c r="D534" s="6"/>
      <c r="E534" s="6"/>
      <c r="F534" s="6">
        <v>743</v>
      </c>
      <c r="G534" s="7"/>
      <c r="H534" s="6"/>
      <c r="I534" s="6">
        <v>77150263.40000001</v>
      </c>
      <c r="J534" s="6">
        <v>1616.553</v>
      </c>
      <c r="K534" s="6">
        <v>47725.16793448776</v>
      </c>
      <c r="L534" s="6"/>
      <c r="M534" s="6"/>
      <c r="N534" s="6"/>
      <c r="O534" s="7">
        <v>221.0706321743737</v>
      </c>
      <c r="P534" s="15"/>
      <c r="Q534" s="6" t="b">
        <v>1</v>
      </c>
    </row>
    <row r="535" spans="1:17">
      <c r="A535" s="6" t="s">
        <v>26</v>
      </c>
      <c r="B535" s="6" t="s">
        <v>92</v>
      </c>
      <c r="C535" s="6" t="s">
        <v>283</v>
      </c>
      <c r="D535" s="6"/>
      <c r="E535" s="6"/>
      <c r="F535" s="6">
        <v>177</v>
      </c>
      <c r="G535" s="7"/>
      <c r="H535" s="6"/>
      <c r="I535" s="6">
        <v>40311558.3</v>
      </c>
      <c r="J535" s="6">
        <v>1003.538</v>
      </c>
      <c r="K535" s="6">
        <v>40169.43882543561</v>
      </c>
      <c r="L535" s="6"/>
      <c r="M535" s="6"/>
      <c r="N535" s="6"/>
      <c r="O535" s="7">
        <v>251.0553520880396</v>
      </c>
      <c r="P535" s="15"/>
      <c r="Q535" s="6" t="b">
        <v>1</v>
      </c>
    </row>
    <row r="536" spans="1:17">
      <c r="A536" s="6" t="s">
        <v>26</v>
      </c>
      <c r="B536" s="6" t="s">
        <v>92</v>
      </c>
      <c r="C536" s="6" t="s">
        <v>284</v>
      </c>
      <c r="D536" s="6"/>
      <c r="E536" s="6"/>
      <c r="F536" s="6">
        <v>3001</v>
      </c>
      <c r="G536" s="7"/>
      <c r="H536" s="6"/>
      <c r="I536" s="6">
        <v>54055367.8</v>
      </c>
      <c r="J536" s="6">
        <v>1495.788</v>
      </c>
      <c r="K536" s="6">
        <v>36138.38846146646</v>
      </c>
      <c r="L536" s="6"/>
      <c r="M536" s="6"/>
      <c r="N536" s="6"/>
      <c r="O536" s="7">
        <v>156.9177697922108</v>
      </c>
      <c r="P536" s="15"/>
      <c r="Q536" s="6" t="b">
        <v>1</v>
      </c>
    </row>
    <row r="537" spans="1:17">
      <c r="A537" s="6" t="s">
        <v>26</v>
      </c>
      <c r="B537" s="6" t="s">
        <v>92</v>
      </c>
      <c r="C537" s="6" t="s">
        <v>370</v>
      </c>
      <c r="D537" s="6"/>
      <c r="E537" s="6"/>
      <c r="F537" s="6">
        <v>280</v>
      </c>
      <c r="G537" s="7"/>
      <c r="H537" s="6"/>
      <c r="I537" s="6">
        <v>3323565.9</v>
      </c>
      <c r="J537" s="6">
        <v>64.11</v>
      </c>
      <c r="K537" s="6">
        <v>51841.61441272812</v>
      </c>
      <c r="L537" s="6"/>
      <c r="M537" s="6"/>
      <c r="N537" s="6"/>
      <c r="O537" s="7">
        <v>44.70090459071226</v>
      </c>
      <c r="P537" s="15"/>
      <c r="Q537" s="6" t="b">
        <v>1</v>
      </c>
    </row>
    <row r="538" spans="1:17">
      <c r="A538" s="6" t="s">
        <v>26</v>
      </c>
      <c r="B538" s="6" t="s">
        <v>92</v>
      </c>
      <c r="C538" s="6" t="s">
        <v>293</v>
      </c>
      <c r="D538" s="6"/>
      <c r="E538" s="6"/>
      <c r="F538" s="6">
        <v>50</v>
      </c>
      <c r="G538" s="7"/>
      <c r="H538" s="6"/>
      <c r="I538" s="6">
        <v>22854531</v>
      </c>
      <c r="J538" s="6">
        <v>338.247</v>
      </c>
      <c r="K538" s="6">
        <v>67567.57931334202</v>
      </c>
      <c r="L538" s="6"/>
      <c r="M538" s="6"/>
      <c r="N538" s="6"/>
      <c r="O538" s="7">
        <v>414.2814146938228</v>
      </c>
      <c r="P538" s="15"/>
      <c r="Q538" s="6" t="b">
        <v>1</v>
      </c>
    </row>
    <row r="539" spans="1:17">
      <c r="A539" s="6" t="s">
        <v>26</v>
      </c>
      <c r="B539" s="6" t="s">
        <v>92</v>
      </c>
      <c r="C539" s="6" t="s">
        <v>371</v>
      </c>
      <c r="D539" s="6"/>
      <c r="E539" s="6"/>
      <c r="F539" s="6">
        <v>252</v>
      </c>
      <c r="G539" s="7"/>
      <c r="H539" s="6"/>
      <c r="I539" s="6">
        <v>3803258.9</v>
      </c>
      <c r="J539" s="6">
        <v>65.039</v>
      </c>
      <c r="K539" s="6">
        <v>58476.58943095681</v>
      </c>
      <c r="L539" s="6"/>
      <c r="M539" s="6"/>
      <c r="N539" s="6"/>
      <c r="O539" s="7">
        <v>138.7783392854096</v>
      </c>
      <c r="P539" s="15"/>
      <c r="Q539" s="6" t="b">
        <v>1</v>
      </c>
    </row>
    <row r="540" spans="1:17">
      <c r="A540" s="6" t="s">
        <v>26</v>
      </c>
      <c r="B540" s="6" t="s">
        <v>92</v>
      </c>
      <c r="C540" s="6" t="s">
        <v>295</v>
      </c>
      <c r="D540" s="6"/>
      <c r="E540" s="6"/>
      <c r="F540" s="6">
        <v>8</v>
      </c>
      <c r="G540" s="7"/>
      <c r="H540" s="6"/>
      <c r="I540" s="6">
        <v>3835356.8</v>
      </c>
      <c r="J540" s="6">
        <v>87.83500000000001</v>
      </c>
      <c r="K540" s="6">
        <v>43665.47276142767</v>
      </c>
      <c r="L540" s="6"/>
      <c r="M540" s="6"/>
      <c r="N540" s="6"/>
      <c r="O540" s="7">
        <v>401.6222386632322</v>
      </c>
      <c r="P540" s="15"/>
      <c r="Q540" s="6" t="b">
        <v>1</v>
      </c>
    </row>
    <row r="541" spans="1:17">
      <c r="A541" s="6" t="s">
        <v>26</v>
      </c>
      <c r="B541" s="6" t="s">
        <v>92</v>
      </c>
      <c r="C541" s="6" t="s">
        <v>296</v>
      </c>
      <c r="D541" s="6"/>
      <c r="E541" s="6"/>
      <c r="F541" s="6">
        <v>103</v>
      </c>
      <c r="G541" s="7"/>
      <c r="H541" s="6"/>
      <c r="I541" s="6">
        <v>1633960.6</v>
      </c>
      <c r="J541" s="6">
        <v>30.778</v>
      </c>
      <c r="K541" s="6">
        <v>53088.58925206317</v>
      </c>
      <c r="L541" s="6"/>
      <c r="M541" s="6"/>
      <c r="N541" s="6"/>
      <c r="O541" s="7">
        <v>1504.457133764489</v>
      </c>
      <c r="P541" s="15"/>
      <c r="Q541" s="6" t="b">
        <v>1</v>
      </c>
    </row>
    <row r="542" spans="1:17">
      <c r="A542" s="6" t="s">
        <v>26</v>
      </c>
      <c r="B542" s="6" t="s">
        <v>92</v>
      </c>
      <c r="C542" s="6" t="s">
        <v>311</v>
      </c>
      <c r="D542" s="6"/>
      <c r="E542" s="6"/>
      <c r="F542" s="6">
        <v>101</v>
      </c>
      <c r="G542" s="7"/>
      <c r="H542" s="6"/>
      <c r="I542" s="6">
        <v>30267700.3</v>
      </c>
      <c r="J542" s="6">
        <v>642.721</v>
      </c>
      <c r="K542" s="6">
        <v>47093.06261970591</v>
      </c>
      <c r="L542" s="6"/>
      <c r="M542" s="6"/>
      <c r="N542" s="6"/>
      <c r="O542" s="7">
        <v>354.4054751964223</v>
      </c>
      <c r="P542" s="15"/>
      <c r="Q542" s="6" t="b">
        <v>1</v>
      </c>
    </row>
    <row r="543" spans="1:17">
      <c r="A543" s="6" t="s">
        <v>26</v>
      </c>
      <c r="B543" s="6" t="s">
        <v>92</v>
      </c>
      <c r="C543" s="6" t="s">
        <v>313</v>
      </c>
      <c r="D543" s="6"/>
      <c r="E543" s="6"/>
      <c r="F543" s="6">
        <v>5</v>
      </c>
      <c r="G543" s="7"/>
      <c r="H543" s="6"/>
      <c r="I543" s="6">
        <v>46752</v>
      </c>
      <c r="J543" s="6">
        <v>0.6950000000000001</v>
      </c>
      <c r="K543" s="6">
        <v>67269.06474820143</v>
      </c>
      <c r="L543" s="6"/>
      <c r="M543" s="6"/>
      <c r="N543" s="6"/>
      <c r="O543" s="7">
        <v>365.0112794817295</v>
      </c>
      <c r="P543" s="15"/>
      <c r="Q543" s="6" t="b">
        <v>0</v>
      </c>
    </row>
    <row r="544" spans="1:17">
      <c r="A544" s="6" t="s">
        <v>26</v>
      </c>
      <c r="B544" s="6" t="s">
        <v>92</v>
      </c>
      <c r="C544" s="6" t="s">
        <v>315</v>
      </c>
      <c r="D544" s="6"/>
      <c r="E544" s="6"/>
      <c r="F544" s="6">
        <v>37</v>
      </c>
      <c r="G544" s="7"/>
      <c r="H544" s="6"/>
      <c r="I544" s="6">
        <v>7175747.3</v>
      </c>
      <c r="J544" s="6">
        <v>194.056</v>
      </c>
      <c r="K544" s="6">
        <v>36977.7141649833</v>
      </c>
      <c r="L544" s="6"/>
      <c r="M544" s="6"/>
      <c r="N544" s="6"/>
      <c r="O544" s="7">
        <v>605.9689088457653</v>
      </c>
      <c r="P544" s="15"/>
      <c r="Q544" s="6" t="b">
        <v>1</v>
      </c>
    </row>
    <row r="545" spans="1:17">
      <c r="A545" s="6" t="s">
        <v>26</v>
      </c>
      <c r="B545" s="6" t="s">
        <v>92</v>
      </c>
      <c r="C545" s="6" t="s">
        <v>317</v>
      </c>
      <c r="D545" s="6"/>
      <c r="E545" s="6"/>
      <c r="F545" s="6">
        <v>2</v>
      </c>
      <c r="G545" s="7"/>
      <c r="H545" s="6"/>
      <c r="I545" s="6">
        <v>23376</v>
      </c>
      <c r="J545" s="6">
        <v>0.328</v>
      </c>
      <c r="K545" s="6">
        <v>71268.29268292683</v>
      </c>
      <c r="L545" s="6"/>
      <c r="M545" s="6"/>
      <c r="N545" s="6"/>
      <c r="O545" s="7">
        <v>422.3696269548866</v>
      </c>
      <c r="P545" s="15"/>
      <c r="Q545" s="6" t="b">
        <v>0</v>
      </c>
    </row>
    <row r="546" spans="1:17">
      <c r="A546" s="6" t="s">
        <v>26</v>
      </c>
      <c r="B546" s="6" t="s">
        <v>92</v>
      </c>
      <c r="C546" s="6" t="s">
        <v>320</v>
      </c>
      <c r="D546" s="6"/>
      <c r="E546" s="6"/>
      <c r="F546" s="6">
        <v>248</v>
      </c>
      <c r="G546" s="7"/>
      <c r="H546" s="6"/>
      <c r="I546" s="6">
        <v>114334645.4</v>
      </c>
      <c r="J546" s="6">
        <v>2696.627</v>
      </c>
      <c r="K546" s="6">
        <v>42399.1324717879</v>
      </c>
      <c r="L546" s="6"/>
      <c r="M546" s="6"/>
      <c r="N546" s="6"/>
      <c r="O546" s="7">
        <v>394.2461548322802</v>
      </c>
      <c r="P546" s="15"/>
      <c r="Q546" s="6" t="b">
        <v>1</v>
      </c>
    </row>
    <row r="547" spans="1:17">
      <c r="A547" s="6" t="s">
        <v>26</v>
      </c>
      <c r="B547" s="6" t="s">
        <v>92</v>
      </c>
      <c r="C547" s="6" t="s">
        <v>323</v>
      </c>
      <c r="D547" s="6"/>
      <c r="E547" s="6"/>
      <c r="F547" s="6">
        <v>4344</v>
      </c>
      <c r="G547" s="7"/>
      <c r="H547" s="6"/>
      <c r="I547" s="6">
        <v>68341540.59999999</v>
      </c>
      <c r="J547" s="6">
        <v>1803.119</v>
      </c>
      <c r="K547" s="6">
        <v>37901.84707720344</v>
      </c>
      <c r="L547" s="6"/>
      <c r="M547" s="6"/>
      <c r="N547" s="6"/>
      <c r="O547" s="7">
        <v>93.8951661862466</v>
      </c>
      <c r="P547" s="15"/>
      <c r="Q547" s="6" t="b">
        <v>1</v>
      </c>
    </row>
    <row r="548" spans="1:17">
      <c r="A548" s="6" t="s">
        <v>26</v>
      </c>
      <c r="B548" s="6" t="s">
        <v>92</v>
      </c>
      <c r="C548" s="6" t="s">
        <v>324</v>
      </c>
      <c r="D548" s="6"/>
      <c r="E548" s="6"/>
      <c r="F548" s="6">
        <v>231</v>
      </c>
      <c r="G548" s="7"/>
      <c r="H548" s="6"/>
      <c r="I548" s="6">
        <v>105087121.2</v>
      </c>
      <c r="J548" s="6">
        <v>1772.519</v>
      </c>
      <c r="K548" s="6">
        <v>59286.87997138536</v>
      </c>
      <c r="L548" s="6"/>
      <c r="M548" s="6"/>
      <c r="N548" s="6"/>
      <c r="O548" s="7">
        <v>540.4144049126188</v>
      </c>
      <c r="P548" s="15"/>
      <c r="Q548" s="6" t="b">
        <v>1</v>
      </c>
    </row>
    <row r="549" spans="1:17">
      <c r="A549" s="6" t="s">
        <v>26</v>
      </c>
      <c r="B549" s="6" t="s">
        <v>92</v>
      </c>
      <c r="C549" s="6" t="s">
        <v>372</v>
      </c>
      <c r="D549" s="6"/>
      <c r="E549" s="6"/>
      <c r="F549" s="6">
        <v>270</v>
      </c>
      <c r="G549" s="7"/>
      <c r="H549" s="6"/>
      <c r="I549" s="6">
        <v>7798860.9</v>
      </c>
      <c r="J549" s="6">
        <v>114.349</v>
      </c>
      <c r="K549" s="6">
        <v>68202.26587027434</v>
      </c>
      <c r="L549" s="6"/>
      <c r="M549" s="6"/>
      <c r="N549" s="6"/>
      <c r="O549" s="7">
        <v>386.020287879023</v>
      </c>
      <c r="P549" s="15"/>
      <c r="Q549" s="6" t="b">
        <v>1</v>
      </c>
    </row>
    <row r="550" spans="1:17">
      <c r="A550" s="6" t="s">
        <v>26</v>
      </c>
      <c r="B550" s="6" t="s">
        <v>92</v>
      </c>
      <c r="C550" s="6" t="s">
        <v>326</v>
      </c>
      <c r="D550" s="6"/>
      <c r="E550" s="6"/>
      <c r="F550" s="6">
        <v>1</v>
      </c>
      <c r="G550" s="7"/>
      <c r="H550" s="6"/>
      <c r="I550" s="6">
        <v>20348</v>
      </c>
      <c r="J550" s="6">
        <v>1.98</v>
      </c>
      <c r="K550" s="6">
        <v>10276.76767676768</v>
      </c>
      <c r="L550" s="6"/>
      <c r="M550" s="6"/>
      <c r="N550" s="6"/>
      <c r="O550" s="7">
        <v>1106.864497757755</v>
      </c>
      <c r="P550" s="15"/>
      <c r="Q550" s="6" t="b">
        <v>0</v>
      </c>
    </row>
    <row r="551" spans="1:17">
      <c r="A551" s="6" t="s">
        <v>26</v>
      </c>
      <c r="B551" s="6" t="s">
        <v>92</v>
      </c>
      <c r="C551" s="6" t="s">
        <v>373</v>
      </c>
      <c r="D551" s="6"/>
      <c r="E551" s="6"/>
      <c r="F551" s="6">
        <v>162</v>
      </c>
      <c r="G551" s="7"/>
      <c r="H551" s="6"/>
      <c r="I551" s="6">
        <v>1801704</v>
      </c>
      <c r="J551" s="6">
        <v>32.695</v>
      </c>
      <c r="K551" s="6">
        <v>55106.40770760055</v>
      </c>
      <c r="L551" s="6"/>
      <c r="M551" s="6"/>
      <c r="N551" s="6"/>
      <c r="O551" s="7">
        <v>27.96456812951364</v>
      </c>
      <c r="P551" s="15"/>
      <c r="Q551" s="6" t="b">
        <v>1</v>
      </c>
    </row>
    <row r="552" spans="1:17">
      <c r="A552" s="6" t="s">
        <v>26</v>
      </c>
      <c r="B552" s="6" t="s">
        <v>92</v>
      </c>
      <c r="C552" s="6" t="s">
        <v>374</v>
      </c>
      <c r="D552" s="6"/>
      <c r="E552" s="6"/>
      <c r="F552" s="6">
        <v>35</v>
      </c>
      <c r="G552" s="7"/>
      <c r="H552" s="6"/>
      <c r="I552" s="6">
        <v>316786</v>
      </c>
      <c r="J552" s="6">
        <v>4.867</v>
      </c>
      <c r="K552" s="6">
        <v>65088.55557838504</v>
      </c>
      <c r="L552" s="6"/>
      <c r="M552" s="6"/>
      <c r="N552" s="6"/>
      <c r="O552" s="7">
        <v>50.31970334874129</v>
      </c>
      <c r="P552" s="15"/>
      <c r="Q552" s="6" t="b">
        <v>0</v>
      </c>
    </row>
    <row r="553" spans="1:17">
      <c r="A553" s="6" t="s">
        <v>26</v>
      </c>
      <c r="B553" s="6" t="s">
        <v>92</v>
      </c>
      <c r="C553" s="6" t="s">
        <v>327</v>
      </c>
      <c r="D553" s="6"/>
      <c r="E553" s="6"/>
      <c r="F553" s="6">
        <v>47</v>
      </c>
      <c r="G553" s="7"/>
      <c r="H553" s="6"/>
      <c r="I553" s="6">
        <v>2556792.9</v>
      </c>
      <c r="J553" s="6">
        <v>45.362</v>
      </c>
      <c r="K553" s="6">
        <v>56364.20131387505</v>
      </c>
      <c r="L553" s="6"/>
      <c r="M553" s="6"/>
      <c r="N553" s="6"/>
      <c r="O553" s="7">
        <v>263.1591028399001</v>
      </c>
      <c r="P553" s="15"/>
      <c r="Q553" s="6" t="b">
        <v>1</v>
      </c>
    </row>
    <row r="554" spans="1:17">
      <c r="A554" s="6" t="s">
        <v>26</v>
      </c>
      <c r="B554" s="6" t="s">
        <v>92</v>
      </c>
      <c r="C554" s="6" t="s">
        <v>329</v>
      </c>
      <c r="D554" s="6"/>
      <c r="E554" s="6"/>
      <c r="F554" s="6">
        <v>142</v>
      </c>
      <c r="G554" s="7"/>
      <c r="H554" s="6"/>
      <c r="I554" s="6">
        <v>59676768.3</v>
      </c>
      <c r="J554" s="6">
        <v>889.1609999999999</v>
      </c>
      <c r="K554" s="6">
        <v>67115.81850755938</v>
      </c>
      <c r="L554" s="6"/>
      <c r="M554" s="6"/>
      <c r="N554" s="6"/>
      <c r="O554" s="7">
        <v>426.0544037230674</v>
      </c>
      <c r="P554" s="15"/>
      <c r="Q554" s="6" t="b">
        <v>1</v>
      </c>
    </row>
    <row r="555" spans="1:17">
      <c r="A555" s="6" t="s">
        <v>26</v>
      </c>
      <c r="B555" s="6" t="s">
        <v>92</v>
      </c>
      <c r="C555" s="6" t="s">
        <v>331</v>
      </c>
      <c r="D555" s="6"/>
      <c r="E555" s="6"/>
      <c r="F555" s="6">
        <v>18</v>
      </c>
      <c r="G555" s="7"/>
      <c r="H555" s="6"/>
      <c r="I555" s="6">
        <v>2585383</v>
      </c>
      <c r="J555" s="6">
        <v>49.254</v>
      </c>
      <c r="K555" s="6">
        <v>52490.82308035896</v>
      </c>
      <c r="L555" s="6"/>
      <c r="M555" s="6"/>
      <c r="N555" s="6"/>
      <c r="O555" s="7">
        <v>648.3237100836028</v>
      </c>
      <c r="P555" s="15"/>
      <c r="Q555" s="6" t="b">
        <v>1</v>
      </c>
    </row>
    <row r="556" spans="1:17">
      <c r="A556" s="6" t="s">
        <v>26</v>
      </c>
      <c r="B556" s="6" t="s">
        <v>92</v>
      </c>
      <c r="C556" s="6" t="s">
        <v>332</v>
      </c>
      <c r="D556" s="6"/>
      <c r="E556" s="6"/>
      <c r="F556" s="6">
        <v>8286</v>
      </c>
      <c r="G556" s="7"/>
      <c r="H556" s="6"/>
      <c r="I556" s="6">
        <v>302658702.6</v>
      </c>
      <c r="J556" s="6">
        <v>15983.319</v>
      </c>
      <c r="K556" s="6">
        <v>18935.91078298569</v>
      </c>
      <c r="L556" s="6"/>
      <c r="M556" s="6"/>
      <c r="N556" s="6"/>
      <c r="O556" s="7">
        <v>9.204396106117979</v>
      </c>
      <c r="P556" s="15"/>
      <c r="Q556" s="6" t="b">
        <v>1</v>
      </c>
    </row>
    <row r="557" spans="1:17">
      <c r="A557" s="6" t="s">
        <v>26</v>
      </c>
      <c r="B557" s="6" t="s">
        <v>92</v>
      </c>
      <c r="C557" s="6" t="s">
        <v>375</v>
      </c>
      <c r="D557" s="6"/>
      <c r="E557" s="6"/>
      <c r="F557" s="6">
        <v>254</v>
      </c>
      <c r="G557" s="7"/>
      <c r="H557" s="6"/>
      <c r="I557" s="6">
        <v>3445235</v>
      </c>
      <c r="J557" s="6">
        <v>59.105</v>
      </c>
      <c r="K557" s="6">
        <v>58290.07698164284</v>
      </c>
      <c r="L557" s="6"/>
      <c r="M557" s="6"/>
      <c r="N557" s="6"/>
      <c r="O557" s="7">
        <v>141.0181037926131</v>
      </c>
      <c r="P557" s="15"/>
      <c r="Q557" s="6" t="b">
        <v>1</v>
      </c>
    </row>
    <row r="558" spans="1:17">
      <c r="A558" s="6" t="s">
        <v>26</v>
      </c>
      <c r="B558" s="6" t="s">
        <v>94</v>
      </c>
      <c r="C558" s="6" t="s">
        <v>202</v>
      </c>
      <c r="D558" s="6"/>
      <c r="E558" s="6"/>
      <c r="F558" s="6">
        <v>9778</v>
      </c>
      <c r="G558" s="7"/>
      <c r="H558" s="6"/>
      <c r="I558" s="6">
        <v>332047538.7</v>
      </c>
      <c r="J558" s="6">
        <v>7403.418</v>
      </c>
      <c r="K558" s="6">
        <v>44850.57289754543</v>
      </c>
      <c r="L558" s="6"/>
      <c r="M558" s="6"/>
      <c r="N558" s="6"/>
      <c r="O558" s="7">
        <v>4.184746771037975</v>
      </c>
      <c r="P558" s="15"/>
      <c r="Q558" s="6" t="b">
        <v>1</v>
      </c>
    </row>
    <row r="559" spans="1:17">
      <c r="A559" s="6" t="s">
        <v>26</v>
      </c>
      <c r="B559" s="6" t="s">
        <v>94</v>
      </c>
      <c r="C559" s="6" t="s">
        <v>215</v>
      </c>
      <c r="D559" s="6"/>
      <c r="E559" s="6"/>
      <c r="F559" s="6">
        <v>6073</v>
      </c>
      <c r="G559" s="7"/>
      <c r="H559" s="6"/>
      <c r="I559" s="6">
        <v>199330622.7</v>
      </c>
      <c r="J559" s="6">
        <v>3399.8</v>
      </c>
      <c r="K559" s="6">
        <v>58630.10256485675</v>
      </c>
      <c r="L559" s="6"/>
      <c r="M559" s="6"/>
      <c r="N559" s="6"/>
      <c r="O559" s="7">
        <v>127.1417536442971</v>
      </c>
      <c r="P559" s="15"/>
      <c r="Q559" s="6" t="b">
        <v>1</v>
      </c>
    </row>
    <row r="560" spans="1:17">
      <c r="A560" s="6" t="s">
        <v>26</v>
      </c>
      <c r="B560" s="6" t="s">
        <v>94</v>
      </c>
      <c r="C560" s="6" t="s">
        <v>239</v>
      </c>
      <c r="D560" s="6"/>
      <c r="E560" s="6"/>
      <c r="F560" s="6">
        <v>1061</v>
      </c>
      <c r="G560" s="7"/>
      <c r="H560" s="6"/>
      <c r="I560" s="6">
        <v>91468431</v>
      </c>
      <c r="J560" s="6">
        <v>1585.165</v>
      </c>
      <c r="K560" s="6">
        <v>57702.78236019595</v>
      </c>
      <c r="L560" s="6"/>
      <c r="M560" s="6"/>
      <c r="N560" s="6"/>
      <c r="O560" s="7">
        <v>14.51721533822196</v>
      </c>
      <c r="P560" s="15"/>
      <c r="Q560" s="6" t="b">
        <v>1</v>
      </c>
    </row>
    <row r="561" spans="1:17">
      <c r="A561" s="6" t="s">
        <v>26</v>
      </c>
      <c r="B561" s="6" t="s">
        <v>94</v>
      </c>
      <c r="C561" s="6" t="s">
        <v>263</v>
      </c>
      <c r="D561" s="6"/>
      <c r="E561" s="6"/>
      <c r="F561" s="6">
        <v>3</v>
      </c>
      <c r="G561" s="7"/>
      <c r="H561" s="6"/>
      <c r="I561" s="6">
        <v>11676</v>
      </c>
      <c r="J561" s="6">
        <v>0.467</v>
      </c>
      <c r="K561" s="6">
        <v>25002.14132762313</v>
      </c>
      <c r="L561" s="6"/>
      <c r="M561" s="6"/>
      <c r="N561" s="6"/>
      <c r="O561" s="7">
        <v>250.4932581428389</v>
      </c>
      <c r="P561" s="15"/>
      <c r="Q561" s="6" t="b">
        <v>0</v>
      </c>
    </row>
    <row r="562" spans="1:17">
      <c r="A562" s="6" t="s">
        <v>26</v>
      </c>
      <c r="B562" s="6" t="s">
        <v>94</v>
      </c>
      <c r="C562" s="6" t="s">
        <v>264</v>
      </c>
      <c r="D562" s="6"/>
      <c r="E562" s="6"/>
      <c r="F562" s="6">
        <v>35</v>
      </c>
      <c r="G562" s="7"/>
      <c r="H562" s="6"/>
      <c r="I562" s="6">
        <v>880036</v>
      </c>
      <c r="J562" s="6">
        <v>27.651</v>
      </c>
      <c r="K562" s="6">
        <v>31826.55238508553</v>
      </c>
      <c r="L562" s="6"/>
      <c r="M562" s="6"/>
      <c r="N562" s="6"/>
      <c r="O562" s="7">
        <v>369.0962280406568</v>
      </c>
      <c r="P562" s="15"/>
      <c r="Q562" s="6" t="b">
        <v>1</v>
      </c>
    </row>
    <row r="563" spans="1:17">
      <c r="A563" s="6" t="s">
        <v>26</v>
      </c>
      <c r="B563" s="6" t="s">
        <v>94</v>
      </c>
      <c r="C563" s="6" t="s">
        <v>265</v>
      </c>
      <c r="D563" s="6"/>
      <c r="E563" s="6"/>
      <c r="F563" s="6">
        <v>348</v>
      </c>
      <c r="G563" s="7"/>
      <c r="H563" s="6"/>
      <c r="I563" s="6">
        <v>11340462.7</v>
      </c>
      <c r="J563" s="6">
        <v>236.493</v>
      </c>
      <c r="K563" s="6">
        <v>47952.63580740233</v>
      </c>
      <c r="L563" s="6"/>
      <c r="M563" s="6"/>
      <c r="N563" s="6"/>
      <c r="O563" s="7">
        <v>17.19230199484641</v>
      </c>
      <c r="P563" s="15"/>
      <c r="Q563" s="6" t="b">
        <v>1</v>
      </c>
    </row>
    <row r="564" spans="1:17">
      <c r="A564" s="6" t="s">
        <v>26</v>
      </c>
      <c r="B564" s="6" t="s">
        <v>94</v>
      </c>
      <c r="C564" s="6" t="s">
        <v>271</v>
      </c>
      <c r="D564" s="6"/>
      <c r="E564" s="6"/>
      <c r="F564" s="6">
        <v>1211</v>
      </c>
      <c r="G564" s="7"/>
      <c r="H564" s="6"/>
      <c r="I564" s="6">
        <v>92453125.7</v>
      </c>
      <c r="J564" s="6">
        <v>1117.091</v>
      </c>
      <c r="K564" s="6">
        <v>82762.39420065151</v>
      </c>
      <c r="L564" s="6"/>
      <c r="M564" s="6"/>
      <c r="N564" s="6"/>
      <c r="O564" s="7">
        <v>355.6538375784711</v>
      </c>
      <c r="P564" s="15"/>
      <c r="Q564" s="6" t="b">
        <v>1</v>
      </c>
    </row>
    <row r="565" spans="1:17">
      <c r="A565" s="6" t="s">
        <v>26</v>
      </c>
      <c r="B565" s="6" t="s">
        <v>94</v>
      </c>
      <c r="C565" s="6" t="s">
        <v>376</v>
      </c>
      <c r="D565" s="6"/>
      <c r="E565" s="6"/>
      <c r="F565" s="6">
        <v>217</v>
      </c>
      <c r="G565" s="7"/>
      <c r="H565" s="6"/>
      <c r="I565" s="6">
        <v>1348261</v>
      </c>
      <c r="J565" s="6">
        <v>20.187</v>
      </c>
      <c r="K565" s="6">
        <v>66788.5768068559</v>
      </c>
      <c r="L565" s="6"/>
      <c r="M565" s="6"/>
      <c r="N565" s="6"/>
      <c r="O565" s="7">
        <v>20.10917359010978</v>
      </c>
      <c r="P565" s="15"/>
      <c r="Q565" s="6" t="b">
        <v>1</v>
      </c>
    </row>
    <row r="566" spans="1:17">
      <c r="A566" s="6" t="s">
        <v>26</v>
      </c>
      <c r="B566" s="6" t="s">
        <v>94</v>
      </c>
      <c r="C566" s="6" t="s">
        <v>292</v>
      </c>
      <c r="D566" s="6"/>
      <c r="E566" s="6"/>
      <c r="F566" s="6">
        <v>363</v>
      </c>
      <c r="G566" s="7"/>
      <c r="H566" s="6"/>
      <c r="I566" s="6">
        <v>7341502.8</v>
      </c>
      <c r="J566" s="6">
        <v>121.653</v>
      </c>
      <c r="K566" s="6">
        <v>60347.89770905773</v>
      </c>
      <c r="L566" s="6"/>
      <c r="M566" s="6"/>
      <c r="N566" s="6"/>
      <c r="O566" s="7">
        <v>281.6330699677831</v>
      </c>
      <c r="P566" s="15"/>
      <c r="Q566" s="6" t="b">
        <v>1</v>
      </c>
    </row>
    <row r="567" spans="1:17">
      <c r="A567" s="6" t="s">
        <v>26</v>
      </c>
      <c r="B567" s="6" t="s">
        <v>94</v>
      </c>
      <c r="C567" s="6" t="s">
        <v>293</v>
      </c>
      <c r="D567" s="6"/>
      <c r="E567" s="6"/>
      <c r="F567" s="6">
        <v>71</v>
      </c>
      <c r="G567" s="7"/>
      <c r="H567" s="6"/>
      <c r="I567" s="6">
        <v>790391</v>
      </c>
      <c r="J567" s="6">
        <v>10.893</v>
      </c>
      <c r="K567" s="6">
        <v>72559.53364546038</v>
      </c>
      <c r="L567" s="6"/>
      <c r="M567" s="6"/>
      <c r="N567" s="6"/>
      <c r="O567" s="7">
        <v>701.5861027332019</v>
      </c>
      <c r="P567" s="15"/>
      <c r="Q567" s="6" t="b">
        <v>0</v>
      </c>
    </row>
    <row r="568" spans="1:17">
      <c r="A568" s="6" t="s">
        <v>26</v>
      </c>
      <c r="B568" s="6" t="s">
        <v>94</v>
      </c>
      <c r="C568" s="6" t="s">
        <v>296</v>
      </c>
      <c r="D568" s="6"/>
      <c r="E568" s="6"/>
      <c r="F568" s="6">
        <v>304</v>
      </c>
      <c r="G568" s="7"/>
      <c r="H568" s="6"/>
      <c r="I568" s="6">
        <v>5488687.5</v>
      </c>
      <c r="J568" s="6">
        <v>79.53100000000001</v>
      </c>
      <c r="K568" s="6">
        <v>69013.18353849441</v>
      </c>
      <c r="L568" s="6"/>
      <c r="M568" s="6"/>
      <c r="N568" s="6"/>
      <c r="O568" s="7">
        <v>1002.412549225341</v>
      </c>
      <c r="P568" s="15"/>
      <c r="Q568" s="6" t="b">
        <v>1</v>
      </c>
    </row>
    <row r="569" spans="1:17">
      <c r="A569" s="6" t="s">
        <v>26</v>
      </c>
      <c r="B569" s="6" t="s">
        <v>94</v>
      </c>
      <c r="C569" s="6" t="s">
        <v>305</v>
      </c>
      <c r="D569" s="6"/>
      <c r="E569" s="6"/>
      <c r="F569" s="6">
        <v>2365</v>
      </c>
      <c r="G569" s="7"/>
      <c r="H569" s="6"/>
      <c r="I569" s="6">
        <v>69136615.7</v>
      </c>
      <c r="J569" s="6">
        <v>1382.391</v>
      </c>
      <c r="K569" s="6">
        <v>50012.34506011685</v>
      </c>
      <c r="L569" s="6"/>
      <c r="M569" s="6"/>
      <c r="N569" s="6"/>
      <c r="O569" s="7">
        <v>94.71746461695554</v>
      </c>
      <c r="P569" s="15"/>
      <c r="Q569" s="6" t="b">
        <v>1</v>
      </c>
    </row>
    <row r="570" spans="1:17">
      <c r="A570" s="6" t="s">
        <v>26</v>
      </c>
      <c r="B570" s="6" t="s">
        <v>94</v>
      </c>
      <c r="C570" s="6" t="s">
        <v>312</v>
      </c>
      <c r="D570" s="6"/>
      <c r="E570" s="6"/>
      <c r="F570" s="6">
        <v>491</v>
      </c>
      <c r="G570" s="7"/>
      <c r="H570" s="6"/>
      <c r="I570" s="6">
        <v>21607924</v>
      </c>
      <c r="J570" s="6">
        <v>285.573</v>
      </c>
      <c r="K570" s="6">
        <v>75665.15041688115</v>
      </c>
      <c r="L570" s="6"/>
      <c r="M570" s="6"/>
      <c r="N570" s="6"/>
      <c r="O570" s="7">
        <v>255.8949855471758</v>
      </c>
      <c r="P570" s="15"/>
      <c r="Q570" s="6" t="b">
        <v>1</v>
      </c>
    </row>
    <row r="571" spans="1:17">
      <c r="A571" s="6" t="s">
        <v>26</v>
      </c>
      <c r="B571" s="6" t="s">
        <v>94</v>
      </c>
      <c r="C571" s="6" t="s">
        <v>316</v>
      </c>
      <c r="D571" s="6"/>
      <c r="E571" s="6"/>
      <c r="F571" s="6">
        <v>560</v>
      </c>
      <c r="G571" s="7"/>
      <c r="H571" s="6"/>
      <c r="I571" s="6">
        <v>7077080.7</v>
      </c>
      <c r="J571" s="6">
        <v>152.075</v>
      </c>
      <c r="K571" s="6">
        <v>46536.77922077922</v>
      </c>
      <c r="L571" s="6"/>
      <c r="M571" s="6"/>
      <c r="N571" s="6"/>
      <c r="O571" s="7">
        <v>9.660502892030618</v>
      </c>
      <c r="P571" s="15"/>
      <c r="Q571" s="6" t="b">
        <v>1</v>
      </c>
    </row>
    <row r="572" spans="1:17">
      <c r="A572" s="6" t="s">
        <v>26</v>
      </c>
      <c r="B572" s="6" t="s">
        <v>94</v>
      </c>
      <c r="C572" s="6" t="s">
        <v>326</v>
      </c>
      <c r="D572" s="6"/>
      <c r="E572" s="6"/>
      <c r="F572" s="6">
        <v>5384</v>
      </c>
      <c r="G572" s="7"/>
      <c r="H572" s="6"/>
      <c r="I572" s="6">
        <v>171842133.5</v>
      </c>
      <c r="J572" s="6">
        <v>2888.806</v>
      </c>
      <c r="K572" s="6">
        <v>59485.52221921444</v>
      </c>
      <c r="L572" s="6"/>
      <c r="M572" s="6"/>
      <c r="N572" s="6"/>
      <c r="O572" s="7">
        <v>233.5530610704219</v>
      </c>
      <c r="P572" s="15"/>
      <c r="Q572" s="6" t="b">
        <v>1</v>
      </c>
    </row>
    <row r="573" spans="1:17">
      <c r="A573" s="6" t="s">
        <v>26</v>
      </c>
      <c r="B573" s="6" t="s">
        <v>97</v>
      </c>
      <c r="C573" s="6" t="s">
        <v>259</v>
      </c>
      <c r="D573" s="6"/>
      <c r="E573" s="6"/>
      <c r="F573" s="6">
        <v>1</v>
      </c>
      <c r="G573" s="7"/>
      <c r="H573" s="6"/>
      <c r="I573" s="6">
        <v>2829225</v>
      </c>
      <c r="J573" s="6">
        <v>44.697</v>
      </c>
      <c r="K573" s="6">
        <v>63297.87234042553</v>
      </c>
      <c r="L573" s="6"/>
      <c r="M573" s="6"/>
      <c r="N573" s="6"/>
      <c r="O573" s="7">
        <v>17.30093528409958</v>
      </c>
      <c r="P573" s="15"/>
      <c r="Q573" s="6" t="b">
        <v>1</v>
      </c>
    </row>
    <row r="574" spans="1:17">
      <c r="A574" s="6" t="s">
        <v>26</v>
      </c>
      <c r="B574" s="6" t="s">
        <v>99</v>
      </c>
      <c r="C574" s="6" t="s">
        <v>377</v>
      </c>
      <c r="D574" s="6"/>
      <c r="E574" s="6"/>
      <c r="F574" s="6">
        <v>30</v>
      </c>
      <c r="G574" s="7"/>
      <c r="H574" s="6"/>
      <c r="I574" s="6">
        <v>2099624.6</v>
      </c>
      <c r="J574" s="6">
        <v>59.005</v>
      </c>
      <c r="K574" s="6">
        <v>35583.84204728413</v>
      </c>
      <c r="L574" s="6"/>
      <c r="M574" s="6"/>
      <c r="N574" s="6"/>
      <c r="O574" s="7">
        <v>254.0235833794419</v>
      </c>
      <c r="P574" s="15"/>
      <c r="Q574" s="6" t="b">
        <v>1</v>
      </c>
    </row>
    <row r="575" spans="1:17">
      <c r="A575" s="6" t="s">
        <v>26</v>
      </c>
      <c r="B575" s="6" t="s">
        <v>99</v>
      </c>
      <c r="C575" s="6" t="s">
        <v>378</v>
      </c>
      <c r="D575" s="6"/>
      <c r="E575" s="6"/>
      <c r="F575" s="6">
        <v>1215</v>
      </c>
      <c r="G575" s="7"/>
      <c r="H575" s="6"/>
      <c r="I575" s="6">
        <v>14138687.7</v>
      </c>
      <c r="J575" s="6">
        <v>333.179</v>
      </c>
      <c r="K575" s="6">
        <v>42435.71083411619</v>
      </c>
      <c r="L575" s="6"/>
      <c r="M575" s="6"/>
      <c r="N575" s="6"/>
      <c r="O575" s="7">
        <v>60.59419041902057</v>
      </c>
      <c r="P575" s="15"/>
      <c r="Q575" s="6" t="b">
        <v>1</v>
      </c>
    </row>
    <row r="576" spans="1:17">
      <c r="A576" s="6" t="s">
        <v>26</v>
      </c>
      <c r="B576" s="6" t="s">
        <v>99</v>
      </c>
      <c r="C576" s="6" t="s">
        <v>233</v>
      </c>
      <c r="D576" s="6"/>
      <c r="E576" s="6"/>
      <c r="F576" s="6">
        <v>2072</v>
      </c>
      <c r="G576" s="7"/>
      <c r="H576" s="6"/>
      <c r="I576" s="6">
        <v>52166947.2</v>
      </c>
      <c r="J576" s="6">
        <v>1302.86</v>
      </c>
      <c r="K576" s="6">
        <v>40040.33219225397</v>
      </c>
      <c r="L576" s="6"/>
      <c r="M576" s="6"/>
      <c r="N576" s="6"/>
      <c r="O576" s="7">
        <v>413.0739524635263</v>
      </c>
      <c r="P576" s="15"/>
      <c r="Q576" s="6" t="b">
        <v>1</v>
      </c>
    </row>
    <row r="577" spans="1:17">
      <c r="A577" s="6" t="s">
        <v>26</v>
      </c>
      <c r="B577" s="6" t="s">
        <v>99</v>
      </c>
      <c r="C577" s="6" t="s">
        <v>379</v>
      </c>
      <c r="D577" s="6"/>
      <c r="E577" s="6"/>
      <c r="F577" s="6">
        <v>569</v>
      </c>
      <c r="G577" s="7"/>
      <c r="H577" s="6"/>
      <c r="I577" s="6">
        <v>9442621.199999999</v>
      </c>
      <c r="J577" s="6">
        <v>231.553</v>
      </c>
      <c r="K577" s="6">
        <v>40779.52434215925</v>
      </c>
      <c r="L577" s="6"/>
      <c r="M577" s="6"/>
      <c r="N577" s="6"/>
      <c r="O577" s="7">
        <v>329.6014604698507</v>
      </c>
      <c r="P577" s="15"/>
      <c r="Q577" s="6" t="b">
        <v>1</v>
      </c>
    </row>
    <row r="578" spans="1:17">
      <c r="A578" s="6" t="s">
        <v>26</v>
      </c>
      <c r="B578" s="6" t="s">
        <v>99</v>
      </c>
      <c r="C578" s="6" t="s">
        <v>240</v>
      </c>
      <c r="D578" s="6"/>
      <c r="E578" s="6"/>
      <c r="F578" s="6">
        <v>795</v>
      </c>
      <c r="G578" s="7"/>
      <c r="H578" s="6"/>
      <c r="I578" s="6">
        <v>8682453.6</v>
      </c>
      <c r="J578" s="6">
        <v>221.975</v>
      </c>
      <c r="K578" s="6">
        <v>39114.55614370987</v>
      </c>
      <c r="L578" s="6"/>
      <c r="M578" s="6"/>
      <c r="N578" s="6"/>
      <c r="O578" s="7">
        <v>59.03993262720424</v>
      </c>
      <c r="P578" s="15"/>
      <c r="Q578" s="6" t="b">
        <v>1</v>
      </c>
    </row>
    <row r="579" spans="1:17">
      <c r="A579" s="6" t="s">
        <v>26</v>
      </c>
      <c r="B579" s="6" t="s">
        <v>99</v>
      </c>
      <c r="C579" s="6" t="s">
        <v>247</v>
      </c>
      <c r="D579" s="6"/>
      <c r="E579" s="6"/>
      <c r="F579" s="6">
        <v>15997</v>
      </c>
      <c r="G579" s="7"/>
      <c r="H579" s="6"/>
      <c r="I579" s="6">
        <v>273456809.7</v>
      </c>
      <c r="J579" s="6">
        <v>7556.254</v>
      </c>
      <c r="K579" s="6">
        <v>36189.46765156386</v>
      </c>
      <c r="L579" s="6"/>
      <c r="M579" s="6"/>
      <c r="N579" s="6"/>
      <c r="O579" s="7">
        <v>6.286523904138313</v>
      </c>
      <c r="P579" s="15"/>
      <c r="Q579" s="6" t="b">
        <v>1</v>
      </c>
    </row>
    <row r="580" spans="1:17">
      <c r="A580" s="6" t="s">
        <v>26</v>
      </c>
      <c r="B580" s="6" t="s">
        <v>99</v>
      </c>
      <c r="C580" s="6" t="s">
        <v>255</v>
      </c>
      <c r="D580" s="6"/>
      <c r="E580" s="6"/>
      <c r="F580" s="6">
        <v>1010</v>
      </c>
      <c r="G580" s="7"/>
      <c r="H580" s="6"/>
      <c r="I580" s="6">
        <v>34823248.9</v>
      </c>
      <c r="J580" s="6">
        <v>942.124</v>
      </c>
      <c r="K580" s="6">
        <v>36962.48996947323</v>
      </c>
      <c r="L580" s="6"/>
      <c r="M580" s="6"/>
      <c r="N580" s="6"/>
      <c r="O580" s="7">
        <v>312.7900842088389</v>
      </c>
      <c r="P580" s="15"/>
      <c r="Q580" s="6" t="b">
        <v>1</v>
      </c>
    </row>
    <row r="581" spans="1:17">
      <c r="A581" s="6" t="s">
        <v>26</v>
      </c>
      <c r="B581" s="6" t="s">
        <v>99</v>
      </c>
      <c r="C581" s="6" t="s">
        <v>267</v>
      </c>
      <c r="D581" s="6"/>
      <c r="E581" s="6"/>
      <c r="F581" s="6">
        <v>1</v>
      </c>
      <c r="G581" s="7"/>
      <c r="H581" s="6"/>
      <c r="I581" s="6">
        <v>4775</v>
      </c>
      <c r="J581" s="6">
        <v>0.078</v>
      </c>
      <c r="K581" s="6">
        <v>61217.94871794872</v>
      </c>
      <c r="L581" s="6"/>
      <c r="M581" s="6"/>
      <c r="N581" s="6"/>
      <c r="O581" s="7">
        <v>266.7419672689193</v>
      </c>
      <c r="P581" s="15"/>
      <c r="Q581" s="6" t="b">
        <v>0</v>
      </c>
    </row>
    <row r="582" spans="1:17">
      <c r="A582" s="6" t="s">
        <v>26</v>
      </c>
      <c r="B582" s="6" t="s">
        <v>99</v>
      </c>
      <c r="C582" s="6" t="s">
        <v>270</v>
      </c>
      <c r="D582" s="6"/>
      <c r="E582" s="6"/>
      <c r="F582" s="6">
        <v>777</v>
      </c>
      <c r="G582" s="7"/>
      <c r="H582" s="6"/>
      <c r="I582" s="6">
        <v>23979583</v>
      </c>
      <c r="J582" s="6">
        <v>442.028</v>
      </c>
      <c r="K582" s="6">
        <v>54249.01363714516</v>
      </c>
      <c r="L582" s="6"/>
      <c r="M582" s="6"/>
      <c r="N582" s="6"/>
      <c r="O582" s="7">
        <v>519.9634910229896</v>
      </c>
      <c r="P582" s="15"/>
      <c r="Q582" s="6" t="b">
        <v>1</v>
      </c>
    </row>
    <row r="583" spans="1:17">
      <c r="A583" s="6" t="s">
        <v>26</v>
      </c>
      <c r="B583" s="6" t="s">
        <v>99</v>
      </c>
      <c r="C583" s="6" t="s">
        <v>273</v>
      </c>
      <c r="D583" s="6"/>
      <c r="E583" s="6"/>
      <c r="F583" s="6">
        <v>5453</v>
      </c>
      <c r="G583" s="7"/>
      <c r="H583" s="6"/>
      <c r="I583" s="6">
        <v>246839439.8</v>
      </c>
      <c r="J583" s="6">
        <v>6066.841</v>
      </c>
      <c r="K583" s="6">
        <v>40686.65056493157</v>
      </c>
      <c r="L583" s="6"/>
      <c r="M583" s="6"/>
      <c r="N583" s="6"/>
      <c r="O583" s="7">
        <v>216.9044593779574</v>
      </c>
      <c r="P583" s="15"/>
      <c r="Q583" s="6" t="b">
        <v>1</v>
      </c>
    </row>
    <row r="584" spans="1:17">
      <c r="A584" s="6" t="s">
        <v>26</v>
      </c>
      <c r="B584" s="6" t="s">
        <v>99</v>
      </c>
      <c r="C584" s="6" t="s">
        <v>276</v>
      </c>
      <c r="D584" s="6"/>
      <c r="E584" s="6"/>
      <c r="F584" s="6">
        <v>306</v>
      </c>
      <c r="G584" s="7"/>
      <c r="H584" s="6"/>
      <c r="I584" s="6">
        <v>11083375.9</v>
      </c>
      <c r="J584" s="6">
        <v>291.838</v>
      </c>
      <c r="K584" s="6">
        <v>37977.83667651232</v>
      </c>
      <c r="L584" s="6"/>
      <c r="M584" s="6"/>
      <c r="N584" s="6"/>
      <c r="O584" s="7">
        <v>226.5579911437331</v>
      </c>
      <c r="P584" s="15"/>
      <c r="Q584" s="6" t="b">
        <v>1</v>
      </c>
    </row>
    <row r="585" spans="1:17">
      <c r="A585" s="6" t="s">
        <v>26</v>
      </c>
      <c r="B585" s="6" t="s">
        <v>99</v>
      </c>
      <c r="C585" s="6" t="s">
        <v>283</v>
      </c>
      <c r="D585" s="6"/>
      <c r="E585" s="6"/>
      <c r="F585" s="6">
        <v>3230</v>
      </c>
      <c r="G585" s="7"/>
      <c r="H585" s="6"/>
      <c r="I585" s="6">
        <v>80205320.2</v>
      </c>
      <c r="J585" s="6">
        <v>2011.029</v>
      </c>
      <c r="K585" s="6">
        <v>39882.72680304461</v>
      </c>
      <c r="L585" s="6"/>
      <c r="M585" s="6"/>
      <c r="N585" s="6"/>
      <c r="O585" s="7">
        <v>394.0619951019416</v>
      </c>
      <c r="P585" s="15"/>
      <c r="Q585" s="6" t="b">
        <v>1</v>
      </c>
    </row>
    <row r="586" spans="1:17">
      <c r="A586" s="6" t="s">
        <v>26</v>
      </c>
      <c r="B586" s="6" t="s">
        <v>99</v>
      </c>
      <c r="C586" s="6" t="s">
        <v>293</v>
      </c>
      <c r="D586" s="6"/>
      <c r="E586" s="6"/>
      <c r="F586" s="6">
        <v>1</v>
      </c>
      <c r="G586" s="7"/>
      <c r="H586" s="6"/>
      <c r="I586" s="6">
        <v>4523</v>
      </c>
      <c r="J586" s="6">
        <v>0.064</v>
      </c>
      <c r="K586" s="6">
        <v>70671.875</v>
      </c>
      <c r="L586" s="6"/>
      <c r="M586" s="6"/>
      <c r="N586" s="6"/>
      <c r="O586" s="7">
        <v>249.2149167694869</v>
      </c>
      <c r="P586" s="15"/>
      <c r="Q586" s="6" t="b">
        <v>0</v>
      </c>
    </row>
    <row r="587" spans="1:17">
      <c r="A587" s="6" t="s">
        <v>26</v>
      </c>
      <c r="B587" s="6" t="s">
        <v>99</v>
      </c>
      <c r="C587" s="6" t="s">
        <v>296</v>
      </c>
      <c r="D587" s="6"/>
      <c r="E587" s="6"/>
      <c r="F587" s="6">
        <v>113</v>
      </c>
      <c r="G587" s="7"/>
      <c r="H587" s="6"/>
      <c r="I587" s="6">
        <v>1979561</v>
      </c>
      <c r="J587" s="6">
        <v>36.624</v>
      </c>
      <c r="K587" s="6">
        <v>54050.92289209261</v>
      </c>
      <c r="L587" s="6"/>
      <c r="M587" s="6"/>
      <c r="N587" s="6"/>
      <c r="O587" s="7">
        <v>1500.574427870998</v>
      </c>
      <c r="P587" s="15"/>
      <c r="Q587" s="6" t="b">
        <v>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F490"/>
  <sheetViews>
    <sheetView workbookViewId="0">
      <pane ySplit="3" topLeftCell="A4" activePane="bottomLeft" state="frozen"/>
      <selection pane="bottomLeft"/>
    </sheetView>
  </sheetViews>
  <sheetFormatPr defaultRowHeight="15"/>
  <cols>
    <col min="1" max="4" width="12.7109375" customWidth="1"/>
    <col min="5" max="5" width="20.7109375" customWidth="1"/>
    <col min="6" max="6" width="14.7109375" customWidth="1"/>
  </cols>
  <sheetData>
    <row r="1" spans="1:6">
      <c r="A1" s="1" t="s">
        <v>636</v>
      </c>
    </row>
    <row r="3" spans="1:6">
      <c r="A3" t="s">
        <v>637</v>
      </c>
      <c r="B3" t="s">
        <v>620</v>
      </c>
      <c r="C3" t="s">
        <v>621</v>
      </c>
      <c r="D3" t="s">
        <v>638</v>
      </c>
      <c r="E3" t="s">
        <v>639</v>
      </c>
      <c r="F3" t="s">
        <v>640</v>
      </c>
    </row>
    <row r="4" spans="1:6">
      <c r="A4" s="6" t="b">
        <v>0</v>
      </c>
      <c r="B4" s="6" t="s">
        <v>44</v>
      </c>
      <c r="C4" s="6" t="s">
        <v>194</v>
      </c>
      <c r="D4" s="7">
        <v>1</v>
      </c>
      <c r="E4" s="15">
        <v>14.33333333333333</v>
      </c>
      <c r="F4" s="6">
        <v>33.18</v>
      </c>
    </row>
    <row r="5" spans="1:6">
      <c r="A5" s="6" t="b">
        <v>0</v>
      </c>
      <c r="B5" s="6" t="s">
        <v>44</v>
      </c>
      <c r="C5" s="6" t="s">
        <v>195</v>
      </c>
      <c r="D5" s="7">
        <v>17</v>
      </c>
      <c r="E5" s="15">
        <v>47.38333333333333</v>
      </c>
      <c r="F5" s="6">
        <v>43.858</v>
      </c>
    </row>
    <row r="6" spans="1:6">
      <c r="A6" s="6" t="b">
        <v>0</v>
      </c>
      <c r="B6" s="6" t="s">
        <v>44</v>
      </c>
      <c r="C6" s="6" t="s">
        <v>196</v>
      </c>
      <c r="D6" s="7">
        <v>2</v>
      </c>
      <c r="E6" s="15">
        <v>67.825</v>
      </c>
      <c r="F6" s="6">
        <v>64.185</v>
      </c>
    </row>
    <row r="7" spans="1:6">
      <c r="A7" s="6" t="b">
        <v>0</v>
      </c>
      <c r="B7" s="6" t="s">
        <v>44</v>
      </c>
      <c r="C7" s="6" t="s">
        <v>198</v>
      </c>
      <c r="D7" s="7">
        <v>130</v>
      </c>
      <c r="E7" s="15">
        <v>38</v>
      </c>
      <c r="F7" s="6">
        <v>36.4</v>
      </c>
    </row>
    <row r="8" spans="1:6">
      <c r="A8" s="6" t="b">
        <v>0</v>
      </c>
      <c r="B8" s="6" t="s">
        <v>44</v>
      </c>
      <c r="C8" s="6" t="s">
        <v>199</v>
      </c>
      <c r="D8" s="7">
        <v>45</v>
      </c>
      <c r="E8" s="15">
        <v>44.83333333333334</v>
      </c>
      <c r="F8" s="6">
        <v>54.431</v>
      </c>
    </row>
    <row r="9" spans="1:6">
      <c r="A9" s="6" t="b">
        <v>0</v>
      </c>
      <c r="B9" s="6" t="s">
        <v>44</v>
      </c>
      <c r="C9" s="6" t="s">
        <v>200</v>
      </c>
      <c r="D9" s="7">
        <v>1</v>
      </c>
      <c r="E9" s="15">
        <v>83.38333333333334</v>
      </c>
      <c r="F9" s="6">
        <v>71.512</v>
      </c>
    </row>
    <row r="10" spans="1:6">
      <c r="A10" s="6" t="b">
        <v>0</v>
      </c>
      <c r="B10" s="6" t="s">
        <v>44</v>
      </c>
      <c r="C10" s="6" t="s">
        <v>201</v>
      </c>
      <c r="D10" s="7">
        <v>104</v>
      </c>
      <c r="E10" s="15">
        <v>24</v>
      </c>
      <c r="F10" s="6">
        <v>22.439</v>
      </c>
    </row>
    <row r="11" spans="1:6">
      <c r="A11" s="6" t="b">
        <v>0</v>
      </c>
      <c r="B11" s="6" t="s">
        <v>44</v>
      </c>
      <c r="C11" s="6" t="s">
        <v>202</v>
      </c>
      <c r="D11" s="7">
        <v>82</v>
      </c>
      <c r="E11" s="15">
        <v>68</v>
      </c>
      <c r="F11" s="6">
        <v>67.099</v>
      </c>
    </row>
    <row r="12" spans="1:6">
      <c r="A12" s="6" t="b">
        <v>0</v>
      </c>
      <c r="B12" s="6" t="s">
        <v>44</v>
      </c>
      <c r="C12" s="6" t="s">
        <v>203</v>
      </c>
      <c r="D12" s="7">
        <v>69</v>
      </c>
      <c r="E12" s="15">
        <v>44.11666666666667</v>
      </c>
      <c r="F12" s="6">
        <v>66.91800000000001</v>
      </c>
    </row>
    <row r="13" spans="1:6">
      <c r="A13" s="6" t="b">
        <v>0</v>
      </c>
      <c r="B13" s="6" t="s">
        <v>44</v>
      </c>
      <c r="C13" s="6" t="s">
        <v>204</v>
      </c>
      <c r="D13" s="7">
        <v>4807</v>
      </c>
      <c r="E13" s="15">
        <v>17.73333333333333</v>
      </c>
      <c r="F13" s="6">
        <v>19.049</v>
      </c>
    </row>
    <row r="14" spans="1:6">
      <c r="A14" s="6" t="b">
        <v>0</v>
      </c>
      <c r="B14" s="6" t="s">
        <v>44</v>
      </c>
      <c r="C14" s="6" t="s">
        <v>205</v>
      </c>
      <c r="D14" s="7">
        <v>354</v>
      </c>
      <c r="E14" s="15">
        <v>22.35</v>
      </c>
      <c r="F14" s="6">
        <v>11.9335</v>
      </c>
    </row>
    <row r="15" spans="1:6">
      <c r="A15" s="6" t="b">
        <v>0</v>
      </c>
      <c r="B15" s="6" t="s">
        <v>44</v>
      </c>
      <c r="C15" s="6" t="s">
        <v>206</v>
      </c>
      <c r="D15" s="7">
        <v>22</v>
      </c>
      <c r="E15" s="15">
        <v>47</v>
      </c>
      <c r="F15" s="6">
        <v>41.943</v>
      </c>
    </row>
    <row r="16" spans="1:6">
      <c r="A16" s="6" t="b">
        <v>0</v>
      </c>
      <c r="B16" s="6" t="s">
        <v>44</v>
      </c>
      <c r="C16" s="6" t="s">
        <v>207</v>
      </c>
      <c r="D16" s="7">
        <v>1</v>
      </c>
      <c r="E16" s="15">
        <v>106.2666666666667</v>
      </c>
      <c r="F16" s="6">
        <v>70.764</v>
      </c>
    </row>
    <row r="17" spans="1:6">
      <c r="A17" s="6" t="b">
        <v>0</v>
      </c>
      <c r="B17" s="6" t="s">
        <v>44</v>
      </c>
      <c r="C17" s="6" t="s">
        <v>208</v>
      </c>
      <c r="D17" s="7">
        <v>45</v>
      </c>
      <c r="E17" s="15">
        <v>30</v>
      </c>
      <c r="F17" s="6">
        <v>14.299</v>
      </c>
    </row>
    <row r="18" spans="1:6">
      <c r="A18" s="6" t="b">
        <v>0</v>
      </c>
      <c r="B18" s="6" t="s">
        <v>44</v>
      </c>
      <c r="C18" s="6" t="s">
        <v>211</v>
      </c>
      <c r="D18" s="7">
        <v>202</v>
      </c>
      <c r="E18" s="15">
        <v>40.03333333333333</v>
      </c>
      <c r="F18" s="6">
        <v>45.2645</v>
      </c>
    </row>
    <row r="19" spans="1:6">
      <c r="A19" s="6" t="b">
        <v>0</v>
      </c>
      <c r="B19" s="6" t="s">
        <v>44</v>
      </c>
      <c r="C19" s="6" t="s">
        <v>212</v>
      </c>
      <c r="D19" s="7">
        <v>45</v>
      </c>
      <c r="E19" s="15">
        <v>39.03333333333333</v>
      </c>
      <c r="F19" s="6">
        <v>72.5</v>
      </c>
    </row>
    <row r="20" spans="1:6">
      <c r="A20" s="6" t="b">
        <v>0</v>
      </c>
      <c r="B20" s="6" t="s">
        <v>44</v>
      </c>
      <c r="C20" s="6" t="s">
        <v>213</v>
      </c>
      <c r="D20" s="7">
        <v>1</v>
      </c>
      <c r="E20" s="15">
        <v>68</v>
      </c>
      <c r="F20" s="6">
        <v>69.63</v>
      </c>
    </row>
    <row r="21" spans="1:6">
      <c r="A21" s="6" t="b">
        <v>0</v>
      </c>
      <c r="B21" s="6" t="s">
        <v>44</v>
      </c>
      <c r="C21" s="6" t="s">
        <v>215</v>
      </c>
      <c r="D21" s="7">
        <v>114</v>
      </c>
      <c r="E21" s="15">
        <v>65.5</v>
      </c>
      <c r="F21" s="6">
        <v>50.3275</v>
      </c>
    </row>
    <row r="22" spans="1:6">
      <c r="A22" s="6" t="b">
        <v>0</v>
      </c>
      <c r="B22" s="6" t="s">
        <v>44</v>
      </c>
      <c r="C22" s="6" t="s">
        <v>217</v>
      </c>
      <c r="D22" s="7">
        <v>7</v>
      </c>
      <c r="E22" s="15">
        <v>85</v>
      </c>
      <c r="F22" s="6">
        <v>60.16</v>
      </c>
    </row>
    <row r="23" spans="1:6">
      <c r="A23" s="6" t="b">
        <v>0</v>
      </c>
      <c r="B23" s="6" t="s">
        <v>44</v>
      </c>
      <c r="C23" s="6" t="s">
        <v>219</v>
      </c>
      <c r="D23" s="7">
        <v>221</v>
      </c>
      <c r="E23" s="15">
        <v>13.96666666666667</v>
      </c>
      <c r="F23" s="6">
        <v>14.677</v>
      </c>
    </row>
    <row r="24" spans="1:6">
      <c r="A24" s="6" t="b">
        <v>0</v>
      </c>
      <c r="B24" s="6" t="s">
        <v>44</v>
      </c>
      <c r="C24" s="6" t="s">
        <v>221</v>
      </c>
      <c r="D24" s="7">
        <v>144</v>
      </c>
      <c r="E24" s="15">
        <v>21.28333333333333</v>
      </c>
      <c r="F24" s="6">
        <v>23.5505</v>
      </c>
    </row>
    <row r="25" spans="1:6">
      <c r="A25" s="6" t="b">
        <v>0</v>
      </c>
      <c r="B25" s="6" t="s">
        <v>44</v>
      </c>
      <c r="C25" s="6" t="s">
        <v>223</v>
      </c>
      <c r="D25" s="7">
        <v>38</v>
      </c>
      <c r="E25" s="15">
        <v>42.04166666666667</v>
      </c>
      <c r="F25" s="6">
        <v>47.9585</v>
      </c>
    </row>
    <row r="26" spans="1:6">
      <c r="A26" s="6" t="b">
        <v>0</v>
      </c>
      <c r="B26" s="6" t="s">
        <v>44</v>
      </c>
      <c r="C26" s="6" t="s">
        <v>224</v>
      </c>
      <c r="D26" s="7">
        <v>1986</v>
      </c>
      <c r="E26" s="15">
        <v>11</v>
      </c>
      <c r="F26" s="6">
        <v>36.234</v>
      </c>
    </row>
    <row r="27" spans="1:6">
      <c r="A27" s="6" t="b">
        <v>0</v>
      </c>
      <c r="B27" s="6" t="s">
        <v>44</v>
      </c>
      <c r="C27" s="6" t="s">
        <v>226</v>
      </c>
      <c r="D27" s="7">
        <v>534</v>
      </c>
      <c r="E27" s="15">
        <v>47.875</v>
      </c>
      <c r="F27" s="6">
        <v>42.08750000000001</v>
      </c>
    </row>
    <row r="28" spans="1:6">
      <c r="A28" s="6" t="b">
        <v>0</v>
      </c>
      <c r="B28" s="6" t="s">
        <v>44</v>
      </c>
      <c r="C28" s="6" t="s">
        <v>227</v>
      </c>
      <c r="D28" s="7">
        <v>17</v>
      </c>
      <c r="E28" s="15">
        <v>51.93333333333333</v>
      </c>
      <c r="F28" s="6">
        <v>48.397</v>
      </c>
    </row>
    <row r="29" spans="1:6">
      <c r="A29" s="6" t="b">
        <v>0</v>
      </c>
      <c r="B29" s="6" t="s">
        <v>44</v>
      </c>
      <c r="C29" s="6" t="s">
        <v>228</v>
      </c>
      <c r="D29" s="7">
        <v>209</v>
      </c>
      <c r="E29" s="15">
        <v>21</v>
      </c>
      <c r="F29" s="6">
        <v>26.594</v>
      </c>
    </row>
    <row r="30" spans="1:6">
      <c r="A30" s="6" t="b">
        <v>0</v>
      </c>
      <c r="B30" s="6" t="s">
        <v>44</v>
      </c>
      <c r="C30" s="6" t="s">
        <v>230</v>
      </c>
      <c r="D30" s="7">
        <v>8</v>
      </c>
      <c r="E30" s="15">
        <v>43.54166666666667</v>
      </c>
      <c r="F30" s="6">
        <v>44.9365</v>
      </c>
    </row>
    <row r="31" spans="1:6">
      <c r="A31" s="6" t="b">
        <v>0</v>
      </c>
      <c r="B31" s="6" t="s">
        <v>44</v>
      </c>
      <c r="C31" s="6" t="s">
        <v>231</v>
      </c>
      <c r="D31" s="7">
        <v>1</v>
      </c>
      <c r="E31" s="15">
        <v>75</v>
      </c>
      <c r="F31" s="6">
        <v>71.236</v>
      </c>
    </row>
    <row r="32" spans="1:6">
      <c r="A32" s="6" t="b">
        <v>0</v>
      </c>
      <c r="B32" s="6" t="s">
        <v>44</v>
      </c>
      <c r="C32" s="6" t="s">
        <v>232</v>
      </c>
      <c r="D32" s="7">
        <v>58</v>
      </c>
      <c r="E32" s="15">
        <v>20</v>
      </c>
      <c r="F32" s="6">
        <v>14.8255</v>
      </c>
    </row>
    <row r="33" spans="1:6">
      <c r="A33" s="6" t="b">
        <v>0</v>
      </c>
      <c r="B33" s="6" t="s">
        <v>44</v>
      </c>
      <c r="C33" s="6" t="s">
        <v>233</v>
      </c>
      <c r="D33" s="7">
        <v>80</v>
      </c>
      <c r="E33" s="15">
        <v>40.40833333333333</v>
      </c>
      <c r="F33" s="6">
        <v>41.7345</v>
      </c>
    </row>
    <row r="34" spans="1:6">
      <c r="A34" s="6" t="b">
        <v>0</v>
      </c>
      <c r="B34" s="6" t="s">
        <v>44</v>
      </c>
      <c r="C34" s="6" t="s">
        <v>234</v>
      </c>
      <c r="D34" s="7">
        <v>104</v>
      </c>
      <c r="E34" s="15">
        <v>37.40833333333333</v>
      </c>
      <c r="F34" s="6">
        <v>21.465</v>
      </c>
    </row>
    <row r="35" spans="1:6">
      <c r="A35" s="6" t="b">
        <v>0</v>
      </c>
      <c r="B35" s="6" t="s">
        <v>44</v>
      </c>
      <c r="C35" s="6" t="s">
        <v>236</v>
      </c>
      <c r="D35" s="7">
        <v>739</v>
      </c>
      <c r="E35" s="15">
        <v>16.31666666666667</v>
      </c>
      <c r="F35" s="6">
        <v>29.822</v>
      </c>
    </row>
    <row r="36" spans="1:6">
      <c r="A36" s="6" t="b">
        <v>0</v>
      </c>
      <c r="B36" s="6" t="s">
        <v>44</v>
      </c>
      <c r="C36" s="6" t="s">
        <v>237</v>
      </c>
      <c r="D36" s="7">
        <v>111</v>
      </c>
      <c r="E36" s="15">
        <v>20</v>
      </c>
      <c r="F36" s="6">
        <v>25.277</v>
      </c>
    </row>
    <row r="37" spans="1:6">
      <c r="A37" s="6" t="b">
        <v>0</v>
      </c>
      <c r="B37" s="6" t="s">
        <v>44</v>
      </c>
      <c r="C37" s="6" t="s">
        <v>238</v>
      </c>
      <c r="D37" s="7">
        <v>1358</v>
      </c>
      <c r="E37" s="15">
        <v>11</v>
      </c>
      <c r="F37" s="6">
        <v>18.117</v>
      </c>
    </row>
    <row r="38" spans="1:6">
      <c r="A38" s="6" t="b">
        <v>0</v>
      </c>
      <c r="B38" s="6" t="s">
        <v>44</v>
      </c>
      <c r="C38" s="6" t="s">
        <v>239</v>
      </c>
      <c r="D38" s="7">
        <v>54</v>
      </c>
      <c r="E38" s="15">
        <v>62</v>
      </c>
      <c r="F38" s="6">
        <v>16.76</v>
      </c>
    </row>
    <row r="39" spans="1:6">
      <c r="A39" s="6" t="b">
        <v>0</v>
      </c>
      <c r="B39" s="6" t="s">
        <v>44</v>
      </c>
      <c r="C39" s="6" t="s">
        <v>240</v>
      </c>
      <c r="D39" s="7">
        <v>1</v>
      </c>
      <c r="E39" s="15">
        <v>18</v>
      </c>
      <c r="F39" s="6">
        <v>18.082</v>
      </c>
    </row>
    <row r="40" spans="1:6">
      <c r="A40" s="6" t="b">
        <v>0</v>
      </c>
      <c r="B40" s="6" t="s">
        <v>44</v>
      </c>
      <c r="C40" s="6" t="s">
        <v>241</v>
      </c>
      <c r="D40" s="7">
        <v>46</v>
      </c>
      <c r="E40" s="15">
        <v>49.08333333333333</v>
      </c>
      <c r="F40" s="6">
        <v>35.376</v>
      </c>
    </row>
    <row r="41" spans="1:6">
      <c r="A41" s="6" t="b">
        <v>0</v>
      </c>
      <c r="B41" s="6" t="s">
        <v>44</v>
      </c>
      <c r="C41" s="6" t="s">
        <v>242</v>
      </c>
      <c r="D41" s="7">
        <v>223</v>
      </c>
      <c r="E41" s="15">
        <v>28.81666666666667</v>
      </c>
      <c r="F41" s="6">
        <v>43.455</v>
      </c>
    </row>
    <row r="42" spans="1:6">
      <c r="A42" s="6" t="b">
        <v>0</v>
      </c>
      <c r="B42" s="6" t="s">
        <v>44</v>
      </c>
      <c r="C42" s="6" t="s">
        <v>244</v>
      </c>
      <c r="D42" s="7">
        <v>1</v>
      </c>
      <c r="E42" s="15">
        <v>25.75</v>
      </c>
      <c r="F42" s="6">
        <v>60.14</v>
      </c>
    </row>
    <row r="43" spans="1:6">
      <c r="A43" s="6" t="b">
        <v>0</v>
      </c>
      <c r="B43" s="6" t="s">
        <v>44</v>
      </c>
      <c r="C43" s="6" t="s">
        <v>245</v>
      </c>
      <c r="D43" s="7">
        <v>24</v>
      </c>
      <c r="E43" s="15">
        <v>35.45833333333333</v>
      </c>
      <c r="F43" s="6">
        <v>30.754</v>
      </c>
    </row>
    <row r="44" spans="1:6">
      <c r="A44" s="6" t="b">
        <v>0</v>
      </c>
      <c r="B44" s="6" t="s">
        <v>44</v>
      </c>
      <c r="C44" s="6" t="s">
        <v>247</v>
      </c>
      <c r="D44" s="7">
        <v>142</v>
      </c>
      <c r="E44" s="15">
        <v>25.55</v>
      </c>
      <c r="F44" s="6">
        <v>45.6125</v>
      </c>
    </row>
    <row r="45" spans="1:6">
      <c r="A45" s="6" t="b">
        <v>0</v>
      </c>
      <c r="B45" s="6" t="s">
        <v>44</v>
      </c>
      <c r="C45" s="6" t="s">
        <v>248</v>
      </c>
      <c r="D45" s="7">
        <v>1</v>
      </c>
      <c r="E45" s="15">
        <v>48.6</v>
      </c>
      <c r="F45" s="6">
        <v>40.727</v>
      </c>
    </row>
    <row r="46" spans="1:6">
      <c r="A46" s="6" t="b">
        <v>0</v>
      </c>
      <c r="B46" s="6" t="s">
        <v>44</v>
      </c>
      <c r="C46" s="6" t="s">
        <v>249</v>
      </c>
      <c r="D46" s="7">
        <v>69</v>
      </c>
      <c r="E46" s="15">
        <v>39.98333333333333</v>
      </c>
      <c r="F46" s="6">
        <v>72.245</v>
      </c>
    </row>
    <row r="47" spans="1:6">
      <c r="A47" s="6" t="b">
        <v>0</v>
      </c>
      <c r="B47" s="6" t="s">
        <v>44</v>
      </c>
      <c r="C47" s="6" t="s">
        <v>250</v>
      </c>
      <c r="D47" s="7">
        <v>1</v>
      </c>
      <c r="E47" s="15">
        <v>29</v>
      </c>
      <c r="F47" s="6">
        <v>44.814</v>
      </c>
    </row>
    <row r="48" spans="1:6">
      <c r="A48" s="6" t="b">
        <v>0</v>
      </c>
      <c r="B48" s="6" t="s">
        <v>44</v>
      </c>
      <c r="C48" s="6" t="s">
        <v>252</v>
      </c>
      <c r="D48" s="7">
        <v>5</v>
      </c>
      <c r="E48" s="15">
        <v>20</v>
      </c>
      <c r="F48" s="6">
        <v>49.625</v>
      </c>
    </row>
    <row r="49" spans="1:6">
      <c r="A49" s="6" t="b">
        <v>0</v>
      </c>
      <c r="B49" s="6" t="s">
        <v>44</v>
      </c>
      <c r="C49" s="6" t="s">
        <v>253</v>
      </c>
      <c r="D49" s="7">
        <v>87</v>
      </c>
      <c r="E49" s="15">
        <v>45.35</v>
      </c>
      <c r="F49" s="6">
        <v>35.376</v>
      </c>
    </row>
    <row r="50" spans="1:6">
      <c r="A50" s="6" t="b">
        <v>0</v>
      </c>
      <c r="B50" s="6" t="s">
        <v>44</v>
      </c>
      <c r="C50" s="6" t="s">
        <v>254</v>
      </c>
      <c r="D50" s="7">
        <v>14</v>
      </c>
      <c r="E50" s="15">
        <v>18.5</v>
      </c>
      <c r="F50" s="6">
        <v>4.389</v>
      </c>
    </row>
    <row r="51" spans="1:6">
      <c r="A51" s="6" t="b">
        <v>0</v>
      </c>
      <c r="B51" s="6" t="s">
        <v>44</v>
      </c>
      <c r="C51" s="6" t="s">
        <v>256</v>
      </c>
      <c r="D51" s="7">
        <v>1</v>
      </c>
      <c r="E51" s="15">
        <v>25.26666666666667</v>
      </c>
      <c r="F51" s="6">
        <v>57.232</v>
      </c>
    </row>
    <row r="52" spans="1:6">
      <c r="A52" s="6" t="b">
        <v>0</v>
      </c>
      <c r="B52" s="6" t="s">
        <v>44</v>
      </c>
      <c r="C52" s="6" t="s">
        <v>257</v>
      </c>
      <c r="D52" s="7">
        <v>1</v>
      </c>
      <c r="E52" s="15">
        <v>29</v>
      </c>
      <c r="F52" s="6">
        <v>70.43000000000001</v>
      </c>
    </row>
    <row r="53" spans="1:6">
      <c r="A53" s="6" t="b">
        <v>0</v>
      </c>
      <c r="B53" s="6" t="s">
        <v>44</v>
      </c>
      <c r="C53" s="6" t="s">
        <v>258</v>
      </c>
      <c r="D53" s="7">
        <v>1</v>
      </c>
      <c r="E53" s="15">
        <v>74</v>
      </c>
      <c r="F53" s="6">
        <v>71.236</v>
      </c>
    </row>
    <row r="54" spans="1:6">
      <c r="A54" s="6" t="b">
        <v>0</v>
      </c>
      <c r="B54" s="6" t="s">
        <v>44</v>
      </c>
      <c r="C54" s="6" t="s">
        <v>259</v>
      </c>
      <c r="D54" s="7">
        <v>46</v>
      </c>
      <c r="E54" s="15">
        <v>38.91666666666667</v>
      </c>
      <c r="F54" s="6">
        <v>42.428</v>
      </c>
    </row>
    <row r="55" spans="1:6">
      <c r="A55" s="6" t="b">
        <v>0</v>
      </c>
      <c r="B55" s="6" t="s">
        <v>44</v>
      </c>
      <c r="C55" s="6" t="s">
        <v>260</v>
      </c>
      <c r="D55" s="7">
        <v>123</v>
      </c>
      <c r="E55" s="15">
        <v>53</v>
      </c>
      <c r="F55" s="6">
        <v>72.494</v>
      </c>
    </row>
    <row r="56" spans="1:6">
      <c r="A56" s="6" t="b">
        <v>0</v>
      </c>
      <c r="B56" s="6" t="s">
        <v>44</v>
      </c>
      <c r="C56" s="6" t="s">
        <v>262</v>
      </c>
      <c r="D56" s="7">
        <v>183</v>
      </c>
      <c r="E56" s="15">
        <v>22.96666666666667</v>
      </c>
      <c r="F56" s="6">
        <v>35.04</v>
      </c>
    </row>
    <row r="57" spans="1:6">
      <c r="A57" s="6" t="b">
        <v>0</v>
      </c>
      <c r="B57" s="6" t="s">
        <v>44</v>
      </c>
      <c r="C57" s="6" t="s">
        <v>263</v>
      </c>
      <c r="D57" s="7">
        <v>16</v>
      </c>
      <c r="E57" s="15">
        <v>48.44166666666666</v>
      </c>
      <c r="F57" s="6">
        <v>70.27500000000001</v>
      </c>
    </row>
    <row r="58" spans="1:6">
      <c r="A58" s="6" t="b">
        <v>0</v>
      </c>
      <c r="B58" s="6" t="s">
        <v>44</v>
      </c>
      <c r="C58" s="6" t="s">
        <v>264</v>
      </c>
      <c r="D58" s="7">
        <v>4</v>
      </c>
      <c r="E58" s="15">
        <v>91.11666666666667</v>
      </c>
      <c r="F58" s="6">
        <v>48.6695</v>
      </c>
    </row>
    <row r="59" spans="1:6">
      <c r="A59" s="6" t="b">
        <v>0</v>
      </c>
      <c r="B59" s="6" t="s">
        <v>44</v>
      </c>
      <c r="C59" s="6" t="s">
        <v>265</v>
      </c>
      <c r="D59" s="7">
        <v>60</v>
      </c>
      <c r="E59" s="15">
        <v>72.81666666666666</v>
      </c>
      <c r="F59" s="6">
        <v>65.29050000000001</v>
      </c>
    </row>
    <row r="60" spans="1:6">
      <c r="A60" s="6" t="b">
        <v>0</v>
      </c>
      <c r="B60" s="6" t="s">
        <v>44</v>
      </c>
      <c r="C60" s="6" t="s">
        <v>266</v>
      </c>
      <c r="D60" s="7">
        <v>5</v>
      </c>
      <c r="E60" s="15">
        <v>51.35</v>
      </c>
      <c r="F60" s="6">
        <v>34.116</v>
      </c>
    </row>
    <row r="61" spans="1:6">
      <c r="A61" s="6" t="b">
        <v>0</v>
      </c>
      <c r="B61" s="6" t="s">
        <v>44</v>
      </c>
      <c r="C61" s="6" t="s">
        <v>267</v>
      </c>
      <c r="D61" s="7">
        <v>98</v>
      </c>
      <c r="E61" s="15">
        <v>37</v>
      </c>
      <c r="F61" s="6">
        <v>39.071</v>
      </c>
    </row>
    <row r="62" spans="1:6">
      <c r="A62" s="6" t="b">
        <v>0</v>
      </c>
      <c r="B62" s="6" t="s">
        <v>44</v>
      </c>
      <c r="C62" s="6" t="s">
        <v>269</v>
      </c>
      <c r="D62" s="7">
        <v>1</v>
      </c>
      <c r="E62" s="15">
        <v>67</v>
      </c>
      <c r="F62" s="6">
        <v>71.236</v>
      </c>
    </row>
    <row r="63" spans="1:6">
      <c r="A63" s="6" t="b">
        <v>0</v>
      </c>
      <c r="B63" s="6" t="s">
        <v>44</v>
      </c>
      <c r="C63" s="6" t="s">
        <v>270</v>
      </c>
      <c r="D63" s="7">
        <v>38</v>
      </c>
      <c r="E63" s="15">
        <v>52.22499999999999</v>
      </c>
      <c r="F63" s="6">
        <v>41.3705</v>
      </c>
    </row>
    <row r="64" spans="1:6">
      <c r="A64" s="6" t="b">
        <v>0</v>
      </c>
      <c r="B64" s="6" t="s">
        <v>44</v>
      </c>
      <c r="C64" s="6" t="s">
        <v>271</v>
      </c>
      <c r="D64" s="7">
        <v>63</v>
      </c>
      <c r="E64" s="15">
        <v>62.05</v>
      </c>
      <c r="F64" s="6">
        <v>45.924</v>
      </c>
    </row>
    <row r="65" spans="1:6">
      <c r="A65" s="6" t="b">
        <v>0</v>
      </c>
      <c r="B65" s="6" t="s">
        <v>44</v>
      </c>
      <c r="C65" s="6" t="s">
        <v>272</v>
      </c>
      <c r="D65" s="7">
        <v>138</v>
      </c>
      <c r="E65" s="15">
        <v>19</v>
      </c>
      <c r="F65" s="6">
        <v>15.486</v>
      </c>
    </row>
    <row r="66" spans="1:6">
      <c r="A66" s="6" t="b">
        <v>0</v>
      </c>
      <c r="B66" s="6" t="s">
        <v>44</v>
      </c>
      <c r="C66" s="6" t="s">
        <v>273</v>
      </c>
      <c r="D66" s="7">
        <v>249</v>
      </c>
      <c r="E66" s="15">
        <v>26.31666666666667</v>
      </c>
      <c r="F66" s="6">
        <v>38.884</v>
      </c>
    </row>
    <row r="67" spans="1:6">
      <c r="A67" s="6" t="b">
        <v>0</v>
      </c>
      <c r="B67" s="6" t="s">
        <v>44</v>
      </c>
      <c r="C67" s="6" t="s">
        <v>274</v>
      </c>
      <c r="D67" s="7">
        <v>53</v>
      </c>
      <c r="E67" s="15">
        <v>42</v>
      </c>
      <c r="F67" s="6">
        <v>42.84</v>
      </c>
    </row>
    <row r="68" spans="1:6">
      <c r="A68" s="6" t="b">
        <v>0</v>
      </c>
      <c r="B68" s="6" t="s">
        <v>44</v>
      </c>
      <c r="C68" s="6" t="s">
        <v>275</v>
      </c>
      <c r="D68" s="7">
        <v>19</v>
      </c>
      <c r="E68" s="15">
        <v>19</v>
      </c>
      <c r="F68" s="6">
        <v>11.478</v>
      </c>
    </row>
    <row r="69" spans="1:6">
      <c r="A69" s="6" t="b">
        <v>0</v>
      </c>
      <c r="B69" s="6" t="s">
        <v>44</v>
      </c>
      <c r="C69" s="6" t="s">
        <v>276</v>
      </c>
      <c r="D69" s="7">
        <v>53</v>
      </c>
      <c r="E69" s="15">
        <v>46</v>
      </c>
      <c r="F69" s="6">
        <v>41.329</v>
      </c>
    </row>
    <row r="70" spans="1:6">
      <c r="A70" s="6" t="b">
        <v>0</v>
      </c>
      <c r="B70" s="6" t="s">
        <v>44</v>
      </c>
      <c r="C70" s="6" t="s">
        <v>278</v>
      </c>
      <c r="D70" s="7">
        <v>272</v>
      </c>
      <c r="E70" s="15">
        <v>41.00833333333333</v>
      </c>
      <c r="F70" s="6">
        <v>35.376</v>
      </c>
    </row>
    <row r="71" spans="1:6">
      <c r="A71" s="6" t="b">
        <v>0</v>
      </c>
      <c r="B71" s="6" t="s">
        <v>44</v>
      </c>
      <c r="C71" s="6" t="s">
        <v>279</v>
      </c>
      <c r="D71" s="7">
        <v>44</v>
      </c>
      <c r="E71" s="15">
        <v>43.65</v>
      </c>
      <c r="F71" s="6">
        <v>72.8955</v>
      </c>
    </row>
    <row r="72" spans="1:6">
      <c r="A72" s="6" t="b">
        <v>0</v>
      </c>
      <c r="B72" s="6" t="s">
        <v>44</v>
      </c>
      <c r="C72" s="6" t="s">
        <v>280</v>
      </c>
      <c r="D72" s="7">
        <v>136</v>
      </c>
      <c r="E72" s="15">
        <v>56.09999999999999</v>
      </c>
      <c r="F72" s="6">
        <v>45.235</v>
      </c>
    </row>
    <row r="73" spans="1:6">
      <c r="A73" s="6" t="b">
        <v>0</v>
      </c>
      <c r="B73" s="6" t="s">
        <v>44</v>
      </c>
      <c r="C73" s="6" t="s">
        <v>281</v>
      </c>
      <c r="D73" s="7">
        <v>92</v>
      </c>
      <c r="E73" s="15">
        <v>41.50833333333334</v>
      </c>
      <c r="F73" s="6">
        <v>33.701</v>
      </c>
    </row>
    <row r="74" spans="1:6">
      <c r="A74" s="6" t="b">
        <v>0</v>
      </c>
      <c r="B74" s="6" t="s">
        <v>44</v>
      </c>
      <c r="C74" s="6" t="s">
        <v>282</v>
      </c>
      <c r="D74" s="7">
        <v>70</v>
      </c>
      <c r="E74" s="15">
        <v>43.03333333333333</v>
      </c>
      <c r="F74" s="6">
        <v>34.5335</v>
      </c>
    </row>
    <row r="75" spans="1:6">
      <c r="A75" s="6" t="b">
        <v>0</v>
      </c>
      <c r="B75" s="6" t="s">
        <v>44</v>
      </c>
      <c r="C75" s="6" t="s">
        <v>283</v>
      </c>
      <c r="D75" s="7">
        <v>132</v>
      </c>
      <c r="E75" s="15">
        <v>42.25</v>
      </c>
      <c r="F75" s="6">
        <v>42.36</v>
      </c>
    </row>
    <row r="76" spans="1:6">
      <c r="A76" s="6" t="b">
        <v>0</v>
      </c>
      <c r="B76" s="6" t="s">
        <v>44</v>
      </c>
      <c r="C76" s="6" t="s">
        <v>284</v>
      </c>
      <c r="D76" s="7">
        <v>47</v>
      </c>
      <c r="E76" s="15">
        <v>61</v>
      </c>
      <c r="F76" s="6">
        <v>64.80800000000001</v>
      </c>
    </row>
    <row r="77" spans="1:6">
      <c r="A77" s="6" t="b">
        <v>0</v>
      </c>
      <c r="B77" s="6" t="s">
        <v>44</v>
      </c>
      <c r="C77" s="6" t="s">
        <v>285</v>
      </c>
      <c r="D77" s="7">
        <v>1</v>
      </c>
      <c r="E77" s="15">
        <v>68.40000000000001</v>
      </c>
      <c r="F77" s="6">
        <v>72.568</v>
      </c>
    </row>
    <row r="78" spans="1:6">
      <c r="A78" s="6" t="b">
        <v>0</v>
      </c>
      <c r="B78" s="6" t="s">
        <v>44</v>
      </c>
      <c r="C78" s="6" t="s">
        <v>286</v>
      </c>
      <c r="D78" s="7">
        <v>38</v>
      </c>
      <c r="E78" s="15">
        <v>56.70833333333333</v>
      </c>
      <c r="F78" s="6">
        <v>40.508</v>
      </c>
    </row>
    <row r="79" spans="1:6">
      <c r="A79" s="6" t="b">
        <v>0</v>
      </c>
      <c r="B79" s="6" t="s">
        <v>44</v>
      </c>
      <c r="C79" s="6" t="s">
        <v>287</v>
      </c>
      <c r="D79" s="7">
        <v>3</v>
      </c>
      <c r="E79" s="15">
        <v>70</v>
      </c>
      <c r="F79" s="6">
        <v>94.422</v>
      </c>
    </row>
    <row r="80" spans="1:6">
      <c r="A80" s="6" t="b">
        <v>0</v>
      </c>
      <c r="B80" s="6" t="s">
        <v>44</v>
      </c>
      <c r="C80" s="6" t="s">
        <v>288</v>
      </c>
      <c r="D80" s="7">
        <v>1</v>
      </c>
      <c r="E80" s="15">
        <v>17</v>
      </c>
      <c r="F80" s="6">
        <v>41.892</v>
      </c>
    </row>
    <row r="81" spans="1:6">
      <c r="A81" s="6" t="b">
        <v>0</v>
      </c>
      <c r="B81" s="6" t="s">
        <v>44</v>
      </c>
      <c r="C81" s="6" t="s">
        <v>289</v>
      </c>
      <c r="D81" s="7">
        <v>118</v>
      </c>
      <c r="E81" s="15">
        <v>70</v>
      </c>
      <c r="F81" s="6">
        <v>73.84049999999999</v>
      </c>
    </row>
    <row r="82" spans="1:6">
      <c r="A82" s="6" t="b">
        <v>0</v>
      </c>
      <c r="B82" s="6" t="s">
        <v>44</v>
      </c>
      <c r="C82" s="6" t="s">
        <v>292</v>
      </c>
      <c r="D82" s="7">
        <v>17</v>
      </c>
      <c r="E82" s="15">
        <v>79</v>
      </c>
      <c r="F82" s="6">
        <v>68.55500000000001</v>
      </c>
    </row>
    <row r="83" spans="1:6">
      <c r="A83" s="6" t="b">
        <v>0</v>
      </c>
      <c r="B83" s="6" t="s">
        <v>44</v>
      </c>
      <c r="C83" s="6" t="s">
        <v>293</v>
      </c>
      <c r="D83" s="7">
        <v>44</v>
      </c>
      <c r="E83" s="15">
        <v>16</v>
      </c>
      <c r="F83" s="6">
        <v>13.941</v>
      </c>
    </row>
    <row r="84" spans="1:6">
      <c r="A84" s="6" t="b">
        <v>0</v>
      </c>
      <c r="B84" s="6" t="s">
        <v>44</v>
      </c>
      <c r="C84" s="6" t="s">
        <v>294</v>
      </c>
      <c r="D84" s="7">
        <v>1</v>
      </c>
      <c r="E84" s="15">
        <v>98.8</v>
      </c>
      <c r="F84" s="6">
        <v>79.379</v>
      </c>
    </row>
    <row r="85" spans="1:6">
      <c r="A85" s="6" t="b">
        <v>0</v>
      </c>
      <c r="B85" s="6" t="s">
        <v>44</v>
      </c>
      <c r="C85" s="6" t="s">
        <v>295</v>
      </c>
      <c r="D85" s="7">
        <v>7</v>
      </c>
      <c r="E85" s="15">
        <v>65.7</v>
      </c>
      <c r="F85" s="6">
        <v>42.789</v>
      </c>
    </row>
    <row r="86" spans="1:6">
      <c r="A86" s="6" t="b">
        <v>0</v>
      </c>
      <c r="B86" s="6" t="s">
        <v>44</v>
      </c>
      <c r="C86" s="6" t="s">
        <v>296</v>
      </c>
      <c r="D86" s="7">
        <v>127</v>
      </c>
      <c r="E86" s="15">
        <v>27</v>
      </c>
      <c r="F86" s="6">
        <v>18.97</v>
      </c>
    </row>
    <row r="87" spans="1:6">
      <c r="A87" s="6" t="b">
        <v>0</v>
      </c>
      <c r="B87" s="6" t="s">
        <v>44</v>
      </c>
      <c r="C87" s="6" t="s">
        <v>297</v>
      </c>
      <c r="D87" s="7">
        <v>1</v>
      </c>
      <c r="E87" s="15">
        <v>67</v>
      </c>
      <c r="F87" s="6">
        <v>71.03</v>
      </c>
    </row>
    <row r="88" spans="1:6">
      <c r="A88" s="6" t="b">
        <v>0</v>
      </c>
      <c r="B88" s="6" t="s">
        <v>44</v>
      </c>
      <c r="C88" s="6" t="s">
        <v>298</v>
      </c>
      <c r="D88" s="7">
        <v>142</v>
      </c>
      <c r="E88" s="15">
        <v>21</v>
      </c>
      <c r="F88" s="6">
        <v>40.1865</v>
      </c>
    </row>
    <row r="89" spans="1:6">
      <c r="A89" s="6" t="b">
        <v>0</v>
      </c>
      <c r="B89" s="6" t="s">
        <v>44</v>
      </c>
      <c r="C89" s="6" t="s">
        <v>299</v>
      </c>
      <c r="D89" s="7">
        <v>1</v>
      </c>
      <c r="E89" s="15">
        <v>6.9</v>
      </c>
      <c r="F89" s="6">
        <v>77.41200000000001</v>
      </c>
    </row>
    <row r="90" spans="1:6">
      <c r="A90" s="6" t="b">
        <v>0</v>
      </c>
      <c r="B90" s="6" t="s">
        <v>44</v>
      </c>
      <c r="C90" s="6" t="s">
        <v>300</v>
      </c>
      <c r="D90" s="7">
        <v>371</v>
      </c>
      <c r="E90" s="15">
        <v>66.55</v>
      </c>
      <c r="F90" s="6">
        <v>72.86499999999999</v>
      </c>
    </row>
    <row r="91" spans="1:6">
      <c r="A91" s="6" t="b">
        <v>0</v>
      </c>
      <c r="B91" s="6" t="s">
        <v>44</v>
      </c>
      <c r="C91" s="6" t="s">
        <v>301</v>
      </c>
      <c r="D91" s="7">
        <v>43</v>
      </c>
      <c r="E91" s="15">
        <v>26.65</v>
      </c>
      <c r="F91" s="6">
        <v>42</v>
      </c>
    </row>
    <row r="92" spans="1:6">
      <c r="A92" s="6" t="b">
        <v>0</v>
      </c>
      <c r="B92" s="6" t="s">
        <v>44</v>
      </c>
      <c r="C92" s="6" t="s">
        <v>302</v>
      </c>
      <c r="D92" s="7">
        <v>79</v>
      </c>
      <c r="E92" s="15">
        <v>67.58333333333333</v>
      </c>
      <c r="F92" s="6">
        <v>72.081</v>
      </c>
    </row>
    <row r="93" spans="1:6">
      <c r="A93" s="6" t="b">
        <v>0</v>
      </c>
      <c r="B93" s="6" t="s">
        <v>44</v>
      </c>
      <c r="C93" s="6" t="s">
        <v>304</v>
      </c>
      <c r="D93" s="7">
        <v>1</v>
      </c>
      <c r="E93" s="15">
        <v>49.75</v>
      </c>
      <c r="F93" s="6">
        <v>72.938</v>
      </c>
    </row>
    <row r="94" spans="1:6">
      <c r="A94" s="6" t="b">
        <v>0</v>
      </c>
      <c r="B94" s="6" t="s">
        <v>44</v>
      </c>
      <c r="C94" s="6" t="s">
        <v>305</v>
      </c>
      <c r="D94" s="7">
        <v>49</v>
      </c>
      <c r="E94" s="15">
        <v>61.86666666666667</v>
      </c>
      <c r="F94" s="6">
        <v>68.959</v>
      </c>
    </row>
    <row r="95" spans="1:6">
      <c r="A95" s="6" t="b">
        <v>0</v>
      </c>
      <c r="B95" s="6" t="s">
        <v>44</v>
      </c>
      <c r="C95" s="6" t="s">
        <v>308</v>
      </c>
      <c r="D95" s="7">
        <v>2</v>
      </c>
      <c r="E95" s="15">
        <v>117.3083333333333</v>
      </c>
      <c r="F95" s="6">
        <v>81.42250000000001</v>
      </c>
    </row>
    <row r="96" spans="1:6">
      <c r="A96" s="6" t="b">
        <v>0</v>
      </c>
      <c r="B96" s="6" t="s">
        <v>44</v>
      </c>
      <c r="C96" s="6" t="s">
        <v>309</v>
      </c>
      <c r="D96" s="7">
        <v>197</v>
      </c>
      <c r="E96" s="15">
        <v>69.59999999999999</v>
      </c>
      <c r="F96" s="6">
        <v>72.501</v>
      </c>
    </row>
    <row r="97" spans="1:6">
      <c r="A97" s="6" t="b">
        <v>0</v>
      </c>
      <c r="B97" s="6" t="s">
        <v>44</v>
      </c>
      <c r="C97" s="6" t="s">
        <v>310</v>
      </c>
      <c r="D97" s="7">
        <v>46</v>
      </c>
      <c r="E97" s="15">
        <v>76.95833333333333</v>
      </c>
      <c r="F97" s="6">
        <v>70.983</v>
      </c>
    </row>
    <row r="98" spans="1:6">
      <c r="A98" s="6" t="b">
        <v>0</v>
      </c>
      <c r="B98" s="6" t="s">
        <v>44</v>
      </c>
      <c r="C98" s="6" t="s">
        <v>311</v>
      </c>
      <c r="D98" s="7">
        <v>111</v>
      </c>
      <c r="E98" s="15">
        <v>31</v>
      </c>
      <c r="F98" s="6">
        <v>26.379</v>
      </c>
    </row>
    <row r="99" spans="1:6">
      <c r="A99" s="6" t="b">
        <v>0</v>
      </c>
      <c r="B99" s="6" t="s">
        <v>44</v>
      </c>
      <c r="C99" s="6" t="s">
        <v>312</v>
      </c>
      <c r="D99" s="7">
        <v>10</v>
      </c>
      <c r="E99" s="15">
        <v>79.65000000000001</v>
      </c>
      <c r="F99" s="6">
        <v>62.1605</v>
      </c>
    </row>
    <row r="100" spans="1:6">
      <c r="A100" s="6" t="b">
        <v>0</v>
      </c>
      <c r="B100" s="6" t="s">
        <v>44</v>
      </c>
      <c r="C100" s="6" t="s">
        <v>313</v>
      </c>
      <c r="D100" s="7">
        <v>89</v>
      </c>
      <c r="E100" s="15">
        <v>17</v>
      </c>
      <c r="F100" s="6">
        <v>14.981</v>
      </c>
    </row>
    <row r="101" spans="1:6">
      <c r="A101" s="6" t="b">
        <v>0</v>
      </c>
      <c r="B101" s="6" t="s">
        <v>44</v>
      </c>
      <c r="C101" s="6" t="s">
        <v>314</v>
      </c>
      <c r="D101" s="7">
        <v>34</v>
      </c>
      <c r="E101" s="15">
        <v>17.49166666666667</v>
      </c>
      <c r="F101" s="6">
        <v>16.3955</v>
      </c>
    </row>
    <row r="102" spans="1:6">
      <c r="A102" s="6" t="b">
        <v>0</v>
      </c>
      <c r="B102" s="6" t="s">
        <v>44</v>
      </c>
      <c r="C102" s="6" t="s">
        <v>315</v>
      </c>
      <c r="D102" s="7">
        <v>59</v>
      </c>
      <c r="E102" s="15">
        <v>21</v>
      </c>
      <c r="F102" s="6">
        <v>14.326</v>
      </c>
    </row>
    <row r="103" spans="1:6">
      <c r="A103" s="6" t="b">
        <v>0</v>
      </c>
      <c r="B103" s="6" t="s">
        <v>44</v>
      </c>
      <c r="C103" s="6" t="s">
        <v>317</v>
      </c>
      <c r="D103" s="7">
        <v>1</v>
      </c>
      <c r="E103" s="15">
        <v>17</v>
      </c>
      <c r="F103" s="6">
        <v>39.362</v>
      </c>
    </row>
    <row r="104" spans="1:6">
      <c r="A104" s="6" t="b">
        <v>0</v>
      </c>
      <c r="B104" s="6" t="s">
        <v>44</v>
      </c>
      <c r="C104" s="6" t="s">
        <v>318</v>
      </c>
      <c r="D104" s="7">
        <v>3</v>
      </c>
      <c r="E104" s="15">
        <v>46.16666666666666</v>
      </c>
      <c r="F104" s="6">
        <v>24.57</v>
      </c>
    </row>
    <row r="105" spans="1:6">
      <c r="A105" s="6" t="b">
        <v>0</v>
      </c>
      <c r="B105" s="6" t="s">
        <v>44</v>
      </c>
      <c r="C105" s="6" t="s">
        <v>319</v>
      </c>
      <c r="D105" s="7">
        <v>5</v>
      </c>
      <c r="E105" s="15">
        <v>89.88333333333334</v>
      </c>
      <c r="F105" s="6">
        <v>66.062</v>
      </c>
    </row>
    <row r="106" spans="1:6">
      <c r="A106" s="6" t="b">
        <v>0</v>
      </c>
      <c r="B106" s="6" t="s">
        <v>44</v>
      </c>
      <c r="C106" s="6" t="s">
        <v>320</v>
      </c>
      <c r="D106" s="7">
        <v>201</v>
      </c>
      <c r="E106" s="15">
        <v>13.5</v>
      </c>
      <c r="F106" s="6">
        <v>18.24</v>
      </c>
    </row>
    <row r="107" spans="1:6">
      <c r="A107" s="6" t="b">
        <v>0</v>
      </c>
      <c r="B107" s="6" t="s">
        <v>44</v>
      </c>
      <c r="C107" s="6" t="s">
        <v>321</v>
      </c>
      <c r="D107" s="7">
        <v>1</v>
      </c>
      <c r="E107" s="15">
        <v>65</v>
      </c>
      <c r="F107" s="6">
        <v>43.975</v>
      </c>
    </row>
    <row r="108" spans="1:6">
      <c r="A108" s="6" t="b">
        <v>0</v>
      </c>
      <c r="B108" s="6" t="s">
        <v>44</v>
      </c>
      <c r="C108" s="6" t="s">
        <v>322</v>
      </c>
      <c r="D108" s="7">
        <v>112</v>
      </c>
      <c r="E108" s="15">
        <v>34.25833333333333</v>
      </c>
      <c r="F108" s="6">
        <v>30.6325</v>
      </c>
    </row>
    <row r="109" spans="1:6">
      <c r="A109" s="6" t="b">
        <v>0</v>
      </c>
      <c r="B109" s="6" t="s">
        <v>44</v>
      </c>
      <c r="C109" s="6" t="s">
        <v>323</v>
      </c>
      <c r="D109" s="7">
        <v>39</v>
      </c>
      <c r="E109" s="15">
        <v>49</v>
      </c>
      <c r="F109" s="6">
        <v>60.2</v>
      </c>
    </row>
    <row r="110" spans="1:6">
      <c r="A110" s="6" t="b">
        <v>0</v>
      </c>
      <c r="B110" s="6" t="s">
        <v>44</v>
      </c>
      <c r="C110" s="6" t="s">
        <v>324</v>
      </c>
      <c r="D110" s="7">
        <v>585</v>
      </c>
      <c r="E110" s="15">
        <v>23</v>
      </c>
      <c r="F110" s="6">
        <v>30.672</v>
      </c>
    </row>
    <row r="111" spans="1:6">
      <c r="A111" s="6" t="b">
        <v>0</v>
      </c>
      <c r="B111" s="6" t="s">
        <v>44</v>
      </c>
      <c r="C111" s="6" t="s">
        <v>326</v>
      </c>
      <c r="D111" s="7">
        <v>78</v>
      </c>
      <c r="E111" s="15">
        <v>66.75833333333333</v>
      </c>
      <c r="F111" s="6">
        <v>48.8455</v>
      </c>
    </row>
    <row r="112" spans="1:6">
      <c r="A112" s="6" t="b">
        <v>0</v>
      </c>
      <c r="B112" s="6" t="s">
        <v>44</v>
      </c>
      <c r="C112" s="6" t="s">
        <v>327</v>
      </c>
      <c r="D112" s="7">
        <v>32</v>
      </c>
      <c r="E112" s="15">
        <v>43.75</v>
      </c>
      <c r="F112" s="6">
        <v>50.112</v>
      </c>
    </row>
    <row r="113" spans="1:6">
      <c r="A113" s="6" t="b">
        <v>0</v>
      </c>
      <c r="B113" s="6" t="s">
        <v>44</v>
      </c>
      <c r="C113" s="6" t="s">
        <v>328</v>
      </c>
      <c r="D113" s="7">
        <v>14</v>
      </c>
      <c r="E113" s="15">
        <v>32.08333333333333</v>
      </c>
      <c r="F113" s="6">
        <v>35.502</v>
      </c>
    </row>
    <row r="114" spans="1:6">
      <c r="A114" s="6" t="b">
        <v>0</v>
      </c>
      <c r="B114" s="6" t="s">
        <v>44</v>
      </c>
      <c r="C114" s="6" t="s">
        <v>329</v>
      </c>
      <c r="D114" s="7">
        <v>1058</v>
      </c>
      <c r="E114" s="15">
        <v>26</v>
      </c>
      <c r="F114" s="6">
        <v>21.708</v>
      </c>
    </row>
    <row r="115" spans="1:6">
      <c r="A115" s="6" t="b">
        <v>0</v>
      </c>
      <c r="B115" s="6" t="s">
        <v>44</v>
      </c>
      <c r="C115" s="6" t="s">
        <v>330</v>
      </c>
      <c r="D115" s="7">
        <v>1</v>
      </c>
      <c r="E115" s="15">
        <v>90.33333333333333</v>
      </c>
      <c r="F115" s="6">
        <v>72.53700000000001</v>
      </c>
    </row>
    <row r="116" spans="1:6">
      <c r="A116" s="6" t="b">
        <v>0</v>
      </c>
      <c r="B116" s="6" t="s">
        <v>44</v>
      </c>
      <c r="C116" s="6" t="s">
        <v>331</v>
      </c>
      <c r="D116" s="7">
        <v>306</v>
      </c>
      <c r="E116" s="15">
        <v>27.625</v>
      </c>
      <c r="F116" s="6">
        <v>37.008</v>
      </c>
    </row>
    <row r="117" spans="1:6">
      <c r="A117" s="6" t="b">
        <v>0</v>
      </c>
      <c r="B117" s="6" t="s">
        <v>44</v>
      </c>
      <c r="C117" s="6" t="s">
        <v>332</v>
      </c>
      <c r="D117" s="7">
        <v>117</v>
      </c>
      <c r="E117" s="15">
        <v>40.03333333333333</v>
      </c>
      <c r="F117" s="6">
        <v>61.807</v>
      </c>
    </row>
    <row r="118" spans="1:6">
      <c r="A118" s="6" t="b">
        <v>0</v>
      </c>
      <c r="B118" s="6" t="s">
        <v>44</v>
      </c>
      <c r="C118" s="6" t="s">
        <v>333</v>
      </c>
      <c r="D118" s="7">
        <v>185</v>
      </c>
      <c r="E118" s="15">
        <v>17</v>
      </c>
      <c r="F118" s="6">
        <v>37.201</v>
      </c>
    </row>
    <row r="119" spans="1:6">
      <c r="A119" s="6" t="b">
        <v>0</v>
      </c>
      <c r="B119" s="6" t="s">
        <v>86</v>
      </c>
      <c r="C119" s="6" t="s">
        <v>195</v>
      </c>
      <c r="D119" s="7">
        <v>57</v>
      </c>
      <c r="E119" s="15">
        <v>41</v>
      </c>
      <c r="F119" s="6">
        <v>64.07899999999999</v>
      </c>
    </row>
    <row r="120" spans="1:6">
      <c r="A120" s="6" t="b">
        <v>0</v>
      </c>
      <c r="B120" s="6" t="s">
        <v>86</v>
      </c>
      <c r="C120" s="6" t="s">
        <v>334</v>
      </c>
      <c r="D120" s="7">
        <v>1</v>
      </c>
      <c r="E120" s="15">
        <v>72</v>
      </c>
      <c r="F120" s="6">
        <v>66.009</v>
      </c>
    </row>
    <row r="121" spans="1:6">
      <c r="A121" s="6" t="b">
        <v>0</v>
      </c>
      <c r="B121" s="6" t="s">
        <v>86</v>
      </c>
      <c r="C121" s="6" t="s">
        <v>335</v>
      </c>
      <c r="D121" s="7">
        <v>44</v>
      </c>
      <c r="E121" s="15">
        <v>76.41666666666666</v>
      </c>
      <c r="F121" s="6">
        <v>46.032</v>
      </c>
    </row>
    <row r="122" spans="1:6">
      <c r="A122" s="6" t="b">
        <v>0</v>
      </c>
      <c r="B122" s="6" t="s">
        <v>86</v>
      </c>
      <c r="C122" s="6" t="s">
        <v>336</v>
      </c>
      <c r="D122" s="7">
        <v>408</v>
      </c>
      <c r="E122" s="15">
        <v>56.95833333333333</v>
      </c>
      <c r="F122" s="6">
        <v>42.795</v>
      </c>
    </row>
    <row r="123" spans="1:6">
      <c r="A123" s="6" t="b">
        <v>0</v>
      </c>
      <c r="B123" s="6" t="s">
        <v>86</v>
      </c>
      <c r="C123" s="6" t="s">
        <v>197</v>
      </c>
      <c r="D123" s="7">
        <v>111</v>
      </c>
      <c r="E123" s="15">
        <v>29</v>
      </c>
      <c r="F123" s="6">
        <v>38.804</v>
      </c>
    </row>
    <row r="124" spans="1:6">
      <c r="A124" s="6" t="b">
        <v>0</v>
      </c>
      <c r="B124" s="6" t="s">
        <v>86</v>
      </c>
      <c r="C124" s="6" t="s">
        <v>199</v>
      </c>
      <c r="D124" s="7">
        <v>56</v>
      </c>
      <c r="E124" s="15">
        <v>49.53333333333333</v>
      </c>
      <c r="F124" s="6">
        <v>40.9225</v>
      </c>
    </row>
    <row r="125" spans="1:6">
      <c r="A125" s="6" t="b">
        <v>0</v>
      </c>
      <c r="B125" s="6" t="s">
        <v>86</v>
      </c>
      <c r="C125" s="6" t="s">
        <v>337</v>
      </c>
      <c r="D125" s="7">
        <v>12</v>
      </c>
      <c r="E125" s="15">
        <v>50.90833333333333</v>
      </c>
      <c r="F125" s="6">
        <v>70.7295</v>
      </c>
    </row>
    <row r="126" spans="1:6">
      <c r="A126" s="6" t="b">
        <v>0</v>
      </c>
      <c r="B126" s="6" t="s">
        <v>86</v>
      </c>
      <c r="C126" s="6" t="s">
        <v>200</v>
      </c>
      <c r="D126" s="7">
        <v>16</v>
      </c>
      <c r="E126" s="15">
        <v>64.11666666666666</v>
      </c>
      <c r="F126" s="6">
        <v>68.693</v>
      </c>
    </row>
    <row r="127" spans="1:6">
      <c r="A127" s="6" t="b">
        <v>0</v>
      </c>
      <c r="B127" s="6" t="s">
        <v>86</v>
      </c>
      <c r="C127" s="6" t="s">
        <v>201</v>
      </c>
      <c r="D127" s="7">
        <v>38</v>
      </c>
      <c r="E127" s="15">
        <v>34.10833333333333</v>
      </c>
      <c r="F127" s="6">
        <v>42.803</v>
      </c>
    </row>
    <row r="128" spans="1:6">
      <c r="A128" s="6" t="b">
        <v>0</v>
      </c>
      <c r="B128" s="6" t="s">
        <v>86</v>
      </c>
      <c r="C128" s="6" t="s">
        <v>202</v>
      </c>
      <c r="D128" s="7">
        <v>266</v>
      </c>
      <c r="E128" s="15">
        <v>65.125</v>
      </c>
      <c r="F128" s="6">
        <v>48.7805</v>
      </c>
    </row>
    <row r="129" spans="1:6">
      <c r="A129" s="6" t="b">
        <v>0</v>
      </c>
      <c r="B129" s="6" t="s">
        <v>86</v>
      </c>
      <c r="C129" s="6" t="s">
        <v>203</v>
      </c>
      <c r="D129" s="7">
        <v>633</v>
      </c>
      <c r="E129" s="15">
        <v>8</v>
      </c>
      <c r="F129" s="6">
        <v>37.155</v>
      </c>
    </row>
    <row r="130" spans="1:6">
      <c r="A130" s="6" t="b">
        <v>0</v>
      </c>
      <c r="B130" s="6" t="s">
        <v>86</v>
      </c>
      <c r="C130" s="6" t="s">
        <v>204</v>
      </c>
      <c r="D130" s="7">
        <v>309</v>
      </c>
      <c r="E130" s="15">
        <v>45</v>
      </c>
      <c r="F130" s="6">
        <v>49.925</v>
      </c>
    </row>
    <row r="131" spans="1:6">
      <c r="A131" s="6" t="b">
        <v>0</v>
      </c>
      <c r="B131" s="6" t="s">
        <v>86</v>
      </c>
      <c r="C131" s="6" t="s">
        <v>338</v>
      </c>
      <c r="D131" s="7">
        <v>10</v>
      </c>
      <c r="E131" s="15">
        <v>54.91666666666667</v>
      </c>
      <c r="F131" s="6">
        <v>69.128</v>
      </c>
    </row>
    <row r="132" spans="1:6">
      <c r="A132" s="6" t="b">
        <v>0</v>
      </c>
      <c r="B132" s="6" t="s">
        <v>86</v>
      </c>
      <c r="C132" s="6" t="s">
        <v>339</v>
      </c>
      <c r="D132" s="7">
        <v>3</v>
      </c>
      <c r="E132" s="15">
        <v>52</v>
      </c>
      <c r="F132" s="6">
        <v>29.36</v>
      </c>
    </row>
    <row r="133" spans="1:6">
      <c r="A133" s="6" t="b">
        <v>0</v>
      </c>
      <c r="B133" s="6" t="s">
        <v>86</v>
      </c>
      <c r="C133" s="6" t="s">
        <v>205</v>
      </c>
      <c r="D133" s="7">
        <v>105</v>
      </c>
      <c r="E133" s="15">
        <v>41</v>
      </c>
      <c r="F133" s="6">
        <v>42.45</v>
      </c>
    </row>
    <row r="134" spans="1:6">
      <c r="A134" s="6" t="b">
        <v>0</v>
      </c>
      <c r="B134" s="6" t="s">
        <v>86</v>
      </c>
      <c r="C134" s="6" t="s">
        <v>340</v>
      </c>
      <c r="D134" s="7">
        <v>84</v>
      </c>
      <c r="E134" s="15">
        <v>53.35833333333333</v>
      </c>
      <c r="F134" s="6">
        <v>69.7055</v>
      </c>
    </row>
    <row r="135" spans="1:6">
      <c r="A135" s="6" t="b">
        <v>0</v>
      </c>
      <c r="B135" s="6" t="s">
        <v>86</v>
      </c>
      <c r="C135" s="6" t="s">
        <v>210</v>
      </c>
      <c r="D135" s="7">
        <v>3</v>
      </c>
      <c r="E135" s="15">
        <v>10</v>
      </c>
      <c r="F135" s="6">
        <v>9.720000000000001</v>
      </c>
    </row>
    <row r="136" spans="1:6">
      <c r="A136" s="6" t="b">
        <v>0</v>
      </c>
      <c r="B136" s="6" t="s">
        <v>86</v>
      </c>
      <c r="C136" s="6" t="s">
        <v>211</v>
      </c>
      <c r="D136" s="7">
        <v>136</v>
      </c>
      <c r="E136" s="15">
        <v>38</v>
      </c>
      <c r="F136" s="6">
        <v>42.7075</v>
      </c>
    </row>
    <row r="137" spans="1:6">
      <c r="A137" s="6" t="b">
        <v>0</v>
      </c>
      <c r="B137" s="6" t="s">
        <v>86</v>
      </c>
      <c r="C137" s="6" t="s">
        <v>212</v>
      </c>
      <c r="D137" s="7">
        <v>33</v>
      </c>
      <c r="E137" s="15">
        <v>36</v>
      </c>
      <c r="F137" s="6">
        <v>42.903</v>
      </c>
    </row>
    <row r="138" spans="1:6">
      <c r="A138" s="6" t="b">
        <v>0</v>
      </c>
      <c r="B138" s="6" t="s">
        <v>86</v>
      </c>
      <c r="C138" s="6" t="s">
        <v>213</v>
      </c>
      <c r="D138" s="7">
        <v>14</v>
      </c>
      <c r="E138" s="15">
        <v>69</v>
      </c>
      <c r="F138" s="6">
        <v>68.70699999999999</v>
      </c>
    </row>
    <row r="139" spans="1:6">
      <c r="A139" s="6" t="b">
        <v>0</v>
      </c>
      <c r="B139" s="6" t="s">
        <v>86</v>
      </c>
      <c r="C139" s="6" t="s">
        <v>214</v>
      </c>
      <c r="D139" s="7">
        <v>3</v>
      </c>
      <c r="E139" s="15">
        <v>28</v>
      </c>
      <c r="F139" s="6">
        <v>36.827</v>
      </c>
    </row>
    <row r="140" spans="1:6">
      <c r="A140" s="6" t="b">
        <v>0</v>
      </c>
      <c r="B140" s="6" t="s">
        <v>86</v>
      </c>
      <c r="C140" s="6" t="s">
        <v>215</v>
      </c>
      <c r="D140" s="7">
        <v>196</v>
      </c>
      <c r="E140" s="15">
        <v>62</v>
      </c>
      <c r="F140" s="6">
        <v>53.262</v>
      </c>
    </row>
    <row r="141" spans="1:6">
      <c r="A141" s="6" t="b">
        <v>0</v>
      </c>
      <c r="B141" s="6" t="s">
        <v>86</v>
      </c>
      <c r="C141" s="6" t="s">
        <v>341</v>
      </c>
      <c r="D141" s="7">
        <v>2</v>
      </c>
      <c r="E141" s="15">
        <v>49.875</v>
      </c>
      <c r="F141" s="6">
        <v>51.9785</v>
      </c>
    </row>
    <row r="142" spans="1:6">
      <c r="A142" s="6" t="b">
        <v>0</v>
      </c>
      <c r="B142" s="6" t="s">
        <v>86</v>
      </c>
      <c r="C142" s="6" t="s">
        <v>217</v>
      </c>
      <c r="D142" s="7">
        <v>90</v>
      </c>
      <c r="E142" s="15">
        <v>49</v>
      </c>
      <c r="F142" s="6">
        <v>57.7565</v>
      </c>
    </row>
    <row r="143" spans="1:6">
      <c r="A143" s="6" t="b">
        <v>0</v>
      </c>
      <c r="B143" s="6" t="s">
        <v>86</v>
      </c>
      <c r="C143" s="6" t="s">
        <v>218</v>
      </c>
      <c r="D143" s="7">
        <v>8</v>
      </c>
      <c r="E143" s="15">
        <v>37.6</v>
      </c>
      <c r="F143" s="6">
        <v>43.8575</v>
      </c>
    </row>
    <row r="144" spans="1:6">
      <c r="A144" s="6" t="b">
        <v>0</v>
      </c>
      <c r="B144" s="6" t="s">
        <v>86</v>
      </c>
      <c r="C144" s="6" t="s">
        <v>342</v>
      </c>
      <c r="D144" s="7">
        <v>115</v>
      </c>
      <c r="E144" s="15">
        <v>8</v>
      </c>
      <c r="F144" s="6">
        <v>39.339</v>
      </c>
    </row>
    <row r="145" spans="1:6">
      <c r="A145" s="6" t="b">
        <v>0</v>
      </c>
      <c r="B145" s="6" t="s">
        <v>86</v>
      </c>
      <c r="C145" s="6" t="s">
        <v>343</v>
      </c>
      <c r="D145" s="7">
        <v>2</v>
      </c>
      <c r="E145" s="15">
        <v>50.60833333333333</v>
      </c>
      <c r="F145" s="6">
        <v>0</v>
      </c>
    </row>
    <row r="146" spans="1:6">
      <c r="A146" s="6" t="b">
        <v>0</v>
      </c>
      <c r="B146" s="6" t="s">
        <v>86</v>
      </c>
      <c r="C146" s="6" t="s">
        <v>223</v>
      </c>
      <c r="D146" s="7">
        <v>181</v>
      </c>
      <c r="E146" s="15">
        <v>7.983333333333333</v>
      </c>
      <c r="F146" s="6">
        <v>33.108</v>
      </c>
    </row>
    <row r="147" spans="1:6">
      <c r="A147" s="6" t="b">
        <v>0</v>
      </c>
      <c r="B147" s="6" t="s">
        <v>86</v>
      </c>
      <c r="C147" s="6" t="s">
        <v>224</v>
      </c>
      <c r="D147" s="7">
        <v>123</v>
      </c>
      <c r="E147" s="15">
        <v>47</v>
      </c>
      <c r="F147" s="6">
        <v>49.522</v>
      </c>
    </row>
    <row r="148" spans="1:6">
      <c r="A148" s="6" t="b">
        <v>0</v>
      </c>
      <c r="B148" s="6" t="s">
        <v>86</v>
      </c>
      <c r="C148" s="6" t="s">
        <v>226</v>
      </c>
      <c r="D148" s="7">
        <v>181</v>
      </c>
      <c r="E148" s="15">
        <v>51.55</v>
      </c>
      <c r="F148" s="6">
        <v>43.063</v>
      </c>
    </row>
    <row r="149" spans="1:6">
      <c r="A149" s="6" t="b">
        <v>0</v>
      </c>
      <c r="B149" s="6" t="s">
        <v>86</v>
      </c>
      <c r="C149" s="6" t="s">
        <v>344</v>
      </c>
      <c r="D149" s="7">
        <v>12</v>
      </c>
      <c r="E149" s="15">
        <v>74.90833333333333</v>
      </c>
      <c r="F149" s="6">
        <v>51.83799999999999</v>
      </c>
    </row>
    <row r="150" spans="1:6">
      <c r="A150" s="6" t="b">
        <v>0</v>
      </c>
      <c r="B150" s="6" t="s">
        <v>86</v>
      </c>
      <c r="C150" s="6" t="s">
        <v>345</v>
      </c>
      <c r="D150" s="7">
        <v>76</v>
      </c>
      <c r="E150" s="15">
        <v>8</v>
      </c>
      <c r="F150" s="6">
        <v>33.64</v>
      </c>
    </row>
    <row r="151" spans="1:6">
      <c r="A151" s="6" t="b">
        <v>0</v>
      </c>
      <c r="B151" s="6" t="s">
        <v>86</v>
      </c>
      <c r="C151" s="6" t="s">
        <v>227</v>
      </c>
      <c r="D151" s="7">
        <v>39</v>
      </c>
      <c r="E151" s="15">
        <v>39</v>
      </c>
      <c r="F151" s="6">
        <v>44.82</v>
      </c>
    </row>
    <row r="152" spans="1:6">
      <c r="A152" s="6" t="b">
        <v>0</v>
      </c>
      <c r="B152" s="6" t="s">
        <v>86</v>
      </c>
      <c r="C152" s="6" t="s">
        <v>228</v>
      </c>
      <c r="D152" s="7">
        <v>2</v>
      </c>
      <c r="E152" s="15">
        <v>80.5</v>
      </c>
      <c r="F152" s="6">
        <v>36.663</v>
      </c>
    </row>
    <row r="153" spans="1:6">
      <c r="A153" s="6" t="b">
        <v>0</v>
      </c>
      <c r="B153" s="6" t="s">
        <v>86</v>
      </c>
      <c r="C153" s="6" t="s">
        <v>229</v>
      </c>
      <c r="D153" s="7">
        <v>111</v>
      </c>
      <c r="E153" s="15">
        <v>5</v>
      </c>
      <c r="F153" s="6">
        <v>37.431</v>
      </c>
    </row>
    <row r="154" spans="1:6">
      <c r="A154" s="6" t="b">
        <v>0</v>
      </c>
      <c r="B154" s="6" t="s">
        <v>86</v>
      </c>
      <c r="C154" s="6" t="s">
        <v>230</v>
      </c>
      <c r="D154" s="7">
        <v>150</v>
      </c>
      <c r="E154" s="15">
        <v>8</v>
      </c>
      <c r="F154" s="6">
        <v>21.7275</v>
      </c>
    </row>
    <row r="155" spans="1:6">
      <c r="A155" s="6" t="b">
        <v>0</v>
      </c>
      <c r="B155" s="6" t="s">
        <v>86</v>
      </c>
      <c r="C155" s="6" t="s">
        <v>231</v>
      </c>
      <c r="D155" s="7">
        <v>4</v>
      </c>
      <c r="E155" s="15">
        <v>46</v>
      </c>
      <c r="F155" s="6">
        <v>68.84700000000001</v>
      </c>
    </row>
    <row r="156" spans="1:6">
      <c r="A156" s="6" t="b">
        <v>0</v>
      </c>
      <c r="B156" s="6" t="s">
        <v>86</v>
      </c>
      <c r="C156" s="6" t="s">
        <v>346</v>
      </c>
      <c r="D156" s="7">
        <v>3</v>
      </c>
      <c r="E156" s="15">
        <v>46</v>
      </c>
      <c r="F156" s="6">
        <v>69.705</v>
      </c>
    </row>
    <row r="157" spans="1:6">
      <c r="A157" s="6" t="b">
        <v>0</v>
      </c>
      <c r="B157" s="6" t="s">
        <v>86</v>
      </c>
      <c r="C157" s="6" t="s">
        <v>233</v>
      </c>
      <c r="D157" s="7">
        <v>19</v>
      </c>
      <c r="E157" s="15">
        <v>27.26666666666667</v>
      </c>
      <c r="F157" s="6">
        <v>42.316</v>
      </c>
    </row>
    <row r="158" spans="1:6">
      <c r="A158" s="6" t="b">
        <v>0</v>
      </c>
      <c r="B158" s="6" t="s">
        <v>86</v>
      </c>
      <c r="C158" s="6" t="s">
        <v>234</v>
      </c>
      <c r="D158" s="7">
        <v>81</v>
      </c>
      <c r="E158" s="15">
        <v>49</v>
      </c>
      <c r="F158" s="6">
        <v>41.758</v>
      </c>
    </row>
    <row r="159" spans="1:6">
      <c r="A159" s="6" t="b">
        <v>0</v>
      </c>
      <c r="B159" s="6" t="s">
        <v>86</v>
      </c>
      <c r="C159" s="6" t="s">
        <v>236</v>
      </c>
      <c r="D159" s="7">
        <v>186</v>
      </c>
      <c r="E159" s="15">
        <v>44.98333333333333</v>
      </c>
      <c r="F159" s="6">
        <v>62.61499999999999</v>
      </c>
    </row>
    <row r="160" spans="1:6">
      <c r="A160" s="6" t="b">
        <v>0</v>
      </c>
      <c r="B160" s="6" t="s">
        <v>86</v>
      </c>
      <c r="C160" s="6" t="s">
        <v>237</v>
      </c>
      <c r="D160" s="7">
        <v>1</v>
      </c>
      <c r="E160" s="15">
        <v>44</v>
      </c>
      <c r="F160" s="6">
        <v>39.1</v>
      </c>
    </row>
    <row r="161" spans="1:6">
      <c r="A161" s="6" t="b">
        <v>0</v>
      </c>
      <c r="B161" s="6" t="s">
        <v>86</v>
      </c>
      <c r="C161" s="6" t="s">
        <v>239</v>
      </c>
      <c r="D161" s="7">
        <v>103</v>
      </c>
      <c r="E161" s="15">
        <v>44.55</v>
      </c>
      <c r="F161" s="6">
        <v>18.656</v>
      </c>
    </row>
    <row r="162" spans="1:6">
      <c r="A162" s="6" t="b">
        <v>0</v>
      </c>
      <c r="B162" s="6" t="s">
        <v>86</v>
      </c>
      <c r="C162" s="6" t="s">
        <v>347</v>
      </c>
      <c r="D162" s="7">
        <v>1</v>
      </c>
      <c r="E162" s="15">
        <v>69.23333333333333</v>
      </c>
      <c r="F162" s="6">
        <v>64.51000000000001</v>
      </c>
    </row>
    <row r="163" spans="1:6">
      <c r="A163" s="6" t="b">
        <v>0</v>
      </c>
      <c r="B163" s="6" t="s">
        <v>86</v>
      </c>
      <c r="C163" s="6" t="s">
        <v>241</v>
      </c>
      <c r="D163" s="7">
        <v>161</v>
      </c>
      <c r="E163" s="15">
        <v>8.983333333333333</v>
      </c>
      <c r="F163" s="6">
        <v>17.182</v>
      </c>
    </row>
    <row r="164" spans="1:6">
      <c r="A164" s="6" t="b">
        <v>0</v>
      </c>
      <c r="B164" s="6" t="s">
        <v>86</v>
      </c>
      <c r="C164" s="6" t="s">
        <v>242</v>
      </c>
      <c r="D164" s="7">
        <v>190</v>
      </c>
      <c r="E164" s="15">
        <v>35.83333333333333</v>
      </c>
      <c r="F164" s="6">
        <v>44.01600000000001</v>
      </c>
    </row>
    <row r="165" spans="1:6">
      <c r="A165" s="6" t="b">
        <v>0</v>
      </c>
      <c r="B165" s="6" t="s">
        <v>86</v>
      </c>
      <c r="C165" s="6" t="s">
        <v>245</v>
      </c>
      <c r="D165" s="7">
        <v>104</v>
      </c>
      <c r="E165" s="15">
        <v>6.05</v>
      </c>
      <c r="F165" s="6">
        <v>26.0835</v>
      </c>
    </row>
    <row r="166" spans="1:6">
      <c r="A166" s="6" t="b">
        <v>0</v>
      </c>
      <c r="B166" s="6" t="s">
        <v>86</v>
      </c>
      <c r="C166" s="6" t="s">
        <v>348</v>
      </c>
      <c r="D166" s="7">
        <v>23</v>
      </c>
      <c r="E166" s="15">
        <v>67</v>
      </c>
      <c r="F166" s="6">
        <v>69.039</v>
      </c>
    </row>
    <row r="167" spans="1:6">
      <c r="A167" s="6" t="b">
        <v>0</v>
      </c>
      <c r="B167" s="6" t="s">
        <v>86</v>
      </c>
      <c r="C167" s="6" t="s">
        <v>349</v>
      </c>
      <c r="D167" s="7">
        <v>3</v>
      </c>
      <c r="E167" s="15">
        <v>81.75</v>
      </c>
      <c r="F167" s="6">
        <v>67.10299999999999</v>
      </c>
    </row>
    <row r="168" spans="1:6">
      <c r="A168" s="6" t="b">
        <v>0</v>
      </c>
      <c r="B168" s="6" t="s">
        <v>86</v>
      </c>
      <c r="C168" s="6" t="s">
        <v>350</v>
      </c>
      <c r="D168" s="7">
        <v>6</v>
      </c>
      <c r="E168" s="15">
        <v>60.49166666666667</v>
      </c>
      <c r="F168" s="6">
        <v>0</v>
      </c>
    </row>
    <row r="169" spans="1:6">
      <c r="A169" s="6" t="b">
        <v>0</v>
      </c>
      <c r="B169" s="6" t="s">
        <v>86</v>
      </c>
      <c r="C169" s="6" t="s">
        <v>247</v>
      </c>
      <c r="D169" s="7">
        <v>60</v>
      </c>
      <c r="E169" s="15">
        <v>27.70833333333334</v>
      </c>
      <c r="F169" s="6">
        <v>42.21599999999999</v>
      </c>
    </row>
    <row r="170" spans="1:6">
      <c r="A170" s="6" t="b">
        <v>0</v>
      </c>
      <c r="B170" s="6" t="s">
        <v>86</v>
      </c>
      <c r="C170" s="6" t="s">
        <v>248</v>
      </c>
      <c r="D170" s="7">
        <v>12</v>
      </c>
      <c r="E170" s="15">
        <v>59</v>
      </c>
      <c r="F170" s="6">
        <v>41.377</v>
      </c>
    </row>
    <row r="171" spans="1:6">
      <c r="A171" s="6" t="b">
        <v>0</v>
      </c>
      <c r="B171" s="6" t="s">
        <v>86</v>
      </c>
      <c r="C171" s="6" t="s">
        <v>249</v>
      </c>
      <c r="D171" s="7">
        <v>497</v>
      </c>
      <c r="E171" s="15">
        <v>8</v>
      </c>
      <c r="F171" s="6">
        <v>32.456</v>
      </c>
    </row>
    <row r="172" spans="1:6">
      <c r="A172" s="6" t="b">
        <v>0</v>
      </c>
      <c r="B172" s="6" t="s">
        <v>86</v>
      </c>
      <c r="C172" s="6" t="s">
        <v>351</v>
      </c>
      <c r="D172" s="7">
        <v>5</v>
      </c>
      <c r="E172" s="15">
        <v>9</v>
      </c>
      <c r="F172" s="6">
        <v>31.664</v>
      </c>
    </row>
    <row r="173" spans="1:6">
      <c r="A173" s="6" t="b">
        <v>0</v>
      </c>
      <c r="B173" s="6" t="s">
        <v>86</v>
      </c>
      <c r="C173" s="6" t="s">
        <v>352</v>
      </c>
      <c r="D173" s="7">
        <v>10</v>
      </c>
      <c r="E173" s="15">
        <v>64.825</v>
      </c>
      <c r="F173" s="6">
        <v>68.52850000000001</v>
      </c>
    </row>
    <row r="174" spans="1:6">
      <c r="A174" s="6" t="b">
        <v>0</v>
      </c>
      <c r="B174" s="6" t="s">
        <v>86</v>
      </c>
      <c r="C174" s="6" t="s">
        <v>251</v>
      </c>
      <c r="D174" s="7">
        <v>2</v>
      </c>
      <c r="E174" s="15">
        <v>5.316666666666666</v>
      </c>
      <c r="F174" s="6">
        <v>21.085</v>
      </c>
    </row>
    <row r="175" spans="1:6">
      <c r="A175" s="6" t="b">
        <v>0</v>
      </c>
      <c r="B175" s="6" t="s">
        <v>86</v>
      </c>
      <c r="C175" s="6" t="s">
        <v>252</v>
      </c>
      <c r="D175" s="7">
        <v>25</v>
      </c>
      <c r="E175" s="15">
        <v>35.93333333333333</v>
      </c>
      <c r="F175" s="6">
        <v>47.503</v>
      </c>
    </row>
    <row r="176" spans="1:6">
      <c r="A176" s="6" t="b">
        <v>0</v>
      </c>
      <c r="B176" s="6" t="s">
        <v>86</v>
      </c>
      <c r="C176" s="6" t="s">
        <v>253</v>
      </c>
      <c r="D176" s="7">
        <v>158</v>
      </c>
      <c r="E176" s="15">
        <v>7.241666666666667</v>
      </c>
      <c r="F176" s="6">
        <v>18.954</v>
      </c>
    </row>
    <row r="177" spans="1:6">
      <c r="A177" s="6" t="b">
        <v>0</v>
      </c>
      <c r="B177" s="6" t="s">
        <v>86</v>
      </c>
      <c r="C177" s="6" t="s">
        <v>353</v>
      </c>
      <c r="D177" s="7">
        <v>2</v>
      </c>
      <c r="E177" s="15">
        <v>102.3</v>
      </c>
      <c r="F177" s="6">
        <v>70.1725</v>
      </c>
    </row>
    <row r="178" spans="1:6">
      <c r="A178" s="6" t="b">
        <v>0</v>
      </c>
      <c r="B178" s="6" t="s">
        <v>86</v>
      </c>
      <c r="C178" s="6" t="s">
        <v>257</v>
      </c>
      <c r="D178" s="7">
        <v>5</v>
      </c>
      <c r="E178" s="15">
        <v>47</v>
      </c>
      <c r="F178" s="6">
        <v>69.527</v>
      </c>
    </row>
    <row r="179" spans="1:6">
      <c r="A179" s="6" t="b">
        <v>0</v>
      </c>
      <c r="B179" s="6" t="s">
        <v>86</v>
      </c>
      <c r="C179" s="6" t="s">
        <v>258</v>
      </c>
      <c r="D179" s="7">
        <v>2</v>
      </c>
      <c r="E179" s="15">
        <v>40.5</v>
      </c>
      <c r="F179" s="6">
        <v>69.16249999999999</v>
      </c>
    </row>
    <row r="180" spans="1:6">
      <c r="A180" s="6" t="b">
        <v>0</v>
      </c>
      <c r="B180" s="6" t="s">
        <v>86</v>
      </c>
      <c r="C180" s="6" t="s">
        <v>259</v>
      </c>
      <c r="D180" s="7">
        <v>28</v>
      </c>
      <c r="E180" s="15">
        <v>61.94166666666666</v>
      </c>
      <c r="F180" s="6">
        <v>41.5295</v>
      </c>
    </row>
    <row r="181" spans="1:6">
      <c r="A181" s="6" t="b">
        <v>0</v>
      </c>
      <c r="B181" s="6" t="s">
        <v>86</v>
      </c>
      <c r="C181" s="6" t="s">
        <v>260</v>
      </c>
      <c r="D181" s="7">
        <v>830</v>
      </c>
      <c r="E181" s="15">
        <v>53.18333333333334</v>
      </c>
      <c r="F181" s="6">
        <v>70.285</v>
      </c>
    </row>
    <row r="182" spans="1:6">
      <c r="A182" s="6" t="b">
        <v>0</v>
      </c>
      <c r="B182" s="6" t="s">
        <v>86</v>
      </c>
      <c r="C182" s="6" t="s">
        <v>262</v>
      </c>
      <c r="D182" s="7">
        <v>1</v>
      </c>
      <c r="E182" s="15">
        <v>85</v>
      </c>
      <c r="F182" s="6">
        <v>42</v>
      </c>
    </row>
    <row r="183" spans="1:6">
      <c r="A183" s="6" t="b">
        <v>0</v>
      </c>
      <c r="B183" s="6" t="s">
        <v>86</v>
      </c>
      <c r="C183" s="6" t="s">
        <v>263</v>
      </c>
      <c r="D183" s="7">
        <v>46</v>
      </c>
      <c r="E183" s="15">
        <v>46.18333333333334</v>
      </c>
      <c r="F183" s="6">
        <v>67.76849999999999</v>
      </c>
    </row>
    <row r="184" spans="1:6">
      <c r="A184" s="6" t="b">
        <v>0</v>
      </c>
      <c r="B184" s="6" t="s">
        <v>86</v>
      </c>
      <c r="C184" s="6" t="s">
        <v>264</v>
      </c>
      <c r="D184" s="7">
        <v>27</v>
      </c>
      <c r="E184" s="15">
        <v>64.26666666666667</v>
      </c>
      <c r="F184" s="6">
        <v>68.86</v>
      </c>
    </row>
    <row r="185" spans="1:6">
      <c r="A185" s="6" t="b">
        <v>0</v>
      </c>
      <c r="B185" s="6" t="s">
        <v>86</v>
      </c>
      <c r="C185" s="6" t="s">
        <v>265</v>
      </c>
      <c r="D185" s="7">
        <v>77</v>
      </c>
      <c r="E185" s="15">
        <v>70.31666666666666</v>
      </c>
      <c r="F185" s="6">
        <v>67.92700000000001</v>
      </c>
    </row>
    <row r="186" spans="1:6">
      <c r="A186" s="6" t="b">
        <v>0</v>
      </c>
      <c r="B186" s="6" t="s">
        <v>86</v>
      </c>
      <c r="C186" s="6" t="s">
        <v>266</v>
      </c>
      <c r="D186" s="7">
        <v>8</v>
      </c>
      <c r="E186" s="15">
        <v>41.60833333333333</v>
      </c>
      <c r="F186" s="6">
        <v>38.1935</v>
      </c>
    </row>
    <row r="187" spans="1:6">
      <c r="A187" s="6" t="b">
        <v>0</v>
      </c>
      <c r="B187" s="6" t="s">
        <v>86</v>
      </c>
      <c r="C187" s="6" t="s">
        <v>355</v>
      </c>
      <c r="D187" s="7">
        <v>8</v>
      </c>
      <c r="E187" s="15">
        <v>48.5</v>
      </c>
      <c r="F187" s="6">
        <v>70.247</v>
      </c>
    </row>
    <row r="188" spans="1:6">
      <c r="A188" s="6" t="b">
        <v>0</v>
      </c>
      <c r="B188" s="6" t="s">
        <v>86</v>
      </c>
      <c r="C188" s="6" t="s">
        <v>267</v>
      </c>
      <c r="D188" s="7">
        <v>877</v>
      </c>
      <c r="E188" s="15">
        <v>8</v>
      </c>
      <c r="F188" s="6">
        <v>21.629</v>
      </c>
    </row>
    <row r="189" spans="1:6">
      <c r="A189" s="6" t="b">
        <v>0</v>
      </c>
      <c r="B189" s="6" t="s">
        <v>86</v>
      </c>
      <c r="C189" s="6" t="s">
        <v>269</v>
      </c>
      <c r="D189" s="7">
        <v>6</v>
      </c>
      <c r="E189" s="15">
        <v>44.5</v>
      </c>
      <c r="F189" s="6">
        <v>68.9325</v>
      </c>
    </row>
    <row r="190" spans="1:6">
      <c r="A190" s="6" t="b">
        <v>0</v>
      </c>
      <c r="B190" s="6" t="s">
        <v>86</v>
      </c>
      <c r="C190" s="6" t="s">
        <v>356</v>
      </c>
      <c r="D190" s="7">
        <v>5</v>
      </c>
      <c r="E190" s="15">
        <v>48.93333333333333</v>
      </c>
      <c r="F190" s="6">
        <v>10.656</v>
      </c>
    </row>
    <row r="191" spans="1:6">
      <c r="A191" s="6" t="b">
        <v>0</v>
      </c>
      <c r="B191" s="6" t="s">
        <v>86</v>
      </c>
      <c r="C191" s="6" t="s">
        <v>270</v>
      </c>
      <c r="D191" s="7">
        <v>11</v>
      </c>
      <c r="E191" s="15">
        <v>27.28333333333333</v>
      </c>
      <c r="F191" s="6">
        <v>37.332</v>
      </c>
    </row>
    <row r="192" spans="1:6">
      <c r="A192" s="6" t="b">
        <v>0</v>
      </c>
      <c r="B192" s="6" t="s">
        <v>86</v>
      </c>
      <c r="C192" s="6" t="s">
        <v>271</v>
      </c>
      <c r="D192" s="7">
        <v>171</v>
      </c>
      <c r="E192" s="15">
        <v>47.58333333333334</v>
      </c>
      <c r="F192" s="6">
        <v>46.332</v>
      </c>
    </row>
    <row r="193" spans="1:6">
      <c r="A193" s="6" t="b">
        <v>0</v>
      </c>
      <c r="B193" s="6" t="s">
        <v>86</v>
      </c>
      <c r="C193" s="6" t="s">
        <v>273</v>
      </c>
      <c r="D193" s="7">
        <v>78</v>
      </c>
      <c r="E193" s="15">
        <v>38.09999999999999</v>
      </c>
      <c r="F193" s="6">
        <v>39.67749999999999</v>
      </c>
    </row>
    <row r="194" spans="1:6">
      <c r="A194" s="6" t="b">
        <v>0</v>
      </c>
      <c r="B194" s="6" t="s">
        <v>86</v>
      </c>
      <c r="C194" s="6" t="s">
        <v>274</v>
      </c>
      <c r="D194" s="7">
        <v>2</v>
      </c>
      <c r="E194" s="15">
        <v>85.5</v>
      </c>
      <c r="F194" s="6">
        <v>41.2715</v>
      </c>
    </row>
    <row r="195" spans="1:6">
      <c r="A195" s="6" t="b">
        <v>0</v>
      </c>
      <c r="B195" s="6" t="s">
        <v>86</v>
      </c>
      <c r="C195" s="6" t="s">
        <v>276</v>
      </c>
      <c r="D195" s="7">
        <v>32</v>
      </c>
      <c r="E195" s="15">
        <v>37.45</v>
      </c>
      <c r="F195" s="6">
        <v>41.764</v>
      </c>
    </row>
    <row r="196" spans="1:6">
      <c r="A196" s="6" t="b">
        <v>0</v>
      </c>
      <c r="B196" s="6" t="s">
        <v>86</v>
      </c>
      <c r="C196" s="6" t="s">
        <v>278</v>
      </c>
      <c r="D196" s="7">
        <v>99</v>
      </c>
      <c r="E196" s="15">
        <v>40.01666666666667</v>
      </c>
      <c r="F196" s="6">
        <v>56.535</v>
      </c>
    </row>
    <row r="197" spans="1:6">
      <c r="A197" s="6" t="b">
        <v>0</v>
      </c>
      <c r="B197" s="6" t="s">
        <v>86</v>
      </c>
      <c r="C197" s="6" t="s">
        <v>279</v>
      </c>
      <c r="D197" s="7">
        <v>1</v>
      </c>
      <c r="E197" s="15">
        <v>95</v>
      </c>
      <c r="F197" s="6">
        <v>72.053</v>
      </c>
    </row>
    <row r="198" spans="1:6">
      <c r="A198" s="6" t="b">
        <v>0</v>
      </c>
      <c r="B198" s="6" t="s">
        <v>86</v>
      </c>
      <c r="C198" s="6" t="s">
        <v>280</v>
      </c>
      <c r="D198" s="7">
        <v>140</v>
      </c>
      <c r="E198" s="15">
        <v>52.99166666666667</v>
      </c>
      <c r="F198" s="6">
        <v>41.3255</v>
      </c>
    </row>
    <row r="199" spans="1:6">
      <c r="A199" s="6" t="b">
        <v>0</v>
      </c>
      <c r="B199" s="6" t="s">
        <v>86</v>
      </c>
      <c r="C199" s="6" t="s">
        <v>281</v>
      </c>
      <c r="D199" s="7">
        <v>235</v>
      </c>
      <c r="E199" s="15">
        <v>37.11666666666667</v>
      </c>
      <c r="F199" s="6">
        <v>24.959</v>
      </c>
    </row>
    <row r="200" spans="1:6">
      <c r="A200" s="6" t="b">
        <v>0</v>
      </c>
      <c r="B200" s="6" t="s">
        <v>86</v>
      </c>
      <c r="C200" s="6" t="s">
        <v>283</v>
      </c>
      <c r="D200" s="7">
        <v>37</v>
      </c>
      <c r="E200" s="15">
        <v>26.78333333333333</v>
      </c>
      <c r="F200" s="6">
        <v>40.606</v>
      </c>
    </row>
    <row r="201" spans="1:6">
      <c r="A201" s="6" t="b">
        <v>0</v>
      </c>
      <c r="B201" s="6" t="s">
        <v>86</v>
      </c>
      <c r="C201" s="6" t="s">
        <v>284</v>
      </c>
      <c r="D201" s="7">
        <v>40</v>
      </c>
      <c r="E201" s="15">
        <v>52.41666666666666</v>
      </c>
      <c r="F201" s="6">
        <v>55.5915</v>
      </c>
    </row>
    <row r="202" spans="1:6">
      <c r="A202" s="6" t="b">
        <v>0</v>
      </c>
      <c r="B202" s="6" t="s">
        <v>86</v>
      </c>
      <c r="C202" s="6" t="s">
        <v>285</v>
      </c>
      <c r="D202" s="7">
        <v>2</v>
      </c>
      <c r="E202" s="15">
        <v>102.5583333333333</v>
      </c>
      <c r="F202" s="6">
        <v>20.6745</v>
      </c>
    </row>
    <row r="203" spans="1:6">
      <c r="A203" s="6" t="b">
        <v>0</v>
      </c>
      <c r="B203" s="6" t="s">
        <v>86</v>
      </c>
      <c r="C203" s="6" t="s">
        <v>357</v>
      </c>
      <c r="D203" s="7">
        <v>7</v>
      </c>
      <c r="E203" s="15">
        <v>67.90000000000001</v>
      </c>
      <c r="F203" s="6">
        <v>67.03100000000001</v>
      </c>
    </row>
    <row r="204" spans="1:6">
      <c r="A204" s="6" t="b">
        <v>0</v>
      </c>
      <c r="B204" s="6" t="s">
        <v>86</v>
      </c>
      <c r="C204" s="6" t="s">
        <v>358</v>
      </c>
      <c r="D204" s="7">
        <v>3</v>
      </c>
      <c r="E204" s="15">
        <v>46.81666666666667</v>
      </c>
      <c r="F204" s="6">
        <v>0</v>
      </c>
    </row>
    <row r="205" spans="1:6">
      <c r="A205" s="6" t="b">
        <v>0</v>
      </c>
      <c r="B205" s="6" t="s">
        <v>86</v>
      </c>
      <c r="C205" s="6" t="s">
        <v>359</v>
      </c>
      <c r="D205" s="7">
        <v>29</v>
      </c>
      <c r="E205" s="15">
        <v>29.98333333333333</v>
      </c>
      <c r="F205" s="6">
        <v>37.697</v>
      </c>
    </row>
    <row r="206" spans="1:6">
      <c r="A206" s="6" t="b">
        <v>0</v>
      </c>
      <c r="B206" s="6" t="s">
        <v>86</v>
      </c>
      <c r="C206" s="6" t="s">
        <v>289</v>
      </c>
      <c r="D206" s="7">
        <v>663</v>
      </c>
      <c r="E206" s="15">
        <v>65</v>
      </c>
      <c r="F206" s="6">
        <v>38.64</v>
      </c>
    </row>
    <row r="207" spans="1:6">
      <c r="A207" s="6" t="b">
        <v>0</v>
      </c>
      <c r="B207" s="6" t="s">
        <v>86</v>
      </c>
      <c r="C207" s="6" t="s">
        <v>360</v>
      </c>
      <c r="D207" s="7">
        <v>16</v>
      </c>
      <c r="E207" s="15">
        <v>60.11666666666667</v>
      </c>
      <c r="F207" s="6">
        <v>68.84350000000001</v>
      </c>
    </row>
    <row r="208" spans="1:6">
      <c r="A208" s="6" t="b">
        <v>0</v>
      </c>
      <c r="B208" s="6" t="s">
        <v>86</v>
      </c>
      <c r="C208" s="6" t="s">
        <v>292</v>
      </c>
      <c r="D208" s="7">
        <v>35</v>
      </c>
      <c r="E208" s="15">
        <v>64.08333333333333</v>
      </c>
      <c r="F208" s="6">
        <v>67.331</v>
      </c>
    </row>
    <row r="209" spans="1:6">
      <c r="A209" s="6" t="b">
        <v>0</v>
      </c>
      <c r="B209" s="6" t="s">
        <v>86</v>
      </c>
      <c r="C209" s="6" t="s">
        <v>293</v>
      </c>
      <c r="D209" s="7">
        <v>282</v>
      </c>
      <c r="E209" s="15">
        <v>8</v>
      </c>
      <c r="F209" s="6">
        <v>17.886</v>
      </c>
    </row>
    <row r="210" spans="1:6">
      <c r="A210" s="6" t="b">
        <v>0</v>
      </c>
      <c r="B210" s="6" t="s">
        <v>86</v>
      </c>
      <c r="C210" s="6" t="s">
        <v>295</v>
      </c>
      <c r="D210" s="7">
        <v>101</v>
      </c>
      <c r="E210" s="15">
        <v>8</v>
      </c>
      <c r="F210" s="6">
        <v>14.158</v>
      </c>
    </row>
    <row r="211" spans="1:6">
      <c r="A211" s="6" t="b">
        <v>0</v>
      </c>
      <c r="B211" s="6" t="s">
        <v>86</v>
      </c>
      <c r="C211" s="6" t="s">
        <v>296</v>
      </c>
      <c r="D211" s="7">
        <v>36</v>
      </c>
      <c r="E211" s="15">
        <v>52.1</v>
      </c>
      <c r="F211" s="6">
        <v>66.9465</v>
      </c>
    </row>
    <row r="212" spans="1:6">
      <c r="A212" s="6" t="b">
        <v>0</v>
      </c>
      <c r="B212" s="6" t="s">
        <v>86</v>
      </c>
      <c r="C212" s="6" t="s">
        <v>297</v>
      </c>
      <c r="D212" s="7">
        <v>3</v>
      </c>
      <c r="E212" s="15">
        <v>48</v>
      </c>
      <c r="F212" s="6">
        <v>68.691</v>
      </c>
    </row>
    <row r="213" spans="1:6">
      <c r="A213" s="6" t="b">
        <v>0</v>
      </c>
      <c r="B213" s="6" t="s">
        <v>86</v>
      </c>
      <c r="C213" s="6" t="s">
        <v>300</v>
      </c>
      <c r="D213" s="7">
        <v>10</v>
      </c>
      <c r="E213" s="15">
        <v>39.13333333333333</v>
      </c>
      <c r="F213" s="6">
        <v>0</v>
      </c>
    </row>
    <row r="214" spans="1:6">
      <c r="A214" s="6" t="b">
        <v>0</v>
      </c>
      <c r="B214" s="6" t="s">
        <v>86</v>
      </c>
      <c r="C214" s="6" t="s">
        <v>302</v>
      </c>
      <c r="D214" s="7">
        <v>118</v>
      </c>
      <c r="E214" s="15">
        <v>74.09166666666667</v>
      </c>
      <c r="F214" s="6">
        <v>68.88849999999999</v>
      </c>
    </row>
    <row r="215" spans="1:6">
      <c r="A215" s="6" t="b">
        <v>0</v>
      </c>
      <c r="B215" s="6" t="s">
        <v>86</v>
      </c>
      <c r="C215" s="6" t="s">
        <v>304</v>
      </c>
      <c r="D215" s="7">
        <v>26</v>
      </c>
      <c r="E215" s="15">
        <v>61.50833333333333</v>
      </c>
      <c r="F215" s="6">
        <v>68.523</v>
      </c>
    </row>
    <row r="216" spans="1:6">
      <c r="A216" s="6" t="b">
        <v>0</v>
      </c>
      <c r="B216" s="6" t="s">
        <v>86</v>
      </c>
      <c r="C216" s="6" t="s">
        <v>361</v>
      </c>
      <c r="D216" s="7">
        <v>107</v>
      </c>
      <c r="E216" s="15">
        <v>64.18333333333334</v>
      </c>
      <c r="F216" s="6">
        <v>70.33199999999999</v>
      </c>
    </row>
    <row r="217" spans="1:6">
      <c r="A217" s="6" t="b">
        <v>0</v>
      </c>
      <c r="B217" s="6" t="s">
        <v>86</v>
      </c>
      <c r="C217" s="6" t="s">
        <v>305</v>
      </c>
      <c r="D217" s="7">
        <v>80</v>
      </c>
      <c r="E217" s="15">
        <v>67.27500000000001</v>
      </c>
      <c r="F217" s="6">
        <v>71.27950000000001</v>
      </c>
    </row>
    <row r="218" spans="1:6">
      <c r="A218" s="6" t="b">
        <v>0</v>
      </c>
      <c r="B218" s="6" t="s">
        <v>86</v>
      </c>
      <c r="C218" s="6" t="s">
        <v>362</v>
      </c>
      <c r="D218" s="7">
        <v>502</v>
      </c>
      <c r="E218" s="15">
        <v>50.76666666666667</v>
      </c>
      <c r="F218" s="6">
        <v>69.905</v>
      </c>
    </row>
    <row r="219" spans="1:6">
      <c r="A219" s="6" t="b">
        <v>0</v>
      </c>
      <c r="B219" s="6" t="s">
        <v>86</v>
      </c>
      <c r="C219" s="6" t="s">
        <v>309</v>
      </c>
      <c r="D219" s="7">
        <v>185</v>
      </c>
      <c r="E219" s="15">
        <v>56.75</v>
      </c>
      <c r="F219" s="6">
        <v>70.34999999999999</v>
      </c>
    </row>
    <row r="220" spans="1:6">
      <c r="A220" s="6" t="b">
        <v>0</v>
      </c>
      <c r="B220" s="6" t="s">
        <v>86</v>
      </c>
      <c r="C220" s="6" t="s">
        <v>310</v>
      </c>
      <c r="D220" s="7">
        <v>18</v>
      </c>
      <c r="E220" s="15">
        <v>71.22499999999999</v>
      </c>
      <c r="F220" s="6">
        <v>53.096</v>
      </c>
    </row>
    <row r="221" spans="1:6">
      <c r="A221" s="6" t="b">
        <v>0</v>
      </c>
      <c r="B221" s="6" t="s">
        <v>86</v>
      </c>
      <c r="C221" s="6" t="s">
        <v>311</v>
      </c>
      <c r="D221" s="7">
        <v>3</v>
      </c>
      <c r="E221" s="15">
        <v>50.35</v>
      </c>
      <c r="F221" s="6">
        <v>35.15</v>
      </c>
    </row>
    <row r="222" spans="1:6">
      <c r="A222" s="6" t="b">
        <v>0</v>
      </c>
      <c r="B222" s="6" t="s">
        <v>86</v>
      </c>
      <c r="C222" s="6" t="s">
        <v>312</v>
      </c>
      <c r="D222" s="7">
        <v>70</v>
      </c>
      <c r="E222" s="15">
        <v>47.825</v>
      </c>
      <c r="F222" s="6">
        <v>51.3085</v>
      </c>
    </row>
    <row r="223" spans="1:6">
      <c r="A223" s="6" t="b">
        <v>0</v>
      </c>
      <c r="B223" s="6" t="s">
        <v>86</v>
      </c>
      <c r="C223" s="6" t="s">
        <v>315</v>
      </c>
      <c r="D223" s="7">
        <v>1</v>
      </c>
      <c r="E223" s="15">
        <v>14</v>
      </c>
      <c r="F223" s="6">
        <v>23.902</v>
      </c>
    </row>
    <row r="224" spans="1:6">
      <c r="A224" s="6" t="b">
        <v>0</v>
      </c>
      <c r="B224" s="6" t="s">
        <v>86</v>
      </c>
      <c r="C224" s="6" t="s">
        <v>319</v>
      </c>
      <c r="D224" s="7">
        <v>18</v>
      </c>
      <c r="E224" s="15">
        <v>68.13333333333333</v>
      </c>
      <c r="F224" s="6">
        <v>69.49299999999999</v>
      </c>
    </row>
    <row r="225" spans="1:6">
      <c r="A225" s="6" t="b">
        <v>0</v>
      </c>
      <c r="B225" s="6" t="s">
        <v>86</v>
      </c>
      <c r="C225" s="6" t="s">
        <v>363</v>
      </c>
      <c r="D225" s="7">
        <v>5</v>
      </c>
      <c r="E225" s="15">
        <v>57.31666666666667</v>
      </c>
      <c r="F225" s="6">
        <v>0</v>
      </c>
    </row>
    <row r="226" spans="1:6">
      <c r="A226" s="6" t="b">
        <v>0</v>
      </c>
      <c r="B226" s="6" t="s">
        <v>86</v>
      </c>
      <c r="C226" s="6" t="s">
        <v>320</v>
      </c>
      <c r="D226" s="7">
        <v>1</v>
      </c>
      <c r="E226" s="15">
        <v>101.05</v>
      </c>
      <c r="F226" s="6">
        <v>37.153</v>
      </c>
    </row>
    <row r="227" spans="1:6">
      <c r="A227" s="6" t="b">
        <v>0</v>
      </c>
      <c r="B227" s="6" t="s">
        <v>86</v>
      </c>
      <c r="C227" s="6" t="s">
        <v>321</v>
      </c>
      <c r="D227" s="7">
        <v>7</v>
      </c>
      <c r="E227" s="15">
        <v>45.1</v>
      </c>
      <c r="F227" s="6">
        <v>39.95</v>
      </c>
    </row>
    <row r="228" spans="1:6">
      <c r="A228" s="6" t="b">
        <v>0</v>
      </c>
      <c r="B228" s="6" t="s">
        <v>86</v>
      </c>
      <c r="C228" s="6" t="s">
        <v>322</v>
      </c>
      <c r="D228" s="7">
        <v>1</v>
      </c>
      <c r="E228" s="15">
        <v>55</v>
      </c>
      <c r="F228" s="6">
        <v>25.23</v>
      </c>
    </row>
    <row r="229" spans="1:6">
      <c r="A229" s="6" t="b">
        <v>0</v>
      </c>
      <c r="B229" s="6" t="s">
        <v>86</v>
      </c>
      <c r="C229" s="6" t="s">
        <v>323</v>
      </c>
      <c r="D229" s="7">
        <v>17</v>
      </c>
      <c r="E229" s="15">
        <v>44.21666666666667</v>
      </c>
      <c r="F229" s="6">
        <v>40.89</v>
      </c>
    </row>
    <row r="230" spans="1:6">
      <c r="A230" s="6" t="b">
        <v>0</v>
      </c>
      <c r="B230" s="6" t="s">
        <v>86</v>
      </c>
      <c r="C230" s="6" t="s">
        <v>324</v>
      </c>
      <c r="D230" s="7">
        <v>2</v>
      </c>
      <c r="E230" s="15">
        <v>47.5</v>
      </c>
      <c r="F230" s="6">
        <v>39.3105</v>
      </c>
    </row>
    <row r="231" spans="1:6">
      <c r="A231" s="6" t="b">
        <v>0</v>
      </c>
      <c r="B231" s="6" t="s">
        <v>86</v>
      </c>
      <c r="C231" s="6" t="s">
        <v>364</v>
      </c>
      <c r="D231" s="7">
        <v>40</v>
      </c>
      <c r="E231" s="15">
        <v>40.41666666666667</v>
      </c>
      <c r="F231" s="6">
        <v>36.693</v>
      </c>
    </row>
    <row r="232" spans="1:6">
      <c r="A232" s="6" t="b">
        <v>0</v>
      </c>
      <c r="B232" s="6" t="s">
        <v>86</v>
      </c>
      <c r="C232" s="6" t="s">
        <v>326</v>
      </c>
      <c r="D232" s="7">
        <v>186</v>
      </c>
      <c r="E232" s="15">
        <v>59.10833333333333</v>
      </c>
      <c r="F232" s="6">
        <v>46.9355</v>
      </c>
    </row>
    <row r="233" spans="1:6">
      <c r="A233" s="6" t="b">
        <v>0</v>
      </c>
      <c r="B233" s="6" t="s">
        <v>86</v>
      </c>
      <c r="C233" s="6" t="s">
        <v>327</v>
      </c>
      <c r="D233" s="7">
        <v>48</v>
      </c>
      <c r="E233" s="15">
        <v>30.675</v>
      </c>
      <c r="F233" s="6">
        <v>54.4855</v>
      </c>
    </row>
    <row r="234" spans="1:6">
      <c r="A234" s="6" t="b">
        <v>0</v>
      </c>
      <c r="B234" s="6" t="s">
        <v>86</v>
      </c>
      <c r="C234" s="6" t="s">
        <v>329</v>
      </c>
      <c r="D234" s="7">
        <v>24</v>
      </c>
      <c r="E234" s="15">
        <v>40.19166666666666</v>
      </c>
      <c r="F234" s="6">
        <v>40.0425</v>
      </c>
    </row>
    <row r="235" spans="1:6">
      <c r="A235" s="6" t="b">
        <v>0</v>
      </c>
      <c r="B235" s="6" t="s">
        <v>86</v>
      </c>
      <c r="C235" s="6" t="s">
        <v>330</v>
      </c>
      <c r="D235" s="7">
        <v>16</v>
      </c>
      <c r="E235" s="15">
        <v>71.97499999999999</v>
      </c>
      <c r="F235" s="6">
        <v>71.21299999999999</v>
      </c>
    </row>
    <row r="236" spans="1:6">
      <c r="A236" s="6" t="b">
        <v>0</v>
      </c>
      <c r="B236" s="6" t="s">
        <v>86</v>
      </c>
      <c r="C236" s="6" t="s">
        <v>365</v>
      </c>
      <c r="D236" s="7">
        <v>9</v>
      </c>
      <c r="E236" s="15">
        <v>8</v>
      </c>
      <c r="F236" s="6">
        <v>16.144</v>
      </c>
    </row>
    <row r="237" spans="1:6">
      <c r="A237" s="6" t="b">
        <v>0</v>
      </c>
      <c r="B237" s="6" t="s">
        <v>86</v>
      </c>
      <c r="C237" s="6" t="s">
        <v>331</v>
      </c>
      <c r="D237" s="7">
        <v>2</v>
      </c>
      <c r="E237" s="15">
        <v>78.25</v>
      </c>
      <c r="F237" s="6">
        <v>42.181</v>
      </c>
    </row>
    <row r="238" spans="1:6">
      <c r="A238" s="6" t="b">
        <v>0</v>
      </c>
      <c r="B238" s="6" t="s">
        <v>86</v>
      </c>
      <c r="C238" s="6" t="s">
        <v>332</v>
      </c>
      <c r="D238" s="7">
        <v>122</v>
      </c>
      <c r="E238" s="15">
        <v>39.75833333333333</v>
      </c>
      <c r="F238" s="6">
        <v>57.95</v>
      </c>
    </row>
    <row r="239" spans="1:6">
      <c r="A239" s="6" t="b">
        <v>0</v>
      </c>
      <c r="B239" s="6" t="s">
        <v>88</v>
      </c>
      <c r="C239" s="6" t="s">
        <v>335</v>
      </c>
      <c r="D239" s="7">
        <v>182</v>
      </c>
      <c r="E239" s="15">
        <v>39</v>
      </c>
      <c r="F239" s="6">
        <v>41.883</v>
      </c>
    </row>
    <row r="240" spans="1:6">
      <c r="A240" s="6" t="b">
        <v>0</v>
      </c>
      <c r="B240" s="6" t="s">
        <v>88</v>
      </c>
      <c r="C240" s="6" t="s">
        <v>200</v>
      </c>
      <c r="D240" s="7">
        <v>24</v>
      </c>
      <c r="E240" s="15">
        <v>28.025</v>
      </c>
      <c r="F240" s="6">
        <v>69.5635</v>
      </c>
    </row>
    <row r="241" spans="1:6">
      <c r="A241" s="6" t="b">
        <v>0</v>
      </c>
      <c r="B241" s="6" t="s">
        <v>88</v>
      </c>
      <c r="C241" s="6" t="s">
        <v>204</v>
      </c>
      <c r="D241" s="7">
        <v>39</v>
      </c>
      <c r="E241" s="15">
        <v>37.5</v>
      </c>
      <c r="F241" s="6">
        <v>60.707</v>
      </c>
    </row>
    <row r="242" spans="1:6">
      <c r="A242" s="6" t="b">
        <v>0</v>
      </c>
      <c r="B242" s="6" t="s">
        <v>88</v>
      </c>
      <c r="C242" s="6" t="s">
        <v>340</v>
      </c>
      <c r="D242" s="7">
        <v>25</v>
      </c>
      <c r="E242" s="15">
        <v>54.28333333333333</v>
      </c>
      <c r="F242" s="6">
        <v>61.687</v>
      </c>
    </row>
    <row r="243" spans="1:6">
      <c r="A243" s="6" t="b">
        <v>0</v>
      </c>
      <c r="B243" s="6" t="s">
        <v>88</v>
      </c>
      <c r="C243" s="6" t="s">
        <v>223</v>
      </c>
      <c r="D243" s="7">
        <v>3</v>
      </c>
      <c r="E243" s="15">
        <v>46</v>
      </c>
      <c r="F243" s="6">
        <v>44.59</v>
      </c>
    </row>
    <row r="244" spans="1:6">
      <c r="A244" s="6" t="b">
        <v>0</v>
      </c>
      <c r="B244" s="6" t="s">
        <v>88</v>
      </c>
      <c r="C244" s="6" t="s">
        <v>236</v>
      </c>
      <c r="D244" s="7">
        <v>13</v>
      </c>
      <c r="E244" s="15">
        <v>44</v>
      </c>
      <c r="F244" s="6">
        <v>62.496</v>
      </c>
    </row>
    <row r="245" spans="1:6">
      <c r="A245" s="6" t="b">
        <v>0</v>
      </c>
      <c r="B245" s="6" t="s">
        <v>88</v>
      </c>
      <c r="C245" s="6" t="s">
        <v>260</v>
      </c>
      <c r="D245" s="7">
        <v>340</v>
      </c>
      <c r="E245" s="15">
        <v>31.95</v>
      </c>
      <c r="F245" s="6">
        <v>69.872</v>
      </c>
    </row>
    <row r="246" spans="1:6">
      <c r="A246" s="6" t="b">
        <v>0</v>
      </c>
      <c r="B246" s="6" t="s">
        <v>88</v>
      </c>
      <c r="C246" s="6" t="s">
        <v>289</v>
      </c>
      <c r="D246" s="7">
        <v>267</v>
      </c>
      <c r="E246" s="15">
        <v>49</v>
      </c>
      <c r="F246" s="6">
        <v>70.428</v>
      </c>
    </row>
    <row r="247" spans="1:6">
      <c r="A247" s="6" t="b">
        <v>0</v>
      </c>
      <c r="B247" s="6" t="s">
        <v>88</v>
      </c>
      <c r="C247" s="6" t="s">
        <v>302</v>
      </c>
      <c r="D247" s="7">
        <v>173</v>
      </c>
      <c r="E247" s="15">
        <v>34</v>
      </c>
      <c r="F247" s="6">
        <v>71.80800000000001</v>
      </c>
    </row>
    <row r="248" spans="1:6">
      <c r="A248" s="6" t="b">
        <v>0</v>
      </c>
      <c r="B248" s="6" t="s">
        <v>88</v>
      </c>
      <c r="C248" s="6" t="s">
        <v>361</v>
      </c>
      <c r="D248" s="7">
        <v>12</v>
      </c>
      <c r="E248" s="15">
        <v>39.98333333333333</v>
      </c>
      <c r="F248" s="6">
        <v>64.17149999999999</v>
      </c>
    </row>
    <row r="249" spans="1:6">
      <c r="A249" s="6" t="b">
        <v>0</v>
      </c>
      <c r="B249" s="6" t="s">
        <v>88</v>
      </c>
      <c r="C249" s="6" t="s">
        <v>362</v>
      </c>
      <c r="D249" s="7">
        <v>34</v>
      </c>
      <c r="E249" s="15">
        <v>34.25</v>
      </c>
      <c r="F249" s="6">
        <v>68.57550000000001</v>
      </c>
    </row>
    <row r="250" spans="1:6">
      <c r="A250" s="6" t="b">
        <v>0</v>
      </c>
      <c r="B250" s="6" t="s">
        <v>88</v>
      </c>
      <c r="C250" s="6" t="s">
        <v>309</v>
      </c>
      <c r="D250" s="7">
        <v>59</v>
      </c>
      <c r="E250" s="15">
        <v>37.5</v>
      </c>
      <c r="F250" s="6">
        <v>68.59099999999999</v>
      </c>
    </row>
    <row r="251" spans="1:6">
      <c r="A251" s="6" t="b">
        <v>0</v>
      </c>
      <c r="B251" s="6" t="s">
        <v>88</v>
      </c>
      <c r="C251" s="6" t="s">
        <v>310</v>
      </c>
      <c r="D251" s="7">
        <v>8</v>
      </c>
      <c r="E251" s="15">
        <v>82.45</v>
      </c>
      <c r="F251" s="6">
        <v>52.4685</v>
      </c>
    </row>
    <row r="252" spans="1:6">
      <c r="A252" s="6" t="b">
        <v>0</v>
      </c>
      <c r="B252" s="6" t="s">
        <v>90</v>
      </c>
      <c r="C252" s="6" t="s">
        <v>194</v>
      </c>
      <c r="D252" s="7">
        <v>1</v>
      </c>
      <c r="E252" s="15">
        <v>69.98333333333333</v>
      </c>
      <c r="F252" s="6">
        <v>51.999</v>
      </c>
    </row>
    <row r="253" spans="1:6">
      <c r="A253" s="6" t="b">
        <v>0</v>
      </c>
      <c r="B253" s="6" t="s">
        <v>90</v>
      </c>
      <c r="C253" s="6" t="s">
        <v>335</v>
      </c>
      <c r="D253" s="7">
        <v>105</v>
      </c>
      <c r="E253" s="15">
        <v>62.25</v>
      </c>
      <c r="F253" s="6">
        <v>48.543</v>
      </c>
    </row>
    <row r="254" spans="1:6">
      <c r="A254" s="6" t="b">
        <v>0</v>
      </c>
      <c r="B254" s="6" t="s">
        <v>90</v>
      </c>
      <c r="C254" s="6" t="s">
        <v>197</v>
      </c>
      <c r="D254" s="7">
        <v>6</v>
      </c>
      <c r="E254" s="15">
        <v>27</v>
      </c>
      <c r="F254" s="6">
        <v>44.137</v>
      </c>
    </row>
    <row r="255" spans="1:6">
      <c r="A255" s="6" t="b">
        <v>0</v>
      </c>
      <c r="B255" s="6" t="s">
        <v>90</v>
      </c>
      <c r="C255" s="6" t="s">
        <v>203</v>
      </c>
      <c r="D255" s="7">
        <v>347</v>
      </c>
      <c r="E255" s="15">
        <v>12</v>
      </c>
      <c r="F255" s="6">
        <v>44.1</v>
      </c>
    </row>
    <row r="256" spans="1:6">
      <c r="A256" s="6" t="b">
        <v>0</v>
      </c>
      <c r="B256" s="6" t="s">
        <v>90</v>
      </c>
      <c r="C256" s="6" t="s">
        <v>204</v>
      </c>
      <c r="D256" s="7">
        <v>7</v>
      </c>
      <c r="E256" s="15">
        <v>44.48333333333333</v>
      </c>
      <c r="F256" s="6">
        <v>37.583</v>
      </c>
    </row>
    <row r="257" spans="1:6">
      <c r="A257" s="6" t="b">
        <v>0</v>
      </c>
      <c r="B257" s="6" t="s">
        <v>90</v>
      </c>
      <c r="C257" s="6" t="s">
        <v>340</v>
      </c>
      <c r="D257" s="7">
        <v>1</v>
      </c>
      <c r="E257" s="15">
        <v>76.88333333333334</v>
      </c>
      <c r="F257" s="6">
        <v>30.235</v>
      </c>
    </row>
    <row r="258" spans="1:6">
      <c r="A258" s="6" t="b">
        <v>0</v>
      </c>
      <c r="B258" s="6" t="s">
        <v>90</v>
      </c>
      <c r="C258" s="6" t="s">
        <v>207</v>
      </c>
      <c r="D258" s="7">
        <v>5</v>
      </c>
      <c r="E258" s="15">
        <v>46</v>
      </c>
      <c r="F258" s="6">
        <v>51.401</v>
      </c>
    </row>
    <row r="259" spans="1:6">
      <c r="A259" s="6" t="b">
        <v>0</v>
      </c>
      <c r="B259" s="6" t="s">
        <v>90</v>
      </c>
      <c r="C259" s="6" t="s">
        <v>208</v>
      </c>
      <c r="D259" s="7">
        <v>1</v>
      </c>
      <c r="E259" s="15">
        <v>49.81666666666667</v>
      </c>
      <c r="F259" s="6">
        <v>65.852</v>
      </c>
    </row>
    <row r="260" spans="1:6">
      <c r="A260" s="6" t="b">
        <v>0</v>
      </c>
      <c r="B260" s="6" t="s">
        <v>90</v>
      </c>
      <c r="C260" s="6" t="s">
        <v>210</v>
      </c>
      <c r="D260" s="7">
        <v>4</v>
      </c>
      <c r="E260" s="15">
        <v>12</v>
      </c>
      <c r="F260" s="6">
        <v>22.348</v>
      </c>
    </row>
    <row r="261" spans="1:6">
      <c r="A261" s="6" t="b">
        <v>0</v>
      </c>
      <c r="B261" s="6" t="s">
        <v>90</v>
      </c>
      <c r="C261" s="6" t="s">
        <v>211</v>
      </c>
      <c r="D261" s="7">
        <v>1</v>
      </c>
      <c r="E261" s="15">
        <v>27.95</v>
      </c>
      <c r="F261" s="6">
        <v>46.81</v>
      </c>
    </row>
    <row r="262" spans="1:6">
      <c r="A262" s="6" t="b">
        <v>0</v>
      </c>
      <c r="B262" s="6" t="s">
        <v>90</v>
      </c>
      <c r="C262" s="6" t="s">
        <v>212</v>
      </c>
      <c r="D262" s="7">
        <v>1</v>
      </c>
      <c r="E262" s="15">
        <v>30.11666666666667</v>
      </c>
      <c r="F262" s="6">
        <v>47.461</v>
      </c>
    </row>
    <row r="263" spans="1:6">
      <c r="A263" s="6" t="b">
        <v>0</v>
      </c>
      <c r="B263" s="6" t="s">
        <v>90</v>
      </c>
      <c r="C263" s="6" t="s">
        <v>213</v>
      </c>
      <c r="D263" s="7">
        <v>10</v>
      </c>
      <c r="E263" s="15">
        <v>49.5</v>
      </c>
      <c r="F263" s="6">
        <v>69.7055</v>
      </c>
    </row>
    <row r="264" spans="1:6">
      <c r="A264" s="6" t="b">
        <v>0</v>
      </c>
      <c r="B264" s="6" t="s">
        <v>90</v>
      </c>
      <c r="C264" s="6" t="s">
        <v>214</v>
      </c>
      <c r="D264" s="7">
        <v>4</v>
      </c>
      <c r="E264" s="15">
        <v>27</v>
      </c>
      <c r="F264" s="6">
        <v>21.9275</v>
      </c>
    </row>
    <row r="265" spans="1:6">
      <c r="A265" s="6" t="b">
        <v>0</v>
      </c>
      <c r="B265" s="6" t="s">
        <v>90</v>
      </c>
      <c r="C265" s="6" t="s">
        <v>215</v>
      </c>
      <c r="D265" s="7">
        <v>1</v>
      </c>
      <c r="E265" s="15">
        <v>57.11666666666667</v>
      </c>
      <c r="F265" s="6">
        <v>40.244</v>
      </c>
    </row>
    <row r="266" spans="1:6">
      <c r="A266" s="6" t="b">
        <v>0</v>
      </c>
      <c r="B266" s="6" t="s">
        <v>90</v>
      </c>
      <c r="C266" s="6" t="s">
        <v>217</v>
      </c>
      <c r="D266" s="7">
        <v>13</v>
      </c>
      <c r="E266" s="15">
        <v>15</v>
      </c>
      <c r="F266" s="6">
        <v>26.94</v>
      </c>
    </row>
    <row r="267" spans="1:6">
      <c r="A267" s="6" t="b">
        <v>0</v>
      </c>
      <c r="B267" s="6" t="s">
        <v>90</v>
      </c>
      <c r="C267" s="6" t="s">
        <v>219</v>
      </c>
      <c r="D267" s="7">
        <v>1</v>
      </c>
      <c r="E267" s="15">
        <v>34</v>
      </c>
      <c r="F267" s="6">
        <v>44.75</v>
      </c>
    </row>
    <row r="268" spans="1:6">
      <c r="A268" s="6" t="b">
        <v>0</v>
      </c>
      <c r="B268" s="6" t="s">
        <v>90</v>
      </c>
      <c r="C268" s="6" t="s">
        <v>342</v>
      </c>
      <c r="D268" s="7">
        <v>3</v>
      </c>
      <c r="E268" s="15">
        <v>16</v>
      </c>
      <c r="F268" s="6">
        <v>40.755</v>
      </c>
    </row>
    <row r="269" spans="1:6">
      <c r="A269" s="6" t="b">
        <v>0</v>
      </c>
      <c r="B269" s="6" t="s">
        <v>90</v>
      </c>
      <c r="C269" s="6" t="s">
        <v>223</v>
      </c>
      <c r="D269" s="7">
        <v>8</v>
      </c>
      <c r="E269" s="15">
        <v>13.5</v>
      </c>
      <c r="F269" s="6">
        <v>5.71</v>
      </c>
    </row>
    <row r="270" spans="1:6">
      <c r="A270" s="6" t="b">
        <v>0</v>
      </c>
      <c r="B270" s="6" t="s">
        <v>90</v>
      </c>
      <c r="C270" s="6" t="s">
        <v>224</v>
      </c>
      <c r="D270" s="7">
        <v>1</v>
      </c>
      <c r="E270" s="15">
        <v>35.01666666666667</v>
      </c>
      <c r="F270" s="6">
        <v>40.95</v>
      </c>
    </row>
    <row r="271" spans="1:6">
      <c r="A271" s="6" t="b">
        <v>0</v>
      </c>
      <c r="B271" s="6" t="s">
        <v>90</v>
      </c>
      <c r="C271" s="6" t="s">
        <v>227</v>
      </c>
      <c r="D271" s="7">
        <v>1</v>
      </c>
      <c r="E271" s="15">
        <v>105.6833333333333</v>
      </c>
      <c r="F271" s="6">
        <v>74.901</v>
      </c>
    </row>
    <row r="272" spans="1:6">
      <c r="A272" s="6" t="b">
        <v>0</v>
      </c>
      <c r="B272" s="6" t="s">
        <v>90</v>
      </c>
      <c r="C272" s="6" t="s">
        <v>230</v>
      </c>
      <c r="D272" s="7">
        <v>154</v>
      </c>
      <c r="E272" s="15">
        <v>20</v>
      </c>
      <c r="F272" s="6">
        <v>11.391</v>
      </c>
    </row>
    <row r="273" spans="1:6">
      <c r="A273" s="6" t="b">
        <v>0</v>
      </c>
      <c r="B273" s="6" t="s">
        <v>90</v>
      </c>
      <c r="C273" s="6" t="s">
        <v>231</v>
      </c>
      <c r="D273" s="7">
        <v>3</v>
      </c>
      <c r="E273" s="15">
        <v>52</v>
      </c>
      <c r="F273" s="6">
        <v>69.44499999999999</v>
      </c>
    </row>
    <row r="274" spans="1:6">
      <c r="A274" s="6" t="b">
        <v>0</v>
      </c>
      <c r="B274" s="6" t="s">
        <v>90</v>
      </c>
      <c r="C274" s="6" t="s">
        <v>346</v>
      </c>
      <c r="D274" s="7">
        <v>2</v>
      </c>
      <c r="E274" s="15">
        <v>48.5</v>
      </c>
      <c r="F274" s="6">
        <v>68.71899999999999</v>
      </c>
    </row>
    <row r="275" spans="1:6">
      <c r="A275" s="6" t="b">
        <v>0</v>
      </c>
      <c r="B275" s="6" t="s">
        <v>90</v>
      </c>
      <c r="C275" s="6" t="s">
        <v>233</v>
      </c>
      <c r="D275" s="7">
        <v>1</v>
      </c>
      <c r="E275" s="15">
        <v>30.75</v>
      </c>
      <c r="F275" s="6">
        <v>32.938</v>
      </c>
    </row>
    <row r="276" spans="1:6">
      <c r="A276" s="6" t="b">
        <v>0</v>
      </c>
      <c r="B276" s="6" t="s">
        <v>90</v>
      </c>
      <c r="C276" s="6" t="s">
        <v>234</v>
      </c>
      <c r="D276" s="7">
        <v>43</v>
      </c>
      <c r="E276" s="15">
        <v>28</v>
      </c>
      <c r="F276" s="6">
        <v>17.578</v>
      </c>
    </row>
    <row r="277" spans="1:6">
      <c r="A277" s="6" t="b">
        <v>0</v>
      </c>
      <c r="B277" s="6" t="s">
        <v>90</v>
      </c>
      <c r="C277" s="6" t="s">
        <v>235</v>
      </c>
      <c r="D277" s="7">
        <v>5</v>
      </c>
      <c r="E277" s="15">
        <v>38</v>
      </c>
      <c r="F277" s="6">
        <v>37.977</v>
      </c>
    </row>
    <row r="278" spans="1:6">
      <c r="A278" s="6" t="b">
        <v>0</v>
      </c>
      <c r="B278" s="6" t="s">
        <v>90</v>
      </c>
      <c r="C278" s="6" t="s">
        <v>236</v>
      </c>
      <c r="D278" s="7">
        <v>9</v>
      </c>
      <c r="E278" s="15">
        <v>46.93333333333333</v>
      </c>
      <c r="F278" s="6">
        <v>67.66800000000001</v>
      </c>
    </row>
    <row r="279" spans="1:6">
      <c r="A279" s="6" t="b">
        <v>0</v>
      </c>
      <c r="B279" s="6" t="s">
        <v>90</v>
      </c>
      <c r="C279" s="6" t="s">
        <v>240</v>
      </c>
      <c r="D279" s="7">
        <v>1</v>
      </c>
      <c r="E279" s="15">
        <v>42</v>
      </c>
      <c r="F279" s="6">
        <v>57.837</v>
      </c>
    </row>
    <row r="280" spans="1:6">
      <c r="A280" s="6" t="b">
        <v>0</v>
      </c>
      <c r="B280" s="6" t="s">
        <v>90</v>
      </c>
      <c r="C280" s="6" t="s">
        <v>241</v>
      </c>
      <c r="D280" s="7">
        <v>6</v>
      </c>
      <c r="E280" s="15">
        <v>14.36666666666667</v>
      </c>
      <c r="F280" s="6">
        <v>18.703</v>
      </c>
    </row>
    <row r="281" spans="1:6">
      <c r="A281" s="6" t="b">
        <v>0</v>
      </c>
      <c r="B281" s="6" t="s">
        <v>90</v>
      </c>
      <c r="C281" s="6" t="s">
        <v>242</v>
      </c>
      <c r="D281" s="7">
        <v>1</v>
      </c>
      <c r="E281" s="15">
        <v>6.75</v>
      </c>
      <c r="F281" s="6">
        <v>49.14</v>
      </c>
    </row>
    <row r="282" spans="1:6">
      <c r="A282" s="6" t="b">
        <v>0</v>
      </c>
      <c r="B282" s="6" t="s">
        <v>90</v>
      </c>
      <c r="C282" s="6" t="s">
        <v>245</v>
      </c>
      <c r="D282" s="7">
        <v>1</v>
      </c>
      <c r="E282" s="15">
        <v>38</v>
      </c>
      <c r="F282" s="6">
        <v>17.7</v>
      </c>
    </row>
    <row r="283" spans="1:6">
      <c r="A283" s="6" t="b">
        <v>0</v>
      </c>
      <c r="B283" s="6" t="s">
        <v>90</v>
      </c>
      <c r="C283" s="6" t="s">
        <v>246</v>
      </c>
      <c r="D283" s="7">
        <v>4</v>
      </c>
      <c r="E283" s="15">
        <v>34.44166666666666</v>
      </c>
      <c r="F283" s="6">
        <v>60.277</v>
      </c>
    </row>
    <row r="284" spans="1:6">
      <c r="A284" s="6" t="b">
        <v>0</v>
      </c>
      <c r="B284" s="6" t="s">
        <v>90</v>
      </c>
      <c r="C284" s="6" t="s">
        <v>348</v>
      </c>
      <c r="D284" s="7">
        <v>10</v>
      </c>
      <c r="E284" s="15">
        <v>51</v>
      </c>
      <c r="F284" s="6">
        <v>69.67150000000001</v>
      </c>
    </row>
    <row r="285" spans="1:6">
      <c r="A285" s="6" t="b">
        <v>0</v>
      </c>
      <c r="B285" s="6" t="s">
        <v>90</v>
      </c>
      <c r="C285" s="6" t="s">
        <v>247</v>
      </c>
      <c r="D285" s="7">
        <v>4</v>
      </c>
      <c r="E285" s="15">
        <v>22.81666666666667</v>
      </c>
      <c r="F285" s="6">
        <v>41.7835</v>
      </c>
    </row>
    <row r="286" spans="1:6">
      <c r="A286" s="6" t="b">
        <v>0</v>
      </c>
      <c r="B286" s="6" t="s">
        <v>90</v>
      </c>
      <c r="C286" s="6" t="s">
        <v>248</v>
      </c>
      <c r="D286" s="7">
        <v>3</v>
      </c>
      <c r="E286" s="15">
        <v>62</v>
      </c>
      <c r="F286" s="6">
        <v>39</v>
      </c>
    </row>
    <row r="287" spans="1:6">
      <c r="A287" s="6" t="b">
        <v>0</v>
      </c>
      <c r="B287" s="6" t="s">
        <v>90</v>
      </c>
      <c r="C287" s="6" t="s">
        <v>249</v>
      </c>
      <c r="D287" s="7">
        <v>81</v>
      </c>
      <c r="E287" s="15">
        <v>18</v>
      </c>
      <c r="F287" s="6">
        <v>16.089</v>
      </c>
    </row>
    <row r="288" spans="1:6">
      <c r="A288" s="6" t="b">
        <v>0</v>
      </c>
      <c r="B288" s="6" t="s">
        <v>90</v>
      </c>
      <c r="C288" s="6" t="s">
        <v>351</v>
      </c>
      <c r="D288" s="7">
        <v>1</v>
      </c>
      <c r="E288" s="15">
        <v>57</v>
      </c>
      <c r="F288" s="6">
        <v>19.686</v>
      </c>
    </row>
    <row r="289" spans="1:6">
      <c r="A289" s="6" t="b">
        <v>0</v>
      </c>
      <c r="B289" s="6" t="s">
        <v>90</v>
      </c>
      <c r="C289" s="6" t="s">
        <v>251</v>
      </c>
      <c r="D289" s="7">
        <v>22</v>
      </c>
      <c r="E289" s="15">
        <v>18.675</v>
      </c>
      <c r="F289" s="6">
        <v>38.78400000000001</v>
      </c>
    </row>
    <row r="290" spans="1:6">
      <c r="A290" s="6" t="b">
        <v>0</v>
      </c>
      <c r="B290" s="6" t="s">
        <v>90</v>
      </c>
      <c r="C290" s="6" t="s">
        <v>253</v>
      </c>
      <c r="D290" s="7">
        <v>17</v>
      </c>
      <c r="E290" s="15">
        <v>16</v>
      </c>
      <c r="F290" s="6">
        <v>10.394</v>
      </c>
    </row>
    <row r="291" spans="1:6">
      <c r="A291" s="6" t="b">
        <v>0</v>
      </c>
      <c r="B291" s="6" t="s">
        <v>90</v>
      </c>
      <c r="C291" s="6" t="s">
        <v>256</v>
      </c>
      <c r="D291" s="7">
        <v>1</v>
      </c>
      <c r="E291" s="15">
        <v>64</v>
      </c>
      <c r="F291" s="6">
        <v>32.522</v>
      </c>
    </row>
    <row r="292" spans="1:6">
      <c r="A292" s="6" t="b">
        <v>0</v>
      </c>
      <c r="B292" s="6" t="s">
        <v>90</v>
      </c>
      <c r="C292" s="6" t="s">
        <v>257</v>
      </c>
      <c r="D292" s="7">
        <v>4</v>
      </c>
      <c r="E292" s="15">
        <v>44</v>
      </c>
      <c r="F292" s="6">
        <v>69.03649999999999</v>
      </c>
    </row>
    <row r="293" spans="1:6">
      <c r="A293" s="6" t="b">
        <v>0</v>
      </c>
      <c r="B293" s="6" t="s">
        <v>90</v>
      </c>
      <c r="C293" s="6" t="s">
        <v>258</v>
      </c>
      <c r="D293" s="7">
        <v>1</v>
      </c>
      <c r="E293" s="15">
        <v>47</v>
      </c>
      <c r="F293" s="6">
        <v>69.893</v>
      </c>
    </row>
    <row r="294" spans="1:6">
      <c r="A294" s="6" t="b">
        <v>0</v>
      </c>
      <c r="B294" s="6" t="s">
        <v>90</v>
      </c>
      <c r="C294" s="6" t="s">
        <v>260</v>
      </c>
      <c r="D294" s="7">
        <v>64</v>
      </c>
      <c r="E294" s="15">
        <v>64.03333333333333</v>
      </c>
      <c r="F294" s="6">
        <v>71.10599999999999</v>
      </c>
    </row>
    <row r="295" spans="1:6">
      <c r="A295" s="6" t="b">
        <v>0</v>
      </c>
      <c r="B295" s="6" t="s">
        <v>90</v>
      </c>
      <c r="C295" s="6" t="s">
        <v>263</v>
      </c>
      <c r="D295" s="7">
        <v>3</v>
      </c>
      <c r="E295" s="15">
        <v>46.91666666666666</v>
      </c>
      <c r="F295" s="6">
        <v>70</v>
      </c>
    </row>
    <row r="296" spans="1:6">
      <c r="A296" s="6" t="b">
        <v>0</v>
      </c>
      <c r="B296" s="6" t="s">
        <v>90</v>
      </c>
      <c r="C296" s="6" t="s">
        <v>267</v>
      </c>
      <c r="D296" s="7">
        <v>555</v>
      </c>
      <c r="E296" s="15">
        <v>17</v>
      </c>
      <c r="F296" s="6">
        <v>12.841</v>
      </c>
    </row>
    <row r="297" spans="1:6">
      <c r="A297" s="6" t="b">
        <v>0</v>
      </c>
      <c r="B297" s="6" t="s">
        <v>90</v>
      </c>
      <c r="C297" s="6" t="s">
        <v>366</v>
      </c>
      <c r="D297" s="7">
        <v>5</v>
      </c>
      <c r="E297" s="15">
        <v>56.95</v>
      </c>
      <c r="F297" s="6">
        <v>57.344</v>
      </c>
    </row>
    <row r="298" spans="1:6">
      <c r="A298" s="6" t="b">
        <v>0</v>
      </c>
      <c r="B298" s="6" t="s">
        <v>90</v>
      </c>
      <c r="C298" s="6" t="s">
        <v>269</v>
      </c>
      <c r="D298" s="7">
        <v>3</v>
      </c>
      <c r="E298" s="15">
        <v>68</v>
      </c>
      <c r="F298" s="6">
        <v>69.26900000000001</v>
      </c>
    </row>
    <row r="299" spans="1:6">
      <c r="A299" s="6" t="b">
        <v>0</v>
      </c>
      <c r="B299" s="6" t="s">
        <v>90</v>
      </c>
      <c r="C299" s="6" t="s">
        <v>273</v>
      </c>
      <c r="D299" s="7">
        <v>9</v>
      </c>
      <c r="E299" s="15">
        <v>27</v>
      </c>
      <c r="F299" s="6">
        <v>39</v>
      </c>
    </row>
    <row r="300" spans="1:6">
      <c r="A300" s="6" t="b">
        <v>0</v>
      </c>
      <c r="B300" s="6" t="s">
        <v>90</v>
      </c>
      <c r="C300" s="6" t="s">
        <v>276</v>
      </c>
      <c r="D300" s="7">
        <v>2</v>
      </c>
      <c r="E300" s="15">
        <v>57.28333333333333</v>
      </c>
      <c r="F300" s="6">
        <v>44.288</v>
      </c>
    </row>
    <row r="301" spans="1:6">
      <c r="A301" s="6" t="b">
        <v>0</v>
      </c>
      <c r="B301" s="6" t="s">
        <v>90</v>
      </c>
      <c r="C301" s="6" t="s">
        <v>278</v>
      </c>
      <c r="D301" s="7">
        <v>3</v>
      </c>
      <c r="E301" s="15">
        <v>47.06666666666667</v>
      </c>
      <c r="F301" s="6">
        <v>67.626</v>
      </c>
    </row>
    <row r="302" spans="1:6">
      <c r="A302" s="6" t="b">
        <v>0</v>
      </c>
      <c r="B302" s="6" t="s">
        <v>90</v>
      </c>
      <c r="C302" s="6" t="s">
        <v>280</v>
      </c>
      <c r="D302" s="7">
        <v>7</v>
      </c>
      <c r="E302" s="15">
        <v>61</v>
      </c>
      <c r="F302" s="6">
        <v>45.24</v>
      </c>
    </row>
    <row r="303" spans="1:6">
      <c r="A303" s="6" t="b">
        <v>0</v>
      </c>
      <c r="B303" s="6" t="s">
        <v>90</v>
      </c>
      <c r="C303" s="6" t="s">
        <v>281</v>
      </c>
      <c r="D303" s="7">
        <v>37</v>
      </c>
      <c r="E303" s="15">
        <v>25</v>
      </c>
      <c r="F303" s="6">
        <v>17.522</v>
      </c>
    </row>
    <row r="304" spans="1:6">
      <c r="A304" s="6" t="b">
        <v>0</v>
      </c>
      <c r="B304" s="6" t="s">
        <v>90</v>
      </c>
      <c r="C304" s="6" t="s">
        <v>283</v>
      </c>
      <c r="D304" s="7">
        <v>2</v>
      </c>
      <c r="E304" s="15">
        <v>26.5</v>
      </c>
      <c r="F304" s="6">
        <v>27.7315</v>
      </c>
    </row>
    <row r="305" spans="1:6">
      <c r="A305" s="6" t="b">
        <v>0</v>
      </c>
      <c r="B305" s="6" t="s">
        <v>90</v>
      </c>
      <c r="C305" s="6" t="s">
        <v>287</v>
      </c>
      <c r="D305" s="7">
        <v>16</v>
      </c>
      <c r="E305" s="15">
        <v>16</v>
      </c>
      <c r="F305" s="6">
        <v>37.395</v>
      </c>
    </row>
    <row r="306" spans="1:6">
      <c r="A306" s="6" t="b">
        <v>0</v>
      </c>
      <c r="B306" s="6" t="s">
        <v>90</v>
      </c>
      <c r="C306" s="6" t="s">
        <v>357</v>
      </c>
      <c r="D306" s="7">
        <v>1</v>
      </c>
      <c r="E306" s="15">
        <v>27</v>
      </c>
      <c r="F306" s="6">
        <v>71.364</v>
      </c>
    </row>
    <row r="307" spans="1:6">
      <c r="A307" s="6" t="b">
        <v>0</v>
      </c>
      <c r="B307" s="6" t="s">
        <v>90</v>
      </c>
      <c r="C307" s="6" t="s">
        <v>289</v>
      </c>
      <c r="D307" s="7">
        <v>35</v>
      </c>
      <c r="E307" s="15">
        <v>64</v>
      </c>
      <c r="F307" s="6">
        <v>37.839</v>
      </c>
    </row>
    <row r="308" spans="1:6">
      <c r="A308" s="6" t="b">
        <v>0</v>
      </c>
      <c r="B308" s="6" t="s">
        <v>90</v>
      </c>
      <c r="C308" s="6" t="s">
        <v>292</v>
      </c>
      <c r="D308" s="7">
        <v>1</v>
      </c>
      <c r="E308" s="15">
        <v>55</v>
      </c>
      <c r="F308" s="6">
        <v>79.158</v>
      </c>
    </row>
    <row r="309" spans="1:6">
      <c r="A309" s="6" t="b">
        <v>0</v>
      </c>
      <c r="B309" s="6" t="s">
        <v>90</v>
      </c>
      <c r="C309" s="6" t="s">
        <v>293</v>
      </c>
      <c r="D309" s="7">
        <v>265</v>
      </c>
      <c r="E309" s="15">
        <v>18</v>
      </c>
      <c r="F309" s="6">
        <v>9.426</v>
      </c>
    </row>
    <row r="310" spans="1:6">
      <c r="A310" s="6" t="b">
        <v>0</v>
      </c>
      <c r="B310" s="6" t="s">
        <v>90</v>
      </c>
      <c r="C310" s="6" t="s">
        <v>295</v>
      </c>
      <c r="D310" s="7">
        <v>67</v>
      </c>
      <c r="E310" s="15">
        <v>15</v>
      </c>
      <c r="F310" s="6">
        <v>10.618</v>
      </c>
    </row>
    <row r="311" spans="1:6">
      <c r="A311" s="6" t="b">
        <v>0</v>
      </c>
      <c r="B311" s="6" t="s">
        <v>90</v>
      </c>
      <c r="C311" s="6" t="s">
        <v>296</v>
      </c>
      <c r="D311" s="7">
        <v>3</v>
      </c>
      <c r="E311" s="15">
        <v>13</v>
      </c>
      <c r="F311" s="6">
        <v>8.385</v>
      </c>
    </row>
    <row r="312" spans="1:6">
      <c r="A312" s="6" t="b">
        <v>0</v>
      </c>
      <c r="B312" s="6" t="s">
        <v>90</v>
      </c>
      <c r="C312" s="6" t="s">
        <v>297</v>
      </c>
      <c r="D312" s="7">
        <v>1</v>
      </c>
      <c r="E312" s="15">
        <v>50</v>
      </c>
      <c r="F312" s="6">
        <v>66.729</v>
      </c>
    </row>
    <row r="313" spans="1:6">
      <c r="A313" s="6" t="b">
        <v>0</v>
      </c>
      <c r="B313" s="6" t="s">
        <v>90</v>
      </c>
      <c r="C313" s="6" t="s">
        <v>298</v>
      </c>
      <c r="D313" s="7">
        <v>1</v>
      </c>
      <c r="E313" s="15">
        <v>63.75</v>
      </c>
      <c r="F313" s="6">
        <v>46.522</v>
      </c>
    </row>
    <row r="314" spans="1:6">
      <c r="A314" s="6" t="b">
        <v>0</v>
      </c>
      <c r="B314" s="6" t="s">
        <v>90</v>
      </c>
      <c r="C314" s="6" t="s">
        <v>299</v>
      </c>
      <c r="D314" s="7">
        <v>7</v>
      </c>
      <c r="E314" s="15">
        <v>14</v>
      </c>
      <c r="F314" s="6">
        <v>38.87</v>
      </c>
    </row>
    <row r="315" spans="1:6">
      <c r="A315" s="6" t="b">
        <v>0</v>
      </c>
      <c r="B315" s="6" t="s">
        <v>90</v>
      </c>
      <c r="C315" s="6" t="s">
        <v>302</v>
      </c>
      <c r="D315" s="7">
        <v>19</v>
      </c>
      <c r="E315" s="15">
        <v>59.01666666666667</v>
      </c>
      <c r="F315" s="6">
        <v>67.28400000000001</v>
      </c>
    </row>
    <row r="316" spans="1:6">
      <c r="A316" s="6" t="b">
        <v>0</v>
      </c>
      <c r="B316" s="6" t="s">
        <v>90</v>
      </c>
      <c r="C316" s="6" t="s">
        <v>303</v>
      </c>
      <c r="D316" s="7">
        <v>3</v>
      </c>
      <c r="E316" s="15">
        <v>14</v>
      </c>
      <c r="F316" s="6">
        <v>37.961</v>
      </c>
    </row>
    <row r="317" spans="1:6">
      <c r="A317" s="6" t="b">
        <v>0</v>
      </c>
      <c r="B317" s="6" t="s">
        <v>90</v>
      </c>
      <c r="C317" s="6" t="s">
        <v>361</v>
      </c>
      <c r="D317" s="7">
        <v>1</v>
      </c>
      <c r="E317" s="15">
        <v>52</v>
      </c>
      <c r="F317" s="6">
        <v>69.65300000000001</v>
      </c>
    </row>
    <row r="318" spans="1:6">
      <c r="A318" s="6" t="b">
        <v>0</v>
      </c>
      <c r="B318" s="6" t="s">
        <v>90</v>
      </c>
      <c r="C318" s="6" t="s">
        <v>305</v>
      </c>
      <c r="D318" s="7">
        <v>3</v>
      </c>
      <c r="E318" s="15">
        <v>67</v>
      </c>
      <c r="F318" s="6">
        <v>63.398</v>
      </c>
    </row>
    <row r="319" spans="1:6">
      <c r="A319" s="6" t="b">
        <v>0</v>
      </c>
      <c r="B319" s="6" t="s">
        <v>90</v>
      </c>
      <c r="C319" s="6" t="s">
        <v>306</v>
      </c>
      <c r="D319" s="7">
        <v>13</v>
      </c>
      <c r="E319" s="15">
        <v>39</v>
      </c>
      <c r="F319" s="6">
        <v>34.191</v>
      </c>
    </row>
    <row r="320" spans="1:6">
      <c r="A320" s="6" t="b">
        <v>0</v>
      </c>
      <c r="B320" s="6" t="s">
        <v>90</v>
      </c>
      <c r="C320" s="6" t="s">
        <v>307</v>
      </c>
      <c r="D320" s="7">
        <v>4</v>
      </c>
      <c r="E320" s="15">
        <v>13.5</v>
      </c>
      <c r="F320" s="6">
        <v>41.145</v>
      </c>
    </row>
    <row r="321" spans="1:6">
      <c r="A321" s="6" t="b">
        <v>0</v>
      </c>
      <c r="B321" s="6" t="s">
        <v>90</v>
      </c>
      <c r="C321" s="6" t="s">
        <v>362</v>
      </c>
      <c r="D321" s="7">
        <v>19</v>
      </c>
      <c r="E321" s="15">
        <v>69</v>
      </c>
      <c r="F321" s="6">
        <v>69.157</v>
      </c>
    </row>
    <row r="322" spans="1:6">
      <c r="A322" s="6" t="b">
        <v>0</v>
      </c>
      <c r="B322" s="6" t="s">
        <v>90</v>
      </c>
      <c r="C322" s="6" t="s">
        <v>309</v>
      </c>
      <c r="D322" s="7">
        <v>53</v>
      </c>
      <c r="E322" s="15">
        <v>52</v>
      </c>
      <c r="F322" s="6">
        <v>69.502</v>
      </c>
    </row>
    <row r="323" spans="1:6">
      <c r="A323" s="6" t="b">
        <v>0</v>
      </c>
      <c r="B323" s="6" t="s">
        <v>90</v>
      </c>
      <c r="C323" s="6" t="s">
        <v>310</v>
      </c>
      <c r="D323" s="7">
        <v>2</v>
      </c>
      <c r="E323" s="15">
        <v>75.54166666666666</v>
      </c>
      <c r="F323" s="6">
        <v>59.626</v>
      </c>
    </row>
    <row r="324" spans="1:6">
      <c r="A324" s="6" t="b">
        <v>0</v>
      </c>
      <c r="B324" s="6" t="s">
        <v>90</v>
      </c>
      <c r="C324" s="6" t="s">
        <v>312</v>
      </c>
      <c r="D324" s="7">
        <v>1</v>
      </c>
      <c r="E324" s="15">
        <v>97.98333333333333</v>
      </c>
      <c r="F324" s="6">
        <v>46.658</v>
      </c>
    </row>
    <row r="325" spans="1:6">
      <c r="A325" s="6" t="b">
        <v>0</v>
      </c>
      <c r="B325" s="6" t="s">
        <v>90</v>
      </c>
      <c r="C325" s="6" t="s">
        <v>323</v>
      </c>
      <c r="D325" s="7">
        <v>1</v>
      </c>
      <c r="E325" s="15">
        <v>20.61666666666667</v>
      </c>
      <c r="F325" s="6">
        <v>59.13</v>
      </c>
    </row>
    <row r="326" spans="1:6">
      <c r="A326" s="6" t="b">
        <v>0</v>
      </c>
      <c r="B326" s="6" t="s">
        <v>90</v>
      </c>
      <c r="C326" s="6" t="s">
        <v>325</v>
      </c>
      <c r="D326" s="7">
        <v>3</v>
      </c>
      <c r="E326" s="15">
        <v>16</v>
      </c>
      <c r="F326" s="6">
        <v>41.117</v>
      </c>
    </row>
    <row r="327" spans="1:6">
      <c r="A327" s="6" t="b">
        <v>0</v>
      </c>
      <c r="B327" s="6" t="s">
        <v>90</v>
      </c>
      <c r="C327" s="6" t="s">
        <v>364</v>
      </c>
      <c r="D327" s="7">
        <v>1</v>
      </c>
      <c r="E327" s="15">
        <v>65</v>
      </c>
      <c r="F327" s="6">
        <v>34.599</v>
      </c>
    </row>
    <row r="328" spans="1:6">
      <c r="A328" s="6" t="b">
        <v>0</v>
      </c>
      <c r="B328" s="6" t="s">
        <v>90</v>
      </c>
      <c r="C328" s="6" t="s">
        <v>326</v>
      </c>
      <c r="D328" s="7">
        <v>1</v>
      </c>
      <c r="E328" s="15">
        <v>50.55</v>
      </c>
      <c r="F328" s="6">
        <v>100.94</v>
      </c>
    </row>
    <row r="329" spans="1:6">
      <c r="A329" s="6" t="b">
        <v>0</v>
      </c>
      <c r="B329" s="6" t="s">
        <v>90</v>
      </c>
      <c r="C329" s="6" t="s">
        <v>330</v>
      </c>
      <c r="D329" s="7">
        <v>1</v>
      </c>
      <c r="E329" s="15">
        <v>47.43333333333333</v>
      </c>
      <c r="F329" s="6">
        <v>71.871</v>
      </c>
    </row>
    <row r="330" spans="1:6">
      <c r="A330" s="6" t="b">
        <v>0</v>
      </c>
      <c r="B330" s="6" t="s">
        <v>90</v>
      </c>
      <c r="C330" s="6" t="s">
        <v>365</v>
      </c>
      <c r="D330" s="7">
        <v>2</v>
      </c>
      <c r="E330" s="15">
        <v>21.15</v>
      </c>
      <c r="F330" s="6">
        <v>12.177</v>
      </c>
    </row>
    <row r="331" spans="1:6">
      <c r="A331" s="6" t="b">
        <v>0</v>
      </c>
      <c r="B331" s="6" t="s">
        <v>90</v>
      </c>
      <c r="C331" s="6" t="s">
        <v>332</v>
      </c>
      <c r="D331" s="7">
        <v>4</v>
      </c>
      <c r="E331" s="15">
        <v>30.66666666666666</v>
      </c>
      <c r="F331" s="6">
        <v>69.99549999999999</v>
      </c>
    </row>
    <row r="332" spans="1:6">
      <c r="A332" s="6" t="b">
        <v>0</v>
      </c>
      <c r="B332" s="6" t="s">
        <v>177</v>
      </c>
      <c r="C332" s="6" t="s">
        <v>197</v>
      </c>
      <c r="D332" s="7">
        <v>3</v>
      </c>
      <c r="E332" s="15">
        <v>48.4</v>
      </c>
      <c r="F332" s="6">
        <v>40.04</v>
      </c>
    </row>
    <row r="333" spans="1:6">
      <c r="A333" s="6" t="b">
        <v>0</v>
      </c>
      <c r="B333" s="6" t="s">
        <v>177</v>
      </c>
      <c r="C333" s="6" t="s">
        <v>199</v>
      </c>
      <c r="D333" s="7">
        <v>1</v>
      </c>
      <c r="E333" s="15">
        <v>45.9</v>
      </c>
      <c r="F333" s="6">
        <v>37.5</v>
      </c>
    </row>
    <row r="334" spans="1:6">
      <c r="A334" s="6" t="b">
        <v>0</v>
      </c>
      <c r="B334" s="6" t="s">
        <v>177</v>
      </c>
      <c r="C334" s="6" t="s">
        <v>203</v>
      </c>
      <c r="D334" s="7">
        <v>69</v>
      </c>
      <c r="E334" s="15">
        <v>11</v>
      </c>
      <c r="F334" s="6">
        <v>44.1</v>
      </c>
    </row>
    <row r="335" spans="1:6">
      <c r="A335" s="6" t="b">
        <v>0</v>
      </c>
      <c r="B335" s="6" t="s">
        <v>177</v>
      </c>
      <c r="C335" s="6" t="s">
        <v>204</v>
      </c>
      <c r="D335" s="7">
        <v>1</v>
      </c>
      <c r="E335" s="15">
        <v>49</v>
      </c>
      <c r="F335" s="6">
        <v>96.39</v>
      </c>
    </row>
    <row r="336" spans="1:6">
      <c r="A336" s="6" t="b">
        <v>0</v>
      </c>
      <c r="B336" s="6" t="s">
        <v>177</v>
      </c>
      <c r="C336" s="6" t="s">
        <v>211</v>
      </c>
      <c r="D336" s="7">
        <v>4</v>
      </c>
      <c r="E336" s="15">
        <v>54.13333333333333</v>
      </c>
      <c r="F336" s="6">
        <v>55.77</v>
      </c>
    </row>
    <row r="337" spans="1:6">
      <c r="A337" s="6" t="b">
        <v>0</v>
      </c>
      <c r="B337" s="6" t="s">
        <v>177</v>
      </c>
      <c r="C337" s="6" t="s">
        <v>212</v>
      </c>
      <c r="D337" s="7">
        <v>2</v>
      </c>
      <c r="E337" s="15">
        <v>15.975</v>
      </c>
      <c r="F337" s="6">
        <v>44.65</v>
      </c>
    </row>
    <row r="338" spans="1:6">
      <c r="A338" s="6" t="b">
        <v>0</v>
      </c>
      <c r="B338" s="6" t="s">
        <v>177</v>
      </c>
      <c r="C338" s="6" t="s">
        <v>215</v>
      </c>
      <c r="D338" s="7">
        <v>8</v>
      </c>
      <c r="E338" s="15">
        <v>96.01666666666667</v>
      </c>
      <c r="F338" s="6">
        <v>75.78749999999999</v>
      </c>
    </row>
    <row r="339" spans="1:6">
      <c r="A339" s="6" t="b">
        <v>0</v>
      </c>
      <c r="B339" s="6" t="s">
        <v>177</v>
      </c>
      <c r="C339" s="6" t="s">
        <v>342</v>
      </c>
      <c r="D339" s="7">
        <v>5</v>
      </c>
      <c r="E339" s="15">
        <v>12</v>
      </c>
      <c r="F339" s="6">
        <v>40.32</v>
      </c>
    </row>
    <row r="340" spans="1:6">
      <c r="A340" s="6" t="b">
        <v>0</v>
      </c>
      <c r="B340" s="6" t="s">
        <v>177</v>
      </c>
      <c r="C340" s="6" t="s">
        <v>226</v>
      </c>
      <c r="D340" s="7">
        <v>1</v>
      </c>
      <c r="E340" s="15">
        <v>45</v>
      </c>
      <c r="F340" s="6">
        <v>46.51</v>
      </c>
    </row>
    <row r="341" spans="1:6">
      <c r="A341" s="6" t="b">
        <v>0</v>
      </c>
      <c r="B341" s="6" t="s">
        <v>177</v>
      </c>
      <c r="C341" s="6" t="s">
        <v>345</v>
      </c>
      <c r="D341" s="7">
        <v>1</v>
      </c>
      <c r="E341" s="15">
        <v>11</v>
      </c>
      <c r="F341" s="6">
        <v>27.65</v>
      </c>
    </row>
    <row r="342" spans="1:6">
      <c r="A342" s="6" t="b">
        <v>0</v>
      </c>
      <c r="B342" s="6" t="s">
        <v>177</v>
      </c>
      <c r="C342" s="6" t="s">
        <v>247</v>
      </c>
      <c r="D342" s="7">
        <v>4</v>
      </c>
      <c r="E342" s="15">
        <v>21.25833333333333</v>
      </c>
      <c r="F342" s="6">
        <v>41.53</v>
      </c>
    </row>
    <row r="343" spans="1:6">
      <c r="A343" s="6" t="b">
        <v>0</v>
      </c>
      <c r="B343" s="6" t="s">
        <v>177</v>
      </c>
      <c r="C343" s="6" t="s">
        <v>249</v>
      </c>
      <c r="D343" s="7">
        <v>9</v>
      </c>
      <c r="E343" s="15">
        <v>12</v>
      </c>
      <c r="F343" s="6">
        <v>40.32</v>
      </c>
    </row>
    <row r="344" spans="1:6">
      <c r="A344" s="6" t="b">
        <v>0</v>
      </c>
      <c r="B344" s="6" t="s">
        <v>177</v>
      </c>
      <c r="C344" s="6" t="s">
        <v>255</v>
      </c>
      <c r="D344" s="7">
        <v>1</v>
      </c>
      <c r="E344" s="15">
        <v>42.31666666666667</v>
      </c>
      <c r="F344" s="6">
        <v>28</v>
      </c>
    </row>
    <row r="345" spans="1:6">
      <c r="A345" s="6" t="b">
        <v>0</v>
      </c>
      <c r="B345" s="6" t="s">
        <v>177</v>
      </c>
      <c r="C345" s="6" t="s">
        <v>263</v>
      </c>
      <c r="D345" s="7">
        <v>1</v>
      </c>
      <c r="E345" s="15">
        <v>66</v>
      </c>
      <c r="F345" s="6">
        <v>48.76</v>
      </c>
    </row>
    <row r="346" spans="1:6">
      <c r="A346" s="6" t="b">
        <v>0</v>
      </c>
      <c r="B346" s="6" t="s">
        <v>177</v>
      </c>
      <c r="C346" s="6" t="s">
        <v>265</v>
      </c>
      <c r="D346" s="7">
        <v>1</v>
      </c>
      <c r="E346" s="15">
        <v>47.98333333333333</v>
      </c>
      <c r="F346" s="6">
        <v>77.77</v>
      </c>
    </row>
    <row r="347" spans="1:6">
      <c r="A347" s="6" t="b">
        <v>0</v>
      </c>
      <c r="B347" s="6" t="s">
        <v>177</v>
      </c>
      <c r="C347" s="6" t="s">
        <v>267</v>
      </c>
      <c r="D347" s="7">
        <v>11</v>
      </c>
      <c r="E347" s="15">
        <v>2</v>
      </c>
      <c r="F347" s="6">
        <v>23.94</v>
      </c>
    </row>
    <row r="348" spans="1:6">
      <c r="A348" s="6" t="b">
        <v>0</v>
      </c>
      <c r="B348" s="6" t="s">
        <v>177</v>
      </c>
      <c r="C348" s="6" t="s">
        <v>273</v>
      </c>
      <c r="D348" s="7">
        <v>4</v>
      </c>
      <c r="E348" s="15">
        <v>45</v>
      </c>
      <c r="F348" s="6">
        <v>38.38</v>
      </c>
    </row>
    <row r="349" spans="1:6">
      <c r="A349" s="6" t="b">
        <v>0</v>
      </c>
      <c r="B349" s="6" t="s">
        <v>177</v>
      </c>
      <c r="C349" s="6" t="s">
        <v>276</v>
      </c>
      <c r="D349" s="7">
        <v>3</v>
      </c>
      <c r="E349" s="15">
        <v>20</v>
      </c>
      <c r="F349" s="6">
        <v>39.06</v>
      </c>
    </row>
    <row r="350" spans="1:6">
      <c r="A350" s="6" t="b">
        <v>0</v>
      </c>
      <c r="B350" s="6" t="s">
        <v>177</v>
      </c>
      <c r="C350" s="6" t="s">
        <v>280</v>
      </c>
      <c r="D350" s="7">
        <v>1</v>
      </c>
      <c r="E350" s="15">
        <v>38.41666666666666</v>
      </c>
      <c r="F350" s="6">
        <v>46.26</v>
      </c>
    </row>
    <row r="351" spans="1:6">
      <c r="A351" s="6" t="b">
        <v>0</v>
      </c>
      <c r="B351" s="6" t="s">
        <v>177</v>
      </c>
      <c r="C351" s="6" t="s">
        <v>283</v>
      </c>
      <c r="D351" s="7">
        <v>1</v>
      </c>
      <c r="E351" s="15">
        <v>29.81666666666667</v>
      </c>
      <c r="F351" s="6">
        <v>40.281</v>
      </c>
    </row>
    <row r="352" spans="1:6">
      <c r="A352" s="6" t="b">
        <v>0</v>
      </c>
      <c r="B352" s="6" t="s">
        <v>177</v>
      </c>
      <c r="C352" s="6" t="s">
        <v>284</v>
      </c>
      <c r="D352" s="7">
        <v>1</v>
      </c>
      <c r="E352" s="15">
        <v>49</v>
      </c>
      <c r="F352" s="6">
        <v>84.5</v>
      </c>
    </row>
    <row r="353" spans="1:6">
      <c r="A353" s="6" t="b">
        <v>0</v>
      </c>
      <c r="B353" s="6" t="s">
        <v>177</v>
      </c>
      <c r="C353" s="6" t="s">
        <v>359</v>
      </c>
      <c r="D353" s="7">
        <v>1</v>
      </c>
      <c r="E353" s="15">
        <v>62.86666666666667</v>
      </c>
      <c r="F353" s="6">
        <v>56.42</v>
      </c>
    </row>
    <row r="354" spans="1:6">
      <c r="A354" s="6" t="b">
        <v>0</v>
      </c>
      <c r="B354" s="6" t="s">
        <v>177</v>
      </c>
      <c r="C354" s="6" t="s">
        <v>312</v>
      </c>
      <c r="D354" s="7">
        <v>1</v>
      </c>
      <c r="E354" s="15">
        <v>43</v>
      </c>
      <c r="F354" s="6">
        <v>70.56</v>
      </c>
    </row>
    <row r="355" spans="1:6">
      <c r="A355" s="6" t="b">
        <v>0</v>
      </c>
      <c r="B355" s="6" t="s">
        <v>177</v>
      </c>
      <c r="C355" s="6" t="s">
        <v>326</v>
      </c>
      <c r="D355" s="7">
        <v>1</v>
      </c>
      <c r="E355" s="15">
        <v>121.1666666666667</v>
      </c>
      <c r="F355" s="6">
        <v>62.58</v>
      </c>
    </row>
    <row r="356" spans="1:6">
      <c r="A356" s="6" t="b">
        <v>0</v>
      </c>
      <c r="B356" s="6" t="s">
        <v>177</v>
      </c>
      <c r="C356" s="6" t="s">
        <v>332</v>
      </c>
      <c r="D356" s="7">
        <v>4</v>
      </c>
      <c r="E356" s="15">
        <v>19.5</v>
      </c>
      <c r="F356" s="6">
        <v>42.805</v>
      </c>
    </row>
    <row r="357" spans="1:6">
      <c r="A357" s="6" t="b">
        <v>0</v>
      </c>
      <c r="B357" s="6" t="s">
        <v>92</v>
      </c>
      <c r="C357" s="6" t="s">
        <v>199</v>
      </c>
      <c r="D357" s="7">
        <v>2</v>
      </c>
      <c r="E357" s="15">
        <v>30.95</v>
      </c>
      <c r="F357" s="6">
        <v>35.5625</v>
      </c>
    </row>
    <row r="358" spans="1:6">
      <c r="A358" s="6" t="b">
        <v>0</v>
      </c>
      <c r="B358" s="6" t="s">
        <v>92</v>
      </c>
      <c r="C358" s="6" t="s">
        <v>202</v>
      </c>
      <c r="D358" s="7">
        <v>74</v>
      </c>
      <c r="E358" s="15">
        <v>73.68333333333334</v>
      </c>
      <c r="F358" s="6">
        <v>66.95050000000001</v>
      </c>
    </row>
    <row r="359" spans="1:6">
      <c r="A359" s="6" t="b">
        <v>0</v>
      </c>
      <c r="B359" s="6" t="s">
        <v>92</v>
      </c>
      <c r="C359" s="6" t="s">
        <v>203</v>
      </c>
      <c r="D359" s="7">
        <v>49</v>
      </c>
      <c r="E359" s="15">
        <v>51.68333333333333</v>
      </c>
      <c r="F359" s="6">
        <v>39.32</v>
      </c>
    </row>
    <row r="360" spans="1:6">
      <c r="A360" s="6" t="b">
        <v>0</v>
      </c>
      <c r="B360" s="6" t="s">
        <v>92</v>
      </c>
      <c r="C360" s="6" t="s">
        <v>204</v>
      </c>
      <c r="D360" s="7">
        <v>236</v>
      </c>
      <c r="E360" s="15">
        <v>41.54166666666667</v>
      </c>
      <c r="F360" s="6">
        <v>55.9905</v>
      </c>
    </row>
    <row r="361" spans="1:6">
      <c r="A361" s="6" t="b">
        <v>0</v>
      </c>
      <c r="B361" s="6" t="s">
        <v>92</v>
      </c>
      <c r="C361" s="6" t="s">
        <v>205</v>
      </c>
      <c r="D361" s="7">
        <v>115</v>
      </c>
      <c r="E361" s="15">
        <v>55</v>
      </c>
      <c r="F361" s="6">
        <v>42.38</v>
      </c>
    </row>
    <row r="362" spans="1:6">
      <c r="A362" s="6" t="b">
        <v>0</v>
      </c>
      <c r="B362" s="6" t="s">
        <v>92</v>
      </c>
      <c r="C362" s="6" t="s">
        <v>206</v>
      </c>
      <c r="D362" s="7">
        <v>61</v>
      </c>
      <c r="E362" s="15">
        <v>16</v>
      </c>
      <c r="F362" s="6">
        <v>26.494</v>
      </c>
    </row>
    <row r="363" spans="1:6">
      <c r="A363" s="6" t="b">
        <v>0</v>
      </c>
      <c r="B363" s="6" t="s">
        <v>92</v>
      </c>
      <c r="C363" s="6" t="s">
        <v>211</v>
      </c>
      <c r="D363" s="7">
        <v>1448</v>
      </c>
      <c r="E363" s="15">
        <v>16</v>
      </c>
      <c r="F363" s="6">
        <v>12.5925</v>
      </c>
    </row>
    <row r="364" spans="1:6">
      <c r="A364" s="6" t="b">
        <v>0</v>
      </c>
      <c r="B364" s="6" t="s">
        <v>92</v>
      </c>
      <c r="C364" s="6" t="s">
        <v>212</v>
      </c>
      <c r="D364" s="7">
        <v>35</v>
      </c>
      <c r="E364" s="15">
        <v>15</v>
      </c>
      <c r="F364" s="6">
        <v>10.628</v>
      </c>
    </row>
    <row r="365" spans="1:6">
      <c r="A365" s="6" t="b">
        <v>0</v>
      </c>
      <c r="B365" s="6" t="s">
        <v>92</v>
      </c>
      <c r="C365" s="6" t="s">
        <v>216</v>
      </c>
      <c r="D365" s="7">
        <v>2</v>
      </c>
      <c r="E365" s="15">
        <v>22.25</v>
      </c>
      <c r="F365" s="6">
        <v>32.4835</v>
      </c>
    </row>
    <row r="366" spans="1:6">
      <c r="A366" s="6" t="b">
        <v>0</v>
      </c>
      <c r="B366" s="6" t="s">
        <v>92</v>
      </c>
      <c r="C366" s="6" t="s">
        <v>221</v>
      </c>
      <c r="D366" s="7">
        <v>2</v>
      </c>
      <c r="E366" s="15">
        <v>39.525</v>
      </c>
      <c r="F366" s="6">
        <v>20.1615</v>
      </c>
    </row>
    <row r="367" spans="1:6">
      <c r="A367" s="6" t="b">
        <v>0</v>
      </c>
      <c r="B367" s="6" t="s">
        <v>92</v>
      </c>
      <c r="C367" s="6" t="s">
        <v>223</v>
      </c>
      <c r="D367" s="7">
        <v>2</v>
      </c>
      <c r="E367" s="15">
        <v>53.5</v>
      </c>
      <c r="F367" s="6">
        <v>56.0685</v>
      </c>
    </row>
    <row r="368" spans="1:6">
      <c r="A368" s="6" t="b">
        <v>0</v>
      </c>
      <c r="B368" s="6" t="s">
        <v>92</v>
      </c>
      <c r="C368" s="6" t="s">
        <v>224</v>
      </c>
      <c r="D368" s="7">
        <v>78</v>
      </c>
      <c r="E368" s="15">
        <v>41.85</v>
      </c>
      <c r="F368" s="6">
        <v>57.3755</v>
      </c>
    </row>
    <row r="369" spans="1:6">
      <c r="A369" s="6" t="b">
        <v>0</v>
      </c>
      <c r="B369" s="6" t="s">
        <v>92</v>
      </c>
      <c r="C369" s="6" t="s">
        <v>226</v>
      </c>
      <c r="D369" s="7">
        <v>1</v>
      </c>
      <c r="E369" s="15">
        <v>137</v>
      </c>
      <c r="F369" s="6">
        <v>32.6</v>
      </c>
    </row>
    <row r="370" spans="1:6">
      <c r="A370" s="6" t="b">
        <v>0</v>
      </c>
      <c r="B370" s="6" t="s">
        <v>92</v>
      </c>
      <c r="C370" s="6" t="s">
        <v>227</v>
      </c>
      <c r="D370" s="7">
        <v>3</v>
      </c>
      <c r="E370" s="15">
        <v>43</v>
      </c>
      <c r="F370" s="6">
        <v>36.29</v>
      </c>
    </row>
    <row r="371" spans="1:6">
      <c r="A371" s="6" t="b">
        <v>0</v>
      </c>
      <c r="B371" s="6" t="s">
        <v>92</v>
      </c>
      <c r="C371" s="6" t="s">
        <v>228</v>
      </c>
      <c r="D371" s="7">
        <v>2</v>
      </c>
      <c r="E371" s="15">
        <v>26.025</v>
      </c>
      <c r="F371" s="6">
        <v>22.6025</v>
      </c>
    </row>
    <row r="372" spans="1:6">
      <c r="A372" s="6" t="b">
        <v>0</v>
      </c>
      <c r="B372" s="6" t="s">
        <v>92</v>
      </c>
      <c r="C372" s="6" t="s">
        <v>367</v>
      </c>
      <c r="D372" s="7">
        <v>20</v>
      </c>
      <c r="E372" s="15">
        <v>15</v>
      </c>
      <c r="F372" s="6">
        <v>8.484500000000001</v>
      </c>
    </row>
    <row r="373" spans="1:6">
      <c r="A373" s="6" t="b">
        <v>0</v>
      </c>
      <c r="B373" s="6" t="s">
        <v>92</v>
      </c>
      <c r="C373" s="6" t="s">
        <v>230</v>
      </c>
      <c r="D373" s="7">
        <v>1</v>
      </c>
      <c r="E373" s="15">
        <v>42.83333333333334</v>
      </c>
      <c r="F373" s="6">
        <v>27.145</v>
      </c>
    </row>
    <row r="374" spans="1:6">
      <c r="A374" s="6" t="b">
        <v>0</v>
      </c>
      <c r="B374" s="6" t="s">
        <v>92</v>
      </c>
      <c r="C374" s="6" t="s">
        <v>234</v>
      </c>
      <c r="D374" s="7">
        <v>2</v>
      </c>
      <c r="E374" s="15">
        <v>56.5</v>
      </c>
      <c r="F374" s="6">
        <v>41.7235</v>
      </c>
    </row>
    <row r="375" spans="1:6">
      <c r="A375" s="6" t="b">
        <v>0</v>
      </c>
      <c r="B375" s="6" t="s">
        <v>92</v>
      </c>
      <c r="C375" s="6" t="s">
        <v>236</v>
      </c>
      <c r="D375" s="7">
        <v>151</v>
      </c>
      <c r="E375" s="15">
        <v>46.28333333333333</v>
      </c>
      <c r="F375" s="6">
        <v>58.607</v>
      </c>
    </row>
    <row r="376" spans="1:6">
      <c r="A376" s="6" t="b">
        <v>0</v>
      </c>
      <c r="B376" s="6" t="s">
        <v>92</v>
      </c>
      <c r="C376" s="6" t="s">
        <v>368</v>
      </c>
      <c r="D376" s="7">
        <v>7</v>
      </c>
      <c r="E376" s="15">
        <v>15</v>
      </c>
      <c r="F376" s="6">
        <v>8.247</v>
      </c>
    </row>
    <row r="377" spans="1:6">
      <c r="A377" s="6" t="b">
        <v>0</v>
      </c>
      <c r="B377" s="6" t="s">
        <v>92</v>
      </c>
      <c r="C377" s="6" t="s">
        <v>369</v>
      </c>
      <c r="D377" s="7">
        <v>6</v>
      </c>
      <c r="E377" s="15">
        <v>15.5</v>
      </c>
      <c r="F377" s="6">
        <v>7.773</v>
      </c>
    </row>
    <row r="378" spans="1:6">
      <c r="A378" s="6" t="b">
        <v>0</v>
      </c>
      <c r="B378" s="6" t="s">
        <v>92</v>
      </c>
      <c r="C378" s="6" t="s">
        <v>244</v>
      </c>
      <c r="D378" s="7">
        <v>86</v>
      </c>
      <c r="E378" s="15">
        <v>17</v>
      </c>
      <c r="F378" s="6">
        <v>9.846</v>
      </c>
    </row>
    <row r="379" spans="1:6">
      <c r="A379" s="6" t="b">
        <v>0</v>
      </c>
      <c r="B379" s="6" t="s">
        <v>92</v>
      </c>
      <c r="C379" s="6" t="s">
        <v>245</v>
      </c>
      <c r="D379" s="7">
        <v>7</v>
      </c>
      <c r="E379" s="15">
        <v>39</v>
      </c>
      <c r="F379" s="6">
        <v>27.56</v>
      </c>
    </row>
    <row r="380" spans="1:6">
      <c r="A380" s="6" t="b">
        <v>0</v>
      </c>
      <c r="B380" s="6" t="s">
        <v>92</v>
      </c>
      <c r="C380" s="6" t="s">
        <v>348</v>
      </c>
      <c r="D380" s="7">
        <v>3</v>
      </c>
      <c r="E380" s="15">
        <v>51</v>
      </c>
      <c r="F380" s="6">
        <v>69.95999999999999</v>
      </c>
    </row>
    <row r="381" spans="1:6">
      <c r="A381" s="6" t="b">
        <v>0</v>
      </c>
      <c r="B381" s="6" t="s">
        <v>92</v>
      </c>
      <c r="C381" s="6" t="s">
        <v>247</v>
      </c>
      <c r="D381" s="7">
        <v>12</v>
      </c>
      <c r="E381" s="15">
        <v>29.3</v>
      </c>
      <c r="F381" s="6">
        <v>39.986</v>
      </c>
    </row>
    <row r="382" spans="1:6">
      <c r="A382" s="6" t="b">
        <v>0</v>
      </c>
      <c r="B382" s="6" t="s">
        <v>92</v>
      </c>
      <c r="C382" s="6" t="s">
        <v>248</v>
      </c>
      <c r="D382" s="7">
        <v>52</v>
      </c>
      <c r="E382" s="15">
        <v>49.38333333333333</v>
      </c>
      <c r="F382" s="6">
        <v>39.3955</v>
      </c>
    </row>
    <row r="383" spans="1:6">
      <c r="A383" s="6" t="b">
        <v>0</v>
      </c>
      <c r="B383" s="6" t="s">
        <v>92</v>
      </c>
      <c r="C383" s="6" t="s">
        <v>249</v>
      </c>
      <c r="D383" s="7">
        <v>16</v>
      </c>
      <c r="E383" s="15">
        <v>47.575</v>
      </c>
      <c r="F383" s="6">
        <v>33.6905</v>
      </c>
    </row>
    <row r="384" spans="1:6">
      <c r="A384" s="6" t="b">
        <v>0</v>
      </c>
      <c r="B384" s="6" t="s">
        <v>92</v>
      </c>
      <c r="C384" s="6" t="s">
        <v>250</v>
      </c>
      <c r="D384" s="7">
        <v>65</v>
      </c>
      <c r="E384" s="15">
        <v>15</v>
      </c>
      <c r="F384" s="6">
        <v>7.507</v>
      </c>
    </row>
    <row r="385" spans="1:6">
      <c r="A385" s="6" t="b">
        <v>0</v>
      </c>
      <c r="B385" s="6" t="s">
        <v>92</v>
      </c>
      <c r="C385" s="6" t="s">
        <v>259</v>
      </c>
      <c r="D385" s="7">
        <v>5</v>
      </c>
      <c r="E385" s="15">
        <v>47.91666666666666</v>
      </c>
      <c r="F385" s="6">
        <v>38.588</v>
      </c>
    </row>
    <row r="386" spans="1:6">
      <c r="A386" s="6" t="b">
        <v>0</v>
      </c>
      <c r="B386" s="6" t="s">
        <v>92</v>
      </c>
      <c r="C386" s="6" t="s">
        <v>266</v>
      </c>
      <c r="D386" s="7">
        <v>2</v>
      </c>
      <c r="E386" s="15">
        <v>90.49166666666667</v>
      </c>
      <c r="F386" s="6">
        <v>32.543</v>
      </c>
    </row>
    <row r="387" spans="1:6">
      <c r="A387" s="6" t="b">
        <v>0</v>
      </c>
      <c r="B387" s="6" t="s">
        <v>92</v>
      </c>
      <c r="C387" s="6" t="s">
        <v>267</v>
      </c>
      <c r="D387" s="7">
        <v>16</v>
      </c>
      <c r="E387" s="15">
        <v>31.05</v>
      </c>
      <c r="F387" s="6">
        <v>36.653</v>
      </c>
    </row>
    <row r="388" spans="1:6">
      <c r="A388" s="6" t="b">
        <v>0</v>
      </c>
      <c r="B388" s="6" t="s">
        <v>92</v>
      </c>
      <c r="C388" s="6" t="s">
        <v>271</v>
      </c>
      <c r="D388" s="7">
        <v>3</v>
      </c>
      <c r="E388" s="15">
        <v>72.03333333333333</v>
      </c>
      <c r="F388" s="6">
        <v>71.88</v>
      </c>
    </row>
    <row r="389" spans="1:6">
      <c r="A389" s="6" t="b">
        <v>0</v>
      </c>
      <c r="B389" s="6" t="s">
        <v>92</v>
      </c>
      <c r="C389" s="6" t="s">
        <v>273</v>
      </c>
      <c r="D389" s="7">
        <v>33</v>
      </c>
      <c r="E389" s="15">
        <v>27</v>
      </c>
      <c r="F389" s="6">
        <v>41.473</v>
      </c>
    </row>
    <row r="390" spans="1:6">
      <c r="A390" s="6" t="b">
        <v>0</v>
      </c>
      <c r="B390" s="6" t="s">
        <v>92</v>
      </c>
      <c r="C390" s="6" t="s">
        <v>278</v>
      </c>
      <c r="D390" s="7">
        <v>545</v>
      </c>
      <c r="E390" s="15">
        <v>14</v>
      </c>
      <c r="F390" s="6">
        <v>16.73</v>
      </c>
    </row>
    <row r="391" spans="1:6">
      <c r="A391" s="6" t="b">
        <v>0</v>
      </c>
      <c r="B391" s="6" t="s">
        <v>92</v>
      </c>
      <c r="C391" s="6" t="s">
        <v>280</v>
      </c>
      <c r="D391" s="7">
        <v>112</v>
      </c>
      <c r="E391" s="15">
        <v>52.875</v>
      </c>
      <c r="F391" s="6">
        <v>37.6555</v>
      </c>
    </row>
    <row r="392" spans="1:6">
      <c r="A392" s="6" t="b">
        <v>0</v>
      </c>
      <c r="B392" s="6" t="s">
        <v>92</v>
      </c>
      <c r="C392" s="6" t="s">
        <v>281</v>
      </c>
      <c r="D392" s="7">
        <v>153</v>
      </c>
      <c r="E392" s="15">
        <v>36</v>
      </c>
      <c r="F392" s="6">
        <v>25.32</v>
      </c>
    </row>
    <row r="393" spans="1:6">
      <c r="A393" s="6" t="b">
        <v>0</v>
      </c>
      <c r="B393" s="6" t="s">
        <v>92</v>
      </c>
      <c r="C393" s="6" t="s">
        <v>283</v>
      </c>
      <c r="D393" s="7">
        <v>2</v>
      </c>
      <c r="E393" s="15">
        <v>27.40833333333333</v>
      </c>
      <c r="F393" s="6">
        <v>33.725</v>
      </c>
    </row>
    <row r="394" spans="1:6">
      <c r="A394" s="6" t="b">
        <v>0</v>
      </c>
      <c r="B394" s="6" t="s">
        <v>92</v>
      </c>
      <c r="C394" s="6" t="s">
        <v>284</v>
      </c>
      <c r="D394" s="7">
        <v>50</v>
      </c>
      <c r="E394" s="15">
        <v>40.2</v>
      </c>
      <c r="F394" s="6">
        <v>21.6295</v>
      </c>
    </row>
    <row r="395" spans="1:6">
      <c r="A395" s="6" t="b">
        <v>0</v>
      </c>
      <c r="B395" s="6" t="s">
        <v>92</v>
      </c>
      <c r="C395" s="6" t="s">
        <v>370</v>
      </c>
      <c r="D395" s="7">
        <v>14</v>
      </c>
      <c r="E395" s="15">
        <v>15</v>
      </c>
      <c r="F395" s="6">
        <v>6.828</v>
      </c>
    </row>
    <row r="396" spans="1:6">
      <c r="A396" s="6" t="b">
        <v>0</v>
      </c>
      <c r="B396" s="6" t="s">
        <v>92</v>
      </c>
      <c r="C396" s="6" t="s">
        <v>293</v>
      </c>
      <c r="D396" s="7">
        <v>22</v>
      </c>
      <c r="E396" s="15">
        <v>26.71666666666667</v>
      </c>
      <c r="F396" s="6">
        <v>12.9935</v>
      </c>
    </row>
    <row r="397" spans="1:6">
      <c r="A397" s="6" t="b">
        <v>0</v>
      </c>
      <c r="B397" s="6" t="s">
        <v>92</v>
      </c>
      <c r="C397" s="6" t="s">
        <v>371</v>
      </c>
      <c r="D397" s="7">
        <v>14</v>
      </c>
      <c r="E397" s="15">
        <v>17</v>
      </c>
      <c r="F397" s="6">
        <v>10.2235</v>
      </c>
    </row>
    <row r="398" spans="1:6">
      <c r="A398" s="6" t="b">
        <v>0</v>
      </c>
      <c r="B398" s="6" t="s">
        <v>92</v>
      </c>
      <c r="C398" s="6" t="s">
        <v>295</v>
      </c>
      <c r="D398" s="7">
        <v>3</v>
      </c>
      <c r="E398" s="15">
        <v>37</v>
      </c>
      <c r="F398" s="6">
        <v>39.84</v>
      </c>
    </row>
    <row r="399" spans="1:6">
      <c r="A399" s="6" t="b">
        <v>0</v>
      </c>
      <c r="B399" s="6" t="s">
        <v>92</v>
      </c>
      <c r="C399" s="6" t="s">
        <v>296</v>
      </c>
      <c r="D399" s="7">
        <v>11</v>
      </c>
      <c r="E399" s="15">
        <v>21</v>
      </c>
      <c r="F399" s="6">
        <v>30.927</v>
      </c>
    </row>
    <row r="400" spans="1:6">
      <c r="A400" s="6" t="b">
        <v>0</v>
      </c>
      <c r="B400" s="6" t="s">
        <v>92</v>
      </c>
      <c r="C400" s="6" t="s">
        <v>311</v>
      </c>
      <c r="D400" s="7">
        <v>8</v>
      </c>
      <c r="E400" s="15">
        <v>49.65833333333333</v>
      </c>
      <c r="F400" s="6">
        <v>35.605</v>
      </c>
    </row>
    <row r="401" spans="1:6">
      <c r="A401" s="6" t="b">
        <v>0</v>
      </c>
      <c r="B401" s="6" t="s">
        <v>92</v>
      </c>
      <c r="C401" s="6" t="s">
        <v>315</v>
      </c>
      <c r="D401" s="7">
        <v>4</v>
      </c>
      <c r="E401" s="15">
        <v>20.63333333333333</v>
      </c>
      <c r="F401" s="6">
        <v>29.016</v>
      </c>
    </row>
    <row r="402" spans="1:6">
      <c r="A402" s="6" t="b">
        <v>0</v>
      </c>
      <c r="B402" s="6" t="s">
        <v>92</v>
      </c>
      <c r="C402" s="6" t="s">
        <v>320</v>
      </c>
      <c r="D402" s="7">
        <v>75</v>
      </c>
      <c r="E402" s="15">
        <v>45</v>
      </c>
      <c r="F402" s="6">
        <v>58.425</v>
      </c>
    </row>
    <row r="403" spans="1:6">
      <c r="A403" s="6" t="b">
        <v>0</v>
      </c>
      <c r="B403" s="6" t="s">
        <v>92</v>
      </c>
      <c r="C403" s="6" t="s">
        <v>323</v>
      </c>
      <c r="D403" s="7">
        <v>232</v>
      </c>
      <c r="E403" s="15">
        <v>17</v>
      </c>
      <c r="F403" s="6">
        <v>19.254</v>
      </c>
    </row>
    <row r="404" spans="1:6">
      <c r="A404" s="6" t="b">
        <v>0</v>
      </c>
      <c r="B404" s="6" t="s">
        <v>92</v>
      </c>
      <c r="C404" s="6" t="s">
        <v>324</v>
      </c>
      <c r="D404" s="7">
        <v>41</v>
      </c>
      <c r="E404" s="15">
        <v>44</v>
      </c>
      <c r="F404" s="6">
        <v>41.713</v>
      </c>
    </row>
    <row r="405" spans="1:6">
      <c r="A405" s="6" t="b">
        <v>0</v>
      </c>
      <c r="B405" s="6" t="s">
        <v>92</v>
      </c>
      <c r="C405" s="6" t="s">
        <v>372</v>
      </c>
      <c r="D405" s="7">
        <v>22</v>
      </c>
      <c r="E405" s="15">
        <v>66.26666666666667</v>
      </c>
      <c r="F405" s="6">
        <v>35.7375</v>
      </c>
    </row>
    <row r="406" spans="1:6">
      <c r="A406" s="6" t="b">
        <v>0</v>
      </c>
      <c r="B406" s="6" t="s">
        <v>92</v>
      </c>
      <c r="C406" s="6" t="s">
        <v>373</v>
      </c>
      <c r="D406" s="7">
        <v>5</v>
      </c>
      <c r="E406" s="15">
        <v>18</v>
      </c>
      <c r="F406" s="6">
        <v>10.871</v>
      </c>
    </row>
    <row r="407" spans="1:6">
      <c r="A407" s="6" t="b">
        <v>0</v>
      </c>
      <c r="B407" s="6" t="s">
        <v>92</v>
      </c>
      <c r="C407" s="6" t="s">
        <v>374</v>
      </c>
      <c r="D407" s="7">
        <v>1</v>
      </c>
      <c r="E407" s="15">
        <v>15.81666666666667</v>
      </c>
      <c r="F407" s="6">
        <v>11.534</v>
      </c>
    </row>
    <row r="408" spans="1:6">
      <c r="A408" s="6" t="b">
        <v>0</v>
      </c>
      <c r="B408" s="6" t="s">
        <v>92</v>
      </c>
      <c r="C408" s="6" t="s">
        <v>327</v>
      </c>
      <c r="D408" s="7">
        <v>1</v>
      </c>
      <c r="E408" s="15">
        <v>41.5</v>
      </c>
      <c r="F408" s="6">
        <v>30.828</v>
      </c>
    </row>
    <row r="409" spans="1:6">
      <c r="A409" s="6" t="b">
        <v>0</v>
      </c>
      <c r="B409" s="6" t="s">
        <v>92</v>
      </c>
      <c r="C409" s="6" t="s">
        <v>329</v>
      </c>
      <c r="D409" s="7">
        <v>20</v>
      </c>
      <c r="E409" s="15">
        <v>43.45833333333333</v>
      </c>
      <c r="F409" s="6">
        <v>41.872</v>
      </c>
    </row>
    <row r="410" spans="1:6">
      <c r="A410" s="6" t="b">
        <v>0</v>
      </c>
      <c r="B410" s="6" t="s">
        <v>92</v>
      </c>
      <c r="C410" s="6" t="s">
        <v>332</v>
      </c>
      <c r="D410" s="7">
        <v>581</v>
      </c>
      <c r="E410" s="15">
        <v>13</v>
      </c>
      <c r="F410" s="6">
        <v>26.784</v>
      </c>
    </row>
    <row r="411" spans="1:6">
      <c r="A411" s="6" t="b">
        <v>0</v>
      </c>
      <c r="B411" s="6" t="s">
        <v>92</v>
      </c>
      <c r="C411" s="6" t="s">
        <v>375</v>
      </c>
      <c r="D411" s="7">
        <v>4</v>
      </c>
      <c r="E411" s="15">
        <v>16.5</v>
      </c>
      <c r="F411" s="6">
        <v>8.522500000000001</v>
      </c>
    </row>
    <row r="412" spans="1:6">
      <c r="A412" s="6" t="b">
        <v>0</v>
      </c>
      <c r="B412" s="6" t="s">
        <v>94</v>
      </c>
      <c r="C412" s="6" t="s">
        <v>202</v>
      </c>
      <c r="D412" s="7">
        <v>541</v>
      </c>
      <c r="E412" s="15">
        <v>56</v>
      </c>
      <c r="F412" s="6">
        <v>11.831</v>
      </c>
    </row>
    <row r="413" spans="1:6">
      <c r="A413" s="6" t="b">
        <v>0</v>
      </c>
      <c r="B413" s="6" t="s">
        <v>94</v>
      </c>
      <c r="C413" s="6" t="s">
        <v>215</v>
      </c>
      <c r="D413" s="7">
        <v>292</v>
      </c>
      <c r="E413" s="15">
        <v>48</v>
      </c>
      <c r="F413" s="6">
        <v>7.9315</v>
      </c>
    </row>
    <row r="414" spans="1:6">
      <c r="A414" s="6" t="b">
        <v>0</v>
      </c>
      <c r="B414" s="6" t="s">
        <v>94</v>
      </c>
      <c r="C414" s="6" t="s">
        <v>239</v>
      </c>
      <c r="D414" s="7">
        <v>135</v>
      </c>
      <c r="E414" s="15">
        <v>48</v>
      </c>
      <c r="F414" s="6">
        <v>7.56</v>
      </c>
    </row>
    <row r="415" spans="1:6">
      <c r="A415" s="6" t="b">
        <v>0</v>
      </c>
      <c r="B415" s="6" t="s">
        <v>94</v>
      </c>
      <c r="C415" s="6" t="s">
        <v>263</v>
      </c>
      <c r="D415" s="7">
        <v>1</v>
      </c>
      <c r="E415" s="15">
        <v>16</v>
      </c>
      <c r="F415" s="6">
        <v>0.467</v>
      </c>
    </row>
    <row r="416" spans="1:6">
      <c r="A416" s="6" t="b">
        <v>0</v>
      </c>
      <c r="B416" s="6" t="s">
        <v>94</v>
      </c>
      <c r="C416" s="6" t="s">
        <v>264</v>
      </c>
      <c r="D416" s="7">
        <v>7</v>
      </c>
      <c r="E416" s="15">
        <v>16</v>
      </c>
      <c r="F416" s="6">
        <v>4.503</v>
      </c>
    </row>
    <row r="417" spans="1:6">
      <c r="A417" s="6" t="b">
        <v>0</v>
      </c>
      <c r="B417" s="6" t="s">
        <v>94</v>
      </c>
      <c r="C417" s="6" t="s">
        <v>265</v>
      </c>
      <c r="D417" s="7">
        <v>27</v>
      </c>
      <c r="E417" s="15">
        <v>72</v>
      </c>
      <c r="F417" s="6">
        <v>7.069</v>
      </c>
    </row>
    <row r="418" spans="1:6">
      <c r="A418" s="6" t="b">
        <v>0</v>
      </c>
      <c r="B418" s="6" t="s">
        <v>94</v>
      </c>
      <c r="C418" s="6" t="s">
        <v>271</v>
      </c>
      <c r="D418" s="7">
        <v>73</v>
      </c>
      <c r="E418" s="15">
        <v>48</v>
      </c>
      <c r="F418" s="6">
        <v>21.995</v>
      </c>
    </row>
    <row r="419" spans="1:6">
      <c r="A419" s="6" t="b">
        <v>0</v>
      </c>
      <c r="B419" s="6" t="s">
        <v>94</v>
      </c>
      <c r="C419" s="6" t="s">
        <v>376</v>
      </c>
      <c r="D419" s="7">
        <v>30</v>
      </c>
      <c r="E419" s="15">
        <v>57</v>
      </c>
      <c r="F419" s="6">
        <v>6.548</v>
      </c>
    </row>
    <row r="420" spans="1:6">
      <c r="A420" s="6" t="b">
        <v>0</v>
      </c>
      <c r="B420" s="6" t="s">
        <v>94</v>
      </c>
      <c r="C420" s="6" t="s">
        <v>292</v>
      </c>
      <c r="D420" s="7">
        <v>39</v>
      </c>
      <c r="E420" s="15">
        <v>96</v>
      </c>
      <c r="F420" s="6">
        <v>2.437</v>
      </c>
    </row>
    <row r="421" spans="1:6">
      <c r="A421" s="6" t="b">
        <v>0</v>
      </c>
      <c r="B421" s="6" t="s">
        <v>94</v>
      </c>
      <c r="C421" s="6" t="s">
        <v>293</v>
      </c>
      <c r="D421" s="7">
        <v>22</v>
      </c>
      <c r="E421" s="15">
        <v>44</v>
      </c>
      <c r="F421" s="6">
        <v>0.156</v>
      </c>
    </row>
    <row r="422" spans="1:6">
      <c r="A422" s="6" t="b">
        <v>0</v>
      </c>
      <c r="B422" s="6" t="s">
        <v>94</v>
      </c>
      <c r="C422" s="6" t="s">
        <v>296</v>
      </c>
      <c r="D422" s="7">
        <v>23</v>
      </c>
      <c r="E422" s="15">
        <v>48</v>
      </c>
      <c r="F422" s="6">
        <v>0.42</v>
      </c>
    </row>
    <row r="423" spans="1:6">
      <c r="A423" s="6" t="b">
        <v>0</v>
      </c>
      <c r="B423" s="6" t="s">
        <v>94</v>
      </c>
      <c r="C423" s="6" t="s">
        <v>305</v>
      </c>
      <c r="D423" s="7">
        <v>65</v>
      </c>
      <c r="E423" s="15">
        <v>72</v>
      </c>
      <c r="F423" s="6">
        <v>10.539</v>
      </c>
    </row>
    <row r="424" spans="1:6">
      <c r="A424" s="6" t="b">
        <v>0</v>
      </c>
      <c r="B424" s="6" t="s">
        <v>94</v>
      </c>
      <c r="C424" s="6" t="s">
        <v>312</v>
      </c>
      <c r="D424" s="7">
        <v>22</v>
      </c>
      <c r="E424" s="15">
        <v>28</v>
      </c>
      <c r="F424" s="6">
        <v>19.01</v>
      </c>
    </row>
    <row r="425" spans="1:6">
      <c r="A425" s="6" t="b">
        <v>0</v>
      </c>
      <c r="B425" s="6" t="s">
        <v>94</v>
      </c>
      <c r="C425" s="6" t="s">
        <v>316</v>
      </c>
      <c r="D425" s="7">
        <v>52</v>
      </c>
      <c r="E425" s="15">
        <v>58</v>
      </c>
      <c r="F425" s="6">
        <v>3.775</v>
      </c>
    </row>
    <row r="426" spans="1:6">
      <c r="A426" s="6" t="b">
        <v>0</v>
      </c>
      <c r="B426" s="6" t="s">
        <v>94</v>
      </c>
      <c r="C426" s="6" t="s">
        <v>326</v>
      </c>
      <c r="D426" s="7">
        <v>192</v>
      </c>
      <c r="E426" s="15">
        <v>72</v>
      </c>
      <c r="F426" s="6">
        <v>16.104</v>
      </c>
    </row>
    <row r="427" spans="1:6">
      <c r="A427" s="6" t="b">
        <v>0</v>
      </c>
      <c r="B427" s="6" t="s">
        <v>97</v>
      </c>
      <c r="C427" s="6" t="s">
        <v>259</v>
      </c>
      <c r="D427" s="7">
        <v>1</v>
      </c>
      <c r="E427" s="15">
        <v>8.766666666666667</v>
      </c>
      <c r="F427" s="6">
        <v>44.697</v>
      </c>
    </row>
    <row r="428" spans="1:6">
      <c r="A428" s="6" t="b">
        <v>0</v>
      </c>
      <c r="B428" s="6" t="s">
        <v>99</v>
      </c>
      <c r="C428" s="6" t="s">
        <v>377</v>
      </c>
      <c r="D428" s="7">
        <v>1</v>
      </c>
      <c r="E428" s="15">
        <v>23.61666666666667</v>
      </c>
      <c r="F428" s="6">
        <v>43.808</v>
      </c>
    </row>
    <row r="429" spans="1:6">
      <c r="A429" s="6" t="b">
        <v>0</v>
      </c>
      <c r="B429" s="6" t="s">
        <v>99</v>
      </c>
      <c r="C429" s="6" t="s">
        <v>378</v>
      </c>
      <c r="D429" s="7">
        <v>1</v>
      </c>
      <c r="E429" s="15">
        <v>17</v>
      </c>
      <c r="F429" s="6">
        <v>21.1</v>
      </c>
    </row>
    <row r="430" spans="1:6">
      <c r="A430" s="6" t="b">
        <v>0</v>
      </c>
      <c r="B430" s="6" t="s">
        <v>99</v>
      </c>
      <c r="C430" s="6" t="s">
        <v>233</v>
      </c>
      <c r="D430" s="7">
        <v>45</v>
      </c>
      <c r="E430" s="15">
        <v>48</v>
      </c>
      <c r="F430" s="6">
        <v>41.376</v>
      </c>
    </row>
    <row r="431" spans="1:6">
      <c r="A431" s="6" t="b">
        <v>0</v>
      </c>
      <c r="B431" s="6" t="s">
        <v>99</v>
      </c>
      <c r="C431" s="6" t="s">
        <v>379</v>
      </c>
      <c r="D431" s="7">
        <v>17</v>
      </c>
      <c r="E431" s="15">
        <v>29</v>
      </c>
      <c r="F431" s="6">
        <v>38.053</v>
      </c>
    </row>
    <row r="432" spans="1:6">
      <c r="A432" s="6" t="b">
        <v>0</v>
      </c>
      <c r="B432" s="6" t="s">
        <v>99</v>
      </c>
      <c r="C432" s="6" t="s">
        <v>240</v>
      </c>
      <c r="D432" s="7">
        <v>50</v>
      </c>
      <c r="E432" s="15">
        <v>28</v>
      </c>
      <c r="F432" s="6">
        <v>12.555</v>
      </c>
    </row>
    <row r="433" spans="1:6">
      <c r="A433" s="6" t="b">
        <v>0</v>
      </c>
      <c r="B433" s="6" t="s">
        <v>99</v>
      </c>
      <c r="C433" s="6" t="s">
        <v>247</v>
      </c>
      <c r="D433" s="7">
        <v>458</v>
      </c>
      <c r="E433" s="15">
        <v>26</v>
      </c>
      <c r="F433" s="6">
        <v>15.4345</v>
      </c>
    </row>
    <row r="434" spans="1:6">
      <c r="A434" s="6" t="b">
        <v>0</v>
      </c>
      <c r="B434" s="6" t="s">
        <v>99</v>
      </c>
      <c r="C434" s="6" t="s">
        <v>255</v>
      </c>
      <c r="D434" s="7">
        <v>19</v>
      </c>
      <c r="E434" s="15">
        <v>26.63333333333333</v>
      </c>
      <c r="F434" s="6">
        <v>35.346</v>
      </c>
    </row>
    <row r="435" spans="1:6">
      <c r="A435" s="6" t="b">
        <v>0</v>
      </c>
      <c r="B435" s="6" t="s">
        <v>99</v>
      </c>
      <c r="C435" s="6" t="s">
        <v>270</v>
      </c>
      <c r="D435" s="7">
        <v>10</v>
      </c>
      <c r="E435" s="15">
        <v>51.11666666666667</v>
      </c>
      <c r="F435" s="6">
        <v>34.52</v>
      </c>
    </row>
    <row r="436" spans="1:6">
      <c r="A436" s="6" t="b">
        <v>0</v>
      </c>
      <c r="B436" s="6" t="s">
        <v>99</v>
      </c>
      <c r="C436" s="6" t="s">
        <v>273</v>
      </c>
      <c r="D436" s="7">
        <v>170</v>
      </c>
      <c r="E436" s="15">
        <v>43</v>
      </c>
      <c r="F436" s="6">
        <v>31.255</v>
      </c>
    </row>
    <row r="437" spans="1:6">
      <c r="A437" s="6" t="b">
        <v>0</v>
      </c>
      <c r="B437" s="6" t="s">
        <v>99</v>
      </c>
      <c r="C437" s="6" t="s">
        <v>276</v>
      </c>
      <c r="D437" s="7">
        <v>12</v>
      </c>
      <c r="E437" s="15">
        <v>30.21666666666667</v>
      </c>
      <c r="F437" s="6">
        <v>28.69</v>
      </c>
    </row>
    <row r="438" spans="1:6">
      <c r="A438" s="6" t="b">
        <v>0</v>
      </c>
      <c r="B438" s="6" t="s">
        <v>99</v>
      </c>
      <c r="C438" s="6" t="s">
        <v>283</v>
      </c>
      <c r="D438" s="7">
        <v>85</v>
      </c>
      <c r="E438" s="15">
        <v>31.18333333333333</v>
      </c>
      <c r="F438" s="6">
        <v>37.54</v>
      </c>
    </row>
    <row r="439" spans="1:6">
      <c r="A439" s="6" t="b">
        <v>0</v>
      </c>
      <c r="B439" s="6" t="s">
        <v>99</v>
      </c>
      <c r="C439" s="6" t="s">
        <v>296</v>
      </c>
      <c r="D439" s="7">
        <v>7</v>
      </c>
      <c r="E439" s="15">
        <v>29.43333333333333</v>
      </c>
      <c r="F439" s="6">
        <v>36.591</v>
      </c>
    </row>
    <row r="440" spans="1:6">
      <c r="A440" s="6" t="b">
        <v>1</v>
      </c>
      <c r="B440" s="6" t="s">
        <v>44</v>
      </c>
      <c r="C440" s="6" t="s">
        <v>86</v>
      </c>
      <c r="D440" s="7">
        <v>851</v>
      </c>
      <c r="E440" s="15">
        <v>33</v>
      </c>
      <c r="F440" s="6">
        <v>70.2</v>
      </c>
    </row>
    <row r="441" spans="1:6">
      <c r="A441" s="6" t="b">
        <v>1</v>
      </c>
      <c r="B441" s="6" t="s">
        <v>44</v>
      </c>
      <c r="C441" s="6" t="s">
        <v>88</v>
      </c>
      <c r="D441" s="7">
        <v>1</v>
      </c>
      <c r="E441" s="15">
        <v>46.26666666666667</v>
      </c>
      <c r="F441" s="6">
        <v>33.608</v>
      </c>
    </row>
    <row r="442" spans="1:6">
      <c r="A442" s="6" t="b">
        <v>1</v>
      </c>
      <c r="B442" s="6" t="s">
        <v>44</v>
      </c>
      <c r="C442" s="6" t="s">
        <v>90</v>
      </c>
      <c r="D442" s="7">
        <v>345</v>
      </c>
      <c r="E442" s="15">
        <v>42</v>
      </c>
      <c r="F442" s="6">
        <v>51.65</v>
      </c>
    </row>
    <row r="443" spans="1:6">
      <c r="A443" s="6" t="b">
        <v>1</v>
      </c>
      <c r="B443" s="6" t="s">
        <v>44</v>
      </c>
      <c r="C443" s="6" t="s">
        <v>92</v>
      </c>
      <c r="D443" s="7">
        <v>574</v>
      </c>
      <c r="E443" s="15">
        <v>43.95833333333333</v>
      </c>
      <c r="F443" s="6">
        <v>55.1645</v>
      </c>
    </row>
    <row r="444" spans="1:6">
      <c r="A444" s="6" t="b">
        <v>1</v>
      </c>
      <c r="B444" s="6" t="s">
        <v>44</v>
      </c>
      <c r="C444" s="6" t="s">
        <v>94</v>
      </c>
      <c r="D444" s="7">
        <v>293</v>
      </c>
      <c r="E444" s="15">
        <v>72</v>
      </c>
      <c r="F444" s="6">
        <v>65.121</v>
      </c>
    </row>
    <row r="445" spans="1:6">
      <c r="A445" s="6" t="b">
        <v>1</v>
      </c>
      <c r="B445" s="6" t="s">
        <v>44</v>
      </c>
      <c r="C445" s="6" t="s">
        <v>97</v>
      </c>
      <c r="D445" s="7">
        <v>179</v>
      </c>
      <c r="E445" s="15">
        <v>29</v>
      </c>
      <c r="F445" s="6">
        <v>14.695</v>
      </c>
    </row>
    <row r="446" spans="1:6">
      <c r="A446" s="6" t="b">
        <v>1</v>
      </c>
      <c r="B446" s="6" t="s">
        <v>44</v>
      </c>
      <c r="C446" s="6" t="s">
        <v>99</v>
      </c>
      <c r="D446" s="7">
        <v>174</v>
      </c>
      <c r="E446" s="15">
        <v>26.98333333333333</v>
      </c>
      <c r="F446" s="6">
        <v>44.3985</v>
      </c>
    </row>
    <row r="447" spans="1:6">
      <c r="A447" s="6" t="b">
        <v>1</v>
      </c>
      <c r="B447" s="6" t="s">
        <v>44</v>
      </c>
      <c r="C447" s="6" t="s">
        <v>101</v>
      </c>
      <c r="D447" s="7">
        <v>493</v>
      </c>
      <c r="E447" s="15">
        <v>3.583333333333333</v>
      </c>
      <c r="F447" s="6">
        <v>36.096</v>
      </c>
    </row>
    <row r="448" spans="1:6">
      <c r="A448" s="6" t="b">
        <v>1</v>
      </c>
      <c r="B448" s="6" t="s">
        <v>86</v>
      </c>
      <c r="C448" s="6" t="s">
        <v>44</v>
      </c>
      <c r="D448" s="7">
        <v>1117</v>
      </c>
      <c r="E448" s="15">
        <v>36</v>
      </c>
      <c r="F448" s="6">
        <v>62.144</v>
      </c>
    </row>
    <row r="449" spans="1:6">
      <c r="A449" s="6" t="b">
        <v>1</v>
      </c>
      <c r="B449" s="6" t="s">
        <v>86</v>
      </c>
      <c r="C449" s="6" t="s">
        <v>86</v>
      </c>
      <c r="D449" s="7">
        <v>723</v>
      </c>
      <c r="E449" s="15">
        <v>4</v>
      </c>
      <c r="F449" s="6">
        <v>55.188</v>
      </c>
    </row>
    <row r="450" spans="1:6">
      <c r="A450" s="6" t="b">
        <v>1</v>
      </c>
      <c r="B450" s="6" t="s">
        <v>86</v>
      </c>
      <c r="C450" s="6" t="s">
        <v>88</v>
      </c>
      <c r="D450" s="7">
        <v>1</v>
      </c>
      <c r="E450" s="15">
        <v>44</v>
      </c>
      <c r="F450" s="6">
        <v>61.463</v>
      </c>
    </row>
    <row r="451" spans="1:6">
      <c r="A451" s="6" t="b">
        <v>1</v>
      </c>
      <c r="B451" s="6" t="s">
        <v>86</v>
      </c>
      <c r="C451" s="6" t="s">
        <v>90</v>
      </c>
      <c r="D451" s="7">
        <v>1250</v>
      </c>
      <c r="E451" s="15">
        <v>7</v>
      </c>
      <c r="F451" s="6">
        <v>50.1395</v>
      </c>
    </row>
    <row r="452" spans="1:6">
      <c r="A452" s="6" t="b">
        <v>1</v>
      </c>
      <c r="B452" s="6" t="s">
        <v>86</v>
      </c>
      <c r="C452" s="6" t="s">
        <v>177</v>
      </c>
      <c r="D452" s="7">
        <v>2</v>
      </c>
      <c r="E452" s="15">
        <v>48</v>
      </c>
      <c r="F452" s="6">
        <v>3.5925</v>
      </c>
    </row>
    <row r="453" spans="1:6">
      <c r="A453" s="6" t="b">
        <v>1</v>
      </c>
      <c r="B453" s="6" t="s">
        <v>86</v>
      </c>
      <c r="C453" s="6" t="s">
        <v>92</v>
      </c>
      <c r="D453" s="7">
        <v>892</v>
      </c>
      <c r="E453" s="15">
        <v>44.06666666666666</v>
      </c>
      <c r="F453" s="6">
        <v>38.959</v>
      </c>
    </row>
    <row r="454" spans="1:6">
      <c r="A454" s="6" t="b">
        <v>1</v>
      </c>
      <c r="B454" s="6" t="s">
        <v>86</v>
      </c>
      <c r="C454" s="6" t="s">
        <v>94</v>
      </c>
      <c r="D454" s="7">
        <v>280</v>
      </c>
      <c r="E454" s="15">
        <v>68.39166666666667</v>
      </c>
      <c r="F454" s="6">
        <v>53.0725</v>
      </c>
    </row>
    <row r="455" spans="1:6">
      <c r="A455" s="6" t="b">
        <v>1</v>
      </c>
      <c r="B455" s="6" t="s">
        <v>86</v>
      </c>
      <c r="C455" s="6" t="s">
        <v>97</v>
      </c>
      <c r="D455" s="7">
        <v>61</v>
      </c>
      <c r="E455" s="15">
        <v>41.25</v>
      </c>
      <c r="F455" s="6">
        <v>36.64</v>
      </c>
    </row>
    <row r="456" spans="1:6">
      <c r="A456" s="6" t="b">
        <v>1</v>
      </c>
      <c r="B456" s="6" t="s">
        <v>86</v>
      </c>
      <c r="C456" s="6" t="s">
        <v>99</v>
      </c>
      <c r="D456" s="7">
        <v>256</v>
      </c>
      <c r="E456" s="15">
        <v>29</v>
      </c>
      <c r="F456" s="6">
        <v>40.6225</v>
      </c>
    </row>
    <row r="457" spans="1:6">
      <c r="A457" s="6" t="b">
        <v>1</v>
      </c>
      <c r="B457" s="6" t="s">
        <v>88</v>
      </c>
      <c r="C457" s="6" t="s">
        <v>44</v>
      </c>
      <c r="D457" s="7">
        <v>383</v>
      </c>
      <c r="E457" s="15">
        <v>28.4</v>
      </c>
      <c r="F457" s="6">
        <v>53.194</v>
      </c>
    </row>
    <row r="458" spans="1:6">
      <c r="A458" s="6" t="b">
        <v>1</v>
      </c>
      <c r="B458" s="6" t="s">
        <v>88</v>
      </c>
      <c r="C458" s="6" t="s">
        <v>86</v>
      </c>
      <c r="D458" s="7">
        <v>481</v>
      </c>
      <c r="E458" s="15">
        <v>36.66666666666666</v>
      </c>
      <c r="F458" s="6">
        <v>55.944</v>
      </c>
    </row>
    <row r="459" spans="1:6">
      <c r="A459" s="6" t="b">
        <v>1</v>
      </c>
      <c r="B459" s="6" t="s">
        <v>88</v>
      </c>
      <c r="C459" s="6" t="s">
        <v>90</v>
      </c>
      <c r="D459" s="7">
        <v>151</v>
      </c>
      <c r="E459" s="15">
        <v>28.16666666666667</v>
      </c>
      <c r="F459" s="6">
        <v>42.439</v>
      </c>
    </row>
    <row r="460" spans="1:6">
      <c r="A460" s="6" t="b">
        <v>1</v>
      </c>
      <c r="B460" s="6" t="s">
        <v>88</v>
      </c>
      <c r="C460" s="6" t="s">
        <v>92</v>
      </c>
      <c r="D460" s="7">
        <v>1819</v>
      </c>
      <c r="E460" s="15">
        <v>5</v>
      </c>
      <c r="F460" s="6">
        <v>59.4</v>
      </c>
    </row>
    <row r="461" spans="1:6">
      <c r="A461" s="6" t="b">
        <v>1</v>
      </c>
      <c r="B461" s="6" t="s">
        <v>90</v>
      </c>
      <c r="C461" s="6" t="s">
        <v>44</v>
      </c>
      <c r="D461" s="7">
        <v>404</v>
      </c>
      <c r="E461" s="15">
        <v>37.86666666666667</v>
      </c>
      <c r="F461" s="6">
        <v>60.6215</v>
      </c>
    </row>
    <row r="462" spans="1:6">
      <c r="A462" s="6" t="b">
        <v>1</v>
      </c>
      <c r="B462" s="6" t="s">
        <v>90</v>
      </c>
      <c r="C462" s="6" t="s">
        <v>86</v>
      </c>
      <c r="D462" s="7">
        <v>792</v>
      </c>
      <c r="E462" s="15">
        <v>4</v>
      </c>
      <c r="F462" s="6">
        <v>48.384</v>
      </c>
    </row>
    <row r="463" spans="1:6">
      <c r="A463" s="6" t="b">
        <v>1</v>
      </c>
      <c r="B463" s="6" t="s">
        <v>90</v>
      </c>
      <c r="C463" s="6" t="s">
        <v>90</v>
      </c>
      <c r="D463" s="7">
        <v>4</v>
      </c>
      <c r="E463" s="15">
        <v>31.625</v>
      </c>
      <c r="F463" s="6">
        <v>21.8885</v>
      </c>
    </row>
    <row r="464" spans="1:6">
      <c r="A464" s="6" t="b">
        <v>1</v>
      </c>
      <c r="B464" s="6" t="s">
        <v>90</v>
      </c>
      <c r="C464" s="6" t="s">
        <v>177</v>
      </c>
      <c r="D464" s="7">
        <v>1</v>
      </c>
      <c r="E464" s="15">
        <v>3</v>
      </c>
      <c r="F464" s="6">
        <v>13.332</v>
      </c>
    </row>
    <row r="465" spans="1:6">
      <c r="A465" s="6" t="b">
        <v>1</v>
      </c>
      <c r="B465" s="6" t="s">
        <v>90</v>
      </c>
      <c r="C465" s="6" t="s">
        <v>92</v>
      </c>
      <c r="D465" s="7">
        <v>259</v>
      </c>
      <c r="E465" s="15">
        <v>39</v>
      </c>
      <c r="F465" s="6">
        <v>40.081</v>
      </c>
    </row>
    <row r="466" spans="1:6">
      <c r="A466" s="6" t="b">
        <v>1</v>
      </c>
      <c r="B466" s="6" t="s">
        <v>90</v>
      </c>
      <c r="C466" s="6" t="s">
        <v>94</v>
      </c>
      <c r="D466" s="7">
        <v>139</v>
      </c>
      <c r="E466" s="15">
        <v>68</v>
      </c>
      <c r="F466" s="6">
        <v>66.301</v>
      </c>
    </row>
    <row r="467" spans="1:6">
      <c r="A467" s="6" t="b">
        <v>1</v>
      </c>
      <c r="B467" s="6" t="s">
        <v>90</v>
      </c>
      <c r="C467" s="6" t="s">
        <v>97</v>
      </c>
      <c r="D467" s="7">
        <v>26</v>
      </c>
      <c r="E467" s="15">
        <v>19.55</v>
      </c>
      <c r="F467" s="6">
        <v>16.8015</v>
      </c>
    </row>
    <row r="468" spans="1:6">
      <c r="A468" s="6" t="b">
        <v>1</v>
      </c>
      <c r="B468" s="6" t="s">
        <v>90</v>
      </c>
      <c r="C468" s="6" t="s">
        <v>99</v>
      </c>
      <c r="D468" s="7">
        <v>126</v>
      </c>
      <c r="E468" s="15">
        <v>27.225</v>
      </c>
      <c r="F468" s="6">
        <v>41.094</v>
      </c>
    </row>
    <row r="469" spans="1:6">
      <c r="A469" s="6" t="b">
        <v>1</v>
      </c>
      <c r="B469" s="6" t="s">
        <v>177</v>
      </c>
      <c r="C469" s="6" t="s">
        <v>44</v>
      </c>
      <c r="D469" s="7">
        <v>421</v>
      </c>
      <c r="E469" s="15">
        <v>45</v>
      </c>
      <c r="F469" s="6">
        <v>80.59999999999999</v>
      </c>
    </row>
    <row r="470" spans="1:6">
      <c r="A470" s="6" t="b">
        <v>1</v>
      </c>
      <c r="B470" s="6" t="s">
        <v>177</v>
      </c>
      <c r="C470" s="6" t="s">
        <v>86</v>
      </c>
      <c r="D470" s="7">
        <v>2835</v>
      </c>
      <c r="E470" s="15">
        <v>3.733333333333333</v>
      </c>
      <c r="F470" s="6">
        <v>58.682</v>
      </c>
    </row>
    <row r="471" spans="1:6">
      <c r="A471" s="6" t="b">
        <v>1</v>
      </c>
      <c r="B471" s="6" t="s">
        <v>177</v>
      </c>
      <c r="C471" s="6" t="s">
        <v>90</v>
      </c>
      <c r="D471" s="7">
        <v>764</v>
      </c>
      <c r="E471" s="15">
        <v>2.833333333333333</v>
      </c>
      <c r="F471" s="6">
        <v>54.8</v>
      </c>
    </row>
    <row r="472" spans="1:6">
      <c r="A472" s="6" t="b">
        <v>1</v>
      </c>
      <c r="B472" s="6" t="s">
        <v>177</v>
      </c>
      <c r="C472" s="6" t="s">
        <v>92</v>
      </c>
      <c r="D472" s="7">
        <v>116</v>
      </c>
      <c r="E472" s="15">
        <v>40.45</v>
      </c>
      <c r="F472" s="6">
        <v>71.46449999999999</v>
      </c>
    </row>
    <row r="473" spans="1:6">
      <c r="A473" s="6" t="b">
        <v>1</v>
      </c>
      <c r="B473" s="6" t="s">
        <v>177</v>
      </c>
      <c r="C473" s="6" t="s">
        <v>97</v>
      </c>
      <c r="D473" s="7">
        <v>1</v>
      </c>
      <c r="E473" s="15">
        <v>34</v>
      </c>
      <c r="F473" s="6">
        <v>39.572</v>
      </c>
    </row>
    <row r="474" spans="1:6">
      <c r="A474" s="6" t="b">
        <v>1</v>
      </c>
      <c r="B474" s="6" t="s">
        <v>177</v>
      </c>
      <c r="C474" s="6" t="s">
        <v>99</v>
      </c>
      <c r="D474" s="7">
        <v>2</v>
      </c>
      <c r="E474" s="15">
        <v>68</v>
      </c>
      <c r="F474" s="6">
        <v>45.15900000000001</v>
      </c>
    </row>
    <row r="475" spans="1:6">
      <c r="A475" s="6" t="b">
        <v>1</v>
      </c>
      <c r="B475" s="6" t="s">
        <v>92</v>
      </c>
      <c r="C475" s="6" t="s">
        <v>44</v>
      </c>
      <c r="D475" s="7">
        <v>442</v>
      </c>
      <c r="E475" s="15">
        <v>46</v>
      </c>
      <c r="F475" s="6">
        <v>49.117</v>
      </c>
    </row>
    <row r="476" spans="1:6">
      <c r="A476" s="6" t="b">
        <v>1</v>
      </c>
      <c r="B476" s="6" t="s">
        <v>92</v>
      </c>
      <c r="C476" s="6" t="s">
        <v>86</v>
      </c>
      <c r="D476" s="7">
        <v>439</v>
      </c>
      <c r="E476" s="15">
        <v>50</v>
      </c>
      <c r="F476" s="6">
        <v>38.621</v>
      </c>
    </row>
    <row r="477" spans="1:6">
      <c r="A477" s="6" t="b">
        <v>1</v>
      </c>
      <c r="B477" s="6" t="s">
        <v>92</v>
      </c>
      <c r="C477" s="6" t="s">
        <v>88</v>
      </c>
      <c r="D477" s="7">
        <v>27</v>
      </c>
      <c r="E477" s="15">
        <v>6</v>
      </c>
      <c r="F477" s="6">
        <v>2.407</v>
      </c>
    </row>
    <row r="478" spans="1:6">
      <c r="A478" s="6" t="b">
        <v>1</v>
      </c>
      <c r="B478" s="6" t="s">
        <v>92</v>
      </c>
      <c r="C478" s="6" t="s">
        <v>90</v>
      </c>
      <c r="D478" s="7">
        <v>137</v>
      </c>
      <c r="E478" s="15">
        <v>48.23333333333333</v>
      </c>
      <c r="F478" s="6">
        <v>36.441</v>
      </c>
    </row>
    <row r="479" spans="1:6">
      <c r="A479" s="6" t="b">
        <v>1</v>
      </c>
      <c r="B479" s="6" t="s">
        <v>92</v>
      </c>
      <c r="C479" s="6" t="s">
        <v>92</v>
      </c>
      <c r="D479" s="7">
        <v>2</v>
      </c>
      <c r="E479" s="15">
        <v>78.98333333333333</v>
      </c>
      <c r="F479" s="6">
        <v>31.44</v>
      </c>
    </row>
    <row r="480" spans="1:6">
      <c r="A480" s="6" t="b">
        <v>1</v>
      </c>
      <c r="B480" s="6" t="s">
        <v>92</v>
      </c>
      <c r="C480" s="6" t="s">
        <v>94</v>
      </c>
      <c r="D480" s="7">
        <v>57</v>
      </c>
      <c r="E480" s="15">
        <v>69.90000000000001</v>
      </c>
      <c r="F480" s="6">
        <v>67.664</v>
      </c>
    </row>
    <row r="481" spans="1:6">
      <c r="A481" s="6" t="b">
        <v>1</v>
      </c>
      <c r="B481" s="6" t="s">
        <v>92</v>
      </c>
      <c r="C481" s="6" t="s">
        <v>97</v>
      </c>
      <c r="D481" s="7">
        <v>17</v>
      </c>
      <c r="E481" s="15">
        <v>47.86666666666667</v>
      </c>
      <c r="F481" s="6">
        <v>37.361</v>
      </c>
    </row>
    <row r="482" spans="1:6">
      <c r="A482" s="6" t="b">
        <v>1</v>
      </c>
      <c r="B482" s="6" t="s">
        <v>92</v>
      </c>
      <c r="C482" s="6" t="s">
        <v>99</v>
      </c>
      <c r="D482" s="7">
        <v>143</v>
      </c>
      <c r="E482" s="15">
        <v>21.56666666666667</v>
      </c>
      <c r="F482" s="6">
        <v>28.132</v>
      </c>
    </row>
    <row r="483" spans="1:6">
      <c r="A483" s="6" t="b">
        <v>1</v>
      </c>
      <c r="B483" s="6" t="s">
        <v>94</v>
      </c>
      <c r="C483" s="6" t="s">
        <v>44</v>
      </c>
      <c r="D483" s="7">
        <v>1</v>
      </c>
      <c r="E483" s="15">
        <v>80.2</v>
      </c>
      <c r="F483" s="6">
        <v>68.217</v>
      </c>
    </row>
    <row r="484" spans="1:6">
      <c r="A484" s="6" t="b">
        <v>1</v>
      </c>
      <c r="B484" s="6" t="s">
        <v>94</v>
      </c>
      <c r="C484" s="6" t="s">
        <v>90</v>
      </c>
      <c r="D484" s="7">
        <v>16</v>
      </c>
      <c r="E484" s="15">
        <v>67.5</v>
      </c>
      <c r="F484" s="6">
        <v>60.29900000000001</v>
      </c>
    </row>
    <row r="485" spans="1:6">
      <c r="A485" s="6" t="b">
        <v>1</v>
      </c>
      <c r="B485" s="6" t="s">
        <v>94</v>
      </c>
      <c r="C485" s="6" t="s">
        <v>94</v>
      </c>
      <c r="D485" s="7">
        <v>1</v>
      </c>
      <c r="E485" s="15">
        <v>44</v>
      </c>
      <c r="F485" s="6">
        <v>97.911</v>
      </c>
    </row>
    <row r="486" spans="1:6">
      <c r="A486" s="6" t="b">
        <v>1</v>
      </c>
      <c r="B486" s="6" t="s">
        <v>94</v>
      </c>
      <c r="C486" s="6" t="s">
        <v>97</v>
      </c>
      <c r="D486" s="7">
        <v>146</v>
      </c>
      <c r="E486" s="15">
        <v>63.5</v>
      </c>
      <c r="F486" s="6">
        <v>6.356</v>
      </c>
    </row>
    <row r="487" spans="1:6">
      <c r="A487" s="6" t="b">
        <v>1</v>
      </c>
      <c r="B487" s="6" t="s">
        <v>99</v>
      </c>
      <c r="C487" s="6" t="s">
        <v>90</v>
      </c>
      <c r="D487" s="7">
        <v>8</v>
      </c>
      <c r="E487" s="15">
        <v>33</v>
      </c>
      <c r="F487" s="6">
        <v>35.361</v>
      </c>
    </row>
    <row r="488" spans="1:6">
      <c r="A488" s="6" t="b">
        <v>1</v>
      </c>
      <c r="B488" s="6" t="s">
        <v>99</v>
      </c>
      <c r="C488" s="6" t="s">
        <v>97</v>
      </c>
      <c r="D488" s="7">
        <v>58</v>
      </c>
      <c r="E488" s="15">
        <v>30.23333333333333</v>
      </c>
      <c r="F488" s="6">
        <v>25.343</v>
      </c>
    </row>
    <row r="489" spans="1:6">
      <c r="A489" s="6" t="b">
        <v>1</v>
      </c>
      <c r="B489" s="6" t="s">
        <v>99</v>
      </c>
      <c r="C489" s="6" t="s">
        <v>99</v>
      </c>
      <c r="D489" s="7">
        <v>2</v>
      </c>
      <c r="E489" s="15">
        <v>59.93333333333334</v>
      </c>
      <c r="F489" s="6">
        <v>19.645</v>
      </c>
    </row>
    <row r="490" spans="1:6">
      <c r="A490" s="6" t="b">
        <v>1</v>
      </c>
      <c r="B490" s="6" t="s">
        <v>101</v>
      </c>
      <c r="C490" s="6" t="s">
        <v>44</v>
      </c>
      <c r="D490" s="7">
        <v>9</v>
      </c>
      <c r="E490" s="15">
        <v>11.88333333333333</v>
      </c>
      <c r="F490" s="6">
        <v>45.36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F3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3" width="12.7109375" customWidth="1"/>
    <col min="4" max="4" width="15.7109375" customWidth="1"/>
    <col min="5" max="5" width="12.7109375" customWidth="1"/>
  </cols>
  <sheetData>
    <row r="1" spans="1:5">
      <c r="A1" s="1" t="s">
        <v>641</v>
      </c>
    </row>
    <row r="3" spans="1:5">
      <c r="A3" t="s">
        <v>642</v>
      </c>
      <c r="B3" t="s">
        <v>643</v>
      </c>
      <c r="C3" t="s">
        <v>644</v>
      </c>
      <c r="D3" t="s">
        <v>645</v>
      </c>
      <c r="E3" t="s">
        <v>620</v>
      </c>
    </row>
    <row r="4" spans="1:5">
      <c r="A4" s="6" t="s">
        <v>646</v>
      </c>
      <c r="B4" s="6" t="s">
        <v>44</v>
      </c>
      <c r="C4" s="6">
        <v>377835.064</v>
      </c>
      <c r="D4" s="12">
        <v>0.9825979739877869</v>
      </c>
      <c r="E4" s="6" t="s">
        <v>647</v>
      </c>
    </row>
    <row r="5" spans="1:5">
      <c r="A5" s="6" t="s">
        <v>648</v>
      </c>
      <c r="B5" s="6" t="s">
        <v>44</v>
      </c>
      <c r="C5" s="6">
        <v>402997.67</v>
      </c>
      <c r="D5" s="12">
        <v>0.9951783060661462</v>
      </c>
      <c r="E5" s="6" t="s">
        <v>647</v>
      </c>
    </row>
    <row r="6" spans="1:5">
      <c r="A6" s="6" t="s">
        <v>177</v>
      </c>
      <c r="B6" s="6" t="s">
        <v>177</v>
      </c>
      <c r="C6" s="6">
        <v>737839.563</v>
      </c>
      <c r="D6" s="12">
        <v>0.777185454053854</v>
      </c>
      <c r="E6" s="6" t="s">
        <v>647</v>
      </c>
    </row>
    <row r="7" spans="1:5">
      <c r="A7" s="6" t="s">
        <v>649</v>
      </c>
      <c r="B7" s="6" t="s">
        <v>86</v>
      </c>
      <c r="C7" s="6">
        <v>353196.078</v>
      </c>
      <c r="D7" s="12">
        <v>0.9613988914234528</v>
      </c>
      <c r="E7" s="6" t="s">
        <v>647</v>
      </c>
    </row>
    <row r="8" spans="1:5">
      <c r="A8" s="6" t="s">
        <v>92</v>
      </c>
      <c r="B8" s="6" t="s">
        <v>92</v>
      </c>
      <c r="C8" s="6">
        <v>3176.456</v>
      </c>
      <c r="D8" s="12">
        <v>0.992141468558378</v>
      </c>
      <c r="E8" s="6" t="s">
        <v>647</v>
      </c>
    </row>
    <row r="9" spans="1:5">
      <c r="A9" s="6" t="s">
        <v>650</v>
      </c>
      <c r="B9" s="6" t="s">
        <v>90</v>
      </c>
      <c r="C9" s="6">
        <v>12005.816</v>
      </c>
      <c r="D9" s="12">
        <v>0.9938401824866219</v>
      </c>
      <c r="E9" s="6" t="s">
        <v>647</v>
      </c>
    </row>
    <row r="10" spans="1:5">
      <c r="A10" s="6" t="s">
        <v>651</v>
      </c>
      <c r="B10" s="6" t="s">
        <v>90</v>
      </c>
      <c r="C10" s="6">
        <v>141887.414</v>
      </c>
      <c r="D10" s="12">
        <v>0.8998076574551631</v>
      </c>
      <c r="E10" s="6" t="s">
        <v>647</v>
      </c>
    </row>
    <row r="11" spans="1:5">
      <c r="A11" s="6" t="s">
        <v>652</v>
      </c>
      <c r="B11" s="6" t="s">
        <v>86</v>
      </c>
      <c r="C11" s="6">
        <v>50134.61</v>
      </c>
      <c r="D11" s="12">
        <v>0.8858640269156334</v>
      </c>
      <c r="E11" s="6" t="s">
        <v>647</v>
      </c>
    </row>
    <row r="12" spans="1:5">
      <c r="A12" s="6" t="s">
        <v>653</v>
      </c>
      <c r="B12" s="6" t="s">
        <v>44</v>
      </c>
      <c r="C12" s="6">
        <v>11360.247</v>
      </c>
      <c r="D12" s="12">
        <v>0.9944242548808012</v>
      </c>
      <c r="E12" s="6" t="s">
        <v>647</v>
      </c>
    </row>
    <row r="13" spans="1:5">
      <c r="A13" s="6" t="s">
        <v>654</v>
      </c>
      <c r="B13" s="6" t="s">
        <v>86</v>
      </c>
      <c r="C13" s="6">
        <v>260102.948</v>
      </c>
      <c r="D13" s="12">
        <v>0.9936014966272844</v>
      </c>
      <c r="E13" s="6" t="s">
        <v>647</v>
      </c>
    </row>
    <row r="14" spans="1:5">
      <c r="A14" s="6" t="s">
        <v>655</v>
      </c>
      <c r="B14" s="6" t="s">
        <v>88</v>
      </c>
      <c r="C14" s="6">
        <v>595422.585</v>
      </c>
      <c r="D14" s="12">
        <v>0.9741033358989311</v>
      </c>
      <c r="E14" s="6" t="s">
        <v>647</v>
      </c>
    </row>
    <row r="16" spans="1:5">
      <c r="A16" s="1" t="s">
        <v>656</v>
      </c>
    </row>
    <row r="18" spans="1:6">
      <c r="A18" t="s">
        <v>657</v>
      </c>
      <c r="B18" t="s">
        <v>658</v>
      </c>
      <c r="C18" t="s">
        <v>624</v>
      </c>
      <c r="D18" t="s">
        <v>644</v>
      </c>
      <c r="E18" t="s">
        <v>659</v>
      </c>
      <c r="F18" t="s">
        <v>620</v>
      </c>
    </row>
    <row r="19" spans="1:6">
      <c r="A19" t="s">
        <v>660</v>
      </c>
      <c r="B19" t="s">
        <v>86</v>
      </c>
      <c r="C19">
        <v>48737</v>
      </c>
      <c r="D19">
        <v>525094.306</v>
      </c>
      <c r="E19" t="s">
        <v>293</v>
      </c>
      <c r="F19" t="s">
        <v>661</v>
      </c>
    </row>
    <row r="20" spans="1:6">
      <c r="A20" t="s">
        <v>662</v>
      </c>
      <c r="B20" t="s">
        <v>92</v>
      </c>
      <c r="C20">
        <v>22037</v>
      </c>
      <c r="D20">
        <v>234527.663</v>
      </c>
      <c r="E20" t="s">
        <v>332</v>
      </c>
      <c r="F20" t="s">
        <v>663</v>
      </c>
    </row>
    <row r="21" spans="1:6">
      <c r="A21" t="s">
        <v>664</v>
      </c>
      <c r="B21" t="s">
        <v>44</v>
      </c>
      <c r="C21">
        <v>25783</v>
      </c>
      <c r="D21">
        <v>191426.572</v>
      </c>
      <c r="E21" t="s">
        <v>208</v>
      </c>
      <c r="F21" t="s">
        <v>661</v>
      </c>
    </row>
    <row r="22" spans="1:6">
      <c r="A22" t="s">
        <v>665</v>
      </c>
      <c r="B22" t="s">
        <v>90</v>
      </c>
      <c r="C22">
        <v>26935</v>
      </c>
      <c r="D22">
        <v>159568.73</v>
      </c>
      <c r="E22" t="s">
        <v>241</v>
      </c>
      <c r="F22" t="s">
        <v>661</v>
      </c>
    </row>
    <row r="23" spans="1:6">
      <c r="A23" t="s">
        <v>666</v>
      </c>
      <c r="B23" t="s">
        <v>101</v>
      </c>
      <c r="C23">
        <v>977</v>
      </c>
      <c r="D23">
        <v>35131.74</v>
      </c>
      <c r="E23" t="s">
        <v>322</v>
      </c>
      <c r="F23" t="s">
        <v>663</v>
      </c>
    </row>
    <row r="24" spans="1:6">
      <c r="A24" t="s">
        <v>667</v>
      </c>
      <c r="B24" t="s">
        <v>86</v>
      </c>
      <c r="C24">
        <v>3426</v>
      </c>
      <c r="D24">
        <v>35604.532</v>
      </c>
      <c r="E24" t="s">
        <v>293</v>
      </c>
      <c r="F24" t="s">
        <v>661</v>
      </c>
    </row>
    <row r="25" spans="1:6">
      <c r="A25" t="s">
        <v>668</v>
      </c>
      <c r="B25" t="s">
        <v>94</v>
      </c>
      <c r="C25">
        <v>12268</v>
      </c>
      <c r="D25">
        <v>30695.18</v>
      </c>
      <c r="E25" t="s">
        <v>202</v>
      </c>
      <c r="F25" t="s">
        <v>661</v>
      </c>
    </row>
    <row r="26" spans="1:6">
      <c r="A26" t="s">
        <v>669</v>
      </c>
      <c r="B26" t="s">
        <v>99</v>
      </c>
      <c r="C26">
        <v>10837</v>
      </c>
      <c r="D26">
        <v>24327.47</v>
      </c>
      <c r="E26" t="s">
        <v>247</v>
      </c>
      <c r="F26" t="s">
        <v>663</v>
      </c>
    </row>
    <row r="27" spans="1:6">
      <c r="A27" t="s">
        <v>670</v>
      </c>
      <c r="B27" t="s">
        <v>671</v>
      </c>
      <c r="C27">
        <v>87</v>
      </c>
      <c r="D27">
        <v>656.21</v>
      </c>
      <c r="E27" t="s">
        <v>236</v>
      </c>
      <c r="F27" t="s">
        <v>672</v>
      </c>
    </row>
    <row r="28" spans="1:6">
      <c r="A28" t="s">
        <v>673</v>
      </c>
      <c r="B28" t="s">
        <v>97</v>
      </c>
      <c r="C28">
        <v>4722</v>
      </c>
      <c r="D28">
        <v>871.4540000000001</v>
      </c>
      <c r="E28" t="s">
        <v>205</v>
      </c>
      <c r="F28" t="s">
        <v>661</v>
      </c>
    </row>
    <row r="29" spans="1:6">
      <c r="A29" t="s">
        <v>674</v>
      </c>
      <c r="B29" t="s">
        <v>177</v>
      </c>
      <c r="C29">
        <v>1927</v>
      </c>
      <c r="D29">
        <v>659.141</v>
      </c>
      <c r="E29" t="s">
        <v>267</v>
      </c>
      <c r="F29" t="s">
        <v>661</v>
      </c>
    </row>
    <row r="30" spans="1:6">
      <c r="A30" t="s">
        <v>675</v>
      </c>
      <c r="B30" t="s">
        <v>88</v>
      </c>
      <c r="C30">
        <v>16</v>
      </c>
      <c r="D30">
        <v>132.418</v>
      </c>
      <c r="E30" t="s">
        <v>676</v>
      </c>
      <c r="F30" t="s">
        <v>663</v>
      </c>
    </row>
    <row r="31" spans="1:6">
      <c r="A31" t="s">
        <v>677</v>
      </c>
      <c r="B31" t="s">
        <v>671</v>
      </c>
      <c r="C31">
        <v>6</v>
      </c>
      <c r="D31">
        <v>55.042</v>
      </c>
      <c r="E31" t="s">
        <v>204</v>
      </c>
      <c r="F31" t="s">
        <v>672</v>
      </c>
    </row>
    <row r="32" spans="1:6">
      <c r="A32" t="s">
        <v>678</v>
      </c>
      <c r="B32" t="s">
        <v>88</v>
      </c>
      <c r="C32">
        <v>77</v>
      </c>
      <c r="D32">
        <v>57.018</v>
      </c>
      <c r="E32" t="s">
        <v>676</v>
      </c>
      <c r="F32" t="s">
        <v>663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>
  <dimension ref="A1:G3658"/>
  <sheetViews>
    <sheetView workbookViewId="0">
      <pane ySplit="3" topLeftCell="A4" activePane="bottomLeft" state="frozen"/>
      <selection pane="bottomLeft"/>
    </sheetView>
  </sheetViews>
  <sheetFormatPr defaultRowHeight="15"/>
  <cols>
    <col min="1" max="3" width="12.7109375" customWidth="1"/>
    <col min="4" max="5" width="13.7109375" customWidth="1"/>
    <col min="6" max="6" width="15.7109375" customWidth="1"/>
    <col min="7" max="7" width="12.7109375" customWidth="1"/>
  </cols>
  <sheetData>
    <row r="1" spans="1:7">
      <c r="A1" s="1" t="s">
        <v>679</v>
      </c>
    </row>
    <row r="3" spans="1:7">
      <c r="A3" t="s">
        <v>192</v>
      </c>
      <c r="B3" t="s">
        <v>193</v>
      </c>
      <c r="C3" t="s">
        <v>680</v>
      </c>
      <c r="D3" t="s">
        <v>681</v>
      </c>
      <c r="E3" t="s">
        <v>682</v>
      </c>
      <c r="F3" t="s">
        <v>683</v>
      </c>
      <c r="G3" t="s">
        <v>684</v>
      </c>
    </row>
    <row r="4" spans="1:7">
      <c r="A4" s="6" t="s">
        <v>194</v>
      </c>
      <c r="B4" s="6" t="s">
        <v>58</v>
      </c>
      <c r="C4" s="6" t="s">
        <v>181</v>
      </c>
      <c r="D4" s="6" t="s">
        <v>88</v>
      </c>
      <c r="E4" s="6" t="s">
        <v>88</v>
      </c>
      <c r="F4" s="6" t="b">
        <v>0</v>
      </c>
      <c r="G4" s="6">
        <v>0.1329166666666667</v>
      </c>
    </row>
    <row r="5" spans="1:7">
      <c r="A5" s="6" t="s">
        <v>194</v>
      </c>
      <c r="B5" s="6" t="s">
        <v>58</v>
      </c>
      <c r="C5" s="6" t="s">
        <v>181</v>
      </c>
      <c r="D5" s="6" t="s">
        <v>90</v>
      </c>
      <c r="E5" s="6" t="s">
        <v>90</v>
      </c>
      <c r="F5" s="6" t="b">
        <v>0</v>
      </c>
      <c r="G5" s="6">
        <v>0.00825</v>
      </c>
    </row>
    <row r="6" spans="1:7">
      <c r="A6" s="6" t="s">
        <v>194</v>
      </c>
      <c r="B6" s="6" t="s">
        <v>58</v>
      </c>
      <c r="C6" s="6" t="s">
        <v>183</v>
      </c>
      <c r="D6" s="6" t="s">
        <v>86</v>
      </c>
      <c r="E6" s="6" t="s">
        <v>86</v>
      </c>
      <c r="F6" s="6" t="b">
        <v>0</v>
      </c>
      <c r="G6" s="6">
        <v>0.002833333333333334</v>
      </c>
    </row>
    <row r="7" spans="1:7">
      <c r="A7" s="6" t="s">
        <v>194</v>
      </c>
      <c r="B7" s="6" t="s">
        <v>58</v>
      </c>
      <c r="C7" s="6" t="s">
        <v>183</v>
      </c>
      <c r="D7" s="6" t="s">
        <v>88</v>
      </c>
      <c r="E7" s="6" t="s">
        <v>88</v>
      </c>
      <c r="F7" s="6" t="b">
        <v>0</v>
      </c>
      <c r="G7" s="6">
        <v>0.00175</v>
      </c>
    </row>
    <row r="8" spans="1:7">
      <c r="A8" s="6" t="s">
        <v>194</v>
      </c>
      <c r="B8" s="6" t="s">
        <v>58</v>
      </c>
      <c r="C8" s="6" t="s">
        <v>183</v>
      </c>
      <c r="D8" s="6" t="s">
        <v>90</v>
      </c>
      <c r="E8" s="6" t="s">
        <v>90</v>
      </c>
      <c r="F8" s="6" t="b">
        <v>0</v>
      </c>
      <c r="G8" s="6">
        <v>0.01116666666666667</v>
      </c>
    </row>
    <row r="9" spans="1:7">
      <c r="A9" s="6" t="s">
        <v>194</v>
      </c>
      <c r="B9" s="6" t="s">
        <v>58</v>
      </c>
      <c r="C9" s="6" t="s">
        <v>184</v>
      </c>
      <c r="D9" s="6" t="s">
        <v>44</v>
      </c>
      <c r="E9" s="6" t="s">
        <v>44</v>
      </c>
      <c r="F9" s="6" t="b">
        <v>0</v>
      </c>
      <c r="G9" s="6">
        <v>1.55925</v>
      </c>
    </row>
    <row r="10" spans="1:7">
      <c r="A10" s="6" t="s">
        <v>194</v>
      </c>
      <c r="B10" s="6" t="s">
        <v>58</v>
      </c>
      <c r="C10" s="6" t="s">
        <v>184</v>
      </c>
      <c r="D10" s="6" t="s">
        <v>88</v>
      </c>
      <c r="E10" s="6" t="s">
        <v>88</v>
      </c>
      <c r="F10" s="6" t="b">
        <v>0</v>
      </c>
      <c r="G10" s="6">
        <v>0.01183333333333333</v>
      </c>
    </row>
    <row r="11" spans="1:7">
      <c r="A11" s="6" t="s">
        <v>194</v>
      </c>
      <c r="B11" s="6" t="s">
        <v>58</v>
      </c>
      <c r="C11" s="6" t="s">
        <v>184</v>
      </c>
      <c r="D11" s="6" t="s">
        <v>90</v>
      </c>
      <c r="E11" s="6" t="s">
        <v>90</v>
      </c>
      <c r="F11" s="6" t="b">
        <v>0</v>
      </c>
      <c r="G11" s="6">
        <v>0.009166666666666667</v>
      </c>
    </row>
    <row r="12" spans="1:7">
      <c r="A12" s="6" t="s">
        <v>194</v>
      </c>
      <c r="B12" s="6" t="s">
        <v>58</v>
      </c>
      <c r="C12" s="6" t="s">
        <v>184</v>
      </c>
      <c r="D12" s="6" t="s">
        <v>90</v>
      </c>
      <c r="E12" s="6" t="s">
        <v>685</v>
      </c>
      <c r="F12" s="6" t="b">
        <v>1</v>
      </c>
      <c r="G12" s="6">
        <v>0.006083333333333334</v>
      </c>
    </row>
    <row r="13" spans="1:7">
      <c r="A13" s="6" t="s">
        <v>194</v>
      </c>
      <c r="B13" s="6" t="s">
        <v>58</v>
      </c>
      <c r="C13" s="6" t="s">
        <v>184</v>
      </c>
      <c r="D13" s="6" t="s">
        <v>177</v>
      </c>
      <c r="E13" s="6" t="s">
        <v>44</v>
      </c>
      <c r="F13" s="6" t="b">
        <v>0</v>
      </c>
      <c r="G13" s="6">
        <v>0.721</v>
      </c>
    </row>
    <row r="14" spans="1:7">
      <c r="A14" s="6" t="s">
        <v>194</v>
      </c>
      <c r="B14" s="6" t="s">
        <v>58</v>
      </c>
      <c r="C14" s="6" t="s">
        <v>184</v>
      </c>
      <c r="D14" s="6" t="s">
        <v>177</v>
      </c>
      <c r="E14" s="6" t="s">
        <v>86</v>
      </c>
      <c r="F14" s="6" t="b">
        <v>0</v>
      </c>
      <c r="G14" s="6">
        <v>0.0035</v>
      </c>
    </row>
    <row r="15" spans="1:7">
      <c r="A15" s="6" t="s">
        <v>194</v>
      </c>
      <c r="B15" s="6" t="s">
        <v>58</v>
      </c>
      <c r="C15" s="6" t="s">
        <v>184</v>
      </c>
      <c r="D15" s="6" t="s">
        <v>177</v>
      </c>
      <c r="E15" s="6" t="s">
        <v>685</v>
      </c>
      <c r="F15" s="6" t="b">
        <v>1</v>
      </c>
      <c r="G15" s="6">
        <v>0.16325</v>
      </c>
    </row>
    <row r="16" spans="1:7">
      <c r="A16" s="6" t="s">
        <v>194</v>
      </c>
      <c r="B16" s="6" t="s">
        <v>58</v>
      </c>
      <c r="C16" s="6" t="s">
        <v>186</v>
      </c>
      <c r="D16" s="6" t="s">
        <v>86</v>
      </c>
      <c r="E16" s="6" t="s">
        <v>86</v>
      </c>
      <c r="F16" s="6" t="b">
        <v>0</v>
      </c>
      <c r="G16" s="6">
        <v>0.2681666666666667</v>
      </c>
    </row>
    <row r="17" spans="1:7">
      <c r="A17" s="6" t="s">
        <v>194</v>
      </c>
      <c r="B17" s="6" t="s">
        <v>58</v>
      </c>
      <c r="C17" s="6" t="s">
        <v>186</v>
      </c>
      <c r="D17" s="6" t="s">
        <v>88</v>
      </c>
      <c r="E17" s="6" t="s">
        <v>88</v>
      </c>
      <c r="F17" s="6" t="b">
        <v>0</v>
      </c>
      <c r="G17" s="6">
        <v>0.02333333333333333</v>
      </c>
    </row>
    <row r="18" spans="1:7">
      <c r="A18" s="6" t="s">
        <v>194</v>
      </c>
      <c r="B18" s="6" t="s">
        <v>58</v>
      </c>
      <c r="C18" s="6" t="s">
        <v>186</v>
      </c>
      <c r="D18" s="6" t="s">
        <v>90</v>
      </c>
      <c r="E18" s="6" t="s">
        <v>90</v>
      </c>
      <c r="F18" s="6" t="b">
        <v>0</v>
      </c>
      <c r="G18" s="6">
        <v>0.1883333333333334</v>
      </c>
    </row>
    <row r="19" spans="1:7">
      <c r="A19" s="6" t="s">
        <v>194</v>
      </c>
      <c r="B19" s="6" t="s">
        <v>58</v>
      </c>
      <c r="C19" s="6" t="s">
        <v>186</v>
      </c>
      <c r="D19" s="6" t="s">
        <v>177</v>
      </c>
      <c r="E19" s="6" t="s">
        <v>86</v>
      </c>
      <c r="F19" s="6" t="b">
        <v>0</v>
      </c>
      <c r="G19" s="6">
        <v>0.01033333333333333</v>
      </c>
    </row>
    <row r="20" spans="1:7">
      <c r="A20" s="6" t="s">
        <v>194</v>
      </c>
      <c r="B20" s="6" t="s">
        <v>58</v>
      </c>
      <c r="C20" s="6" t="s">
        <v>189</v>
      </c>
      <c r="D20" s="6" t="s">
        <v>86</v>
      </c>
      <c r="E20" s="6" t="s">
        <v>86</v>
      </c>
      <c r="F20" s="6" t="b">
        <v>0</v>
      </c>
      <c r="G20" s="6">
        <v>0.08808333333333333</v>
      </c>
    </row>
    <row r="21" spans="1:7">
      <c r="A21" s="6" t="s">
        <v>194</v>
      </c>
      <c r="B21" s="6" t="s">
        <v>58</v>
      </c>
      <c r="C21" s="6" t="s">
        <v>189</v>
      </c>
      <c r="D21" s="6" t="s">
        <v>88</v>
      </c>
      <c r="E21" s="6" t="s">
        <v>88</v>
      </c>
      <c r="F21" s="6" t="b">
        <v>0</v>
      </c>
      <c r="G21" s="6">
        <v>0.0345</v>
      </c>
    </row>
    <row r="22" spans="1:7">
      <c r="A22" s="6" t="s">
        <v>194</v>
      </c>
      <c r="B22" s="6" t="s">
        <v>58</v>
      </c>
      <c r="C22" s="6" t="s">
        <v>189</v>
      </c>
      <c r="D22" s="6" t="s">
        <v>90</v>
      </c>
      <c r="E22" s="6" t="s">
        <v>90</v>
      </c>
      <c r="F22" s="6" t="b">
        <v>0</v>
      </c>
      <c r="G22" s="6">
        <v>0.0235</v>
      </c>
    </row>
    <row r="23" spans="1:7">
      <c r="A23" s="6" t="s">
        <v>195</v>
      </c>
      <c r="B23" s="6" t="s">
        <v>54</v>
      </c>
      <c r="C23" s="6" t="s">
        <v>181</v>
      </c>
      <c r="D23" s="6" t="s">
        <v>88</v>
      </c>
      <c r="E23" s="6" t="s">
        <v>88</v>
      </c>
      <c r="F23" s="6" t="b">
        <v>0</v>
      </c>
      <c r="G23" s="6">
        <v>8.17075</v>
      </c>
    </row>
    <row r="24" spans="1:7">
      <c r="A24" s="6" t="s">
        <v>195</v>
      </c>
      <c r="B24" s="6" t="s">
        <v>54</v>
      </c>
      <c r="C24" s="6" t="s">
        <v>183</v>
      </c>
      <c r="D24" s="6" t="s">
        <v>88</v>
      </c>
      <c r="E24" s="6" t="s">
        <v>88</v>
      </c>
      <c r="F24" s="6" t="b">
        <v>0</v>
      </c>
      <c r="G24" s="6">
        <v>0.05733333333333334</v>
      </c>
    </row>
    <row r="25" spans="1:7">
      <c r="A25" s="6" t="s">
        <v>195</v>
      </c>
      <c r="B25" s="6" t="s">
        <v>54</v>
      </c>
      <c r="C25" s="6" t="s">
        <v>183</v>
      </c>
      <c r="D25" s="6" t="s">
        <v>90</v>
      </c>
      <c r="E25" s="6" t="s">
        <v>86</v>
      </c>
      <c r="F25" s="6" t="b">
        <v>0</v>
      </c>
      <c r="G25" s="6">
        <v>0.007333333333333333</v>
      </c>
    </row>
    <row r="26" spans="1:7">
      <c r="A26" s="6" t="s">
        <v>195</v>
      </c>
      <c r="B26" s="6" t="s">
        <v>54</v>
      </c>
      <c r="C26" s="6" t="s">
        <v>183</v>
      </c>
      <c r="D26" s="6" t="s">
        <v>177</v>
      </c>
      <c r="E26" s="6" t="s">
        <v>86</v>
      </c>
      <c r="F26" s="6" t="b">
        <v>0</v>
      </c>
      <c r="G26" s="6">
        <v>0.0009166666666666666</v>
      </c>
    </row>
    <row r="27" spans="1:7">
      <c r="A27" s="6" t="s">
        <v>195</v>
      </c>
      <c r="B27" s="6" t="s">
        <v>54</v>
      </c>
      <c r="C27" s="6" t="s">
        <v>184</v>
      </c>
      <c r="D27" s="6" t="s">
        <v>44</v>
      </c>
      <c r="E27" s="6" t="s">
        <v>44</v>
      </c>
      <c r="F27" s="6" t="b">
        <v>0</v>
      </c>
      <c r="G27" s="6">
        <v>129.35575</v>
      </c>
    </row>
    <row r="28" spans="1:7">
      <c r="A28" s="6" t="s">
        <v>195</v>
      </c>
      <c r="B28" s="6" t="s">
        <v>54</v>
      </c>
      <c r="C28" s="6" t="s">
        <v>184</v>
      </c>
      <c r="D28" s="6" t="s">
        <v>86</v>
      </c>
      <c r="E28" s="6" t="s">
        <v>86</v>
      </c>
      <c r="F28" s="6" t="b">
        <v>0</v>
      </c>
      <c r="G28" s="6">
        <v>0.8708333333333332</v>
      </c>
    </row>
    <row r="29" spans="1:7">
      <c r="A29" s="6" t="s">
        <v>195</v>
      </c>
      <c r="B29" s="6" t="s">
        <v>54</v>
      </c>
      <c r="C29" s="6" t="s">
        <v>184</v>
      </c>
      <c r="D29" s="6" t="s">
        <v>90</v>
      </c>
      <c r="E29" s="6" t="s">
        <v>90</v>
      </c>
      <c r="F29" s="6" t="b">
        <v>0</v>
      </c>
      <c r="G29" s="6">
        <v>0.07525</v>
      </c>
    </row>
    <row r="30" spans="1:7">
      <c r="A30" s="6" t="s">
        <v>195</v>
      </c>
      <c r="B30" s="6" t="s">
        <v>54</v>
      </c>
      <c r="C30" s="6" t="s">
        <v>184</v>
      </c>
      <c r="D30" s="6" t="s">
        <v>90</v>
      </c>
      <c r="E30" s="6" t="s">
        <v>685</v>
      </c>
      <c r="F30" s="6" t="b">
        <v>1</v>
      </c>
      <c r="G30" s="6">
        <v>0.053</v>
      </c>
    </row>
    <row r="31" spans="1:7">
      <c r="A31" s="6" t="s">
        <v>195</v>
      </c>
      <c r="B31" s="6" t="s">
        <v>54</v>
      </c>
      <c r="C31" s="6" t="s">
        <v>184</v>
      </c>
      <c r="D31" s="6" t="s">
        <v>177</v>
      </c>
      <c r="E31" s="6" t="s">
        <v>44</v>
      </c>
      <c r="F31" s="6" t="b">
        <v>0</v>
      </c>
      <c r="G31" s="6">
        <v>140.7520833333333</v>
      </c>
    </row>
    <row r="32" spans="1:7">
      <c r="A32" s="6" t="s">
        <v>195</v>
      </c>
      <c r="B32" s="6" t="s">
        <v>54</v>
      </c>
      <c r="C32" s="6" t="s">
        <v>184</v>
      </c>
      <c r="D32" s="6" t="s">
        <v>177</v>
      </c>
      <c r="E32" s="6" t="s">
        <v>685</v>
      </c>
      <c r="F32" s="6" t="b">
        <v>1</v>
      </c>
      <c r="G32" s="6">
        <v>0.09208333333333334</v>
      </c>
    </row>
    <row r="33" spans="1:7">
      <c r="A33" s="6" t="s">
        <v>195</v>
      </c>
      <c r="B33" s="6" t="s">
        <v>54</v>
      </c>
      <c r="C33" s="6" t="s">
        <v>186</v>
      </c>
      <c r="D33" s="6" t="s">
        <v>86</v>
      </c>
      <c r="E33" s="6" t="s">
        <v>86</v>
      </c>
      <c r="F33" s="6" t="b">
        <v>0</v>
      </c>
      <c r="G33" s="6">
        <v>37.75166666666667</v>
      </c>
    </row>
    <row r="34" spans="1:7">
      <c r="A34" s="6" t="s">
        <v>195</v>
      </c>
      <c r="B34" s="6" t="s">
        <v>54</v>
      </c>
      <c r="C34" s="6" t="s">
        <v>186</v>
      </c>
      <c r="D34" s="6" t="s">
        <v>88</v>
      </c>
      <c r="E34" s="6" t="s">
        <v>88</v>
      </c>
      <c r="F34" s="6" t="b">
        <v>0</v>
      </c>
      <c r="G34" s="6">
        <v>1.618583333333333</v>
      </c>
    </row>
    <row r="35" spans="1:7">
      <c r="A35" s="6" t="s">
        <v>195</v>
      </c>
      <c r="B35" s="6" t="s">
        <v>54</v>
      </c>
      <c r="C35" s="6" t="s">
        <v>186</v>
      </c>
      <c r="D35" s="6" t="s">
        <v>90</v>
      </c>
      <c r="E35" s="6" t="s">
        <v>86</v>
      </c>
      <c r="F35" s="6" t="b">
        <v>0</v>
      </c>
      <c r="G35" s="6">
        <v>0.04391666666666667</v>
      </c>
    </row>
    <row r="36" spans="1:7">
      <c r="A36" s="6" t="s">
        <v>195</v>
      </c>
      <c r="B36" s="6" t="s">
        <v>54</v>
      </c>
      <c r="C36" s="6" t="s">
        <v>186</v>
      </c>
      <c r="D36" s="6" t="s">
        <v>90</v>
      </c>
      <c r="E36" s="6" t="s">
        <v>90</v>
      </c>
      <c r="F36" s="6" t="b">
        <v>0</v>
      </c>
      <c r="G36" s="6">
        <v>19.37525</v>
      </c>
    </row>
    <row r="37" spans="1:7">
      <c r="A37" s="6" t="s">
        <v>195</v>
      </c>
      <c r="B37" s="6" t="s">
        <v>54</v>
      </c>
      <c r="C37" s="6" t="s">
        <v>186</v>
      </c>
      <c r="D37" s="6" t="s">
        <v>177</v>
      </c>
      <c r="E37" s="6" t="s">
        <v>86</v>
      </c>
      <c r="F37" s="6" t="b">
        <v>0</v>
      </c>
      <c r="G37" s="6">
        <v>0.4355833333333334</v>
      </c>
    </row>
    <row r="38" spans="1:7">
      <c r="A38" s="6" t="s">
        <v>195</v>
      </c>
      <c r="B38" s="6" t="s">
        <v>54</v>
      </c>
      <c r="C38" s="6" t="s">
        <v>189</v>
      </c>
      <c r="D38" s="6" t="s">
        <v>86</v>
      </c>
      <c r="E38" s="6" t="s">
        <v>86</v>
      </c>
      <c r="F38" s="6" t="b">
        <v>0</v>
      </c>
      <c r="G38" s="6">
        <v>0.12025</v>
      </c>
    </row>
    <row r="39" spans="1:7">
      <c r="A39" s="6" t="s">
        <v>195</v>
      </c>
      <c r="B39" s="6" t="s">
        <v>54</v>
      </c>
      <c r="C39" s="6" t="s">
        <v>189</v>
      </c>
      <c r="D39" s="6" t="s">
        <v>88</v>
      </c>
      <c r="E39" s="6" t="s">
        <v>88</v>
      </c>
      <c r="F39" s="6" t="b">
        <v>0</v>
      </c>
      <c r="G39" s="6">
        <v>3.258083333333333</v>
      </c>
    </row>
    <row r="40" spans="1:7">
      <c r="A40" s="6" t="s">
        <v>195</v>
      </c>
      <c r="B40" s="6" t="s">
        <v>54</v>
      </c>
      <c r="C40" s="6" t="s">
        <v>189</v>
      </c>
      <c r="D40" s="6" t="s">
        <v>90</v>
      </c>
      <c r="E40" s="6" t="s">
        <v>90</v>
      </c>
      <c r="F40" s="6" t="b">
        <v>0</v>
      </c>
      <c r="G40" s="6">
        <v>0.18475</v>
      </c>
    </row>
    <row r="41" spans="1:7">
      <c r="A41" s="6" t="s">
        <v>195</v>
      </c>
      <c r="B41" s="6" t="s">
        <v>54</v>
      </c>
      <c r="C41" s="6" t="s">
        <v>190</v>
      </c>
      <c r="D41" s="6" t="s">
        <v>44</v>
      </c>
      <c r="E41" s="6" t="s">
        <v>44</v>
      </c>
      <c r="F41" s="6" t="b">
        <v>0</v>
      </c>
      <c r="G41" s="6">
        <v>2.478416666666666</v>
      </c>
    </row>
    <row r="42" spans="1:7">
      <c r="A42" s="6" t="s">
        <v>195</v>
      </c>
      <c r="B42" s="6" t="s">
        <v>54</v>
      </c>
      <c r="C42" s="6" t="s">
        <v>190</v>
      </c>
      <c r="D42" s="6" t="s">
        <v>86</v>
      </c>
      <c r="E42" s="6" t="s">
        <v>44</v>
      </c>
      <c r="F42" s="6" t="b">
        <v>0</v>
      </c>
      <c r="G42" s="6">
        <v>0.3621666666666667</v>
      </c>
    </row>
    <row r="43" spans="1:7">
      <c r="A43" s="6" t="s">
        <v>195</v>
      </c>
      <c r="B43" s="6" t="s">
        <v>54</v>
      </c>
      <c r="C43" s="6" t="s">
        <v>190</v>
      </c>
      <c r="D43" s="6" t="s">
        <v>86</v>
      </c>
      <c r="E43" s="6" t="s">
        <v>86</v>
      </c>
      <c r="F43" s="6" t="b">
        <v>0</v>
      </c>
      <c r="G43" s="6">
        <v>0.225</v>
      </c>
    </row>
    <row r="44" spans="1:7">
      <c r="A44" s="6" t="s">
        <v>195</v>
      </c>
      <c r="B44" s="6" t="s">
        <v>54</v>
      </c>
      <c r="C44" s="6" t="s">
        <v>190</v>
      </c>
      <c r="D44" s="6" t="s">
        <v>90</v>
      </c>
      <c r="E44" s="6" t="s">
        <v>44</v>
      </c>
      <c r="F44" s="6" t="b">
        <v>0</v>
      </c>
      <c r="G44" s="6">
        <v>0.6457499999999999</v>
      </c>
    </row>
    <row r="45" spans="1:7">
      <c r="A45" s="6" t="s">
        <v>195</v>
      </c>
      <c r="B45" s="6" t="s">
        <v>54</v>
      </c>
      <c r="C45" s="6" t="s">
        <v>190</v>
      </c>
      <c r="D45" s="6" t="s">
        <v>90</v>
      </c>
      <c r="E45" s="6" t="s">
        <v>90</v>
      </c>
      <c r="F45" s="6" t="b">
        <v>0</v>
      </c>
      <c r="G45" s="6">
        <v>0.878</v>
      </c>
    </row>
    <row r="46" spans="1:7">
      <c r="A46" s="6" t="s">
        <v>195</v>
      </c>
      <c r="B46" s="6" t="s">
        <v>54</v>
      </c>
      <c r="C46" s="6" t="s">
        <v>190</v>
      </c>
      <c r="D46" s="6" t="s">
        <v>177</v>
      </c>
      <c r="E46" s="6" t="s">
        <v>44</v>
      </c>
      <c r="F46" s="6" t="b">
        <v>0</v>
      </c>
      <c r="G46" s="6">
        <v>0.8061666666666666</v>
      </c>
    </row>
    <row r="47" spans="1:7">
      <c r="A47" s="6" t="s">
        <v>195</v>
      </c>
      <c r="B47" s="6" t="s">
        <v>54</v>
      </c>
      <c r="C47" s="6" t="s">
        <v>190</v>
      </c>
      <c r="D47" s="6" t="s">
        <v>92</v>
      </c>
      <c r="E47" s="6" t="s">
        <v>92</v>
      </c>
      <c r="F47" s="6" t="b">
        <v>0</v>
      </c>
      <c r="G47" s="6">
        <v>0.042</v>
      </c>
    </row>
    <row r="48" spans="1:7">
      <c r="A48" s="6" t="s">
        <v>334</v>
      </c>
      <c r="B48" s="6" t="s">
        <v>54</v>
      </c>
      <c r="C48" s="6" t="s">
        <v>186</v>
      </c>
      <c r="D48" s="6" t="s">
        <v>86</v>
      </c>
      <c r="E48" s="6" t="s">
        <v>86</v>
      </c>
      <c r="F48" s="6" t="b">
        <v>0</v>
      </c>
      <c r="G48" s="6">
        <v>0.0009166666666666666</v>
      </c>
    </row>
    <row r="49" spans="1:7">
      <c r="A49" s="6" t="s">
        <v>334</v>
      </c>
      <c r="B49" s="6" t="s">
        <v>54</v>
      </c>
      <c r="C49" s="6" t="s">
        <v>186</v>
      </c>
      <c r="D49" s="6" t="s">
        <v>90</v>
      </c>
      <c r="E49" s="6" t="s">
        <v>90</v>
      </c>
      <c r="F49" s="6" t="b">
        <v>0</v>
      </c>
      <c r="G49" s="6">
        <v>0.003333333333333334</v>
      </c>
    </row>
    <row r="50" spans="1:7">
      <c r="A50" s="6" t="s">
        <v>335</v>
      </c>
      <c r="B50" s="6" t="s">
        <v>52</v>
      </c>
      <c r="C50" s="6" t="s">
        <v>184</v>
      </c>
      <c r="D50" s="6" t="s">
        <v>88</v>
      </c>
      <c r="E50" s="6" t="s">
        <v>88</v>
      </c>
      <c r="F50" s="6" t="b">
        <v>0</v>
      </c>
      <c r="G50" s="6">
        <v>8.325833333333334</v>
      </c>
    </row>
    <row r="51" spans="1:7">
      <c r="A51" s="6" t="s">
        <v>335</v>
      </c>
      <c r="B51" s="6" t="s">
        <v>52</v>
      </c>
      <c r="C51" s="6" t="s">
        <v>186</v>
      </c>
      <c r="D51" s="6" t="s">
        <v>86</v>
      </c>
      <c r="E51" s="6" t="s">
        <v>86</v>
      </c>
      <c r="F51" s="6" t="b">
        <v>0</v>
      </c>
      <c r="G51" s="6">
        <v>150.0285833333333</v>
      </c>
    </row>
    <row r="52" spans="1:7">
      <c r="A52" s="6" t="s">
        <v>335</v>
      </c>
      <c r="B52" s="6" t="s">
        <v>52</v>
      </c>
      <c r="C52" s="6" t="s">
        <v>186</v>
      </c>
      <c r="D52" s="6" t="s">
        <v>88</v>
      </c>
      <c r="E52" s="6" t="s">
        <v>88</v>
      </c>
      <c r="F52" s="6" t="b">
        <v>0</v>
      </c>
      <c r="G52" s="6">
        <v>129.5281666666667</v>
      </c>
    </row>
    <row r="53" spans="1:7">
      <c r="A53" s="6" t="s">
        <v>335</v>
      </c>
      <c r="B53" s="6" t="s">
        <v>52</v>
      </c>
      <c r="C53" s="6" t="s">
        <v>186</v>
      </c>
      <c r="D53" s="6" t="s">
        <v>90</v>
      </c>
      <c r="E53" s="6" t="s">
        <v>90</v>
      </c>
      <c r="F53" s="6" t="b">
        <v>0</v>
      </c>
      <c r="G53" s="6">
        <v>295.1966666666667</v>
      </c>
    </row>
    <row r="54" spans="1:7">
      <c r="A54" s="6" t="s">
        <v>335</v>
      </c>
      <c r="B54" s="6" t="s">
        <v>52</v>
      </c>
      <c r="C54" s="6" t="s">
        <v>186</v>
      </c>
      <c r="D54" s="6" t="s">
        <v>177</v>
      </c>
      <c r="E54" s="6" t="s">
        <v>86</v>
      </c>
      <c r="F54" s="6" t="b">
        <v>0</v>
      </c>
      <c r="G54" s="6">
        <v>174.4801666666667</v>
      </c>
    </row>
    <row r="55" spans="1:7">
      <c r="A55" s="6" t="s">
        <v>335</v>
      </c>
      <c r="B55" s="6" t="s">
        <v>52</v>
      </c>
      <c r="C55" s="6" t="s">
        <v>189</v>
      </c>
      <c r="D55" s="6" t="s">
        <v>88</v>
      </c>
      <c r="E55" s="6" t="s">
        <v>88</v>
      </c>
      <c r="F55" s="6" t="b">
        <v>0</v>
      </c>
      <c r="G55" s="6">
        <v>664.9020833333334</v>
      </c>
    </row>
    <row r="56" spans="1:7">
      <c r="A56" s="6" t="s">
        <v>336</v>
      </c>
      <c r="B56" s="6" t="s">
        <v>52</v>
      </c>
      <c r="C56" s="6" t="s">
        <v>189</v>
      </c>
      <c r="D56" s="6" t="s">
        <v>86</v>
      </c>
      <c r="E56" s="6" t="s">
        <v>86</v>
      </c>
      <c r="F56" s="6" t="b">
        <v>0</v>
      </c>
      <c r="G56" s="6">
        <v>1595.194083333333</v>
      </c>
    </row>
    <row r="57" spans="1:7">
      <c r="A57" s="6" t="s">
        <v>196</v>
      </c>
      <c r="B57" s="6" t="s">
        <v>52</v>
      </c>
      <c r="C57" s="6" t="s">
        <v>190</v>
      </c>
      <c r="D57" s="6" t="s">
        <v>44</v>
      </c>
      <c r="E57" s="6" t="s">
        <v>44</v>
      </c>
      <c r="F57" s="6" t="b">
        <v>0</v>
      </c>
      <c r="G57" s="6">
        <v>10.6975</v>
      </c>
    </row>
    <row r="58" spans="1:7">
      <c r="A58" s="6" t="s">
        <v>197</v>
      </c>
      <c r="B58" s="6" t="s">
        <v>53</v>
      </c>
      <c r="C58" s="6" t="s">
        <v>181</v>
      </c>
      <c r="D58" s="6" t="s">
        <v>88</v>
      </c>
      <c r="E58" s="6" t="s">
        <v>88</v>
      </c>
      <c r="F58" s="6" t="b">
        <v>0</v>
      </c>
      <c r="G58" s="6">
        <v>10.32433333333333</v>
      </c>
    </row>
    <row r="59" spans="1:7">
      <c r="A59" s="6" t="s">
        <v>197</v>
      </c>
      <c r="B59" s="6" t="s">
        <v>53</v>
      </c>
      <c r="C59" s="6" t="s">
        <v>181</v>
      </c>
      <c r="D59" s="6" t="s">
        <v>90</v>
      </c>
      <c r="E59" s="6" t="s">
        <v>90</v>
      </c>
      <c r="F59" s="6" t="b">
        <v>0</v>
      </c>
      <c r="G59" s="6">
        <v>0.03025</v>
      </c>
    </row>
    <row r="60" spans="1:7">
      <c r="A60" s="6" t="s">
        <v>197</v>
      </c>
      <c r="B60" s="6" t="s">
        <v>53</v>
      </c>
      <c r="C60" s="6" t="s">
        <v>183</v>
      </c>
      <c r="D60" s="6" t="s">
        <v>86</v>
      </c>
      <c r="E60" s="6" t="s">
        <v>86</v>
      </c>
      <c r="F60" s="6" t="b">
        <v>0</v>
      </c>
      <c r="G60" s="6">
        <v>0.002833333333333334</v>
      </c>
    </row>
    <row r="61" spans="1:7">
      <c r="A61" s="6" t="s">
        <v>197</v>
      </c>
      <c r="B61" s="6" t="s">
        <v>53</v>
      </c>
      <c r="C61" s="6" t="s">
        <v>183</v>
      </c>
      <c r="D61" s="6" t="s">
        <v>88</v>
      </c>
      <c r="E61" s="6" t="s">
        <v>88</v>
      </c>
      <c r="F61" s="6" t="b">
        <v>0</v>
      </c>
      <c r="G61" s="6">
        <v>0.07925</v>
      </c>
    </row>
    <row r="62" spans="1:7">
      <c r="A62" s="6" t="s">
        <v>197</v>
      </c>
      <c r="B62" s="6" t="s">
        <v>53</v>
      </c>
      <c r="C62" s="6" t="s">
        <v>183</v>
      </c>
      <c r="D62" s="6" t="s">
        <v>90</v>
      </c>
      <c r="E62" s="6" t="s">
        <v>86</v>
      </c>
      <c r="F62" s="6" t="b">
        <v>0</v>
      </c>
      <c r="G62" s="6">
        <v>0.02308333333333333</v>
      </c>
    </row>
    <row r="63" spans="1:7">
      <c r="A63" s="6" t="s">
        <v>197</v>
      </c>
      <c r="B63" s="6" t="s">
        <v>53</v>
      </c>
      <c r="C63" s="6" t="s">
        <v>183</v>
      </c>
      <c r="D63" s="6" t="s">
        <v>90</v>
      </c>
      <c r="E63" s="6" t="s">
        <v>90</v>
      </c>
      <c r="F63" s="6" t="b">
        <v>0</v>
      </c>
      <c r="G63" s="6">
        <v>0.05183333333333334</v>
      </c>
    </row>
    <row r="64" spans="1:7">
      <c r="A64" s="6" t="s">
        <v>197</v>
      </c>
      <c r="B64" s="6" t="s">
        <v>53</v>
      </c>
      <c r="C64" s="6" t="s">
        <v>183</v>
      </c>
      <c r="D64" s="6" t="s">
        <v>177</v>
      </c>
      <c r="E64" s="6" t="s">
        <v>86</v>
      </c>
      <c r="F64" s="6" t="b">
        <v>0</v>
      </c>
      <c r="G64" s="6">
        <v>0.003833333333333333</v>
      </c>
    </row>
    <row r="65" spans="1:7">
      <c r="A65" s="6" t="s">
        <v>197</v>
      </c>
      <c r="B65" s="6" t="s">
        <v>53</v>
      </c>
      <c r="C65" s="6" t="s">
        <v>183</v>
      </c>
      <c r="D65" s="6" t="s">
        <v>177</v>
      </c>
      <c r="E65" s="6" t="s">
        <v>685</v>
      </c>
      <c r="F65" s="6" t="b">
        <v>1</v>
      </c>
      <c r="G65" s="6">
        <v>0.0075</v>
      </c>
    </row>
    <row r="66" spans="1:7">
      <c r="A66" s="6" t="s">
        <v>197</v>
      </c>
      <c r="B66" s="6" t="s">
        <v>53</v>
      </c>
      <c r="C66" s="6" t="s">
        <v>184</v>
      </c>
      <c r="D66" s="6" t="s">
        <v>44</v>
      </c>
      <c r="E66" s="6" t="s">
        <v>44</v>
      </c>
      <c r="F66" s="6" t="b">
        <v>0</v>
      </c>
      <c r="G66" s="6">
        <v>60.73225</v>
      </c>
    </row>
    <row r="67" spans="1:7">
      <c r="A67" s="6" t="s">
        <v>197</v>
      </c>
      <c r="B67" s="6" t="s">
        <v>53</v>
      </c>
      <c r="C67" s="6" t="s">
        <v>184</v>
      </c>
      <c r="D67" s="6" t="s">
        <v>86</v>
      </c>
      <c r="E67" s="6" t="s">
        <v>86</v>
      </c>
      <c r="F67" s="6" t="b">
        <v>0</v>
      </c>
      <c r="G67" s="6">
        <v>0.6666666666666666</v>
      </c>
    </row>
    <row r="68" spans="1:7">
      <c r="A68" s="6" t="s">
        <v>197</v>
      </c>
      <c r="B68" s="6" t="s">
        <v>53</v>
      </c>
      <c r="C68" s="6" t="s">
        <v>184</v>
      </c>
      <c r="D68" s="6" t="s">
        <v>88</v>
      </c>
      <c r="E68" s="6" t="s">
        <v>88</v>
      </c>
      <c r="F68" s="6" t="b">
        <v>0</v>
      </c>
      <c r="G68" s="6">
        <v>0.02583333333333333</v>
      </c>
    </row>
    <row r="69" spans="1:7">
      <c r="A69" s="6" t="s">
        <v>197</v>
      </c>
      <c r="B69" s="6" t="s">
        <v>53</v>
      </c>
      <c r="C69" s="6" t="s">
        <v>184</v>
      </c>
      <c r="D69" s="6" t="s">
        <v>90</v>
      </c>
      <c r="E69" s="6" t="s">
        <v>90</v>
      </c>
      <c r="F69" s="6" t="b">
        <v>0</v>
      </c>
      <c r="G69" s="6">
        <v>0.13475</v>
      </c>
    </row>
    <row r="70" spans="1:7">
      <c r="A70" s="6" t="s">
        <v>197</v>
      </c>
      <c r="B70" s="6" t="s">
        <v>53</v>
      </c>
      <c r="C70" s="6" t="s">
        <v>184</v>
      </c>
      <c r="D70" s="6" t="s">
        <v>90</v>
      </c>
      <c r="E70" s="6" t="s">
        <v>685</v>
      </c>
      <c r="F70" s="6" t="b">
        <v>1</v>
      </c>
      <c r="G70" s="6">
        <v>0.01991666666666667</v>
      </c>
    </row>
    <row r="71" spans="1:7">
      <c r="A71" s="6" t="s">
        <v>197</v>
      </c>
      <c r="B71" s="6" t="s">
        <v>53</v>
      </c>
      <c r="C71" s="6" t="s">
        <v>184</v>
      </c>
      <c r="D71" s="6" t="s">
        <v>177</v>
      </c>
      <c r="E71" s="6" t="s">
        <v>44</v>
      </c>
      <c r="F71" s="6" t="b">
        <v>0</v>
      </c>
      <c r="G71" s="6">
        <v>197.69675</v>
      </c>
    </row>
    <row r="72" spans="1:7">
      <c r="A72" s="6" t="s">
        <v>197</v>
      </c>
      <c r="B72" s="6" t="s">
        <v>53</v>
      </c>
      <c r="C72" s="6" t="s">
        <v>184</v>
      </c>
      <c r="D72" s="6" t="s">
        <v>177</v>
      </c>
      <c r="E72" s="6" t="s">
        <v>86</v>
      </c>
      <c r="F72" s="6" t="b">
        <v>0</v>
      </c>
      <c r="G72" s="6">
        <v>0.00825</v>
      </c>
    </row>
    <row r="73" spans="1:7">
      <c r="A73" s="6" t="s">
        <v>197</v>
      </c>
      <c r="B73" s="6" t="s">
        <v>53</v>
      </c>
      <c r="C73" s="6" t="s">
        <v>184</v>
      </c>
      <c r="D73" s="6" t="s">
        <v>177</v>
      </c>
      <c r="E73" s="6" t="s">
        <v>685</v>
      </c>
      <c r="F73" s="6" t="b">
        <v>1</v>
      </c>
      <c r="G73" s="6">
        <v>0.2889166666666667</v>
      </c>
    </row>
    <row r="74" spans="1:7">
      <c r="A74" s="6" t="s">
        <v>197</v>
      </c>
      <c r="B74" s="6" t="s">
        <v>53</v>
      </c>
      <c r="C74" s="6" t="s">
        <v>185</v>
      </c>
      <c r="D74" s="6" t="s">
        <v>44</v>
      </c>
      <c r="E74" s="6" t="s">
        <v>44</v>
      </c>
      <c r="F74" s="6" t="b">
        <v>0</v>
      </c>
      <c r="G74" s="6">
        <v>4.5885</v>
      </c>
    </row>
    <row r="75" spans="1:7">
      <c r="A75" s="6" t="s">
        <v>197</v>
      </c>
      <c r="B75" s="6" t="s">
        <v>53</v>
      </c>
      <c r="C75" s="6" t="s">
        <v>186</v>
      </c>
      <c r="D75" s="6" t="s">
        <v>86</v>
      </c>
      <c r="E75" s="6" t="s">
        <v>86</v>
      </c>
      <c r="F75" s="6" t="b">
        <v>0</v>
      </c>
      <c r="G75" s="6">
        <v>58.33466666666666</v>
      </c>
    </row>
    <row r="76" spans="1:7">
      <c r="A76" s="6" t="s">
        <v>197</v>
      </c>
      <c r="B76" s="6" t="s">
        <v>53</v>
      </c>
      <c r="C76" s="6" t="s">
        <v>186</v>
      </c>
      <c r="D76" s="6" t="s">
        <v>88</v>
      </c>
      <c r="E76" s="6" t="s">
        <v>88</v>
      </c>
      <c r="F76" s="6" t="b">
        <v>0</v>
      </c>
      <c r="G76" s="6">
        <v>0.9125833333333334</v>
      </c>
    </row>
    <row r="77" spans="1:7">
      <c r="A77" s="6" t="s">
        <v>197</v>
      </c>
      <c r="B77" s="6" t="s">
        <v>53</v>
      </c>
      <c r="C77" s="6" t="s">
        <v>186</v>
      </c>
      <c r="D77" s="6" t="s">
        <v>90</v>
      </c>
      <c r="E77" s="6" t="s">
        <v>86</v>
      </c>
      <c r="F77" s="6" t="b">
        <v>0</v>
      </c>
      <c r="G77" s="6">
        <v>0.002833333333333334</v>
      </c>
    </row>
    <row r="78" spans="1:7">
      <c r="A78" s="6" t="s">
        <v>197</v>
      </c>
      <c r="B78" s="6" t="s">
        <v>53</v>
      </c>
      <c r="C78" s="6" t="s">
        <v>186</v>
      </c>
      <c r="D78" s="6" t="s">
        <v>90</v>
      </c>
      <c r="E78" s="6" t="s">
        <v>90</v>
      </c>
      <c r="F78" s="6" t="b">
        <v>0</v>
      </c>
      <c r="G78" s="6">
        <v>9.036916666666666</v>
      </c>
    </row>
    <row r="79" spans="1:7">
      <c r="A79" s="6" t="s">
        <v>197</v>
      </c>
      <c r="B79" s="6" t="s">
        <v>53</v>
      </c>
      <c r="C79" s="6" t="s">
        <v>186</v>
      </c>
      <c r="D79" s="6" t="s">
        <v>177</v>
      </c>
      <c r="E79" s="6" t="s">
        <v>86</v>
      </c>
      <c r="F79" s="6" t="b">
        <v>0</v>
      </c>
      <c r="G79" s="6">
        <v>0.3626666666666667</v>
      </c>
    </row>
    <row r="80" spans="1:7">
      <c r="A80" s="6" t="s">
        <v>197</v>
      </c>
      <c r="B80" s="6" t="s">
        <v>53</v>
      </c>
      <c r="C80" s="6" t="s">
        <v>187</v>
      </c>
      <c r="D80" s="6" t="s">
        <v>86</v>
      </c>
      <c r="E80" s="6" t="s">
        <v>86</v>
      </c>
      <c r="F80" s="6" t="b">
        <v>0</v>
      </c>
      <c r="G80" s="6">
        <v>12.57483333333333</v>
      </c>
    </row>
    <row r="81" spans="1:7">
      <c r="A81" s="6" t="s">
        <v>197</v>
      </c>
      <c r="B81" s="6" t="s">
        <v>53</v>
      </c>
      <c r="C81" s="6" t="s">
        <v>187</v>
      </c>
      <c r="D81" s="6" t="s">
        <v>88</v>
      </c>
      <c r="E81" s="6" t="s">
        <v>88</v>
      </c>
      <c r="F81" s="6" t="b">
        <v>0</v>
      </c>
      <c r="G81" s="6">
        <v>37.78441666666667</v>
      </c>
    </row>
    <row r="82" spans="1:7">
      <c r="A82" s="6" t="s">
        <v>197</v>
      </c>
      <c r="B82" s="6" t="s">
        <v>53</v>
      </c>
      <c r="C82" s="6" t="s">
        <v>187</v>
      </c>
      <c r="D82" s="6" t="s">
        <v>90</v>
      </c>
      <c r="E82" s="6" t="s">
        <v>90</v>
      </c>
      <c r="F82" s="6" t="b">
        <v>0</v>
      </c>
      <c r="G82" s="6">
        <v>0.132</v>
      </c>
    </row>
    <row r="83" spans="1:7">
      <c r="A83" s="6" t="s">
        <v>197</v>
      </c>
      <c r="B83" s="6" t="s">
        <v>53</v>
      </c>
      <c r="C83" s="6" t="s">
        <v>189</v>
      </c>
      <c r="D83" s="6" t="s">
        <v>86</v>
      </c>
      <c r="E83" s="6" t="s">
        <v>86</v>
      </c>
      <c r="F83" s="6" t="b">
        <v>0</v>
      </c>
      <c r="G83" s="6">
        <v>1.09575</v>
      </c>
    </row>
    <row r="84" spans="1:7">
      <c r="A84" s="6" t="s">
        <v>197</v>
      </c>
      <c r="B84" s="6" t="s">
        <v>53</v>
      </c>
      <c r="C84" s="6" t="s">
        <v>189</v>
      </c>
      <c r="D84" s="6" t="s">
        <v>88</v>
      </c>
      <c r="E84" s="6" t="s">
        <v>88</v>
      </c>
      <c r="F84" s="6" t="b">
        <v>0</v>
      </c>
      <c r="G84" s="6">
        <v>3.967333333333333</v>
      </c>
    </row>
    <row r="85" spans="1:7">
      <c r="A85" s="6" t="s">
        <v>197</v>
      </c>
      <c r="B85" s="6" t="s">
        <v>53</v>
      </c>
      <c r="C85" s="6" t="s">
        <v>189</v>
      </c>
      <c r="D85" s="6" t="s">
        <v>90</v>
      </c>
      <c r="E85" s="6" t="s">
        <v>90</v>
      </c>
      <c r="F85" s="6" t="b">
        <v>0</v>
      </c>
      <c r="G85" s="6">
        <v>0.4241666666666666</v>
      </c>
    </row>
    <row r="86" spans="1:7">
      <c r="A86" s="6" t="s">
        <v>197</v>
      </c>
      <c r="B86" s="6" t="s">
        <v>53</v>
      </c>
      <c r="C86" s="6" t="s">
        <v>190</v>
      </c>
      <c r="D86" s="6" t="s">
        <v>44</v>
      </c>
      <c r="E86" s="6" t="s">
        <v>44</v>
      </c>
      <c r="F86" s="6" t="b">
        <v>0</v>
      </c>
      <c r="G86" s="6">
        <v>30.35558333333333</v>
      </c>
    </row>
    <row r="87" spans="1:7">
      <c r="A87" s="6" t="s">
        <v>197</v>
      </c>
      <c r="B87" s="6" t="s">
        <v>53</v>
      </c>
      <c r="C87" s="6" t="s">
        <v>190</v>
      </c>
      <c r="D87" s="6" t="s">
        <v>86</v>
      </c>
      <c r="E87" s="6" t="s">
        <v>44</v>
      </c>
      <c r="F87" s="6" t="b">
        <v>0</v>
      </c>
      <c r="G87" s="6">
        <v>2.579583333333333</v>
      </c>
    </row>
    <row r="88" spans="1:7">
      <c r="A88" s="6" t="s">
        <v>197</v>
      </c>
      <c r="B88" s="6" t="s">
        <v>53</v>
      </c>
      <c r="C88" s="6" t="s">
        <v>190</v>
      </c>
      <c r="D88" s="6" t="s">
        <v>86</v>
      </c>
      <c r="E88" s="6" t="s">
        <v>86</v>
      </c>
      <c r="F88" s="6" t="b">
        <v>0</v>
      </c>
      <c r="G88" s="6">
        <v>0.1671666666666667</v>
      </c>
    </row>
    <row r="89" spans="1:7">
      <c r="A89" s="6" t="s">
        <v>197</v>
      </c>
      <c r="B89" s="6" t="s">
        <v>53</v>
      </c>
      <c r="C89" s="6" t="s">
        <v>190</v>
      </c>
      <c r="D89" s="6" t="s">
        <v>90</v>
      </c>
      <c r="E89" s="6" t="s">
        <v>44</v>
      </c>
      <c r="F89" s="6" t="b">
        <v>0</v>
      </c>
      <c r="G89" s="6">
        <v>1.144583333333333</v>
      </c>
    </row>
    <row r="90" spans="1:7">
      <c r="A90" s="6" t="s">
        <v>197</v>
      </c>
      <c r="B90" s="6" t="s">
        <v>53</v>
      </c>
      <c r="C90" s="6" t="s">
        <v>190</v>
      </c>
      <c r="D90" s="6" t="s">
        <v>90</v>
      </c>
      <c r="E90" s="6" t="s">
        <v>90</v>
      </c>
      <c r="F90" s="6" t="b">
        <v>0</v>
      </c>
      <c r="G90" s="6">
        <v>2.37175</v>
      </c>
    </row>
    <row r="91" spans="1:7">
      <c r="A91" s="6" t="s">
        <v>197</v>
      </c>
      <c r="B91" s="6" t="s">
        <v>53</v>
      </c>
      <c r="C91" s="6" t="s">
        <v>190</v>
      </c>
      <c r="D91" s="6" t="s">
        <v>177</v>
      </c>
      <c r="E91" s="6" t="s">
        <v>44</v>
      </c>
      <c r="F91" s="6" t="b">
        <v>0</v>
      </c>
      <c r="G91" s="6">
        <v>7.073833333333333</v>
      </c>
    </row>
    <row r="92" spans="1:7">
      <c r="A92" s="6" t="s">
        <v>197</v>
      </c>
      <c r="B92" s="6" t="s">
        <v>53</v>
      </c>
      <c r="C92" s="6" t="s">
        <v>190</v>
      </c>
      <c r="D92" s="6" t="s">
        <v>177</v>
      </c>
      <c r="E92" s="6" t="s">
        <v>86</v>
      </c>
      <c r="F92" s="6" t="b">
        <v>0</v>
      </c>
      <c r="G92" s="6">
        <v>0.1765833333333333</v>
      </c>
    </row>
    <row r="93" spans="1:7">
      <c r="A93" s="6" t="s">
        <v>197</v>
      </c>
      <c r="B93" s="6" t="s">
        <v>53</v>
      </c>
      <c r="C93" s="6" t="s">
        <v>190</v>
      </c>
      <c r="D93" s="6" t="s">
        <v>92</v>
      </c>
      <c r="E93" s="6" t="s">
        <v>92</v>
      </c>
      <c r="F93" s="6" t="b">
        <v>0</v>
      </c>
      <c r="G93" s="6">
        <v>0.213</v>
      </c>
    </row>
    <row r="94" spans="1:7">
      <c r="A94" s="6" t="s">
        <v>198</v>
      </c>
      <c r="B94" s="6" t="s">
        <v>58</v>
      </c>
      <c r="C94" s="6" t="s">
        <v>181</v>
      </c>
      <c r="D94" s="6" t="s">
        <v>88</v>
      </c>
      <c r="E94" s="6" t="s">
        <v>88</v>
      </c>
      <c r="F94" s="6" t="b">
        <v>0</v>
      </c>
      <c r="G94" s="6">
        <v>12.59425</v>
      </c>
    </row>
    <row r="95" spans="1:7">
      <c r="A95" s="6" t="s">
        <v>198</v>
      </c>
      <c r="B95" s="6" t="s">
        <v>58</v>
      </c>
      <c r="C95" s="6" t="s">
        <v>183</v>
      </c>
      <c r="D95" s="6" t="s">
        <v>88</v>
      </c>
      <c r="E95" s="6" t="s">
        <v>88</v>
      </c>
      <c r="F95" s="6" t="b">
        <v>0</v>
      </c>
      <c r="G95" s="6">
        <v>0.09733333333333334</v>
      </c>
    </row>
    <row r="96" spans="1:7">
      <c r="A96" s="6" t="s">
        <v>198</v>
      </c>
      <c r="B96" s="6" t="s">
        <v>58</v>
      </c>
      <c r="C96" s="6" t="s">
        <v>183</v>
      </c>
      <c r="D96" s="6" t="s">
        <v>90</v>
      </c>
      <c r="E96" s="6" t="s">
        <v>86</v>
      </c>
      <c r="F96" s="6" t="b">
        <v>0</v>
      </c>
      <c r="G96" s="6">
        <v>0.05725</v>
      </c>
    </row>
    <row r="97" spans="1:7">
      <c r="A97" s="6" t="s">
        <v>198</v>
      </c>
      <c r="B97" s="6" t="s">
        <v>58</v>
      </c>
      <c r="C97" s="6" t="s">
        <v>183</v>
      </c>
      <c r="D97" s="6" t="s">
        <v>90</v>
      </c>
      <c r="E97" s="6" t="s">
        <v>90</v>
      </c>
      <c r="F97" s="6" t="b">
        <v>0</v>
      </c>
      <c r="G97" s="6">
        <v>0.07516666666666667</v>
      </c>
    </row>
    <row r="98" spans="1:7">
      <c r="A98" s="6" t="s">
        <v>198</v>
      </c>
      <c r="B98" s="6" t="s">
        <v>58</v>
      </c>
      <c r="C98" s="6" t="s">
        <v>183</v>
      </c>
      <c r="D98" s="6" t="s">
        <v>177</v>
      </c>
      <c r="E98" s="6" t="s">
        <v>685</v>
      </c>
      <c r="F98" s="6" t="b">
        <v>1</v>
      </c>
      <c r="G98" s="6">
        <v>0.008999999999999999</v>
      </c>
    </row>
    <row r="99" spans="1:7">
      <c r="A99" s="6" t="s">
        <v>198</v>
      </c>
      <c r="B99" s="6" t="s">
        <v>58</v>
      </c>
      <c r="C99" s="6" t="s">
        <v>184</v>
      </c>
      <c r="D99" s="6" t="s">
        <v>44</v>
      </c>
      <c r="E99" s="6" t="s">
        <v>44</v>
      </c>
      <c r="F99" s="6" t="b">
        <v>0</v>
      </c>
      <c r="G99" s="6">
        <v>235.5045</v>
      </c>
    </row>
    <row r="100" spans="1:7">
      <c r="A100" s="6" t="s">
        <v>198</v>
      </c>
      <c r="B100" s="6" t="s">
        <v>58</v>
      </c>
      <c r="C100" s="6" t="s">
        <v>184</v>
      </c>
      <c r="D100" s="6" t="s">
        <v>90</v>
      </c>
      <c r="E100" s="6" t="s">
        <v>90</v>
      </c>
      <c r="F100" s="6" t="b">
        <v>0</v>
      </c>
      <c r="G100" s="6">
        <v>0.09308333333333334</v>
      </c>
    </row>
    <row r="101" spans="1:7">
      <c r="A101" s="6" t="s">
        <v>198</v>
      </c>
      <c r="B101" s="6" t="s">
        <v>58</v>
      </c>
      <c r="C101" s="6" t="s">
        <v>184</v>
      </c>
      <c r="D101" s="6" t="s">
        <v>90</v>
      </c>
      <c r="E101" s="6" t="s">
        <v>685</v>
      </c>
      <c r="F101" s="6" t="b">
        <v>1</v>
      </c>
      <c r="G101" s="6">
        <v>0.03233333333333333</v>
      </c>
    </row>
    <row r="102" spans="1:7">
      <c r="A102" s="6" t="s">
        <v>198</v>
      </c>
      <c r="B102" s="6" t="s">
        <v>58</v>
      </c>
      <c r="C102" s="6" t="s">
        <v>184</v>
      </c>
      <c r="D102" s="6" t="s">
        <v>177</v>
      </c>
      <c r="E102" s="6" t="s">
        <v>44</v>
      </c>
      <c r="F102" s="6" t="b">
        <v>0</v>
      </c>
      <c r="G102" s="6">
        <v>94.60808333333334</v>
      </c>
    </row>
    <row r="103" spans="1:7">
      <c r="A103" s="6" t="s">
        <v>198</v>
      </c>
      <c r="B103" s="6" t="s">
        <v>58</v>
      </c>
      <c r="C103" s="6" t="s">
        <v>184</v>
      </c>
      <c r="D103" s="6" t="s">
        <v>177</v>
      </c>
      <c r="E103" s="6" t="s">
        <v>685</v>
      </c>
      <c r="F103" s="6" t="b">
        <v>1</v>
      </c>
      <c r="G103" s="6">
        <v>1.336416666666667</v>
      </c>
    </row>
    <row r="104" spans="1:7">
      <c r="A104" s="6" t="s">
        <v>198</v>
      </c>
      <c r="B104" s="6" t="s">
        <v>58</v>
      </c>
      <c r="C104" s="6" t="s">
        <v>186</v>
      </c>
      <c r="D104" s="6" t="s">
        <v>86</v>
      </c>
      <c r="E104" s="6" t="s">
        <v>86</v>
      </c>
      <c r="F104" s="6" t="b">
        <v>0</v>
      </c>
      <c r="G104" s="6">
        <v>39.036</v>
      </c>
    </row>
    <row r="105" spans="1:7">
      <c r="A105" s="6" t="s">
        <v>198</v>
      </c>
      <c r="B105" s="6" t="s">
        <v>58</v>
      </c>
      <c r="C105" s="6" t="s">
        <v>186</v>
      </c>
      <c r="D105" s="6" t="s">
        <v>88</v>
      </c>
      <c r="E105" s="6" t="s">
        <v>88</v>
      </c>
      <c r="F105" s="6" t="b">
        <v>0</v>
      </c>
      <c r="G105" s="6">
        <v>2.357666666666667</v>
      </c>
    </row>
    <row r="106" spans="1:7">
      <c r="A106" s="6" t="s">
        <v>198</v>
      </c>
      <c r="B106" s="6" t="s">
        <v>58</v>
      </c>
      <c r="C106" s="6" t="s">
        <v>186</v>
      </c>
      <c r="D106" s="6" t="s">
        <v>90</v>
      </c>
      <c r="E106" s="6" t="s">
        <v>90</v>
      </c>
      <c r="F106" s="6" t="b">
        <v>0</v>
      </c>
      <c r="G106" s="6">
        <v>9.264166666666666</v>
      </c>
    </row>
    <row r="107" spans="1:7">
      <c r="A107" s="6" t="s">
        <v>198</v>
      </c>
      <c r="B107" s="6" t="s">
        <v>58</v>
      </c>
      <c r="C107" s="6" t="s">
        <v>186</v>
      </c>
      <c r="D107" s="6" t="s">
        <v>177</v>
      </c>
      <c r="E107" s="6" t="s">
        <v>86</v>
      </c>
      <c r="F107" s="6" t="b">
        <v>0</v>
      </c>
      <c r="G107" s="6">
        <v>0.3661666666666667</v>
      </c>
    </row>
    <row r="108" spans="1:7">
      <c r="A108" s="6" t="s">
        <v>198</v>
      </c>
      <c r="B108" s="6" t="s">
        <v>58</v>
      </c>
      <c r="C108" s="6" t="s">
        <v>189</v>
      </c>
      <c r="D108" s="6" t="s">
        <v>86</v>
      </c>
      <c r="E108" s="6" t="s">
        <v>86</v>
      </c>
      <c r="F108" s="6" t="b">
        <v>0</v>
      </c>
      <c r="G108" s="6">
        <v>0.5366666666666667</v>
      </c>
    </row>
    <row r="109" spans="1:7">
      <c r="A109" s="6" t="s">
        <v>198</v>
      </c>
      <c r="B109" s="6" t="s">
        <v>58</v>
      </c>
      <c r="C109" s="6" t="s">
        <v>189</v>
      </c>
      <c r="D109" s="6" t="s">
        <v>88</v>
      </c>
      <c r="E109" s="6" t="s">
        <v>88</v>
      </c>
      <c r="F109" s="6" t="b">
        <v>0</v>
      </c>
      <c r="G109" s="6">
        <v>0.8395</v>
      </c>
    </row>
    <row r="110" spans="1:7">
      <c r="A110" s="6" t="s">
        <v>198</v>
      </c>
      <c r="B110" s="6" t="s">
        <v>58</v>
      </c>
      <c r="C110" s="6" t="s">
        <v>189</v>
      </c>
      <c r="D110" s="6" t="s">
        <v>90</v>
      </c>
      <c r="E110" s="6" t="s">
        <v>90</v>
      </c>
      <c r="F110" s="6" t="b">
        <v>0</v>
      </c>
      <c r="G110" s="6">
        <v>0.1008333333333333</v>
      </c>
    </row>
    <row r="111" spans="1:7">
      <c r="A111" s="6" t="s">
        <v>199</v>
      </c>
      <c r="B111" s="6" t="s">
        <v>57</v>
      </c>
      <c r="C111" s="6" t="s">
        <v>181</v>
      </c>
      <c r="D111" s="6" t="s">
        <v>88</v>
      </c>
      <c r="E111" s="6" t="s">
        <v>88</v>
      </c>
      <c r="F111" s="6" t="b">
        <v>0</v>
      </c>
      <c r="G111" s="6">
        <v>28.26441666666667</v>
      </c>
    </row>
    <row r="112" spans="1:7">
      <c r="A112" s="6" t="s">
        <v>199</v>
      </c>
      <c r="B112" s="6" t="s">
        <v>57</v>
      </c>
      <c r="C112" s="6" t="s">
        <v>181</v>
      </c>
      <c r="D112" s="6" t="s">
        <v>90</v>
      </c>
      <c r="E112" s="6" t="s">
        <v>90</v>
      </c>
      <c r="F112" s="6" t="b">
        <v>0</v>
      </c>
      <c r="G112" s="6">
        <v>0.065</v>
      </c>
    </row>
    <row r="113" spans="1:7">
      <c r="A113" s="6" t="s">
        <v>199</v>
      </c>
      <c r="B113" s="6" t="s">
        <v>57</v>
      </c>
      <c r="C113" s="6" t="s">
        <v>183</v>
      </c>
      <c r="D113" s="6" t="s">
        <v>86</v>
      </c>
      <c r="E113" s="6" t="s">
        <v>86</v>
      </c>
      <c r="F113" s="6" t="b">
        <v>0</v>
      </c>
      <c r="G113" s="6">
        <v>0.01491666666666667</v>
      </c>
    </row>
    <row r="114" spans="1:7">
      <c r="A114" s="6" t="s">
        <v>199</v>
      </c>
      <c r="B114" s="6" t="s">
        <v>57</v>
      </c>
      <c r="C114" s="6" t="s">
        <v>183</v>
      </c>
      <c r="D114" s="6" t="s">
        <v>88</v>
      </c>
      <c r="E114" s="6" t="s">
        <v>88</v>
      </c>
      <c r="F114" s="6" t="b">
        <v>0</v>
      </c>
      <c r="G114" s="6">
        <v>0.5866666666666667</v>
      </c>
    </row>
    <row r="115" spans="1:7">
      <c r="A115" s="6" t="s">
        <v>199</v>
      </c>
      <c r="B115" s="6" t="s">
        <v>57</v>
      </c>
      <c r="C115" s="6" t="s">
        <v>183</v>
      </c>
      <c r="D115" s="6" t="s">
        <v>90</v>
      </c>
      <c r="E115" s="6" t="s">
        <v>86</v>
      </c>
      <c r="F115" s="6" t="b">
        <v>0</v>
      </c>
      <c r="G115" s="6">
        <v>0.23175</v>
      </c>
    </row>
    <row r="116" spans="1:7">
      <c r="A116" s="6" t="s">
        <v>199</v>
      </c>
      <c r="B116" s="6" t="s">
        <v>57</v>
      </c>
      <c r="C116" s="6" t="s">
        <v>183</v>
      </c>
      <c r="D116" s="6" t="s">
        <v>90</v>
      </c>
      <c r="E116" s="6" t="s">
        <v>90</v>
      </c>
      <c r="F116" s="6" t="b">
        <v>0</v>
      </c>
      <c r="G116" s="6">
        <v>0.1800833333333333</v>
      </c>
    </row>
    <row r="117" spans="1:7">
      <c r="A117" s="6" t="s">
        <v>199</v>
      </c>
      <c r="B117" s="6" t="s">
        <v>57</v>
      </c>
      <c r="C117" s="6" t="s">
        <v>183</v>
      </c>
      <c r="D117" s="6" t="s">
        <v>177</v>
      </c>
      <c r="E117" s="6" t="s">
        <v>86</v>
      </c>
      <c r="F117" s="6" t="b">
        <v>0</v>
      </c>
      <c r="G117" s="6">
        <v>0.03175</v>
      </c>
    </row>
    <row r="118" spans="1:7">
      <c r="A118" s="6" t="s">
        <v>199</v>
      </c>
      <c r="B118" s="6" t="s">
        <v>57</v>
      </c>
      <c r="C118" s="6" t="s">
        <v>183</v>
      </c>
      <c r="D118" s="6" t="s">
        <v>177</v>
      </c>
      <c r="E118" s="6" t="s">
        <v>685</v>
      </c>
      <c r="F118" s="6" t="b">
        <v>1</v>
      </c>
      <c r="G118" s="6">
        <v>0.013</v>
      </c>
    </row>
    <row r="119" spans="1:7">
      <c r="A119" s="6" t="s">
        <v>199</v>
      </c>
      <c r="B119" s="6" t="s">
        <v>57</v>
      </c>
      <c r="C119" s="6" t="s">
        <v>184</v>
      </c>
      <c r="D119" s="6" t="s">
        <v>44</v>
      </c>
      <c r="E119" s="6" t="s">
        <v>44</v>
      </c>
      <c r="F119" s="6" t="b">
        <v>0</v>
      </c>
      <c r="G119" s="6">
        <v>377.22525</v>
      </c>
    </row>
    <row r="120" spans="1:7">
      <c r="A120" s="6" t="s">
        <v>199</v>
      </c>
      <c r="B120" s="6" t="s">
        <v>57</v>
      </c>
      <c r="C120" s="6" t="s">
        <v>184</v>
      </c>
      <c r="D120" s="6" t="s">
        <v>86</v>
      </c>
      <c r="E120" s="6" t="s">
        <v>86</v>
      </c>
      <c r="F120" s="6" t="b">
        <v>0</v>
      </c>
      <c r="G120" s="6">
        <v>0.9166666666666666</v>
      </c>
    </row>
    <row r="121" spans="1:7">
      <c r="A121" s="6" t="s">
        <v>199</v>
      </c>
      <c r="B121" s="6" t="s">
        <v>57</v>
      </c>
      <c r="C121" s="6" t="s">
        <v>184</v>
      </c>
      <c r="D121" s="6" t="s">
        <v>88</v>
      </c>
      <c r="E121" s="6" t="s">
        <v>88</v>
      </c>
      <c r="F121" s="6" t="b">
        <v>0</v>
      </c>
      <c r="G121" s="6">
        <v>0.3504166666666667</v>
      </c>
    </row>
    <row r="122" spans="1:7">
      <c r="A122" s="6" t="s">
        <v>199</v>
      </c>
      <c r="B122" s="6" t="s">
        <v>57</v>
      </c>
      <c r="C122" s="6" t="s">
        <v>184</v>
      </c>
      <c r="D122" s="6" t="s">
        <v>90</v>
      </c>
      <c r="E122" s="6" t="s">
        <v>90</v>
      </c>
      <c r="F122" s="6" t="b">
        <v>0</v>
      </c>
      <c r="G122" s="6">
        <v>1.125833333333333</v>
      </c>
    </row>
    <row r="123" spans="1:7">
      <c r="A123" s="6" t="s">
        <v>199</v>
      </c>
      <c r="B123" s="6" t="s">
        <v>57</v>
      </c>
      <c r="C123" s="6" t="s">
        <v>184</v>
      </c>
      <c r="D123" s="6" t="s">
        <v>90</v>
      </c>
      <c r="E123" s="6" t="s">
        <v>685</v>
      </c>
      <c r="F123" s="6" t="b">
        <v>1</v>
      </c>
      <c r="G123" s="6">
        <v>0.71875</v>
      </c>
    </row>
    <row r="124" spans="1:7">
      <c r="A124" s="6" t="s">
        <v>199</v>
      </c>
      <c r="B124" s="6" t="s">
        <v>57</v>
      </c>
      <c r="C124" s="6" t="s">
        <v>184</v>
      </c>
      <c r="D124" s="6" t="s">
        <v>177</v>
      </c>
      <c r="E124" s="6" t="s">
        <v>44</v>
      </c>
      <c r="F124" s="6" t="b">
        <v>0</v>
      </c>
      <c r="G124" s="6">
        <v>239.2934166666667</v>
      </c>
    </row>
    <row r="125" spans="1:7">
      <c r="A125" s="6" t="s">
        <v>199</v>
      </c>
      <c r="B125" s="6" t="s">
        <v>57</v>
      </c>
      <c r="C125" s="6" t="s">
        <v>184</v>
      </c>
      <c r="D125" s="6" t="s">
        <v>177</v>
      </c>
      <c r="E125" s="6" t="s">
        <v>86</v>
      </c>
      <c r="F125" s="6" t="b">
        <v>0</v>
      </c>
      <c r="G125" s="6">
        <v>0.47475</v>
      </c>
    </row>
    <row r="126" spans="1:7">
      <c r="A126" s="6" t="s">
        <v>199</v>
      </c>
      <c r="B126" s="6" t="s">
        <v>57</v>
      </c>
      <c r="C126" s="6" t="s">
        <v>184</v>
      </c>
      <c r="D126" s="6" t="s">
        <v>177</v>
      </c>
      <c r="E126" s="6" t="s">
        <v>685</v>
      </c>
      <c r="F126" s="6" t="b">
        <v>1</v>
      </c>
      <c r="G126" s="6">
        <v>6.030416666666667</v>
      </c>
    </row>
    <row r="127" spans="1:7">
      <c r="A127" s="6" t="s">
        <v>199</v>
      </c>
      <c r="B127" s="6" t="s">
        <v>57</v>
      </c>
      <c r="C127" s="6" t="s">
        <v>186</v>
      </c>
      <c r="D127" s="6" t="s">
        <v>86</v>
      </c>
      <c r="E127" s="6" t="s">
        <v>86</v>
      </c>
      <c r="F127" s="6" t="b">
        <v>0</v>
      </c>
      <c r="G127" s="6">
        <v>59.95216666666667</v>
      </c>
    </row>
    <row r="128" spans="1:7">
      <c r="A128" s="6" t="s">
        <v>199</v>
      </c>
      <c r="B128" s="6" t="s">
        <v>57</v>
      </c>
      <c r="C128" s="6" t="s">
        <v>186</v>
      </c>
      <c r="D128" s="6" t="s">
        <v>88</v>
      </c>
      <c r="E128" s="6" t="s">
        <v>88</v>
      </c>
      <c r="F128" s="6" t="b">
        <v>0</v>
      </c>
      <c r="G128" s="6">
        <v>3.927833333333334</v>
      </c>
    </row>
    <row r="129" spans="1:7">
      <c r="A129" s="6" t="s">
        <v>199</v>
      </c>
      <c r="B129" s="6" t="s">
        <v>57</v>
      </c>
      <c r="C129" s="6" t="s">
        <v>186</v>
      </c>
      <c r="D129" s="6" t="s">
        <v>90</v>
      </c>
      <c r="E129" s="6" t="s">
        <v>86</v>
      </c>
      <c r="F129" s="6" t="b">
        <v>0</v>
      </c>
      <c r="G129" s="6">
        <v>0.008500000000000001</v>
      </c>
    </row>
    <row r="130" spans="1:7">
      <c r="A130" s="6" t="s">
        <v>199</v>
      </c>
      <c r="B130" s="6" t="s">
        <v>57</v>
      </c>
      <c r="C130" s="6" t="s">
        <v>186</v>
      </c>
      <c r="D130" s="6" t="s">
        <v>90</v>
      </c>
      <c r="E130" s="6" t="s">
        <v>90</v>
      </c>
      <c r="F130" s="6" t="b">
        <v>0</v>
      </c>
      <c r="G130" s="6">
        <v>22.54833333333333</v>
      </c>
    </row>
    <row r="131" spans="1:7">
      <c r="A131" s="6" t="s">
        <v>199</v>
      </c>
      <c r="B131" s="6" t="s">
        <v>57</v>
      </c>
      <c r="C131" s="6" t="s">
        <v>186</v>
      </c>
      <c r="D131" s="6" t="s">
        <v>177</v>
      </c>
      <c r="E131" s="6" t="s">
        <v>86</v>
      </c>
      <c r="F131" s="6" t="b">
        <v>0</v>
      </c>
      <c r="G131" s="6">
        <v>0.9848333333333333</v>
      </c>
    </row>
    <row r="132" spans="1:7">
      <c r="A132" s="6" t="s">
        <v>199</v>
      </c>
      <c r="B132" s="6" t="s">
        <v>57</v>
      </c>
      <c r="C132" s="6" t="s">
        <v>188</v>
      </c>
      <c r="D132" s="6" t="s">
        <v>86</v>
      </c>
      <c r="E132" s="6" t="s">
        <v>86</v>
      </c>
      <c r="F132" s="6" t="b">
        <v>0</v>
      </c>
      <c r="G132" s="6">
        <v>0.01</v>
      </c>
    </row>
    <row r="133" spans="1:7">
      <c r="A133" s="6" t="s">
        <v>199</v>
      </c>
      <c r="B133" s="6" t="s">
        <v>57</v>
      </c>
      <c r="C133" s="6" t="s">
        <v>188</v>
      </c>
      <c r="D133" s="6" t="s">
        <v>88</v>
      </c>
      <c r="E133" s="6" t="s">
        <v>88</v>
      </c>
      <c r="F133" s="6" t="b">
        <v>0</v>
      </c>
      <c r="G133" s="6">
        <v>2.481916666666667</v>
      </c>
    </row>
    <row r="134" spans="1:7">
      <c r="A134" s="6" t="s">
        <v>199</v>
      </c>
      <c r="B134" s="6" t="s">
        <v>57</v>
      </c>
      <c r="C134" s="6" t="s">
        <v>189</v>
      </c>
      <c r="D134" s="6" t="s">
        <v>86</v>
      </c>
      <c r="E134" s="6" t="s">
        <v>86</v>
      </c>
      <c r="F134" s="6" t="b">
        <v>0</v>
      </c>
      <c r="G134" s="6">
        <v>9.126749999999999</v>
      </c>
    </row>
    <row r="135" spans="1:7">
      <c r="A135" s="6" t="s">
        <v>199</v>
      </c>
      <c r="B135" s="6" t="s">
        <v>57</v>
      </c>
      <c r="C135" s="6" t="s">
        <v>189</v>
      </c>
      <c r="D135" s="6" t="s">
        <v>88</v>
      </c>
      <c r="E135" s="6" t="s">
        <v>88</v>
      </c>
      <c r="F135" s="6" t="b">
        <v>0</v>
      </c>
      <c r="G135" s="6">
        <v>11.66433333333333</v>
      </c>
    </row>
    <row r="136" spans="1:7">
      <c r="A136" s="6" t="s">
        <v>199</v>
      </c>
      <c r="B136" s="6" t="s">
        <v>57</v>
      </c>
      <c r="C136" s="6" t="s">
        <v>189</v>
      </c>
      <c r="D136" s="6" t="s">
        <v>90</v>
      </c>
      <c r="E136" s="6" t="s">
        <v>90</v>
      </c>
      <c r="F136" s="6" t="b">
        <v>0</v>
      </c>
      <c r="G136" s="6">
        <v>3.726833333333333</v>
      </c>
    </row>
    <row r="137" spans="1:7">
      <c r="A137" s="6" t="s">
        <v>199</v>
      </c>
      <c r="B137" s="6" t="s">
        <v>57</v>
      </c>
      <c r="C137" s="6" t="s">
        <v>190</v>
      </c>
      <c r="D137" s="6" t="s">
        <v>44</v>
      </c>
      <c r="E137" s="6" t="s">
        <v>44</v>
      </c>
      <c r="F137" s="6" t="b">
        <v>0</v>
      </c>
      <c r="G137" s="6">
        <v>19.144</v>
      </c>
    </row>
    <row r="138" spans="1:7">
      <c r="A138" s="6" t="s">
        <v>199</v>
      </c>
      <c r="B138" s="6" t="s">
        <v>57</v>
      </c>
      <c r="C138" s="6" t="s">
        <v>190</v>
      </c>
      <c r="D138" s="6" t="s">
        <v>86</v>
      </c>
      <c r="E138" s="6" t="s">
        <v>44</v>
      </c>
      <c r="F138" s="6" t="b">
        <v>0</v>
      </c>
      <c r="G138" s="6">
        <v>1.216333333333333</v>
      </c>
    </row>
    <row r="139" spans="1:7">
      <c r="A139" s="6" t="s">
        <v>199</v>
      </c>
      <c r="B139" s="6" t="s">
        <v>57</v>
      </c>
      <c r="C139" s="6" t="s">
        <v>190</v>
      </c>
      <c r="D139" s="6" t="s">
        <v>86</v>
      </c>
      <c r="E139" s="6" t="s">
        <v>86</v>
      </c>
      <c r="F139" s="6" t="b">
        <v>0</v>
      </c>
      <c r="G139" s="6">
        <v>0.2269166666666667</v>
      </c>
    </row>
    <row r="140" spans="1:7">
      <c r="A140" s="6" t="s">
        <v>199</v>
      </c>
      <c r="B140" s="6" t="s">
        <v>57</v>
      </c>
      <c r="C140" s="6" t="s">
        <v>190</v>
      </c>
      <c r="D140" s="6" t="s">
        <v>90</v>
      </c>
      <c r="E140" s="6" t="s">
        <v>44</v>
      </c>
      <c r="F140" s="6" t="b">
        <v>0</v>
      </c>
      <c r="G140" s="6">
        <v>0.9771666666666666</v>
      </c>
    </row>
    <row r="141" spans="1:7">
      <c r="A141" s="6" t="s">
        <v>199</v>
      </c>
      <c r="B141" s="6" t="s">
        <v>57</v>
      </c>
      <c r="C141" s="6" t="s">
        <v>190</v>
      </c>
      <c r="D141" s="6" t="s">
        <v>90</v>
      </c>
      <c r="E141" s="6" t="s">
        <v>90</v>
      </c>
      <c r="F141" s="6" t="b">
        <v>0</v>
      </c>
      <c r="G141" s="6">
        <v>1.596166666666667</v>
      </c>
    </row>
    <row r="142" spans="1:7">
      <c r="A142" s="6" t="s">
        <v>199</v>
      </c>
      <c r="B142" s="6" t="s">
        <v>57</v>
      </c>
      <c r="C142" s="6" t="s">
        <v>190</v>
      </c>
      <c r="D142" s="6" t="s">
        <v>177</v>
      </c>
      <c r="E142" s="6" t="s">
        <v>44</v>
      </c>
      <c r="F142" s="6" t="b">
        <v>0</v>
      </c>
      <c r="G142" s="6">
        <v>14.68483333333333</v>
      </c>
    </row>
    <row r="143" spans="1:7">
      <c r="A143" s="6" t="s">
        <v>199</v>
      </c>
      <c r="B143" s="6" t="s">
        <v>57</v>
      </c>
      <c r="C143" s="6" t="s">
        <v>190</v>
      </c>
      <c r="D143" s="6" t="s">
        <v>177</v>
      </c>
      <c r="E143" s="6" t="s">
        <v>86</v>
      </c>
      <c r="F143" s="6" t="b">
        <v>0</v>
      </c>
      <c r="G143" s="6">
        <v>0.3656666666666666</v>
      </c>
    </row>
    <row r="144" spans="1:7">
      <c r="A144" s="6" t="s">
        <v>199</v>
      </c>
      <c r="B144" s="6" t="s">
        <v>57</v>
      </c>
      <c r="C144" s="6" t="s">
        <v>190</v>
      </c>
      <c r="D144" s="6" t="s">
        <v>92</v>
      </c>
      <c r="E144" s="6" t="s">
        <v>92</v>
      </c>
      <c r="F144" s="6" t="b">
        <v>0</v>
      </c>
      <c r="G144" s="6">
        <v>0.1983333333333333</v>
      </c>
    </row>
    <row r="145" spans="1:7">
      <c r="A145" s="6" t="s">
        <v>337</v>
      </c>
      <c r="B145" s="6" t="s">
        <v>52</v>
      </c>
      <c r="C145" s="6" t="s">
        <v>181</v>
      </c>
      <c r="D145" s="6" t="s">
        <v>88</v>
      </c>
      <c r="E145" s="6" t="s">
        <v>88</v>
      </c>
      <c r="F145" s="6" t="b">
        <v>0</v>
      </c>
      <c r="G145" s="6">
        <v>6.803416666666667</v>
      </c>
    </row>
    <row r="146" spans="1:7">
      <c r="A146" s="6" t="s">
        <v>337</v>
      </c>
      <c r="B146" s="6" t="s">
        <v>52</v>
      </c>
      <c r="C146" s="6" t="s">
        <v>181</v>
      </c>
      <c r="D146" s="6" t="s">
        <v>90</v>
      </c>
      <c r="E146" s="6" t="s">
        <v>90</v>
      </c>
      <c r="F146" s="6" t="b">
        <v>0</v>
      </c>
      <c r="G146" s="6">
        <v>0.06974999999999999</v>
      </c>
    </row>
    <row r="147" spans="1:7">
      <c r="A147" s="6" t="s">
        <v>337</v>
      </c>
      <c r="B147" s="6" t="s">
        <v>52</v>
      </c>
      <c r="C147" s="6" t="s">
        <v>184</v>
      </c>
      <c r="D147" s="6" t="s">
        <v>44</v>
      </c>
      <c r="E147" s="6" t="s">
        <v>44</v>
      </c>
      <c r="F147" s="6" t="b">
        <v>0</v>
      </c>
      <c r="G147" s="6">
        <v>21.07416666666667</v>
      </c>
    </row>
    <row r="148" spans="1:7">
      <c r="A148" s="6" t="s">
        <v>337</v>
      </c>
      <c r="B148" s="6" t="s">
        <v>52</v>
      </c>
      <c r="C148" s="6" t="s">
        <v>184</v>
      </c>
      <c r="D148" s="6" t="s">
        <v>44</v>
      </c>
      <c r="E148" s="6" t="s">
        <v>685</v>
      </c>
      <c r="F148" s="6" t="b">
        <v>1</v>
      </c>
      <c r="G148" s="6">
        <v>1.403833333333333</v>
      </c>
    </row>
    <row r="149" spans="1:7">
      <c r="A149" s="6" t="s">
        <v>337</v>
      </c>
      <c r="B149" s="6" t="s">
        <v>52</v>
      </c>
      <c r="C149" s="6" t="s">
        <v>184</v>
      </c>
      <c r="D149" s="6" t="s">
        <v>177</v>
      </c>
      <c r="E149" s="6" t="s">
        <v>44</v>
      </c>
      <c r="F149" s="6" t="b">
        <v>0</v>
      </c>
      <c r="G149" s="6">
        <v>6.740666666666667</v>
      </c>
    </row>
    <row r="150" spans="1:7">
      <c r="A150" s="6" t="s">
        <v>337</v>
      </c>
      <c r="B150" s="6" t="s">
        <v>52</v>
      </c>
      <c r="C150" s="6" t="s">
        <v>184</v>
      </c>
      <c r="D150" s="6" t="s">
        <v>177</v>
      </c>
      <c r="E150" s="6" t="s">
        <v>685</v>
      </c>
      <c r="F150" s="6" t="b">
        <v>1</v>
      </c>
      <c r="G150" s="6">
        <v>3.691583333333333</v>
      </c>
    </row>
    <row r="151" spans="1:7">
      <c r="A151" s="6" t="s">
        <v>337</v>
      </c>
      <c r="B151" s="6" t="s">
        <v>52</v>
      </c>
      <c r="C151" s="6" t="s">
        <v>186</v>
      </c>
      <c r="D151" s="6" t="s">
        <v>86</v>
      </c>
      <c r="E151" s="6" t="s">
        <v>86</v>
      </c>
      <c r="F151" s="6" t="b">
        <v>0</v>
      </c>
      <c r="G151" s="6">
        <v>21.46116666666667</v>
      </c>
    </row>
    <row r="152" spans="1:7">
      <c r="A152" s="6" t="s">
        <v>337</v>
      </c>
      <c r="B152" s="6" t="s">
        <v>52</v>
      </c>
      <c r="C152" s="6" t="s">
        <v>186</v>
      </c>
      <c r="D152" s="6" t="s">
        <v>88</v>
      </c>
      <c r="E152" s="6" t="s">
        <v>88</v>
      </c>
      <c r="F152" s="6" t="b">
        <v>0</v>
      </c>
      <c r="G152" s="6">
        <v>1.360833333333333</v>
      </c>
    </row>
    <row r="153" spans="1:7">
      <c r="A153" s="6" t="s">
        <v>337</v>
      </c>
      <c r="B153" s="6" t="s">
        <v>52</v>
      </c>
      <c r="C153" s="6" t="s">
        <v>186</v>
      </c>
      <c r="D153" s="6" t="s">
        <v>90</v>
      </c>
      <c r="E153" s="6" t="s">
        <v>90</v>
      </c>
      <c r="F153" s="6" t="b">
        <v>0</v>
      </c>
      <c r="G153" s="6">
        <v>7.877666666666666</v>
      </c>
    </row>
    <row r="154" spans="1:7">
      <c r="A154" s="6" t="s">
        <v>337</v>
      </c>
      <c r="B154" s="6" t="s">
        <v>52</v>
      </c>
      <c r="C154" s="6" t="s">
        <v>186</v>
      </c>
      <c r="D154" s="6" t="s">
        <v>177</v>
      </c>
      <c r="E154" s="6" t="s">
        <v>86</v>
      </c>
      <c r="F154" s="6" t="b">
        <v>0</v>
      </c>
      <c r="G154" s="6">
        <v>0.2076666666666667</v>
      </c>
    </row>
    <row r="155" spans="1:7">
      <c r="A155" s="6" t="s">
        <v>337</v>
      </c>
      <c r="B155" s="6" t="s">
        <v>52</v>
      </c>
      <c r="C155" s="6" t="s">
        <v>190</v>
      </c>
      <c r="D155" s="6" t="s">
        <v>177</v>
      </c>
      <c r="E155" s="6" t="s">
        <v>44</v>
      </c>
      <c r="F155" s="6" t="b">
        <v>0</v>
      </c>
      <c r="G155" s="6">
        <v>0.05125</v>
      </c>
    </row>
    <row r="156" spans="1:7">
      <c r="A156" s="6" t="s">
        <v>200</v>
      </c>
      <c r="B156" s="6" t="s">
        <v>52</v>
      </c>
      <c r="C156" s="6" t="s">
        <v>181</v>
      </c>
      <c r="D156" s="6" t="s">
        <v>88</v>
      </c>
      <c r="E156" s="6" t="s">
        <v>88</v>
      </c>
      <c r="F156" s="6" t="b">
        <v>0</v>
      </c>
      <c r="G156" s="6">
        <v>1.172416666666667</v>
      </c>
    </row>
    <row r="157" spans="1:7">
      <c r="A157" s="6" t="s">
        <v>200</v>
      </c>
      <c r="B157" s="6" t="s">
        <v>52</v>
      </c>
      <c r="C157" s="6" t="s">
        <v>186</v>
      </c>
      <c r="D157" s="6" t="s">
        <v>86</v>
      </c>
      <c r="E157" s="6" t="s">
        <v>86</v>
      </c>
      <c r="F157" s="6" t="b">
        <v>0</v>
      </c>
      <c r="G157" s="6">
        <v>54.89408333333333</v>
      </c>
    </row>
    <row r="158" spans="1:7">
      <c r="A158" s="6" t="s">
        <v>200</v>
      </c>
      <c r="B158" s="6" t="s">
        <v>52</v>
      </c>
      <c r="C158" s="6" t="s">
        <v>186</v>
      </c>
      <c r="D158" s="6" t="s">
        <v>88</v>
      </c>
      <c r="E158" s="6" t="s">
        <v>88</v>
      </c>
      <c r="F158" s="6" t="b">
        <v>0</v>
      </c>
      <c r="G158" s="6">
        <v>2.611416666666666</v>
      </c>
    </row>
    <row r="159" spans="1:7">
      <c r="A159" s="6" t="s">
        <v>200</v>
      </c>
      <c r="B159" s="6" t="s">
        <v>52</v>
      </c>
      <c r="C159" s="6" t="s">
        <v>186</v>
      </c>
      <c r="D159" s="6" t="s">
        <v>90</v>
      </c>
      <c r="E159" s="6" t="s">
        <v>90</v>
      </c>
      <c r="F159" s="6" t="b">
        <v>0</v>
      </c>
      <c r="G159" s="6">
        <v>4.306333333333334</v>
      </c>
    </row>
    <row r="160" spans="1:7">
      <c r="A160" s="6" t="s">
        <v>200</v>
      </c>
      <c r="B160" s="6" t="s">
        <v>52</v>
      </c>
      <c r="C160" s="6" t="s">
        <v>186</v>
      </c>
      <c r="D160" s="6" t="s">
        <v>177</v>
      </c>
      <c r="E160" s="6" t="s">
        <v>86</v>
      </c>
      <c r="F160" s="6" t="b">
        <v>0</v>
      </c>
      <c r="G160" s="6">
        <v>0.8716666666666667</v>
      </c>
    </row>
    <row r="161" spans="1:7">
      <c r="A161" s="6" t="s">
        <v>200</v>
      </c>
      <c r="B161" s="6" t="s">
        <v>52</v>
      </c>
      <c r="C161" s="6" t="s">
        <v>189</v>
      </c>
      <c r="D161" s="6" t="s">
        <v>86</v>
      </c>
      <c r="E161" s="6" t="s">
        <v>86</v>
      </c>
      <c r="F161" s="6" t="b">
        <v>0</v>
      </c>
      <c r="G161" s="6">
        <v>17.16283333333334</v>
      </c>
    </row>
    <row r="162" spans="1:7">
      <c r="A162" s="6" t="s">
        <v>200</v>
      </c>
      <c r="B162" s="6" t="s">
        <v>52</v>
      </c>
      <c r="C162" s="6" t="s">
        <v>189</v>
      </c>
      <c r="D162" s="6" t="s">
        <v>88</v>
      </c>
      <c r="E162" s="6" t="s">
        <v>88</v>
      </c>
      <c r="F162" s="6" t="b">
        <v>0</v>
      </c>
      <c r="G162" s="6">
        <v>136.52125</v>
      </c>
    </row>
    <row r="163" spans="1:7">
      <c r="A163" s="6" t="s">
        <v>200</v>
      </c>
      <c r="B163" s="6" t="s">
        <v>52</v>
      </c>
      <c r="C163" s="6" t="s">
        <v>189</v>
      </c>
      <c r="D163" s="6" t="s">
        <v>90</v>
      </c>
      <c r="E163" s="6" t="s">
        <v>90</v>
      </c>
      <c r="F163" s="6" t="b">
        <v>0</v>
      </c>
      <c r="G163" s="6">
        <v>0.007333333333333333</v>
      </c>
    </row>
    <row r="164" spans="1:7">
      <c r="A164" s="6" t="s">
        <v>200</v>
      </c>
      <c r="B164" s="6" t="s">
        <v>52</v>
      </c>
      <c r="C164" s="6" t="s">
        <v>190</v>
      </c>
      <c r="D164" s="6" t="s">
        <v>44</v>
      </c>
      <c r="E164" s="6" t="s">
        <v>44</v>
      </c>
      <c r="F164" s="6" t="b">
        <v>0</v>
      </c>
      <c r="G164" s="6">
        <v>5.533333333333334</v>
      </c>
    </row>
    <row r="165" spans="1:7">
      <c r="A165" s="6" t="s">
        <v>200</v>
      </c>
      <c r="B165" s="6" t="s">
        <v>52</v>
      </c>
      <c r="C165" s="6" t="s">
        <v>190</v>
      </c>
      <c r="D165" s="6" t="s">
        <v>92</v>
      </c>
      <c r="E165" s="6" t="s">
        <v>92</v>
      </c>
      <c r="F165" s="6" t="b">
        <v>0</v>
      </c>
      <c r="G165" s="6">
        <v>0.426</v>
      </c>
    </row>
    <row r="166" spans="1:7">
      <c r="A166" s="6" t="s">
        <v>201</v>
      </c>
      <c r="B166" s="6" t="s">
        <v>56</v>
      </c>
      <c r="C166" s="6" t="s">
        <v>181</v>
      </c>
      <c r="D166" s="6" t="s">
        <v>88</v>
      </c>
      <c r="E166" s="6" t="s">
        <v>88</v>
      </c>
      <c r="F166" s="6" t="b">
        <v>0</v>
      </c>
      <c r="G166" s="6">
        <v>13.4295</v>
      </c>
    </row>
    <row r="167" spans="1:7">
      <c r="A167" s="6" t="s">
        <v>201</v>
      </c>
      <c r="B167" s="6" t="s">
        <v>56</v>
      </c>
      <c r="C167" s="6" t="s">
        <v>181</v>
      </c>
      <c r="D167" s="6" t="s">
        <v>90</v>
      </c>
      <c r="E167" s="6" t="s">
        <v>90</v>
      </c>
      <c r="F167" s="6" t="b">
        <v>0</v>
      </c>
      <c r="G167" s="6">
        <v>0.011</v>
      </c>
    </row>
    <row r="168" spans="1:7">
      <c r="A168" s="6" t="s">
        <v>201</v>
      </c>
      <c r="B168" s="6" t="s">
        <v>56</v>
      </c>
      <c r="C168" s="6" t="s">
        <v>183</v>
      </c>
      <c r="D168" s="6" t="s">
        <v>86</v>
      </c>
      <c r="E168" s="6" t="s">
        <v>86</v>
      </c>
      <c r="F168" s="6" t="b">
        <v>0</v>
      </c>
      <c r="G168" s="6">
        <v>0.01358333333333333</v>
      </c>
    </row>
    <row r="169" spans="1:7">
      <c r="A169" s="6" t="s">
        <v>201</v>
      </c>
      <c r="B169" s="6" t="s">
        <v>56</v>
      </c>
      <c r="C169" s="6" t="s">
        <v>183</v>
      </c>
      <c r="D169" s="6" t="s">
        <v>88</v>
      </c>
      <c r="E169" s="6" t="s">
        <v>88</v>
      </c>
      <c r="F169" s="6" t="b">
        <v>0</v>
      </c>
      <c r="G169" s="6">
        <v>0.1620833333333333</v>
      </c>
    </row>
    <row r="170" spans="1:7">
      <c r="A170" s="6" t="s">
        <v>201</v>
      </c>
      <c r="B170" s="6" t="s">
        <v>56</v>
      </c>
      <c r="C170" s="6" t="s">
        <v>183</v>
      </c>
      <c r="D170" s="6" t="s">
        <v>90</v>
      </c>
      <c r="E170" s="6" t="s">
        <v>86</v>
      </c>
      <c r="F170" s="6" t="b">
        <v>0</v>
      </c>
      <c r="G170" s="6">
        <v>0.19275</v>
      </c>
    </row>
    <row r="171" spans="1:7">
      <c r="A171" s="6" t="s">
        <v>201</v>
      </c>
      <c r="B171" s="6" t="s">
        <v>56</v>
      </c>
      <c r="C171" s="6" t="s">
        <v>183</v>
      </c>
      <c r="D171" s="6" t="s">
        <v>90</v>
      </c>
      <c r="E171" s="6" t="s">
        <v>90</v>
      </c>
      <c r="F171" s="6" t="b">
        <v>0</v>
      </c>
      <c r="G171" s="6">
        <v>0.1015</v>
      </c>
    </row>
    <row r="172" spans="1:7">
      <c r="A172" s="6" t="s">
        <v>201</v>
      </c>
      <c r="B172" s="6" t="s">
        <v>56</v>
      </c>
      <c r="C172" s="6" t="s">
        <v>183</v>
      </c>
      <c r="D172" s="6" t="s">
        <v>177</v>
      </c>
      <c r="E172" s="6" t="s">
        <v>86</v>
      </c>
      <c r="F172" s="6" t="b">
        <v>0</v>
      </c>
      <c r="G172" s="6">
        <v>0.01216666666666667</v>
      </c>
    </row>
    <row r="173" spans="1:7">
      <c r="A173" s="6" t="s">
        <v>201</v>
      </c>
      <c r="B173" s="6" t="s">
        <v>56</v>
      </c>
      <c r="C173" s="6" t="s">
        <v>183</v>
      </c>
      <c r="D173" s="6" t="s">
        <v>177</v>
      </c>
      <c r="E173" s="6" t="s">
        <v>685</v>
      </c>
      <c r="F173" s="6" t="b">
        <v>1</v>
      </c>
      <c r="G173" s="6">
        <v>0.008500000000000001</v>
      </c>
    </row>
    <row r="174" spans="1:7">
      <c r="A174" s="6" t="s">
        <v>201</v>
      </c>
      <c r="B174" s="6" t="s">
        <v>56</v>
      </c>
      <c r="C174" s="6" t="s">
        <v>184</v>
      </c>
      <c r="D174" s="6" t="s">
        <v>44</v>
      </c>
      <c r="E174" s="6" t="s">
        <v>44</v>
      </c>
      <c r="F174" s="6" t="b">
        <v>0</v>
      </c>
      <c r="G174" s="6">
        <v>181.672</v>
      </c>
    </row>
    <row r="175" spans="1:7">
      <c r="A175" s="6" t="s">
        <v>201</v>
      </c>
      <c r="B175" s="6" t="s">
        <v>56</v>
      </c>
      <c r="C175" s="6" t="s">
        <v>184</v>
      </c>
      <c r="D175" s="6" t="s">
        <v>88</v>
      </c>
      <c r="E175" s="6" t="s">
        <v>88</v>
      </c>
      <c r="F175" s="6" t="b">
        <v>0</v>
      </c>
      <c r="G175" s="6">
        <v>0.1550833333333333</v>
      </c>
    </row>
    <row r="176" spans="1:7">
      <c r="A176" s="6" t="s">
        <v>201</v>
      </c>
      <c r="B176" s="6" t="s">
        <v>56</v>
      </c>
      <c r="C176" s="6" t="s">
        <v>184</v>
      </c>
      <c r="D176" s="6" t="s">
        <v>90</v>
      </c>
      <c r="E176" s="6" t="s">
        <v>90</v>
      </c>
      <c r="F176" s="6" t="b">
        <v>0</v>
      </c>
      <c r="G176" s="6">
        <v>0.212</v>
      </c>
    </row>
    <row r="177" spans="1:7">
      <c r="A177" s="6" t="s">
        <v>201</v>
      </c>
      <c r="B177" s="6" t="s">
        <v>56</v>
      </c>
      <c r="C177" s="6" t="s">
        <v>184</v>
      </c>
      <c r="D177" s="6" t="s">
        <v>90</v>
      </c>
      <c r="E177" s="6" t="s">
        <v>685</v>
      </c>
      <c r="F177" s="6" t="b">
        <v>1</v>
      </c>
      <c r="G177" s="6">
        <v>0.1683333333333333</v>
      </c>
    </row>
    <row r="178" spans="1:7">
      <c r="A178" s="6" t="s">
        <v>201</v>
      </c>
      <c r="B178" s="6" t="s">
        <v>56</v>
      </c>
      <c r="C178" s="6" t="s">
        <v>184</v>
      </c>
      <c r="D178" s="6" t="s">
        <v>177</v>
      </c>
      <c r="E178" s="6" t="s">
        <v>44</v>
      </c>
      <c r="F178" s="6" t="b">
        <v>0</v>
      </c>
      <c r="G178" s="6">
        <v>104.4273333333333</v>
      </c>
    </row>
    <row r="179" spans="1:7">
      <c r="A179" s="6" t="s">
        <v>201</v>
      </c>
      <c r="B179" s="6" t="s">
        <v>56</v>
      </c>
      <c r="C179" s="6" t="s">
        <v>184</v>
      </c>
      <c r="D179" s="6" t="s">
        <v>177</v>
      </c>
      <c r="E179" s="6" t="s">
        <v>86</v>
      </c>
      <c r="F179" s="6" t="b">
        <v>0</v>
      </c>
      <c r="G179" s="6">
        <v>0.09825</v>
      </c>
    </row>
    <row r="180" spans="1:7">
      <c r="A180" s="6" t="s">
        <v>201</v>
      </c>
      <c r="B180" s="6" t="s">
        <v>56</v>
      </c>
      <c r="C180" s="6" t="s">
        <v>184</v>
      </c>
      <c r="D180" s="6" t="s">
        <v>177</v>
      </c>
      <c r="E180" s="6" t="s">
        <v>685</v>
      </c>
      <c r="F180" s="6" t="b">
        <v>1</v>
      </c>
      <c r="G180" s="6">
        <v>1.315416666666667</v>
      </c>
    </row>
    <row r="181" spans="1:7">
      <c r="A181" s="6" t="s">
        <v>201</v>
      </c>
      <c r="B181" s="6" t="s">
        <v>56</v>
      </c>
      <c r="C181" s="6" t="s">
        <v>186</v>
      </c>
      <c r="D181" s="6" t="s">
        <v>86</v>
      </c>
      <c r="E181" s="6" t="s">
        <v>86</v>
      </c>
      <c r="F181" s="6" t="b">
        <v>0</v>
      </c>
      <c r="G181" s="6">
        <v>46.02566666666667</v>
      </c>
    </row>
    <row r="182" spans="1:7">
      <c r="A182" s="6" t="s">
        <v>201</v>
      </c>
      <c r="B182" s="6" t="s">
        <v>56</v>
      </c>
      <c r="C182" s="6" t="s">
        <v>186</v>
      </c>
      <c r="D182" s="6" t="s">
        <v>88</v>
      </c>
      <c r="E182" s="6" t="s">
        <v>88</v>
      </c>
      <c r="F182" s="6" t="b">
        <v>0</v>
      </c>
      <c r="G182" s="6">
        <v>1.77375</v>
      </c>
    </row>
    <row r="183" spans="1:7">
      <c r="A183" s="6" t="s">
        <v>201</v>
      </c>
      <c r="B183" s="6" t="s">
        <v>56</v>
      </c>
      <c r="C183" s="6" t="s">
        <v>186</v>
      </c>
      <c r="D183" s="6" t="s">
        <v>90</v>
      </c>
      <c r="E183" s="6" t="s">
        <v>90</v>
      </c>
      <c r="F183" s="6" t="b">
        <v>0</v>
      </c>
      <c r="G183" s="6">
        <v>21.76908333333333</v>
      </c>
    </row>
    <row r="184" spans="1:7">
      <c r="A184" s="6" t="s">
        <v>201</v>
      </c>
      <c r="B184" s="6" t="s">
        <v>56</v>
      </c>
      <c r="C184" s="6" t="s">
        <v>186</v>
      </c>
      <c r="D184" s="6" t="s">
        <v>177</v>
      </c>
      <c r="E184" s="6" t="s">
        <v>86</v>
      </c>
      <c r="F184" s="6" t="b">
        <v>0</v>
      </c>
      <c r="G184" s="6">
        <v>0.6765</v>
      </c>
    </row>
    <row r="185" spans="1:7">
      <c r="A185" s="6" t="s">
        <v>201</v>
      </c>
      <c r="B185" s="6" t="s">
        <v>56</v>
      </c>
      <c r="C185" s="6" t="s">
        <v>189</v>
      </c>
      <c r="D185" s="6" t="s">
        <v>86</v>
      </c>
      <c r="E185" s="6" t="s">
        <v>86</v>
      </c>
      <c r="F185" s="6" t="b">
        <v>0</v>
      </c>
      <c r="G185" s="6">
        <v>1.856083333333333</v>
      </c>
    </row>
    <row r="186" spans="1:7">
      <c r="A186" s="6" t="s">
        <v>201</v>
      </c>
      <c r="B186" s="6" t="s">
        <v>56</v>
      </c>
      <c r="C186" s="6" t="s">
        <v>189</v>
      </c>
      <c r="D186" s="6" t="s">
        <v>88</v>
      </c>
      <c r="E186" s="6" t="s">
        <v>88</v>
      </c>
      <c r="F186" s="6" t="b">
        <v>0</v>
      </c>
      <c r="G186" s="6">
        <v>1.182416666666667</v>
      </c>
    </row>
    <row r="187" spans="1:7">
      <c r="A187" s="6" t="s">
        <v>201</v>
      </c>
      <c r="B187" s="6" t="s">
        <v>56</v>
      </c>
      <c r="C187" s="6" t="s">
        <v>189</v>
      </c>
      <c r="D187" s="6" t="s">
        <v>90</v>
      </c>
      <c r="E187" s="6" t="s">
        <v>90</v>
      </c>
      <c r="F187" s="6" t="b">
        <v>0</v>
      </c>
      <c r="G187" s="6">
        <v>0.48625</v>
      </c>
    </row>
    <row r="188" spans="1:7">
      <c r="A188" s="6" t="s">
        <v>201</v>
      </c>
      <c r="B188" s="6" t="s">
        <v>56</v>
      </c>
      <c r="C188" s="6" t="s">
        <v>190</v>
      </c>
      <c r="D188" s="6" t="s">
        <v>44</v>
      </c>
      <c r="E188" s="6" t="s">
        <v>44</v>
      </c>
      <c r="F188" s="6" t="b">
        <v>0</v>
      </c>
      <c r="G188" s="6">
        <v>5.858333333333333</v>
      </c>
    </row>
    <row r="189" spans="1:7">
      <c r="A189" s="6" t="s">
        <v>201</v>
      </c>
      <c r="B189" s="6" t="s">
        <v>56</v>
      </c>
      <c r="C189" s="6" t="s">
        <v>190</v>
      </c>
      <c r="D189" s="6" t="s">
        <v>86</v>
      </c>
      <c r="E189" s="6" t="s">
        <v>44</v>
      </c>
      <c r="F189" s="6" t="b">
        <v>0</v>
      </c>
      <c r="G189" s="6">
        <v>0.0615</v>
      </c>
    </row>
    <row r="190" spans="1:7">
      <c r="A190" s="6" t="s">
        <v>201</v>
      </c>
      <c r="B190" s="6" t="s">
        <v>56</v>
      </c>
      <c r="C190" s="6" t="s">
        <v>190</v>
      </c>
      <c r="D190" s="6" t="s">
        <v>86</v>
      </c>
      <c r="E190" s="6" t="s">
        <v>86</v>
      </c>
      <c r="F190" s="6" t="b">
        <v>0</v>
      </c>
      <c r="G190" s="6">
        <v>0.001583333333333333</v>
      </c>
    </row>
    <row r="191" spans="1:7">
      <c r="A191" s="6" t="s">
        <v>201</v>
      </c>
      <c r="B191" s="6" t="s">
        <v>56</v>
      </c>
      <c r="C191" s="6" t="s">
        <v>190</v>
      </c>
      <c r="D191" s="6" t="s">
        <v>90</v>
      </c>
      <c r="E191" s="6" t="s">
        <v>44</v>
      </c>
      <c r="F191" s="6" t="b">
        <v>0</v>
      </c>
      <c r="G191" s="6">
        <v>0.03758333333333333</v>
      </c>
    </row>
    <row r="192" spans="1:7">
      <c r="A192" s="6" t="s">
        <v>201</v>
      </c>
      <c r="B192" s="6" t="s">
        <v>56</v>
      </c>
      <c r="C192" s="6" t="s">
        <v>190</v>
      </c>
      <c r="D192" s="6" t="s">
        <v>90</v>
      </c>
      <c r="E192" s="6" t="s">
        <v>90</v>
      </c>
      <c r="F192" s="6" t="b">
        <v>0</v>
      </c>
      <c r="G192" s="6">
        <v>0.1190833333333333</v>
      </c>
    </row>
    <row r="193" spans="1:7">
      <c r="A193" s="6" t="s">
        <v>201</v>
      </c>
      <c r="B193" s="6" t="s">
        <v>56</v>
      </c>
      <c r="C193" s="6" t="s">
        <v>190</v>
      </c>
      <c r="D193" s="6" t="s">
        <v>177</v>
      </c>
      <c r="E193" s="6" t="s">
        <v>44</v>
      </c>
      <c r="F193" s="6" t="b">
        <v>0</v>
      </c>
      <c r="G193" s="6">
        <v>2.059333333333333</v>
      </c>
    </row>
    <row r="194" spans="1:7">
      <c r="A194" s="6" t="s">
        <v>201</v>
      </c>
      <c r="B194" s="6" t="s">
        <v>56</v>
      </c>
      <c r="C194" s="6" t="s">
        <v>190</v>
      </c>
      <c r="D194" s="6" t="s">
        <v>177</v>
      </c>
      <c r="E194" s="6" t="s">
        <v>86</v>
      </c>
      <c r="F194" s="6" t="b">
        <v>0</v>
      </c>
      <c r="G194" s="6">
        <v>0.03066666666666666</v>
      </c>
    </row>
    <row r="195" spans="1:7">
      <c r="A195" s="6" t="s">
        <v>201</v>
      </c>
      <c r="B195" s="6" t="s">
        <v>56</v>
      </c>
      <c r="C195" s="6" t="s">
        <v>190</v>
      </c>
      <c r="D195" s="6" t="s">
        <v>92</v>
      </c>
      <c r="E195" s="6" t="s">
        <v>92</v>
      </c>
      <c r="F195" s="6" t="b">
        <v>0</v>
      </c>
      <c r="G195" s="6">
        <v>0.01</v>
      </c>
    </row>
    <row r="196" spans="1:7">
      <c r="A196" s="6" t="s">
        <v>202</v>
      </c>
      <c r="B196" s="6" t="s">
        <v>54</v>
      </c>
      <c r="C196" s="6" t="s">
        <v>181</v>
      </c>
      <c r="D196" s="6" t="s">
        <v>88</v>
      </c>
      <c r="E196" s="6" t="s">
        <v>88</v>
      </c>
      <c r="F196" s="6" t="b">
        <v>0</v>
      </c>
      <c r="G196" s="6">
        <v>86.27466666666668</v>
      </c>
    </row>
    <row r="197" spans="1:7">
      <c r="A197" s="6" t="s">
        <v>202</v>
      </c>
      <c r="B197" s="6" t="s">
        <v>54</v>
      </c>
      <c r="C197" s="6" t="s">
        <v>181</v>
      </c>
      <c r="D197" s="6" t="s">
        <v>90</v>
      </c>
      <c r="E197" s="6" t="s">
        <v>90</v>
      </c>
      <c r="F197" s="6" t="b">
        <v>0</v>
      </c>
      <c r="G197" s="6">
        <v>0.2635</v>
      </c>
    </row>
    <row r="198" spans="1:7">
      <c r="A198" s="6" t="s">
        <v>202</v>
      </c>
      <c r="B198" s="6" t="s">
        <v>54</v>
      </c>
      <c r="C198" s="6" t="s">
        <v>182</v>
      </c>
      <c r="D198" s="6" t="s">
        <v>88</v>
      </c>
      <c r="E198" s="6" t="s">
        <v>88</v>
      </c>
      <c r="F198" s="6" t="b">
        <v>0</v>
      </c>
      <c r="G198" s="6">
        <v>1.6465</v>
      </c>
    </row>
    <row r="199" spans="1:7">
      <c r="A199" s="6" t="s">
        <v>202</v>
      </c>
      <c r="B199" s="6" t="s">
        <v>54</v>
      </c>
      <c r="C199" s="6" t="s">
        <v>183</v>
      </c>
      <c r="D199" s="6" t="s">
        <v>86</v>
      </c>
      <c r="E199" s="6" t="s">
        <v>86</v>
      </c>
      <c r="F199" s="6" t="b">
        <v>0</v>
      </c>
      <c r="G199" s="6">
        <v>0.1491666666666667</v>
      </c>
    </row>
    <row r="200" spans="1:7">
      <c r="A200" s="6" t="s">
        <v>202</v>
      </c>
      <c r="B200" s="6" t="s">
        <v>54</v>
      </c>
      <c r="C200" s="6" t="s">
        <v>183</v>
      </c>
      <c r="D200" s="6" t="s">
        <v>88</v>
      </c>
      <c r="E200" s="6" t="s">
        <v>88</v>
      </c>
      <c r="F200" s="6" t="b">
        <v>0</v>
      </c>
      <c r="G200" s="6">
        <v>0.7770833333333332</v>
      </c>
    </row>
    <row r="201" spans="1:7">
      <c r="A201" s="6" t="s">
        <v>202</v>
      </c>
      <c r="B201" s="6" t="s">
        <v>54</v>
      </c>
      <c r="C201" s="6" t="s">
        <v>183</v>
      </c>
      <c r="D201" s="6" t="s">
        <v>90</v>
      </c>
      <c r="E201" s="6" t="s">
        <v>86</v>
      </c>
      <c r="F201" s="6" t="b">
        <v>0</v>
      </c>
      <c r="G201" s="6">
        <v>0.9758333333333332</v>
      </c>
    </row>
    <row r="202" spans="1:7">
      <c r="A202" s="6" t="s">
        <v>202</v>
      </c>
      <c r="B202" s="6" t="s">
        <v>54</v>
      </c>
      <c r="C202" s="6" t="s">
        <v>183</v>
      </c>
      <c r="D202" s="6" t="s">
        <v>90</v>
      </c>
      <c r="E202" s="6" t="s">
        <v>90</v>
      </c>
      <c r="F202" s="6" t="b">
        <v>0</v>
      </c>
      <c r="G202" s="6">
        <v>2.052416666666667</v>
      </c>
    </row>
    <row r="203" spans="1:7">
      <c r="A203" s="6" t="s">
        <v>202</v>
      </c>
      <c r="B203" s="6" t="s">
        <v>54</v>
      </c>
      <c r="C203" s="6" t="s">
        <v>183</v>
      </c>
      <c r="D203" s="6" t="s">
        <v>177</v>
      </c>
      <c r="E203" s="6" t="s">
        <v>86</v>
      </c>
      <c r="F203" s="6" t="b">
        <v>0</v>
      </c>
      <c r="G203" s="6">
        <v>0.1194166666666667</v>
      </c>
    </row>
    <row r="204" spans="1:7">
      <c r="A204" s="6" t="s">
        <v>202</v>
      </c>
      <c r="B204" s="6" t="s">
        <v>54</v>
      </c>
      <c r="C204" s="6" t="s">
        <v>183</v>
      </c>
      <c r="D204" s="6" t="s">
        <v>177</v>
      </c>
      <c r="E204" s="6" t="s">
        <v>685</v>
      </c>
      <c r="F204" s="6" t="b">
        <v>1</v>
      </c>
      <c r="G204" s="6">
        <v>0.021</v>
      </c>
    </row>
    <row r="205" spans="1:7">
      <c r="A205" s="6" t="s">
        <v>202</v>
      </c>
      <c r="B205" s="6" t="s">
        <v>54</v>
      </c>
      <c r="C205" s="6" t="s">
        <v>184</v>
      </c>
      <c r="D205" s="6" t="s">
        <v>44</v>
      </c>
      <c r="E205" s="6" t="s">
        <v>44</v>
      </c>
      <c r="F205" s="6" t="b">
        <v>0</v>
      </c>
      <c r="G205" s="6">
        <v>606.183</v>
      </c>
    </row>
    <row r="206" spans="1:7">
      <c r="A206" s="6" t="s">
        <v>202</v>
      </c>
      <c r="B206" s="6" t="s">
        <v>54</v>
      </c>
      <c r="C206" s="6" t="s">
        <v>184</v>
      </c>
      <c r="D206" s="6" t="s">
        <v>86</v>
      </c>
      <c r="E206" s="6" t="s">
        <v>86</v>
      </c>
      <c r="F206" s="6" t="b">
        <v>0</v>
      </c>
      <c r="G206" s="6">
        <v>6.808333333333333</v>
      </c>
    </row>
    <row r="207" spans="1:7">
      <c r="A207" s="6" t="s">
        <v>202</v>
      </c>
      <c r="B207" s="6" t="s">
        <v>54</v>
      </c>
      <c r="C207" s="6" t="s">
        <v>184</v>
      </c>
      <c r="D207" s="6" t="s">
        <v>88</v>
      </c>
      <c r="E207" s="6" t="s">
        <v>88</v>
      </c>
      <c r="F207" s="6" t="b">
        <v>0</v>
      </c>
      <c r="G207" s="6">
        <v>1.05575</v>
      </c>
    </row>
    <row r="208" spans="1:7">
      <c r="A208" s="6" t="s">
        <v>202</v>
      </c>
      <c r="B208" s="6" t="s">
        <v>54</v>
      </c>
      <c r="C208" s="6" t="s">
        <v>184</v>
      </c>
      <c r="D208" s="6" t="s">
        <v>90</v>
      </c>
      <c r="E208" s="6" t="s">
        <v>90</v>
      </c>
      <c r="F208" s="6" t="b">
        <v>0</v>
      </c>
      <c r="G208" s="6">
        <v>21.56608333333334</v>
      </c>
    </row>
    <row r="209" spans="1:7">
      <c r="A209" s="6" t="s">
        <v>202</v>
      </c>
      <c r="B209" s="6" t="s">
        <v>54</v>
      </c>
      <c r="C209" s="6" t="s">
        <v>184</v>
      </c>
      <c r="D209" s="6" t="s">
        <v>90</v>
      </c>
      <c r="E209" s="6" t="s">
        <v>685</v>
      </c>
      <c r="F209" s="6" t="b">
        <v>1</v>
      </c>
      <c r="G209" s="6">
        <v>2.22125</v>
      </c>
    </row>
    <row r="210" spans="1:7">
      <c r="A210" s="6" t="s">
        <v>202</v>
      </c>
      <c r="B210" s="6" t="s">
        <v>54</v>
      </c>
      <c r="C210" s="6" t="s">
        <v>184</v>
      </c>
      <c r="D210" s="6" t="s">
        <v>177</v>
      </c>
      <c r="E210" s="6" t="s">
        <v>44</v>
      </c>
      <c r="F210" s="6" t="b">
        <v>0</v>
      </c>
      <c r="G210" s="6">
        <v>469.6695</v>
      </c>
    </row>
    <row r="211" spans="1:7">
      <c r="A211" s="6" t="s">
        <v>202</v>
      </c>
      <c r="B211" s="6" t="s">
        <v>54</v>
      </c>
      <c r="C211" s="6" t="s">
        <v>184</v>
      </c>
      <c r="D211" s="6" t="s">
        <v>177</v>
      </c>
      <c r="E211" s="6" t="s">
        <v>86</v>
      </c>
      <c r="F211" s="6" t="b">
        <v>0</v>
      </c>
      <c r="G211" s="6">
        <v>0.96075</v>
      </c>
    </row>
    <row r="212" spans="1:7">
      <c r="A212" s="6" t="s">
        <v>202</v>
      </c>
      <c r="B212" s="6" t="s">
        <v>54</v>
      </c>
      <c r="C212" s="6" t="s">
        <v>184</v>
      </c>
      <c r="D212" s="6" t="s">
        <v>177</v>
      </c>
      <c r="E212" s="6" t="s">
        <v>685</v>
      </c>
      <c r="F212" s="6" t="b">
        <v>1</v>
      </c>
      <c r="G212" s="6">
        <v>13.71925</v>
      </c>
    </row>
    <row r="213" spans="1:7">
      <c r="A213" s="6" t="s">
        <v>202</v>
      </c>
      <c r="B213" s="6" t="s">
        <v>54</v>
      </c>
      <c r="C213" s="6" t="s">
        <v>185</v>
      </c>
      <c r="D213" s="6" t="s">
        <v>44</v>
      </c>
      <c r="E213" s="6" t="s">
        <v>44</v>
      </c>
      <c r="F213" s="6" t="b">
        <v>0</v>
      </c>
      <c r="G213" s="6">
        <v>60.4685</v>
      </c>
    </row>
    <row r="214" spans="1:7">
      <c r="A214" s="6" t="s">
        <v>202</v>
      </c>
      <c r="B214" s="6" t="s">
        <v>54</v>
      </c>
      <c r="C214" s="6" t="s">
        <v>185</v>
      </c>
      <c r="D214" s="6" t="s">
        <v>44</v>
      </c>
      <c r="E214" s="6" t="s">
        <v>685</v>
      </c>
      <c r="F214" s="6" t="b">
        <v>1</v>
      </c>
      <c r="G214" s="6">
        <v>211.1638333333333</v>
      </c>
    </row>
    <row r="215" spans="1:7">
      <c r="A215" s="6" t="s">
        <v>202</v>
      </c>
      <c r="B215" s="6" t="s">
        <v>54</v>
      </c>
      <c r="C215" s="6" t="s">
        <v>186</v>
      </c>
      <c r="D215" s="6" t="s">
        <v>86</v>
      </c>
      <c r="E215" s="6" t="s">
        <v>86</v>
      </c>
      <c r="F215" s="6" t="b">
        <v>0</v>
      </c>
      <c r="G215" s="6">
        <v>312.7655833333333</v>
      </c>
    </row>
    <row r="216" spans="1:7">
      <c r="A216" s="6" t="s">
        <v>202</v>
      </c>
      <c r="B216" s="6" t="s">
        <v>54</v>
      </c>
      <c r="C216" s="6" t="s">
        <v>186</v>
      </c>
      <c r="D216" s="6" t="s">
        <v>88</v>
      </c>
      <c r="E216" s="6" t="s">
        <v>88</v>
      </c>
      <c r="F216" s="6" t="b">
        <v>0</v>
      </c>
      <c r="G216" s="6">
        <v>10.03108333333333</v>
      </c>
    </row>
    <row r="217" spans="1:7">
      <c r="A217" s="6" t="s">
        <v>202</v>
      </c>
      <c r="B217" s="6" t="s">
        <v>54</v>
      </c>
      <c r="C217" s="6" t="s">
        <v>186</v>
      </c>
      <c r="D217" s="6" t="s">
        <v>90</v>
      </c>
      <c r="E217" s="6" t="s">
        <v>86</v>
      </c>
      <c r="F217" s="6" t="b">
        <v>0</v>
      </c>
      <c r="G217" s="6">
        <v>0.004249999999999999</v>
      </c>
    </row>
    <row r="218" spans="1:7">
      <c r="A218" s="6" t="s">
        <v>202</v>
      </c>
      <c r="B218" s="6" t="s">
        <v>54</v>
      </c>
      <c r="C218" s="6" t="s">
        <v>186</v>
      </c>
      <c r="D218" s="6" t="s">
        <v>90</v>
      </c>
      <c r="E218" s="6" t="s">
        <v>90</v>
      </c>
      <c r="F218" s="6" t="b">
        <v>0</v>
      </c>
      <c r="G218" s="6">
        <v>174.0775</v>
      </c>
    </row>
    <row r="219" spans="1:7">
      <c r="A219" s="6" t="s">
        <v>202</v>
      </c>
      <c r="B219" s="6" t="s">
        <v>54</v>
      </c>
      <c r="C219" s="6" t="s">
        <v>186</v>
      </c>
      <c r="D219" s="6" t="s">
        <v>177</v>
      </c>
      <c r="E219" s="6" t="s">
        <v>86</v>
      </c>
      <c r="F219" s="6" t="b">
        <v>0</v>
      </c>
      <c r="G219" s="6">
        <v>2.080833333333333</v>
      </c>
    </row>
    <row r="220" spans="1:7">
      <c r="A220" s="6" t="s">
        <v>202</v>
      </c>
      <c r="B220" s="6" t="s">
        <v>54</v>
      </c>
      <c r="C220" s="6" t="s">
        <v>187</v>
      </c>
      <c r="D220" s="6" t="s">
        <v>86</v>
      </c>
      <c r="E220" s="6" t="s">
        <v>86</v>
      </c>
      <c r="F220" s="6" t="b">
        <v>0</v>
      </c>
      <c r="G220" s="6">
        <v>58.19858333333334</v>
      </c>
    </row>
    <row r="221" spans="1:7">
      <c r="A221" s="6" t="s">
        <v>202</v>
      </c>
      <c r="B221" s="6" t="s">
        <v>54</v>
      </c>
      <c r="C221" s="6" t="s">
        <v>187</v>
      </c>
      <c r="D221" s="6" t="s">
        <v>88</v>
      </c>
      <c r="E221" s="6" t="s">
        <v>88</v>
      </c>
      <c r="F221" s="6" t="b">
        <v>0</v>
      </c>
      <c r="G221" s="6">
        <v>142.6741666666667</v>
      </c>
    </row>
    <row r="222" spans="1:7">
      <c r="A222" s="6" t="s">
        <v>202</v>
      </c>
      <c r="B222" s="6" t="s">
        <v>54</v>
      </c>
      <c r="C222" s="6" t="s">
        <v>188</v>
      </c>
      <c r="D222" s="6" t="s">
        <v>86</v>
      </c>
      <c r="E222" s="6" t="s">
        <v>86</v>
      </c>
      <c r="F222" s="6" t="b">
        <v>0</v>
      </c>
      <c r="G222" s="6">
        <v>86.93950000000001</v>
      </c>
    </row>
    <row r="223" spans="1:7">
      <c r="A223" s="6" t="s">
        <v>202</v>
      </c>
      <c r="B223" s="6" t="s">
        <v>54</v>
      </c>
      <c r="C223" s="6" t="s">
        <v>188</v>
      </c>
      <c r="D223" s="6" t="s">
        <v>88</v>
      </c>
      <c r="E223" s="6" t="s">
        <v>88</v>
      </c>
      <c r="F223" s="6" t="b">
        <v>0</v>
      </c>
      <c r="G223" s="6">
        <v>737.8390833333333</v>
      </c>
    </row>
    <row r="224" spans="1:7">
      <c r="A224" s="6" t="s">
        <v>202</v>
      </c>
      <c r="B224" s="6" t="s">
        <v>54</v>
      </c>
      <c r="C224" s="6" t="s">
        <v>188</v>
      </c>
      <c r="D224" s="6" t="s">
        <v>90</v>
      </c>
      <c r="E224" s="6" t="s">
        <v>90</v>
      </c>
      <c r="F224" s="6" t="b">
        <v>0</v>
      </c>
      <c r="G224" s="6">
        <v>0.1446666666666667</v>
      </c>
    </row>
    <row r="225" spans="1:7">
      <c r="A225" s="6" t="s">
        <v>202</v>
      </c>
      <c r="B225" s="6" t="s">
        <v>54</v>
      </c>
      <c r="C225" s="6" t="s">
        <v>189</v>
      </c>
      <c r="D225" s="6" t="s">
        <v>86</v>
      </c>
      <c r="E225" s="6" t="s">
        <v>86</v>
      </c>
      <c r="F225" s="6" t="b">
        <v>0</v>
      </c>
      <c r="G225" s="6">
        <v>65.02925</v>
      </c>
    </row>
    <row r="226" spans="1:7">
      <c r="A226" s="6" t="s">
        <v>202</v>
      </c>
      <c r="B226" s="6" t="s">
        <v>54</v>
      </c>
      <c r="C226" s="6" t="s">
        <v>189</v>
      </c>
      <c r="D226" s="6" t="s">
        <v>88</v>
      </c>
      <c r="E226" s="6" t="s">
        <v>88</v>
      </c>
      <c r="F226" s="6" t="b">
        <v>0</v>
      </c>
      <c r="G226" s="6">
        <v>291.5973333333333</v>
      </c>
    </row>
    <row r="227" spans="1:7">
      <c r="A227" s="6" t="s">
        <v>202</v>
      </c>
      <c r="B227" s="6" t="s">
        <v>54</v>
      </c>
      <c r="C227" s="6" t="s">
        <v>189</v>
      </c>
      <c r="D227" s="6" t="s">
        <v>90</v>
      </c>
      <c r="E227" s="6" t="s">
        <v>90</v>
      </c>
      <c r="F227" s="6" t="b">
        <v>0</v>
      </c>
      <c r="G227" s="6">
        <v>27.50983333333333</v>
      </c>
    </row>
    <row r="228" spans="1:7">
      <c r="A228" s="6" t="s">
        <v>202</v>
      </c>
      <c r="B228" s="6" t="s">
        <v>54</v>
      </c>
      <c r="C228" s="6" t="s">
        <v>190</v>
      </c>
      <c r="D228" s="6" t="s">
        <v>44</v>
      </c>
      <c r="E228" s="6" t="s">
        <v>44</v>
      </c>
      <c r="F228" s="6" t="b">
        <v>0</v>
      </c>
      <c r="G228" s="6">
        <v>319.244</v>
      </c>
    </row>
    <row r="229" spans="1:7">
      <c r="A229" s="6" t="s">
        <v>202</v>
      </c>
      <c r="B229" s="6" t="s">
        <v>54</v>
      </c>
      <c r="C229" s="6" t="s">
        <v>190</v>
      </c>
      <c r="D229" s="6" t="s">
        <v>86</v>
      </c>
      <c r="E229" s="6" t="s">
        <v>44</v>
      </c>
      <c r="F229" s="6" t="b">
        <v>0</v>
      </c>
      <c r="G229" s="6">
        <v>11.75675</v>
      </c>
    </row>
    <row r="230" spans="1:7">
      <c r="A230" s="6" t="s">
        <v>202</v>
      </c>
      <c r="B230" s="6" t="s">
        <v>54</v>
      </c>
      <c r="C230" s="6" t="s">
        <v>190</v>
      </c>
      <c r="D230" s="6" t="s">
        <v>86</v>
      </c>
      <c r="E230" s="6" t="s">
        <v>86</v>
      </c>
      <c r="F230" s="6" t="b">
        <v>0</v>
      </c>
      <c r="G230" s="6">
        <v>6.954916666666667</v>
      </c>
    </row>
    <row r="231" spans="1:7">
      <c r="A231" s="6" t="s">
        <v>202</v>
      </c>
      <c r="B231" s="6" t="s">
        <v>54</v>
      </c>
      <c r="C231" s="6" t="s">
        <v>190</v>
      </c>
      <c r="D231" s="6" t="s">
        <v>88</v>
      </c>
      <c r="E231" s="6" t="s">
        <v>88</v>
      </c>
      <c r="F231" s="6" t="b">
        <v>0</v>
      </c>
      <c r="G231" s="6">
        <v>0.0295</v>
      </c>
    </row>
    <row r="232" spans="1:7">
      <c r="A232" s="6" t="s">
        <v>202</v>
      </c>
      <c r="B232" s="6" t="s">
        <v>54</v>
      </c>
      <c r="C232" s="6" t="s">
        <v>190</v>
      </c>
      <c r="D232" s="6" t="s">
        <v>90</v>
      </c>
      <c r="E232" s="6" t="s">
        <v>44</v>
      </c>
      <c r="F232" s="6" t="b">
        <v>0</v>
      </c>
      <c r="G232" s="6">
        <v>14.309</v>
      </c>
    </row>
    <row r="233" spans="1:7">
      <c r="A233" s="6" t="s">
        <v>202</v>
      </c>
      <c r="B233" s="6" t="s">
        <v>54</v>
      </c>
      <c r="C233" s="6" t="s">
        <v>190</v>
      </c>
      <c r="D233" s="6" t="s">
        <v>90</v>
      </c>
      <c r="E233" s="6" t="s">
        <v>90</v>
      </c>
      <c r="F233" s="6" t="b">
        <v>0</v>
      </c>
      <c r="G233" s="6">
        <v>21.70458333333333</v>
      </c>
    </row>
    <row r="234" spans="1:7">
      <c r="A234" s="6" t="s">
        <v>202</v>
      </c>
      <c r="B234" s="6" t="s">
        <v>54</v>
      </c>
      <c r="C234" s="6" t="s">
        <v>190</v>
      </c>
      <c r="D234" s="6" t="s">
        <v>177</v>
      </c>
      <c r="E234" s="6" t="s">
        <v>44</v>
      </c>
      <c r="F234" s="6" t="b">
        <v>0</v>
      </c>
      <c r="G234" s="6">
        <v>150.47825</v>
      </c>
    </row>
    <row r="235" spans="1:7">
      <c r="A235" s="6" t="s">
        <v>202</v>
      </c>
      <c r="B235" s="6" t="s">
        <v>54</v>
      </c>
      <c r="C235" s="6" t="s">
        <v>190</v>
      </c>
      <c r="D235" s="6" t="s">
        <v>177</v>
      </c>
      <c r="E235" s="6" t="s">
        <v>86</v>
      </c>
      <c r="F235" s="6" t="b">
        <v>0</v>
      </c>
      <c r="G235" s="6">
        <v>12.31525</v>
      </c>
    </row>
    <row r="236" spans="1:7">
      <c r="A236" s="6" t="s">
        <v>202</v>
      </c>
      <c r="B236" s="6" t="s">
        <v>54</v>
      </c>
      <c r="C236" s="6" t="s">
        <v>190</v>
      </c>
      <c r="D236" s="6" t="s">
        <v>177</v>
      </c>
      <c r="E236" s="6" t="s">
        <v>685</v>
      </c>
      <c r="F236" s="6" t="b">
        <v>1</v>
      </c>
      <c r="G236" s="6">
        <v>4.25</v>
      </c>
    </row>
    <row r="237" spans="1:7">
      <c r="A237" s="6" t="s">
        <v>202</v>
      </c>
      <c r="B237" s="6" t="s">
        <v>54</v>
      </c>
      <c r="C237" s="6" t="s">
        <v>190</v>
      </c>
      <c r="D237" s="6" t="s">
        <v>92</v>
      </c>
      <c r="E237" s="6" t="s">
        <v>92</v>
      </c>
      <c r="F237" s="6" t="b">
        <v>0</v>
      </c>
      <c r="G237" s="6">
        <v>1.297083333333333</v>
      </c>
    </row>
    <row r="238" spans="1:7">
      <c r="A238" s="6" t="s">
        <v>203</v>
      </c>
      <c r="B238" s="6" t="s">
        <v>53</v>
      </c>
      <c r="C238" s="6" t="s">
        <v>181</v>
      </c>
      <c r="D238" s="6" t="s">
        <v>88</v>
      </c>
      <c r="E238" s="6" t="s">
        <v>88</v>
      </c>
      <c r="F238" s="6" t="b">
        <v>0</v>
      </c>
      <c r="G238" s="6">
        <v>159.5179166666667</v>
      </c>
    </row>
    <row r="239" spans="1:7">
      <c r="A239" s="6" t="s">
        <v>203</v>
      </c>
      <c r="B239" s="6" t="s">
        <v>53</v>
      </c>
      <c r="C239" s="6" t="s">
        <v>181</v>
      </c>
      <c r="D239" s="6" t="s">
        <v>90</v>
      </c>
      <c r="E239" s="6" t="s">
        <v>90</v>
      </c>
      <c r="F239" s="6" t="b">
        <v>0</v>
      </c>
      <c r="G239" s="6">
        <v>0.06375</v>
      </c>
    </row>
    <row r="240" spans="1:7">
      <c r="A240" s="6" t="s">
        <v>203</v>
      </c>
      <c r="B240" s="6" t="s">
        <v>53</v>
      </c>
      <c r="C240" s="6" t="s">
        <v>183</v>
      </c>
      <c r="D240" s="6" t="s">
        <v>86</v>
      </c>
      <c r="E240" s="6" t="s">
        <v>86</v>
      </c>
      <c r="F240" s="6" t="b">
        <v>0</v>
      </c>
      <c r="G240" s="6">
        <v>0.1449166666666667</v>
      </c>
    </row>
    <row r="241" spans="1:7">
      <c r="A241" s="6" t="s">
        <v>203</v>
      </c>
      <c r="B241" s="6" t="s">
        <v>53</v>
      </c>
      <c r="C241" s="6" t="s">
        <v>183</v>
      </c>
      <c r="D241" s="6" t="s">
        <v>88</v>
      </c>
      <c r="E241" s="6" t="s">
        <v>88</v>
      </c>
      <c r="F241" s="6" t="b">
        <v>0</v>
      </c>
      <c r="G241" s="6">
        <v>4.521666666666667</v>
      </c>
    </row>
    <row r="242" spans="1:7">
      <c r="A242" s="6" t="s">
        <v>203</v>
      </c>
      <c r="B242" s="6" t="s">
        <v>53</v>
      </c>
      <c r="C242" s="6" t="s">
        <v>183</v>
      </c>
      <c r="D242" s="6" t="s">
        <v>90</v>
      </c>
      <c r="E242" s="6" t="s">
        <v>86</v>
      </c>
      <c r="F242" s="6" t="b">
        <v>0</v>
      </c>
      <c r="G242" s="6">
        <v>2.925166666666667</v>
      </c>
    </row>
    <row r="243" spans="1:7">
      <c r="A243" s="6" t="s">
        <v>203</v>
      </c>
      <c r="B243" s="6" t="s">
        <v>53</v>
      </c>
      <c r="C243" s="6" t="s">
        <v>183</v>
      </c>
      <c r="D243" s="6" t="s">
        <v>90</v>
      </c>
      <c r="E243" s="6" t="s">
        <v>90</v>
      </c>
      <c r="F243" s="6" t="b">
        <v>0</v>
      </c>
      <c r="G243" s="6">
        <v>1.029833333333333</v>
      </c>
    </row>
    <row r="244" spans="1:7">
      <c r="A244" s="6" t="s">
        <v>203</v>
      </c>
      <c r="B244" s="6" t="s">
        <v>53</v>
      </c>
      <c r="C244" s="6" t="s">
        <v>183</v>
      </c>
      <c r="D244" s="6" t="s">
        <v>177</v>
      </c>
      <c r="E244" s="6" t="s">
        <v>86</v>
      </c>
      <c r="F244" s="6" t="b">
        <v>0</v>
      </c>
      <c r="G244" s="6">
        <v>0.5170833333333333</v>
      </c>
    </row>
    <row r="245" spans="1:7">
      <c r="A245" s="6" t="s">
        <v>203</v>
      </c>
      <c r="B245" s="6" t="s">
        <v>53</v>
      </c>
      <c r="C245" s="6" t="s">
        <v>183</v>
      </c>
      <c r="D245" s="6" t="s">
        <v>177</v>
      </c>
      <c r="E245" s="6" t="s">
        <v>685</v>
      </c>
      <c r="F245" s="6" t="b">
        <v>1</v>
      </c>
      <c r="G245" s="6">
        <v>0.166</v>
      </c>
    </row>
    <row r="246" spans="1:7">
      <c r="A246" s="6" t="s">
        <v>203</v>
      </c>
      <c r="B246" s="6" t="s">
        <v>53</v>
      </c>
      <c r="C246" s="6" t="s">
        <v>184</v>
      </c>
      <c r="D246" s="6" t="s">
        <v>44</v>
      </c>
      <c r="E246" s="6" t="s">
        <v>44</v>
      </c>
      <c r="F246" s="6" t="b">
        <v>0</v>
      </c>
      <c r="G246" s="6">
        <v>837.0391666666666</v>
      </c>
    </row>
    <row r="247" spans="1:7">
      <c r="A247" s="6" t="s">
        <v>203</v>
      </c>
      <c r="B247" s="6" t="s">
        <v>53</v>
      </c>
      <c r="C247" s="6" t="s">
        <v>184</v>
      </c>
      <c r="D247" s="6" t="s">
        <v>86</v>
      </c>
      <c r="E247" s="6" t="s">
        <v>86</v>
      </c>
      <c r="F247" s="6" t="b">
        <v>0</v>
      </c>
      <c r="G247" s="6">
        <v>0.8130000000000001</v>
      </c>
    </row>
    <row r="248" spans="1:7">
      <c r="A248" s="6" t="s">
        <v>203</v>
      </c>
      <c r="B248" s="6" t="s">
        <v>53</v>
      </c>
      <c r="C248" s="6" t="s">
        <v>184</v>
      </c>
      <c r="D248" s="6" t="s">
        <v>88</v>
      </c>
      <c r="E248" s="6" t="s">
        <v>88</v>
      </c>
      <c r="F248" s="6" t="b">
        <v>0</v>
      </c>
      <c r="G248" s="6">
        <v>1.691916666666667</v>
      </c>
    </row>
    <row r="249" spans="1:7">
      <c r="A249" s="6" t="s">
        <v>203</v>
      </c>
      <c r="B249" s="6" t="s">
        <v>53</v>
      </c>
      <c r="C249" s="6" t="s">
        <v>184</v>
      </c>
      <c r="D249" s="6" t="s">
        <v>90</v>
      </c>
      <c r="E249" s="6" t="s">
        <v>90</v>
      </c>
      <c r="F249" s="6" t="b">
        <v>0</v>
      </c>
      <c r="G249" s="6">
        <v>6.463916666666667</v>
      </c>
    </row>
    <row r="250" spans="1:7">
      <c r="A250" s="6" t="s">
        <v>203</v>
      </c>
      <c r="B250" s="6" t="s">
        <v>53</v>
      </c>
      <c r="C250" s="6" t="s">
        <v>184</v>
      </c>
      <c r="D250" s="6" t="s">
        <v>90</v>
      </c>
      <c r="E250" s="6" t="s">
        <v>685</v>
      </c>
      <c r="F250" s="6" t="b">
        <v>1</v>
      </c>
      <c r="G250" s="6">
        <v>4.137166666666666</v>
      </c>
    </row>
    <row r="251" spans="1:7">
      <c r="A251" s="6" t="s">
        <v>203</v>
      </c>
      <c r="B251" s="6" t="s">
        <v>53</v>
      </c>
      <c r="C251" s="6" t="s">
        <v>184</v>
      </c>
      <c r="D251" s="6" t="s">
        <v>177</v>
      </c>
      <c r="E251" s="6" t="s">
        <v>44</v>
      </c>
      <c r="F251" s="6" t="b">
        <v>0</v>
      </c>
      <c r="G251" s="6">
        <v>2132.5355</v>
      </c>
    </row>
    <row r="252" spans="1:7">
      <c r="A252" s="6" t="s">
        <v>203</v>
      </c>
      <c r="B252" s="6" t="s">
        <v>53</v>
      </c>
      <c r="C252" s="6" t="s">
        <v>184</v>
      </c>
      <c r="D252" s="6" t="s">
        <v>177</v>
      </c>
      <c r="E252" s="6" t="s">
        <v>86</v>
      </c>
      <c r="F252" s="6" t="b">
        <v>0</v>
      </c>
      <c r="G252" s="6">
        <v>2.73475</v>
      </c>
    </row>
    <row r="253" spans="1:7">
      <c r="A253" s="6" t="s">
        <v>203</v>
      </c>
      <c r="B253" s="6" t="s">
        <v>53</v>
      </c>
      <c r="C253" s="6" t="s">
        <v>184</v>
      </c>
      <c r="D253" s="6" t="s">
        <v>177</v>
      </c>
      <c r="E253" s="6" t="s">
        <v>685</v>
      </c>
      <c r="F253" s="6" t="b">
        <v>1</v>
      </c>
      <c r="G253" s="6">
        <v>33.66316666666666</v>
      </c>
    </row>
    <row r="254" spans="1:7">
      <c r="A254" s="6" t="s">
        <v>203</v>
      </c>
      <c r="B254" s="6" t="s">
        <v>53</v>
      </c>
      <c r="C254" s="6" t="s">
        <v>185</v>
      </c>
      <c r="D254" s="6" t="s">
        <v>44</v>
      </c>
      <c r="E254" s="6" t="s">
        <v>44</v>
      </c>
      <c r="F254" s="6" t="b">
        <v>0</v>
      </c>
      <c r="G254" s="6">
        <v>0.1365</v>
      </c>
    </row>
    <row r="255" spans="1:7">
      <c r="A255" s="6" t="s">
        <v>203</v>
      </c>
      <c r="B255" s="6" t="s">
        <v>53</v>
      </c>
      <c r="C255" s="6" t="s">
        <v>186</v>
      </c>
      <c r="D255" s="6" t="s">
        <v>86</v>
      </c>
      <c r="E255" s="6" t="s">
        <v>86</v>
      </c>
      <c r="F255" s="6" t="b">
        <v>0</v>
      </c>
      <c r="G255" s="6">
        <v>500.10425</v>
      </c>
    </row>
    <row r="256" spans="1:7">
      <c r="A256" s="6" t="s">
        <v>203</v>
      </c>
      <c r="B256" s="6" t="s">
        <v>53</v>
      </c>
      <c r="C256" s="6" t="s">
        <v>186</v>
      </c>
      <c r="D256" s="6" t="s">
        <v>88</v>
      </c>
      <c r="E256" s="6" t="s">
        <v>88</v>
      </c>
      <c r="F256" s="6" t="b">
        <v>0</v>
      </c>
      <c r="G256" s="6">
        <v>19.84708333333333</v>
      </c>
    </row>
    <row r="257" spans="1:7">
      <c r="A257" s="6" t="s">
        <v>203</v>
      </c>
      <c r="B257" s="6" t="s">
        <v>53</v>
      </c>
      <c r="C257" s="6" t="s">
        <v>186</v>
      </c>
      <c r="D257" s="6" t="s">
        <v>90</v>
      </c>
      <c r="E257" s="6" t="s">
        <v>86</v>
      </c>
      <c r="F257" s="6" t="b">
        <v>0</v>
      </c>
      <c r="G257" s="6">
        <v>0.02125</v>
      </c>
    </row>
    <row r="258" spans="1:7">
      <c r="A258" s="6" t="s">
        <v>203</v>
      </c>
      <c r="B258" s="6" t="s">
        <v>53</v>
      </c>
      <c r="C258" s="6" t="s">
        <v>186</v>
      </c>
      <c r="D258" s="6" t="s">
        <v>90</v>
      </c>
      <c r="E258" s="6" t="s">
        <v>90</v>
      </c>
      <c r="F258" s="6" t="b">
        <v>0</v>
      </c>
      <c r="G258" s="6">
        <v>122.445</v>
      </c>
    </row>
    <row r="259" spans="1:7">
      <c r="A259" s="6" t="s">
        <v>203</v>
      </c>
      <c r="B259" s="6" t="s">
        <v>53</v>
      </c>
      <c r="C259" s="6" t="s">
        <v>186</v>
      </c>
      <c r="D259" s="6" t="s">
        <v>177</v>
      </c>
      <c r="E259" s="6" t="s">
        <v>86</v>
      </c>
      <c r="F259" s="6" t="b">
        <v>0</v>
      </c>
      <c r="G259" s="6">
        <v>6.590333333333334</v>
      </c>
    </row>
    <row r="260" spans="1:7">
      <c r="A260" s="6" t="s">
        <v>203</v>
      </c>
      <c r="B260" s="6" t="s">
        <v>53</v>
      </c>
      <c r="C260" s="6" t="s">
        <v>187</v>
      </c>
      <c r="D260" s="6" t="s">
        <v>86</v>
      </c>
      <c r="E260" s="6" t="s">
        <v>86</v>
      </c>
      <c r="F260" s="6" t="b">
        <v>0</v>
      </c>
      <c r="G260" s="6">
        <v>69.44441666666667</v>
      </c>
    </row>
    <row r="261" spans="1:7">
      <c r="A261" s="6" t="s">
        <v>203</v>
      </c>
      <c r="B261" s="6" t="s">
        <v>53</v>
      </c>
      <c r="C261" s="6" t="s">
        <v>187</v>
      </c>
      <c r="D261" s="6" t="s">
        <v>88</v>
      </c>
      <c r="E261" s="6" t="s">
        <v>88</v>
      </c>
      <c r="F261" s="6" t="b">
        <v>0</v>
      </c>
      <c r="G261" s="6">
        <v>181.0761666666667</v>
      </c>
    </row>
    <row r="262" spans="1:7">
      <c r="A262" s="6" t="s">
        <v>203</v>
      </c>
      <c r="B262" s="6" t="s">
        <v>53</v>
      </c>
      <c r="C262" s="6" t="s">
        <v>189</v>
      </c>
      <c r="D262" s="6" t="s">
        <v>86</v>
      </c>
      <c r="E262" s="6" t="s">
        <v>86</v>
      </c>
      <c r="F262" s="6" t="b">
        <v>0</v>
      </c>
      <c r="G262" s="6">
        <v>95.54208333333334</v>
      </c>
    </row>
    <row r="263" spans="1:7">
      <c r="A263" s="6" t="s">
        <v>203</v>
      </c>
      <c r="B263" s="6" t="s">
        <v>53</v>
      </c>
      <c r="C263" s="6" t="s">
        <v>189</v>
      </c>
      <c r="D263" s="6" t="s">
        <v>88</v>
      </c>
      <c r="E263" s="6" t="s">
        <v>88</v>
      </c>
      <c r="F263" s="6" t="b">
        <v>0</v>
      </c>
      <c r="G263" s="6">
        <v>132.4031666666667</v>
      </c>
    </row>
    <row r="264" spans="1:7">
      <c r="A264" s="6" t="s">
        <v>203</v>
      </c>
      <c r="B264" s="6" t="s">
        <v>53</v>
      </c>
      <c r="C264" s="6" t="s">
        <v>189</v>
      </c>
      <c r="D264" s="6" t="s">
        <v>90</v>
      </c>
      <c r="E264" s="6" t="s">
        <v>90</v>
      </c>
      <c r="F264" s="6" t="b">
        <v>0</v>
      </c>
      <c r="G264" s="6">
        <v>33.00166666666667</v>
      </c>
    </row>
    <row r="265" spans="1:7">
      <c r="A265" s="6" t="s">
        <v>203</v>
      </c>
      <c r="B265" s="6" t="s">
        <v>53</v>
      </c>
      <c r="C265" s="6" t="s">
        <v>190</v>
      </c>
      <c r="D265" s="6" t="s">
        <v>44</v>
      </c>
      <c r="E265" s="6" t="s">
        <v>44</v>
      </c>
      <c r="F265" s="6" t="b">
        <v>0</v>
      </c>
      <c r="G265" s="6">
        <v>9.190083333333334</v>
      </c>
    </row>
    <row r="266" spans="1:7">
      <c r="A266" s="6" t="s">
        <v>203</v>
      </c>
      <c r="B266" s="6" t="s">
        <v>53</v>
      </c>
      <c r="C266" s="6" t="s">
        <v>190</v>
      </c>
      <c r="D266" s="6" t="s">
        <v>86</v>
      </c>
      <c r="E266" s="6" t="s">
        <v>44</v>
      </c>
      <c r="F266" s="6" t="b">
        <v>0</v>
      </c>
      <c r="G266" s="6">
        <v>1.458916666666666</v>
      </c>
    </row>
    <row r="267" spans="1:7">
      <c r="A267" s="6" t="s">
        <v>203</v>
      </c>
      <c r="B267" s="6" t="s">
        <v>53</v>
      </c>
      <c r="C267" s="6" t="s">
        <v>190</v>
      </c>
      <c r="D267" s="6" t="s">
        <v>86</v>
      </c>
      <c r="E267" s="6" t="s">
        <v>86</v>
      </c>
      <c r="F267" s="6" t="b">
        <v>0</v>
      </c>
      <c r="G267" s="6">
        <v>0.2180833333333333</v>
      </c>
    </row>
    <row r="268" spans="1:7">
      <c r="A268" s="6" t="s">
        <v>203</v>
      </c>
      <c r="B268" s="6" t="s">
        <v>53</v>
      </c>
      <c r="C268" s="6" t="s">
        <v>190</v>
      </c>
      <c r="D268" s="6" t="s">
        <v>90</v>
      </c>
      <c r="E268" s="6" t="s">
        <v>44</v>
      </c>
      <c r="F268" s="6" t="b">
        <v>0</v>
      </c>
      <c r="G268" s="6">
        <v>2.723083333333333</v>
      </c>
    </row>
    <row r="269" spans="1:7">
      <c r="A269" s="6" t="s">
        <v>203</v>
      </c>
      <c r="B269" s="6" t="s">
        <v>53</v>
      </c>
      <c r="C269" s="6" t="s">
        <v>190</v>
      </c>
      <c r="D269" s="6" t="s">
        <v>90</v>
      </c>
      <c r="E269" s="6" t="s">
        <v>90</v>
      </c>
      <c r="F269" s="6" t="b">
        <v>0</v>
      </c>
      <c r="G269" s="6">
        <v>1.386</v>
      </c>
    </row>
    <row r="270" spans="1:7">
      <c r="A270" s="6" t="s">
        <v>203</v>
      </c>
      <c r="B270" s="6" t="s">
        <v>53</v>
      </c>
      <c r="C270" s="6" t="s">
        <v>190</v>
      </c>
      <c r="D270" s="6" t="s">
        <v>177</v>
      </c>
      <c r="E270" s="6" t="s">
        <v>44</v>
      </c>
      <c r="F270" s="6" t="b">
        <v>0</v>
      </c>
      <c r="G270" s="6">
        <v>5.821000000000001</v>
      </c>
    </row>
    <row r="271" spans="1:7">
      <c r="A271" s="6" t="s">
        <v>203</v>
      </c>
      <c r="B271" s="6" t="s">
        <v>53</v>
      </c>
      <c r="C271" s="6" t="s">
        <v>190</v>
      </c>
      <c r="D271" s="6" t="s">
        <v>177</v>
      </c>
      <c r="E271" s="6" t="s">
        <v>86</v>
      </c>
      <c r="F271" s="6" t="b">
        <v>0</v>
      </c>
      <c r="G271" s="6">
        <v>0.01466666666666667</v>
      </c>
    </row>
    <row r="272" spans="1:7">
      <c r="A272" s="6" t="s">
        <v>203</v>
      </c>
      <c r="B272" s="6" t="s">
        <v>53</v>
      </c>
      <c r="C272" s="6" t="s">
        <v>190</v>
      </c>
      <c r="D272" s="6" t="s">
        <v>92</v>
      </c>
      <c r="E272" s="6" t="s">
        <v>92</v>
      </c>
      <c r="F272" s="6" t="b">
        <v>0</v>
      </c>
      <c r="G272" s="6">
        <v>0.04533333333333334</v>
      </c>
    </row>
    <row r="273" spans="1:7">
      <c r="A273" s="6" t="s">
        <v>204</v>
      </c>
      <c r="B273" s="6" t="s">
        <v>51</v>
      </c>
      <c r="C273" s="6" t="s">
        <v>181</v>
      </c>
      <c r="D273" s="6" t="s">
        <v>88</v>
      </c>
      <c r="E273" s="6" t="s">
        <v>88</v>
      </c>
      <c r="F273" s="6" t="b">
        <v>0</v>
      </c>
      <c r="G273" s="6">
        <v>555.2973333333333</v>
      </c>
    </row>
    <row r="274" spans="1:7">
      <c r="A274" s="6" t="s">
        <v>204</v>
      </c>
      <c r="B274" s="6" t="s">
        <v>51</v>
      </c>
      <c r="C274" s="6" t="s">
        <v>181</v>
      </c>
      <c r="D274" s="6" t="s">
        <v>90</v>
      </c>
      <c r="E274" s="6" t="s">
        <v>90</v>
      </c>
      <c r="F274" s="6" t="b">
        <v>0</v>
      </c>
      <c r="G274" s="6">
        <v>4.062916666666666</v>
      </c>
    </row>
    <row r="275" spans="1:7">
      <c r="A275" s="6" t="s">
        <v>204</v>
      </c>
      <c r="B275" s="6" t="s">
        <v>51</v>
      </c>
      <c r="C275" s="6" t="s">
        <v>182</v>
      </c>
      <c r="D275" s="6" t="s">
        <v>88</v>
      </c>
      <c r="E275" s="6" t="s">
        <v>88</v>
      </c>
      <c r="F275" s="6" t="b">
        <v>0</v>
      </c>
      <c r="G275" s="6">
        <v>20.38875</v>
      </c>
    </row>
    <row r="276" spans="1:7">
      <c r="A276" s="6" t="s">
        <v>204</v>
      </c>
      <c r="B276" s="6" t="s">
        <v>51</v>
      </c>
      <c r="C276" s="6" t="s">
        <v>183</v>
      </c>
      <c r="D276" s="6" t="s">
        <v>86</v>
      </c>
      <c r="E276" s="6" t="s">
        <v>86</v>
      </c>
      <c r="F276" s="6" t="b">
        <v>0</v>
      </c>
      <c r="G276" s="6">
        <v>1.42625</v>
      </c>
    </row>
    <row r="277" spans="1:7">
      <c r="A277" s="6" t="s">
        <v>204</v>
      </c>
      <c r="B277" s="6" t="s">
        <v>51</v>
      </c>
      <c r="C277" s="6" t="s">
        <v>183</v>
      </c>
      <c r="D277" s="6" t="s">
        <v>88</v>
      </c>
      <c r="E277" s="6" t="s">
        <v>88</v>
      </c>
      <c r="F277" s="6" t="b">
        <v>0</v>
      </c>
      <c r="G277" s="6">
        <v>12.9085</v>
      </c>
    </row>
    <row r="278" spans="1:7">
      <c r="A278" s="6" t="s">
        <v>204</v>
      </c>
      <c r="B278" s="6" t="s">
        <v>51</v>
      </c>
      <c r="C278" s="6" t="s">
        <v>183</v>
      </c>
      <c r="D278" s="6" t="s">
        <v>90</v>
      </c>
      <c r="E278" s="6" t="s">
        <v>86</v>
      </c>
      <c r="F278" s="6" t="b">
        <v>0</v>
      </c>
      <c r="G278" s="6">
        <v>18.63641666666667</v>
      </c>
    </row>
    <row r="279" spans="1:7">
      <c r="A279" s="6" t="s">
        <v>204</v>
      </c>
      <c r="B279" s="6" t="s">
        <v>51</v>
      </c>
      <c r="C279" s="6" t="s">
        <v>183</v>
      </c>
      <c r="D279" s="6" t="s">
        <v>90</v>
      </c>
      <c r="E279" s="6" t="s">
        <v>90</v>
      </c>
      <c r="F279" s="6" t="b">
        <v>0</v>
      </c>
      <c r="G279" s="6">
        <v>27.804</v>
      </c>
    </row>
    <row r="280" spans="1:7">
      <c r="A280" s="6" t="s">
        <v>204</v>
      </c>
      <c r="B280" s="6" t="s">
        <v>51</v>
      </c>
      <c r="C280" s="6" t="s">
        <v>183</v>
      </c>
      <c r="D280" s="6" t="s">
        <v>177</v>
      </c>
      <c r="E280" s="6" t="s">
        <v>86</v>
      </c>
      <c r="F280" s="6" t="b">
        <v>0</v>
      </c>
      <c r="G280" s="6">
        <v>1.52475</v>
      </c>
    </row>
    <row r="281" spans="1:7">
      <c r="A281" s="6" t="s">
        <v>204</v>
      </c>
      <c r="B281" s="6" t="s">
        <v>51</v>
      </c>
      <c r="C281" s="6" t="s">
        <v>183</v>
      </c>
      <c r="D281" s="6" t="s">
        <v>177</v>
      </c>
      <c r="E281" s="6" t="s">
        <v>685</v>
      </c>
      <c r="F281" s="6" t="b">
        <v>1</v>
      </c>
      <c r="G281" s="6">
        <v>0.111</v>
      </c>
    </row>
    <row r="282" spans="1:7">
      <c r="A282" s="6" t="s">
        <v>204</v>
      </c>
      <c r="B282" s="6" t="s">
        <v>51</v>
      </c>
      <c r="C282" s="6" t="s">
        <v>184</v>
      </c>
      <c r="D282" s="6" t="s">
        <v>44</v>
      </c>
      <c r="E282" s="6" t="s">
        <v>44</v>
      </c>
      <c r="F282" s="6" t="b">
        <v>0</v>
      </c>
      <c r="G282" s="6">
        <v>3756.68825</v>
      </c>
    </row>
    <row r="283" spans="1:7">
      <c r="A283" s="6" t="s">
        <v>204</v>
      </c>
      <c r="B283" s="6" t="s">
        <v>51</v>
      </c>
      <c r="C283" s="6" t="s">
        <v>184</v>
      </c>
      <c r="D283" s="6" t="s">
        <v>88</v>
      </c>
      <c r="E283" s="6" t="s">
        <v>88</v>
      </c>
      <c r="F283" s="6" t="b">
        <v>0</v>
      </c>
      <c r="G283" s="6">
        <v>23.45541666666666</v>
      </c>
    </row>
    <row r="284" spans="1:7">
      <c r="A284" s="6" t="s">
        <v>204</v>
      </c>
      <c r="B284" s="6" t="s">
        <v>51</v>
      </c>
      <c r="C284" s="6" t="s">
        <v>184</v>
      </c>
      <c r="D284" s="6" t="s">
        <v>90</v>
      </c>
      <c r="E284" s="6" t="s">
        <v>90</v>
      </c>
      <c r="F284" s="6" t="b">
        <v>0</v>
      </c>
      <c r="G284" s="6">
        <v>85.20925</v>
      </c>
    </row>
    <row r="285" spans="1:7">
      <c r="A285" s="6" t="s">
        <v>204</v>
      </c>
      <c r="B285" s="6" t="s">
        <v>51</v>
      </c>
      <c r="C285" s="6" t="s">
        <v>184</v>
      </c>
      <c r="D285" s="6" t="s">
        <v>90</v>
      </c>
      <c r="E285" s="6" t="s">
        <v>685</v>
      </c>
      <c r="F285" s="6" t="b">
        <v>1</v>
      </c>
      <c r="G285" s="6">
        <v>60.58875</v>
      </c>
    </row>
    <row r="286" spans="1:7">
      <c r="A286" s="6" t="s">
        <v>204</v>
      </c>
      <c r="B286" s="6" t="s">
        <v>51</v>
      </c>
      <c r="C286" s="6" t="s">
        <v>184</v>
      </c>
      <c r="D286" s="6" t="s">
        <v>177</v>
      </c>
      <c r="E286" s="6" t="s">
        <v>44</v>
      </c>
      <c r="F286" s="6" t="b">
        <v>0</v>
      </c>
      <c r="G286" s="6">
        <v>1974.373666666667</v>
      </c>
    </row>
    <row r="287" spans="1:7">
      <c r="A287" s="6" t="s">
        <v>204</v>
      </c>
      <c r="B287" s="6" t="s">
        <v>51</v>
      </c>
      <c r="C287" s="6" t="s">
        <v>184</v>
      </c>
      <c r="D287" s="6" t="s">
        <v>177</v>
      </c>
      <c r="E287" s="6" t="s">
        <v>86</v>
      </c>
      <c r="F287" s="6" t="b">
        <v>0</v>
      </c>
      <c r="G287" s="6">
        <v>12.93125</v>
      </c>
    </row>
    <row r="288" spans="1:7">
      <c r="A288" s="6" t="s">
        <v>204</v>
      </c>
      <c r="B288" s="6" t="s">
        <v>51</v>
      </c>
      <c r="C288" s="6" t="s">
        <v>184</v>
      </c>
      <c r="D288" s="6" t="s">
        <v>177</v>
      </c>
      <c r="E288" s="6" t="s">
        <v>685</v>
      </c>
      <c r="F288" s="6" t="b">
        <v>1</v>
      </c>
      <c r="G288" s="6">
        <v>224.50925</v>
      </c>
    </row>
    <row r="289" spans="1:7">
      <c r="A289" s="6" t="s">
        <v>204</v>
      </c>
      <c r="B289" s="6" t="s">
        <v>51</v>
      </c>
      <c r="C289" s="6" t="s">
        <v>185</v>
      </c>
      <c r="D289" s="6" t="s">
        <v>44</v>
      </c>
      <c r="E289" s="6" t="s">
        <v>685</v>
      </c>
      <c r="F289" s="6" t="b">
        <v>1</v>
      </c>
      <c r="G289" s="6">
        <v>41.13983333333334</v>
      </c>
    </row>
    <row r="290" spans="1:7">
      <c r="A290" s="6" t="s">
        <v>204</v>
      </c>
      <c r="B290" s="6" t="s">
        <v>51</v>
      </c>
      <c r="C290" s="6" t="s">
        <v>186</v>
      </c>
      <c r="D290" s="6" t="s">
        <v>86</v>
      </c>
      <c r="E290" s="6" t="s">
        <v>86</v>
      </c>
      <c r="F290" s="6" t="b">
        <v>0</v>
      </c>
      <c r="G290" s="6">
        <v>862.2210833333334</v>
      </c>
    </row>
    <row r="291" spans="1:7">
      <c r="A291" s="6" t="s">
        <v>204</v>
      </c>
      <c r="B291" s="6" t="s">
        <v>51</v>
      </c>
      <c r="C291" s="6" t="s">
        <v>186</v>
      </c>
      <c r="D291" s="6" t="s">
        <v>88</v>
      </c>
      <c r="E291" s="6" t="s">
        <v>88</v>
      </c>
      <c r="F291" s="6" t="b">
        <v>0</v>
      </c>
      <c r="G291" s="6">
        <v>71.95975</v>
      </c>
    </row>
    <row r="292" spans="1:7">
      <c r="A292" s="6" t="s">
        <v>204</v>
      </c>
      <c r="B292" s="6" t="s">
        <v>51</v>
      </c>
      <c r="C292" s="6" t="s">
        <v>186</v>
      </c>
      <c r="D292" s="6" t="s">
        <v>90</v>
      </c>
      <c r="E292" s="6" t="s">
        <v>86</v>
      </c>
      <c r="F292" s="6" t="b">
        <v>0</v>
      </c>
      <c r="G292" s="6">
        <v>0.05383333333333334</v>
      </c>
    </row>
    <row r="293" spans="1:7">
      <c r="A293" s="6" t="s">
        <v>204</v>
      </c>
      <c r="B293" s="6" t="s">
        <v>51</v>
      </c>
      <c r="C293" s="6" t="s">
        <v>186</v>
      </c>
      <c r="D293" s="6" t="s">
        <v>90</v>
      </c>
      <c r="E293" s="6" t="s">
        <v>90</v>
      </c>
      <c r="F293" s="6" t="b">
        <v>0</v>
      </c>
      <c r="G293" s="6">
        <v>516.3364166666667</v>
      </c>
    </row>
    <row r="294" spans="1:7">
      <c r="A294" s="6" t="s">
        <v>204</v>
      </c>
      <c r="B294" s="6" t="s">
        <v>51</v>
      </c>
      <c r="C294" s="6" t="s">
        <v>186</v>
      </c>
      <c r="D294" s="6" t="s">
        <v>177</v>
      </c>
      <c r="E294" s="6" t="s">
        <v>86</v>
      </c>
      <c r="F294" s="6" t="b">
        <v>0</v>
      </c>
      <c r="G294" s="6">
        <v>13.26983333333333</v>
      </c>
    </row>
    <row r="295" spans="1:7">
      <c r="A295" s="6" t="s">
        <v>204</v>
      </c>
      <c r="B295" s="6" t="s">
        <v>51</v>
      </c>
      <c r="C295" s="6" t="s">
        <v>188</v>
      </c>
      <c r="D295" s="6" t="s">
        <v>86</v>
      </c>
      <c r="E295" s="6" t="s">
        <v>86</v>
      </c>
      <c r="F295" s="6" t="b">
        <v>0</v>
      </c>
      <c r="G295" s="6">
        <v>159.5951666666667</v>
      </c>
    </row>
    <row r="296" spans="1:7">
      <c r="A296" s="6" t="s">
        <v>204</v>
      </c>
      <c r="B296" s="6" t="s">
        <v>51</v>
      </c>
      <c r="C296" s="6" t="s">
        <v>188</v>
      </c>
      <c r="D296" s="6" t="s">
        <v>88</v>
      </c>
      <c r="E296" s="6" t="s">
        <v>88</v>
      </c>
      <c r="F296" s="6" t="b">
        <v>0</v>
      </c>
      <c r="G296" s="6">
        <v>1104.278583333333</v>
      </c>
    </row>
    <row r="297" spans="1:7">
      <c r="A297" s="6" t="s">
        <v>204</v>
      </c>
      <c r="B297" s="6" t="s">
        <v>51</v>
      </c>
      <c r="C297" s="6" t="s">
        <v>188</v>
      </c>
      <c r="D297" s="6" t="s">
        <v>90</v>
      </c>
      <c r="E297" s="6" t="s">
        <v>90</v>
      </c>
      <c r="F297" s="6" t="b">
        <v>0</v>
      </c>
      <c r="G297" s="6">
        <v>0.015</v>
      </c>
    </row>
    <row r="298" spans="1:7">
      <c r="A298" s="6" t="s">
        <v>204</v>
      </c>
      <c r="B298" s="6" t="s">
        <v>51</v>
      </c>
      <c r="C298" s="6" t="s">
        <v>189</v>
      </c>
      <c r="D298" s="6" t="s">
        <v>86</v>
      </c>
      <c r="E298" s="6" t="s">
        <v>86</v>
      </c>
      <c r="F298" s="6" t="b">
        <v>0</v>
      </c>
      <c r="G298" s="6">
        <v>476.2578333333333</v>
      </c>
    </row>
    <row r="299" spans="1:7">
      <c r="A299" s="6" t="s">
        <v>204</v>
      </c>
      <c r="B299" s="6" t="s">
        <v>51</v>
      </c>
      <c r="C299" s="6" t="s">
        <v>189</v>
      </c>
      <c r="D299" s="6" t="s">
        <v>88</v>
      </c>
      <c r="E299" s="6" t="s">
        <v>88</v>
      </c>
      <c r="F299" s="6" t="b">
        <v>0</v>
      </c>
      <c r="G299" s="6">
        <v>712.2005</v>
      </c>
    </row>
    <row r="300" spans="1:7">
      <c r="A300" s="6" t="s">
        <v>204</v>
      </c>
      <c r="B300" s="6" t="s">
        <v>51</v>
      </c>
      <c r="C300" s="6" t="s">
        <v>189</v>
      </c>
      <c r="D300" s="6" t="s">
        <v>90</v>
      </c>
      <c r="E300" s="6" t="s">
        <v>90</v>
      </c>
      <c r="F300" s="6" t="b">
        <v>0</v>
      </c>
      <c r="G300" s="6">
        <v>120.06875</v>
      </c>
    </row>
    <row r="301" spans="1:7">
      <c r="A301" s="6" t="s">
        <v>204</v>
      </c>
      <c r="B301" s="6" t="s">
        <v>51</v>
      </c>
      <c r="C301" s="6" t="s">
        <v>190</v>
      </c>
      <c r="D301" s="6" t="s">
        <v>44</v>
      </c>
      <c r="E301" s="6" t="s">
        <v>44</v>
      </c>
      <c r="F301" s="6" t="b">
        <v>0</v>
      </c>
      <c r="G301" s="6">
        <v>1399.853916666667</v>
      </c>
    </row>
    <row r="302" spans="1:7">
      <c r="A302" s="6" t="s">
        <v>204</v>
      </c>
      <c r="B302" s="6" t="s">
        <v>51</v>
      </c>
      <c r="C302" s="6" t="s">
        <v>190</v>
      </c>
      <c r="D302" s="6" t="s">
        <v>86</v>
      </c>
      <c r="E302" s="6" t="s">
        <v>44</v>
      </c>
      <c r="F302" s="6" t="b">
        <v>0</v>
      </c>
      <c r="G302" s="6">
        <v>37.433</v>
      </c>
    </row>
    <row r="303" spans="1:7">
      <c r="A303" s="6" t="s">
        <v>204</v>
      </c>
      <c r="B303" s="6" t="s">
        <v>51</v>
      </c>
      <c r="C303" s="6" t="s">
        <v>190</v>
      </c>
      <c r="D303" s="6" t="s">
        <v>86</v>
      </c>
      <c r="E303" s="6" t="s">
        <v>86</v>
      </c>
      <c r="F303" s="6" t="b">
        <v>0</v>
      </c>
      <c r="G303" s="6">
        <v>5.281333333333333</v>
      </c>
    </row>
    <row r="304" spans="1:7">
      <c r="A304" s="6" t="s">
        <v>204</v>
      </c>
      <c r="B304" s="6" t="s">
        <v>51</v>
      </c>
      <c r="C304" s="6" t="s">
        <v>190</v>
      </c>
      <c r="D304" s="6" t="s">
        <v>88</v>
      </c>
      <c r="E304" s="6" t="s">
        <v>88</v>
      </c>
      <c r="F304" s="6" t="b">
        <v>0</v>
      </c>
      <c r="G304" s="6">
        <v>0.2826666666666667</v>
      </c>
    </row>
    <row r="305" spans="1:7">
      <c r="A305" s="6" t="s">
        <v>204</v>
      </c>
      <c r="B305" s="6" t="s">
        <v>51</v>
      </c>
      <c r="C305" s="6" t="s">
        <v>190</v>
      </c>
      <c r="D305" s="6" t="s">
        <v>90</v>
      </c>
      <c r="E305" s="6" t="s">
        <v>44</v>
      </c>
      <c r="F305" s="6" t="b">
        <v>0</v>
      </c>
      <c r="G305" s="6">
        <v>27.96541666666667</v>
      </c>
    </row>
    <row r="306" spans="1:7">
      <c r="A306" s="6" t="s">
        <v>204</v>
      </c>
      <c r="B306" s="6" t="s">
        <v>51</v>
      </c>
      <c r="C306" s="6" t="s">
        <v>190</v>
      </c>
      <c r="D306" s="6" t="s">
        <v>90</v>
      </c>
      <c r="E306" s="6" t="s">
        <v>90</v>
      </c>
      <c r="F306" s="6" t="b">
        <v>0</v>
      </c>
      <c r="G306" s="6">
        <v>54.1005</v>
      </c>
    </row>
    <row r="307" spans="1:7">
      <c r="A307" s="6" t="s">
        <v>204</v>
      </c>
      <c r="B307" s="6" t="s">
        <v>51</v>
      </c>
      <c r="C307" s="6" t="s">
        <v>190</v>
      </c>
      <c r="D307" s="6" t="s">
        <v>177</v>
      </c>
      <c r="E307" s="6" t="s">
        <v>44</v>
      </c>
      <c r="F307" s="6" t="b">
        <v>0</v>
      </c>
      <c r="G307" s="6">
        <v>439.7078333333333</v>
      </c>
    </row>
    <row r="308" spans="1:7">
      <c r="A308" s="6" t="s">
        <v>204</v>
      </c>
      <c r="B308" s="6" t="s">
        <v>51</v>
      </c>
      <c r="C308" s="6" t="s">
        <v>190</v>
      </c>
      <c r="D308" s="6" t="s">
        <v>177</v>
      </c>
      <c r="E308" s="6" t="s">
        <v>86</v>
      </c>
      <c r="F308" s="6" t="b">
        <v>0</v>
      </c>
      <c r="G308" s="6">
        <v>46.6405</v>
      </c>
    </row>
    <row r="309" spans="1:7">
      <c r="A309" s="6" t="s">
        <v>204</v>
      </c>
      <c r="B309" s="6" t="s">
        <v>51</v>
      </c>
      <c r="C309" s="6" t="s">
        <v>190</v>
      </c>
      <c r="D309" s="6" t="s">
        <v>177</v>
      </c>
      <c r="E309" s="6" t="s">
        <v>685</v>
      </c>
      <c r="F309" s="6" t="b">
        <v>1</v>
      </c>
      <c r="G309" s="6">
        <v>15.50683333333333</v>
      </c>
    </row>
    <row r="310" spans="1:7">
      <c r="A310" s="6" t="s">
        <v>204</v>
      </c>
      <c r="B310" s="6" t="s">
        <v>51</v>
      </c>
      <c r="C310" s="6" t="s">
        <v>190</v>
      </c>
      <c r="D310" s="6" t="s">
        <v>92</v>
      </c>
      <c r="E310" s="6" t="s">
        <v>92</v>
      </c>
      <c r="F310" s="6" t="b">
        <v>0</v>
      </c>
      <c r="G310" s="6">
        <v>5.982416666666666</v>
      </c>
    </row>
    <row r="311" spans="1:7">
      <c r="A311" s="6" t="s">
        <v>338</v>
      </c>
      <c r="B311" s="6" t="s">
        <v>52</v>
      </c>
      <c r="C311" s="6" t="s">
        <v>181</v>
      </c>
      <c r="D311" s="6" t="s">
        <v>88</v>
      </c>
      <c r="E311" s="6" t="s">
        <v>88</v>
      </c>
      <c r="F311" s="6" t="b">
        <v>0</v>
      </c>
      <c r="G311" s="6">
        <v>2.31325</v>
      </c>
    </row>
    <row r="312" spans="1:7">
      <c r="A312" s="6" t="s">
        <v>338</v>
      </c>
      <c r="B312" s="6" t="s">
        <v>52</v>
      </c>
      <c r="C312" s="6" t="s">
        <v>184</v>
      </c>
      <c r="D312" s="6" t="s">
        <v>44</v>
      </c>
      <c r="E312" s="6" t="s">
        <v>44</v>
      </c>
      <c r="F312" s="6" t="b">
        <v>0</v>
      </c>
      <c r="G312" s="6">
        <v>24.34766666666667</v>
      </c>
    </row>
    <row r="313" spans="1:7">
      <c r="A313" s="6" t="s">
        <v>338</v>
      </c>
      <c r="B313" s="6" t="s">
        <v>52</v>
      </c>
      <c r="C313" s="6" t="s">
        <v>184</v>
      </c>
      <c r="D313" s="6" t="s">
        <v>44</v>
      </c>
      <c r="E313" s="6" t="s">
        <v>685</v>
      </c>
      <c r="F313" s="6" t="b">
        <v>1</v>
      </c>
      <c r="G313" s="6">
        <v>6.84575</v>
      </c>
    </row>
    <row r="314" spans="1:7">
      <c r="A314" s="6" t="s">
        <v>338</v>
      </c>
      <c r="B314" s="6" t="s">
        <v>52</v>
      </c>
      <c r="C314" s="6" t="s">
        <v>184</v>
      </c>
      <c r="D314" s="6" t="s">
        <v>177</v>
      </c>
      <c r="E314" s="6" t="s">
        <v>44</v>
      </c>
      <c r="F314" s="6" t="b">
        <v>0</v>
      </c>
      <c r="G314" s="6">
        <v>8.595833333333333</v>
      </c>
    </row>
    <row r="315" spans="1:7">
      <c r="A315" s="6" t="s">
        <v>338</v>
      </c>
      <c r="B315" s="6" t="s">
        <v>52</v>
      </c>
      <c r="C315" s="6" t="s">
        <v>184</v>
      </c>
      <c r="D315" s="6" t="s">
        <v>177</v>
      </c>
      <c r="E315" s="6" t="s">
        <v>685</v>
      </c>
      <c r="F315" s="6" t="b">
        <v>1</v>
      </c>
      <c r="G315" s="6">
        <v>0.9065</v>
      </c>
    </row>
    <row r="316" spans="1:7">
      <c r="A316" s="6" t="s">
        <v>338</v>
      </c>
      <c r="B316" s="6" t="s">
        <v>52</v>
      </c>
      <c r="C316" s="6" t="s">
        <v>186</v>
      </c>
      <c r="D316" s="6" t="s">
        <v>86</v>
      </c>
      <c r="E316" s="6" t="s">
        <v>86</v>
      </c>
      <c r="F316" s="6" t="b">
        <v>0</v>
      </c>
      <c r="G316" s="6">
        <v>6.001916666666666</v>
      </c>
    </row>
    <row r="317" spans="1:7">
      <c r="A317" s="6" t="s">
        <v>338</v>
      </c>
      <c r="B317" s="6" t="s">
        <v>52</v>
      </c>
      <c r="C317" s="6" t="s">
        <v>186</v>
      </c>
      <c r="D317" s="6" t="s">
        <v>88</v>
      </c>
      <c r="E317" s="6" t="s">
        <v>88</v>
      </c>
      <c r="F317" s="6" t="b">
        <v>0</v>
      </c>
      <c r="G317" s="6">
        <v>0.08450000000000001</v>
      </c>
    </row>
    <row r="318" spans="1:7">
      <c r="A318" s="6" t="s">
        <v>338</v>
      </c>
      <c r="B318" s="6" t="s">
        <v>52</v>
      </c>
      <c r="C318" s="6" t="s">
        <v>190</v>
      </c>
      <c r="D318" s="6" t="s">
        <v>44</v>
      </c>
      <c r="E318" s="6" t="s">
        <v>44</v>
      </c>
      <c r="F318" s="6" t="b">
        <v>0</v>
      </c>
      <c r="G318" s="6">
        <v>7.861249999999999</v>
      </c>
    </row>
    <row r="319" spans="1:7">
      <c r="A319" s="6" t="s">
        <v>338</v>
      </c>
      <c r="B319" s="6" t="s">
        <v>52</v>
      </c>
      <c r="C319" s="6" t="s">
        <v>190</v>
      </c>
      <c r="D319" s="6" t="s">
        <v>88</v>
      </c>
      <c r="E319" s="6" t="s">
        <v>88</v>
      </c>
      <c r="F319" s="6" t="b">
        <v>0</v>
      </c>
      <c r="G319" s="6">
        <v>0.2125</v>
      </c>
    </row>
    <row r="320" spans="1:7">
      <c r="A320" s="6" t="s">
        <v>338</v>
      </c>
      <c r="B320" s="6" t="s">
        <v>52</v>
      </c>
      <c r="C320" s="6" t="s">
        <v>190</v>
      </c>
      <c r="D320" s="6" t="s">
        <v>90</v>
      </c>
      <c r="E320" s="6" t="s">
        <v>90</v>
      </c>
      <c r="F320" s="6" t="b">
        <v>0</v>
      </c>
      <c r="G320" s="6">
        <v>0.0795</v>
      </c>
    </row>
    <row r="321" spans="1:7">
      <c r="A321" s="6" t="s">
        <v>338</v>
      </c>
      <c r="B321" s="6" t="s">
        <v>52</v>
      </c>
      <c r="C321" s="6" t="s">
        <v>190</v>
      </c>
      <c r="D321" s="6" t="s">
        <v>177</v>
      </c>
      <c r="E321" s="6" t="s">
        <v>44</v>
      </c>
      <c r="F321" s="6" t="b">
        <v>0</v>
      </c>
      <c r="G321" s="6">
        <v>0.9676666666666667</v>
      </c>
    </row>
    <row r="322" spans="1:7">
      <c r="A322" s="6" t="s">
        <v>338</v>
      </c>
      <c r="B322" s="6" t="s">
        <v>52</v>
      </c>
      <c r="C322" s="6" t="s">
        <v>190</v>
      </c>
      <c r="D322" s="6" t="s">
        <v>177</v>
      </c>
      <c r="E322" s="6" t="s">
        <v>685</v>
      </c>
      <c r="F322" s="6" t="b">
        <v>1</v>
      </c>
      <c r="G322" s="6">
        <v>0.03116666666666667</v>
      </c>
    </row>
    <row r="323" spans="1:7">
      <c r="A323" s="6" t="s">
        <v>338</v>
      </c>
      <c r="B323" s="6" t="s">
        <v>52</v>
      </c>
      <c r="C323" s="6" t="s">
        <v>190</v>
      </c>
      <c r="D323" s="6" t="s">
        <v>92</v>
      </c>
      <c r="E323" s="6" t="s">
        <v>92</v>
      </c>
      <c r="F323" s="6" t="b">
        <v>0</v>
      </c>
      <c r="G323" s="6">
        <v>0.112</v>
      </c>
    </row>
    <row r="324" spans="1:7">
      <c r="A324" s="6" t="s">
        <v>339</v>
      </c>
      <c r="B324" s="6" t="s">
        <v>52</v>
      </c>
      <c r="C324" s="6" t="s">
        <v>186</v>
      </c>
      <c r="D324" s="6" t="s">
        <v>86</v>
      </c>
      <c r="E324" s="6" t="s">
        <v>86</v>
      </c>
      <c r="F324" s="6" t="b">
        <v>0</v>
      </c>
      <c r="G324" s="6">
        <v>7.242249999999999</v>
      </c>
    </row>
    <row r="325" spans="1:7">
      <c r="A325" s="6" t="s">
        <v>339</v>
      </c>
      <c r="B325" s="6" t="s">
        <v>52</v>
      </c>
      <c r="C325" s="6" t="s">
        <v>186</v>
      </c>
      <c r="D325" s="6" t="s">
        <v>90</v>
      </c>
      <c r="E325" s="6" t="s">
        <v>90</v>
      </c>
      <c r="F325" s="6" t="b">
        <v>0</v>
      </c>
      <c r="G325" s="6">
        <v>0.057</v>
      </c>
    </row>
    <row r="326" spans="1:7">
      <c r="A326" s="6" t="s">
        <v>205</v>
      </c>
      <c r="B326" s="6" t="s">
        <v>56</v>
      </c>
      <c r="C326" s="6" t="s">
        <v>181</v>
      </c>
      <c r="D326" s="6" t="s">
        <v>88</v>
      </c>
      <c r="E326" s="6" t="s">
        <v>88</v>
      </c>
      <c r="F326" s="6" t="b">
        <v>0</v>
      </c>
      <c r="G326" s="6">
        <v>41.593</v>
      </c>
    </row>
    <row r="327" spans="1:7">
      <c r="A327" s="6" t="s">
        <v>205</v>
      </c>
      <c r="B327" s="6" t="s">
        <v>56</v>
      </c>
      <c r="C327" s="6" t="s">
        <v>181</v>
      </c>
      <c r="D327" s="6" t="s">
        <v>90</v>
      </c>
      <c r="E327" s="6" t="s">
        <v>90</v>
      </c>
      <c r="F327" s="6" t="b">
        <v>0</v>
      </c>
      <c r="G327" s="6">
        <v>0.1055</v>
      </c>
    </row>
    <row r="328" spans="1:7">
      <c r="A328" s="6" t="s">
        <v>205</v>
      </c>
      <c r="B328" s="6" t="s">
        <v>56</v>
      </c>
      <c r="C328" s="6" t="s">
        <v>183</v>
      </c>
      <c r="D328" s="6" t="s">
        <v>86</v>
      </c>
      <c r="E328" s="6" t="s">
        <v>86</v>
      </c>
      <c r="F328" s="6" t="b">
        <v>0</v>
      </c>
      <c r="G328" s="6">
        <v>0.1985833333333333</v>
      </c>
    </row>
    <row r="329" spans="1:7">
      <c r="A329" s="6" t="s">
        <v>205</v>
      </c>
      <c r="B329" s="6" t="s">
        <v>56</v>
      </c>
      <c r="C329" s="6" t="s">
        <v>183</v>
      </c>
      <c r="D329" s="6" t="s">
        <v>88</v>
      </c>
      <c r="E329" s="6" t="s">
        <v>88</v>
      </c>
      <c r="F329" s="6" t="b">
        <v>0</v>
      </c>
      <c r="G329" s="6">
        <v>1.480416666666667</v>
      </c>
    </row>
    <row r="330" spans="1:7">
      <c r="A330" s="6" t="s">
        <v>205</v>
      </c>
      <c r="B330" s="6" t="s">
        <v>56</v>
      </c>
      <c r="C330" s="6" t="s">
        <v>183</v>
      </c>
      <c r="D330" s="6" t="s">
        <v>90</v>
      </c>
      <c r="E330" s="6" t="s">
        <v>86</v>
      </c>
      <c r="F330" s="6" t="b">
        <v>0</v>
      </c>
      <c r="G330" s="6">
        <v>1.640166666666667</v>
      </c>
    </row>
    <row r="331" spans="1:7">
      <c r="A331" s="6" t="s">
        <v>205</v>
      </c>
      <c r="B331" s="6" t="s">
        <v>56</v>
      </c>
      <c r="C331" s="6" t="s">
        <v>183</v>
      </c>
      <c r="D331" s="6" t="s">
        <v>90</v>
      </c>
      <c r="E331" s="6" t="s">
        <v>90</v>
      </c>
      <c r="F331" s="6" t="b">
        <v>0</v>
      </c>
      <c r="G331" s="6">
        <v>1.2695</v>
      </c>
    </row>
    <row r="332" spans="1:7">
      <c r="A332" s="6" t="s">
        <v>205</v>
      </c>
      <c r="B332" s="6" t="s">
        <v>56</v>
      </c>
      <c r="C332" s="6" t="s">
        <v>183</v>
      </c>
      <c r="D332" s="6" t="s">
        <v>177</v>
      </c>
      <c r="E332" s="6" t="s">
        <v>86</v>
      </c>
      <c r="F332" s="6" t="b">
        <v>0</v>
      </c>
      <c r="G332" s="6">
        <v>0.2430833333333333</v>
      </c>
    </row>
    <row r="333" spans="1:7">
      <c r="A333" s="6" t="s">
        <v>205</v>
      </c>
      <c r="B333" s="6" t="s">
        <v>56</v>
      </c>
      <c r="C333" s="6" t="s">
        <v>183</v>
      </c>
      <c r="D333" s="6" t="s">
        <v>177</v>
      </c>
      <c r="E333" s="6" t="s">
        <v>685</v>
      </c>
      <c r="F333" s="6" t="b">
        <v>1</v>
      </c>
      <c r="G333" s="6">
        <v>0.036</v>
      </c>
    </row>
    <row r="334" spans="1:7">
      <c r="A334" s="6" t="s">
        <v>205</v>
      </c>
      <c r="B334" s="6" t="s">
        <v>56</v>
      </c>
      <c r="C334" s="6" t="s">
        <v>184</v>
      </c>
      <c r="D334" s="6" t="s">
        <v>44</v>
      </c>
      <c r="E334" s="6" t="s">
        <v>44</v>
      </c>
      <c r="F334" s="6" t="b">
        <v>0</v>
      </c>
      <c r="G334" s="6">
        <v>230.202</v>
      </c>
    </row>
    <row r="335" spans="1:7">
      <c r="A335" s="6" t="s">
        <v>205</v>
      </c>
      <c r="B335" s="6" t="s">
        <v>56</v>
      </c>
      <c r="C335" s="6" t="s">
        <v>184</v>
      </c>
      <c r="D335" s="6" t="s">
        <v>88</v>
      </c>
      <c r="E335" s="6" t="s">
        <v>88</v>
      </c>
      <c r="F335" s="6" t="b">
        <v>0</v>
      </c>
      <c r="G335" s="6">
        <v>1.699916666666667</v>
      </c>
    </row>
    <row r="336" spans="1:7">
      <c r="A336" s="6" t="s">
        <v>205</v>
      </c>
      <c r="B336" s="6" t="s">
        <v>56</v>
      </c>
      <c r="C336" s="6" t="s">
        <v>184</v>
      </c>
      <c r="D336" s="6" t="s">
        <v>90</v>
      </c>
      <c r="E336" s="6" t="s">
        <v>90</v>
      </c>
      <c r="F336" s="6" t="b">
        <v>0</v>
      </c>
      <c r="G336" s="6">
        <v>2.176833333333333</v>
      </c>
    </row>
    <row r="337" spans="1:7">
      <c r="A337" s="6" t="s">
        <v>205</v>
      </c>
      <c r="B337" s="6" t="s">
        <v>56</v>
      </c>
      <c r="C337" s="6" t="s">
        <v>184</v>
      </c>
      <c r="D337" s="6" t="s">
        <v>90</v>
      </c>
      <c r="E337" s="6" t="s">
        <v>685</v>
      </c>
      <c r="F337" s="6" t="b">
        <v>1</v>
      </c>
      <c r="G337" s="6">
        <v>3.234083333333333</v>
      </c>
    </row>
    <row r="338" spans="1:7">
      <c r="A338" s="6" t="s">
        <v>205</v>
      </c>
      <c r="B338" s="6" t="s">
        <v>56</v>
      </c>
      <c r="C338" s="6" t="s">
        <v>184</v>
      </c>
      <c r="D338" s="6" t="s">
        <v>177</v>
      </c>
      <c r="E338" s="6" t="s">
        <v>44</v>
      </c>
      <c r="F338" s="6" t="b">
        <v>0</v>
      </c>
      <c r="G338" s="6">
        <v>163.1018333333333</v>
      </c>
    </row>
    <row r="339" spans="1:7">
      <c r="A339" s="6" t="s">
        <v>205</v>
      </c>
      <c r="B339" s="6" t="s">
        <v>56</v>
      </c>
      <c r="C339" s="6" t="s">
        <v>184</v>
      </c>
      <c r="D339" s="6" t="s">
        <v>177</v>
      </c>
      <c r="E339" s="6" t="s">
        <v>86</v>
      </c>
      <c r="F339" s="6" t="b">
        <v>0</v>
      </c>
      <c r="G339" s="6">
        <v>1.1025</v>
      </c>
    </row>
    <row r="340" spans="1:7">
      <c r="A340" s="6" t="s">
        <v>205</v>
      </c>
      <c r="B340" s="6" t="s">
        <v>56</v>
      </c>
      <c r="C340" s="6" t="s">
        <v>184</v>
      </c>
      <c r="D340" s="6" t="s">
        <v>177</v>
      </c>
      <c r="E340" s="6" t="s">
        <v>685</v>
      </c>
      <c r="F340" s="6" t="b">
        <v>1</v>
      </c>
      <c r="G340" s="6">
        <v>20.63625</v>
      </c>
    </row>
    <row r="341" spans="1:7">
      <c r="A341" s="6" t="s">
        <v>205</v>
      </c>
      <c r="B341" s="6" t="s">
        <v>56</v>
      </c>
      <c r="C341" s="6" t="s">
        <v>186</v>
      </c>
      <c r="D341" s="6" t="s">
        <v>86</v>
      </c>
      <c r="E341" s="6" t="s">
        <v>86</v>
      </c>
      <c r="F341" s="6" t="b">
        <v>0</v>
      </c>
      <c r="G341" s="6">
        <v>68.33233333333332</v>
      </c>
    </row>
    <row r="342" spans="1:7">
      <c r="A342" s="6" t="s">
        <v>205</v>
      </c>
      <c r="B342" s="6" t="s">
        <v>56</v>
      </c>
      <c r="C342" s="6" t="s">
        <v>186</v>
      </c>
      <c r="D342" s="6" t="s">
        <v>88</v>
      </c>
      <c r="E342" s="6" t="s">
        <v>88</v>
      </c>
      <c r="F342" s="6" t="b">
        <v>0</v>
      </c>
      <c r="G342" s="6">
        <v>3.73075</v>
      </c>
    </row>
    <row r="343" spans="1:7">
      <c r="A343" s="6" t="s">
        <v>205</v>
      </c>
      <c r="B343" s="6" t="s">
        <v>56</v>
      </c>
      <c r="C343" s="6" t="s">
        <v>186</v>
      </c>
      <c r="D343" s="6" t="s">
        <v>90</v>
      </c>
      <c r="E343" s="6" t="s">
        <v>86</v>
      </c>
      <c r="F343" s="6" t="b">
        <v>0</v>
      </c>
      <c r="G343" s="6">
        <v>0.001416666666666667</v>
      </c>
    </row>
    <row r="344" spans="1:7">
      <c r="A344" s="6" t="s">
        <v>205</v>
      </c>
      <c r="B344" s="6" t="s">
        <v>56</v>
      </c>
      <c r="C344" s="6" t="s">
        <v>186</v>
      </c>
      <c r="D344" s="6" t="s">
        <v>90</v>
      </c>
      <c r="E344" s="6" t="s">
        <v>90</v>
      </c>
      <c r="F344" s="6" t="b">
        <v>0</v>
      </c>
      <c r="G344" s="6">
        <v>32.12916666666667</v>
      </c>
    </row>
    <row r="345" spans="1:7">
      <c r="A345" s="6" t="s">
        <v>205</v>
      </c>
      <c r="B345" s="6" t="s">
        <v>56</v>
      </c>
      <c r="C345" s="6" t="s">
        <v>186</v>
      </c>
      <c r="D345" s="6" t="s">
        <v>177</v>
      </c>
      <c r="E345" s="6" t="s">
        <v>86</v>
      </c>
      <c r="F345" s="6" t="b">
        <v>0</v>
      </c>
      <c r="G345" s="6">
        <v>1.105166666666667</v>
      </c>
    </row>
    <row r="346" spans="1:7">
      <c r="A346" s="6" t="s">
        <v>205</v>
      </c>
      <c r="B346" s="6" t="s">
        <v>56</v>
      </c>
      <c r="C346" s="6" t="s">
        <v>188</v>
      </c>
      <c r="D346" s="6" t="s">
        <v>86</v>
      </c>
      <c r="E346" s="6" t="s">
        <v>86</v>
      </c>
      <c r="F346" s="6" t="b">
        <v>0</v>
      </c>
      <c r="G346" s="6">
        <v>108.1503333333333</v>
      </c>
    </row>
    <row r="347" spans="1:7">
      <c r="A347" s="6" t="s">
        <v>205</v>
      </c>
      <c r="B347" s="6" t="s">
        <v>56</v>
      </c>
      <c r="C347" s="6" t="s">
        <v>188</v>
      </c>
      <c r="D347" s="6" t="s">
        <v>88</v>
      </c>
      <c r="E347" s="6" t="s">
        <v>88</v>
      </c>
      <c r="F347" s="6" t="b">
        <v>0</v>
      </c>
      <c r="G347" s="6">
        <v>539.4175833333334</v>
      </c>
    </row>
    <row r="348" spans="1:7">
      <c r="A348" s="6" t="s">
        <v>205</v>
      </c>
      <c r="B348" s="6" t="s">
        <v>56</v>
      </c>
      <c r="C348" s="6" t="s">
        <v>189</v>
      </c>
      <c r="D348" s="6" t="s">
        <v>86</v>
      </c>
      <c r="E348" s="6" t="s">
        <v>86</v>
      </c>
      <c r="F348" s="6" t="b">
        <v>0</v>
      </c>
      <c r="G348" s="6">
        <v>28.83216666666667</v>
      </c>
    </row>
    <row r="349" spans="1:7">
      <c r="A349" s="6" t="s">
        <v>205</v>
      </c>
      <c r="B349" s="6" t="s">
        <v>56</v>
      </c>
      <c r="C349" s="6" t="s">
        <v>189</v>
      </c>
      <c r="D349" s="6" t="s">
        <v>88</v>
      </c>
      <c r="E349" s="6" t="s">
        <v>88</v>
      </c>
      <c r="F349" s="6" t="b">
        <v>0</v>
      </c>
      <c r="G349" s="6">
        <v>49.11916666666666</v>
      </c>
    </row>
    <row r="350" spans="1:7">
      <c r="A350" s="6" t="s">
        <v>205</v>
      </c>
      <c r="B350" s="6" t="s">
        <v>56</v>
      </c>
      <c r="C350" s="6" t="s">
        <v>189</v>
      </c>
      <c r="D350" s="6" t="s">
        <v>90</v>
      </c>
      <c r="E350" s="6" t="s">
        <v>90</v>
      </c>
      <c r="F350" s="6" t="b">
        <v>0</v>
      </c>
      <c r="G350" s="6">
        <v>5.970583333333334</v>
      </c>
    </row>
    <row r="351" spans="1:7">
      <c r="A351" s="6" t="s">
        <v>205</v>
      </c>
      <c r="B351" s="6" t="s">
        <v>56</v>
      </c>
      <c r="C351" s="6" t="s">
        <v>190</v>
      </c>
      <c r="D351" s="6" t="s">
        <v>44</v>
      </c>
      <c r="E351" s="6" t="s">
        <v>44</v>
      </c>
      <c r="F351" s="6" t="b">
        <v>0</v>
      </c>
      <c r="G351" s="6">
        <v>264.9634166666667</v>
      </c>
    </row>
    <row r="352" spans="1:7">
      <c r="A352" s="6" t="s">
        <v>205</v>
      </c>
      <c r="B352" s="6" t="s">
        <v>56</v>
      </c>
      <c r="C352" s="6" t="s">
        <v>190</v>
      </c>
      <c r="D352" s="6" t="s">
        <v>86</v>
      </c>
      <c r="E352" s="6" t="s">
        <v>44</v>
      </c>
      <c r="F352" s="6" t="b">
        <v>0</v>
      </c>
      <c r="G352" s="6">
        <v>17.75983333333333</v>
      </c>
    </row>
    <row r="353" spans="1:7">
      <c r="A353" s="6" t="s">
        <v>205</v>
      </c>
      <c r="B353" s="6" t="s">
        <v>56</v>
      </c>
      <c r="C353" s="6" t="s">
        <v>190</v>
      </c>
      <c r="D353" s="6" t="s">
        <v>86</v>
      </c>
      <c r="E353" s="6" t="s">
        <v>86</v>
      </c>
      <c r="F353" s="6" t="b">
        <v>0</v>
      </c>
      <c r="G353" s="6">
        <v>1.4385</v>
      </c>
    </row>
    <row r="354" spans="1:7">
      <c r="A354" s="6" t="s">
        <v>205</v>
      </c>
      <c r="B354" s="6" t="s">
        <v>56</v>
      </c>
      <c r="C354" s="6" t="s">
        <v>190</v>
      </c>
      <c r="D354" s="6" t="s">
        <v>88</v>
      </c>
      <c r="E354" s="6" t="s">
        <v>88</v>
      </c>
      <c r="F354" s="6" t="b">
        <v>0</v>
      </c>
      <c r="G354" s="6">
        <v>0.02266666666666667</v>
      </c>
    </row>
    <row r="355" spans="1:7">
      <c r="A355" s="6" t="s">
        <v>205</v>
      </c>
      <c r="B355" s="6" t="s">
        <v>56</v>
      </c>
      <c r="C355" s="6" t="s">
        <v>190</v>
      </c>
      <c r="D355" s="6" t="s">
        <v>90</v>
      </c>
      <c r="E355" s="6" t="s">
        <v>44</v>
      </c>
      <c r="F355" s="6" t="b">
        <v>0</v>
      </c>
      <c r="G355" s="6">
        <v>9.635</v>
      </c>
    </row>
    <row r="356" spans="1:7">
      <c r="A356" s="6" t="s">
        <v>205</v>
      </c>
      <c r="B356" s="6" t="s">
        <v>56</v>
      </c>
      <c r="C356" s="6" t="s">
        <v>190</v>
      </c>
      <c r="D356" s="6" t="s">
        <v>90</v>
      </c>
      <c r="E356" s="6" t="s">
        <v>90</v>
      </c>
      <c r="F356" s="6" t="b">
        <v>0</v>
      </c>
      <c r="G356" s="6">
        <v>15.06133333333333</v>
      </c>
    </row>
    <row r="357" spans="1:7">
      <c r="A357" s="6" t="s">
        <v>205</v>
      </c>
      <c r="B357" s="6" t="s">
        <v>56</v>
      </c>
      <c r="C357" s="6" t="s">
        <v>190</v>
      </c>
      <c r="D357" s="6" t="s">
        <v>177</v>
      </c>
      <c r="E357" s="6" t="s">
        <v>44</v>
      </c>
      <c r="F357" s="6" t="b">
        <v>0</v>
      </c>
      <c r="G357" s="6">
        <v>149.8483333333333</v>
      </c>
    </row>
    <row r="358" spans="1:7">
      <c r="A358" s="6" t="s">
        <v>205</v>
      </c>
      <c r="B358" s="6" t="s">
        <v>56</v>
      </c>
      <c r="C358" s="6" t="s">
        <v>190</v>
      </c>
      <c r="D358" s="6" t="s">
        <v>177</v>
      </c>
      <c r="E358" s="6" t="s">
        <v>86</v>
      </c>
      <c r="F358" s="6" t="b">
        <v>0</v>
      </c>
      <c r="G358" s="6">
        <v>2.64425</v>
      </c>
    </row>
    <row r="359" spans="1:7">
      <c r="A359" s="6" t="s">
        <v>205</v>
      </c>
      <c r="B359" s="6" t="s">
        <v>56</v>
      </c>
      <c r="C359" s="6" t="s">
        <v>190</v>
      </c>
      <c r="D359" s="6" t="s">
        <v>177</v>
      </c>
      <c r="E359" s="6" t="s">
        <v>685</v>
      </c>
      <c r="F359" s="6" t="b">
        <v>1</v>
      </c>
      <c r="G359" s="6">
        <v>0.2011666666666667</v>
      </c>
    </row>
    <row r="360" spans="1:7">
      <c r="A360" s="6" t="s">
        <v>205</v>
      </c>
      <c r="B360" s="6" t="s">
        <v>56</v>
      </c>
      <c r="C360" s="6" t="s">
        <v>190</v>
      </c>
      <c r="D360" s="6" t="s">
        <v>92</v>
      </c>
      <c r="E360" s="6" t="s">
        <v>92</v>
      </c>
      <c r="F360" s="6" t="b">
        <v>0</v>
      </c>
      <c r="G360" s="6">
        <v>1.111333333333333</v>
      </c>
    </row>
    <row r="361" spans="1:7">
      <c r="A361" s="6" t="s">
        <v>206</v>
      </c>
      <c r="B361" s="6" t="s">
        <v>55</v>
      </c>
      <c r="C361" s="6" t="s">
        <v>181</v>
      </c>
      <c r="D361" s="6" t="s">
        <v>88</v>
      </c>
      <c r="E361" s="6" t="s">
        <v>88</v>
      </c>
      <c r="F361" s="6" t="b">
        <v>0</v>
      </c>
      <c r="G361" s="6">
        <v>3.734333333333333</v>
      </c>
    </row>
    <row r="362" spans="1:7">
      <c r="A362" s="6" t="s">
        <v>206</v>
      </c>
      <c r="B362" s="6" t="s">
        <v>55</v>
      </c>
      <c r="C362" s="6" t="s">
        <v>181</v>
      </c>
      <c r="D362" s="6" t="s">
        <v>90</v>
      </c>
      <c r="E362" s="6" t="s">
        <v>90</v>
      </c>
      <c r="F362" s="6" t="b">
        <v>0</v>
      </c>
      <c r="G362" s="6">
        <v>0.01375</v>
      </c>
    </row>
    <row r="363" spans="1:7">
      <c r="A363" s="6" t="s">
        <v>206</v>
      </c>
      <c r="B363" s="6" t="s">
        <v>55</v>
      </c>
      <c r="C363" s="6" t="s">
        <v>183</v>
      </c>
      <c r="D363" s="6" t="s">
        <v>86</v>
      </c>
      <c r="E363" s="6" t="s">
        <v>86</v>
      </c>
      <c r="F363" s="6" t="b">
        <v>0</v>
      </c>
      <c r="G363" s="6">
        <v>0.001833333333333333</v>
      </c>
    </row>
    <row r="364" spans="1:7">
      <c r="A364" s="6" t="s">
        <v>206</v>
      </c>
      <c r="B364" s="6" t="s">
        <v>55</v>
      </c>
      <c r="C364" s="6" t="s">
        <v>183</v>
      </c>
      <c r="D364" s="6" t="s">
        <v>88</v>
      </c>
      <c r="E364" s="6" t="s">
        <v>88</v>
      </c>
      <c r="F364" s="6" t="b">
        <v>0</v>
      </c>
      <c r="G364" s="6">
        <v>0.01308333333333333</v>
      </c>
    </row>
    <row r="365" spans="1:7">
      <c r="A365" s="6" t="s">
        <v>206</v>
      </c>
      <c r="B365" s="6" t="s">
        <v>55</v>
      </c>
      <c r="C365" s="6" t="s">
        <v>183</v>
      </c>
      <c r="D365" s="6" t="s">
        <v>90</v>
      </c>
      <c r="E365" s="6" t="s">
        <v>86</v>
      </c>
      <c r="F365" s="6" t="b">
        <v>0</v>
      </c>
      <c r="G365" s="6">
        <v>0.004583333333333332</v>
      </c>
    </row>
    <row r="366" spans="1:7">
      <c r="A366" s="6" t="s">
        <v>206</v>
      </c>
      <c r="B366" s="6" t="s">
        <v>55</v>
      </c>
      <c r="C366" s="6" t="s">
        <v>183</v>
      </c>
      <c r="D366" s="6" t="s">
        <v>90</v>
      </c>
      <c r="E366" s="6" t="s">
        <v>90</v>
      </c>
      <c r="F366" s="6" t="b">
        <v>0</v>
      </c>
      <c r="G366" s="6">
        <v>0.01558333333333333</v>
      </c>
    </row>
    <row r="367" spans="1:7">
      <c r="A367" s="6" t="s">
        <v>206</v>
      </c>
      <c r="B367" s="6" t="s">
        <v>55</v>
      </c>
      <c r="C367" s="6" t="s">
        <v>183</v>
      </c>
      <c r="D367" s="6" t="s">
        <v>177</v>
      </c>
      <c r="E367" s="6" t="s">
        <v>86</v>
      </c>
      <c r="F367" s="6" t="b">
        <v>0</v>
      </c>
      <c r="G367" s="6">
        <v>0.0009166666666666666</v>
      </c>
    </row>
    <row r="368" spans="1:7">
      <c r="A368" s="6" t="s">
        <v>206</v>
      </c>
      <c r="B368" s="6" t="s">
        <v>55</v>
      </c>
      <c r="C368" s="6" t="s">
        <v>184</v>
      </c>
      <c r="D368" s="6" t="s">
        <v>44</v>
      </c>
      <c r="E368" s="6" t="s">
        <v>44</v>
      </c>
      <c r="F368" s="6" t="b">
        <v>0</v>
      </c>
      <c r="G368" s="6">
        <v>107.5035</v>
      </c>
    </row>
    <row r="369" spans="1:7">
      <c r="A369" s="6" t="s">
        <v>206</v>
      </c>
      <c r="B369" s="6" t="s">
        <v>55</v>
      </c>
      <c r="C369" s="6" t="s">
        <v>184</v>
      </c>
      <c r="D369" s="6" t="s">
        <v>88</v>
      </c>
      <c r="E369" s="6" t="s">
        <v>88</v>
      </c>
      <c r="F369" s="6" t="b">
        <v>0</v>
      </c>
      <c r="G369" s="6">
        <v>0.02858333333333334</v>
      </c>
    </row>
    <row r="370" spans="1:7">
      <c r="A370" s="6" t="s">
        <v>206</v>
      </c>
      <c r="B370" s="6" t="s">
        <v>55</v>
      </c>
      <c r="C370" s="6" t="s">
        <v>184</v>
      </c>
      <c r="D370" s="6" t="s">
        <v>90</v>
      </c>
      <c r="E370" s="6" t="s">
        <v>90</v>
      </c>
      <c r="F370" s="6" t="b">
        <v>0</v>
      </c>
      <c r="G370" s="6">
        <v>0.06858333333333334</v>
      </c>
    </row>
    <row r="371" spans="1:7">
      <c r="A371" s="6" t="s">
        <v>206</v>
      </c>
      <c r="B371" s="6" t="s">
        <v>55</v>
      </c>
      <c r="C371" s="6" t="s">
        <v>184</v>
      </c>
      <c r="D371" s="6" t="s">
        <v>90</v>
      </c>
      <c r="E371" s="6" t="s">
        <v>685</v>
      </c>
      <c r="F371" s="6" t="b">
        <v>1</v>
      </c>
      <c r="G371" s="6">
        <v>0.02516666666666667</v>
      </c>
    </row>
    <row r="372" spans="1:7">
      <c r="A372" s="6" t="s">
        <v>206</v>
      </c>
      <c r="B372" s="6" t="s">
        <v>55</v>
      </c>
      <c r="C372" s="6" t="s">
        <v>184</v>
      </c>
      <c r="D372" s="6" t="s">
        <v>177</v>
      </c>
      <c r="E372" s="6" t="s">
        <v>44</v>
      </c>
      <c r="F372" s="6" t="b">
        <v>0</v>
      </c>
      <c r="G372" s="6">
        <v>118.05375</v>
      </c>
    </row>
    <row r="373" spans="1:7">
      <c r="A373" s="6" t="s">
        <v>206</v>
      </c>
      <c r="B373" s="6" t="s">
        <v>55</v>
      </c>
      <c r="C373" s="6" t="s">
        <v>184</v>
      </c>
      <c r="D373" s="6" t="s">
        <v>177</v>
      </c>
      <c r="E373" s="6" t="s">
        <v>86</v>
      </c>
      <c r="F373" s="6" t="b">
        <v>0</v>
      </c>
      <c r="G373" s="6">
        <v>0.0115</v>
      </c>
    </row>
    <row r="374" spans="1:7">
      <c r="A374" s="6" t="s">
        <v>206</v>
      </c>
      <c r="B374" s="6" t="s">
        <v>55</v>
      </c>
      <c r="C374" s="6" t="s">
        <v>184</v>
      </c>
      <c r="D374" s="6" t="s">
        <v>177</v>
      </c>
      <c r="E374" s="6" t="s">
        <v>685</v>
      </c>
      <c r="F374" s="6" t="b">
        <v>1</v>
      </c>
      <c r="G374" s="6">
        <v>0.1531666666666667</v>
      </c>
    </row>
    <row r="375" spans="1:7">
      <c r="A375" s="6" t="s">
        <v>206</v>
      </c>
      <c r="B375" s="6" t="s">
        <v>55</v>
      </c>
      <c r="C375" s="6" t="s">
        <v>186</v>
      </c>
      <c r="D375" s="6" t="s">
        <v>86</v>
      </c>
      <c r="E375" s="6" t="s">
        <v>86</v>
      </c>
      <c r="F375" s="6" t="b">
        <v>0</v>
      </c>
      <c r="G375" s="6">
        <v>18.29608333333333</v>
      </c>
    </row>
    <row r="376" spans="1:7">
      <c r="A376" s="6" t="s">
        <v>206</v>
      </c>
      <c r="B376" s="6" t="s">
        <v>55</v>
      </c>
      <c r="C376" s="6" t="s">
        <v>186</v>
      </c>
      <c r="D376" s="6" t="s">
        <v>88</v>
      </c>
      <c r="E376" s="6" t="s">
        <v>88</v>
      </c>
      <c r="F376" s="6" t="b">
        <v>0</v>
      </c>
      <c r="G376" s="6">
        <v>1.059166666666667</v>
      </c>
    </row>
    <row r="377" spans="1:7">
      <c r="A377" s="6" t="s">
        <v>206</v>
      </c>
      <c r="B377" s="6" t="s">
        <v>55</v>
      </c>
      <c r="C377" s="6" t="s">
        <v>186</v>
      </c>
      <c r="D377" s="6" t="s">
        <v>90</v>
      </c>
      <c r="E377" s="6" t="s">
        <v>90</v>
      </c>
      <c r="F377" s="6" t="b">
        <v>0</v>
      </c>
      <c r="G377" s="6">
        <v>6.420833333333333</v>
      </c>
    </row>
    <row r="378" spans="1:7">
      <c r="A378" s="6" t="s">
        <v>206</v>
      </c>
      <c r="B378" s="6" t="s">
        <v>55</v>
      </c>
      <c r="C378" s="6" t="s">
        <v>186</v>
      </c>
      <c r="D378" s="6" t="s">
        <v>177</v>
      </c>
      <c r="E378" s="6" t="s">
        <v>86</v>
      </c>
      <c r="F378" s="6" t="b">
        <v>0</v>
      </c>
      <c r="G378" s="6">
        <v>0.13625</v>
      </c>
    </row>
    <row r="379" spans="1:7">
      <c r="A379" s="6" t="s">
        <v>206</v>
      </c>
      <c r="B379" s="6" t="s">
        <v>55</v>
      </c>
      <c r="C379" s="6" t="s">
        <v>189</v>
      </c>
      <c r="D379" s="6" t="s">
        <v>86</v>
      </c>
      <c r="E379" s="6" t="s">
        <v>86</v>
      </c>
      <c r="F379" s="6" t="b">
        <v>0</v>
      </c>
      <c r="G379" s="6">
        <v>0.581</v>
      </c>
    </row>
    <row r="380" spans="1:7">
      <c r="A380" s="6" t="s">
        <v>206</v>
      </c>
      <c r="B380" s="6" t="s">
        <v>55</v>
      </c>
      <c r="C380" s="6" t="s">
        <v>189</v>
      </c>
      <c r="D380" s="6" t="s">
        <v>88</v>
      </c>
      <c r="E380" s="6" t="s">
        <v>88</v>
      </c>
      <c r="F380" s="6" t="b">
        <v>0</v>
      </c>
      <c r="G380" s="6">
        <v>2.02525</v>
      </c>
    </row>
    <row r="381" spans="1:7">
      <c r="A381" s="6" t="s">
        <v>206</v>
      </c>
      <c r="B381" s="6" t="s">
        <v>55</v>
      </c>
      <c r="C381" s="6" t="s">
        <v>189</v>
      </c>
      <c r="D381" s="6" t="s">
        <v>90</v>
      </c>
      <c r="E381" s="6" t="s">
        <v>90</v>
      </c>
      <c r="F381" s="6" t="b">
        <v>0</v>
      </c>
      <c r="G381" s="6">
        <v>0.3306666666666667</v>
      </c>
    </row>
    <row r="382" spans="1:7">
      <c r="A382" s="6" t="s">
        <v>340</v>
      </c>
      <c r="B382" s="6" t="s">
        <v>52</v>
      </c>
      <c r="C382" s="6" t="s">
        <v>186</v>
      </c>
      <c r="D382" s="6" t="s">
        <v>86</v>
      </c>
      <c r="E382" s="6" t="s">
        <v>86</v>
      </c>
      <c r="F382" s="6" t="b">
        <v>0</v>
      </c>
      <c r="G382" s="6">
        <v>183.90575</v>
      </c>
    </row>
    <row r="383" spans="1:7">
      <c r="A383" s="6" t="s">
        <v>340</v>
      </c>
      <c r="B383" s="6" t="s">
        <v>52</v>
      </c>
      <c r="C383" s="6" t="s">
        <v>186</v>
      </c>
      <c r="D383" s="6" t="s">
        <v>88</v>
      </c>
      <c r="E383" s="6" t="s">
        <v>88</v>
      </c>
      <c r="F383" s="6" t="b">
        <v>0</v>
      </c>
      <c r="G383" s="6">
        <v>45.81683333333334</v>
      </c>
    </row>
    <row r="384" spans="1:7">
      <c r="A384" s="6" t="s">
        <v>340</v>
      </c>
      <c r="B384" s="6" t="s">
        <v>52</v>
      </c>
      <c r="C384" s="6" t="s">
        <v>186</v>
      </c>
      <c r="D384" s="6" t="s">
        <v>90</v>
      </c>
      <c r="E384" s="6" t="s">
        <v>90</v>
      </c>
      <c r="F384" s="6" t="b">
        <v>0</v>
      </c>
      <c r="G384" s="6">
        <v>22.83183333333333</v>
      </c>
    </row>
    <row r="385" spans="1:7">
      <c r="A385" s="6" t="s">
        <v>340</v>
      </c>
      <c r="B385" s="6" t="s">
        <v>52</v>
      </c>
      <c r="C385" s="6" t="s">
        <v>186</v>
      </c>
      <c r="D385" s="6" t="s">
        <v>177</v>
      </c>
      <c r="E385" s="6" t="s">
        <v>86</v>
      </c>
      <c r="F385" s="6" t="b">
        <v>0</v>
      </c>
      <c r="G385" s="6">
        <v>1.449666666666667</v>
      </c>
    </row>
    <row r="386" spans="1:7">
      <c r="A386" s="6" t="s">
        <v>340</v>
      </c>
      <c r="B386" s="6" t="s">
        <v>52</v>
      </c>
      <c r="C386" s="6" t="s">
        <v>189</v>
      </c>
      <c r="D386" s="6" t="s">
        <v>86</v>
      </c>
      <c r="E386" s="6" t="s">
        <v>86</v>
      </c>
      <c r="F386" s="6" t="b">
        <v>0</v>
      </c>
      <c r="G386" s="6">
        <v>139.2708333333333</v>
      </c>
    </row>
    <row r="387" spans="1:7">
      <c r="A387" s="6" t="s">
        <v>340</v>
      </c>
      <c r="B387" s="6" t="s">
        <v>52</v>
      </c>
      <c r="C387" s="6" t="s">
        <v>189</v>
      </c>
      <c r="D387" s="6" t="s">
        <v>88</v>
      </c>
      <c r="E387" s="6" t="s">
        <v>88</v>
      </c>
      <c r="F387" s="6" t="b">
        <v>0</v>
      </c>
      <c r="G387" s="6">
        <v>72.97083333333333</v>
      </c>
    </row>
    <row r="388" spans="1:7">
      <c r="A388" s="6" t="s">
        <v>340</v>
      </c>
      <c r="B388" s="6" t="s">
        <v>52</v>
      </c>
      <c r="C388" s="6" t="s">
        <v>189</v>
      </c>
      <c r="D388" s="6" t="s">
        <v>90</v>
      </c>
      <c r="E388" s="6" t="s">
        <v>90</v>
      </c>
      <c r="F388" s="6" t="b">
        <v>0</v>
      </c>
      <c r="G388" s="6">
        <v>1.50975</v>
      </c>
    </row>
    <row r="389" spans="1:7">
      <c r="A389" s="6" t="s">
        <v>340</v>
      </c>
      <c r="B389" s="6" t="s">
        <v>55</v>
      </c>
      <c r="C389" s="6" t="s">
        <v>189</v>
      </c>
      <c r="D389" s="6" t="s">
        <v>86</v>
      </c>
      <c r="E389" s="6" t="s">
        <v>86</v>
      </c>
      <c r="F389" s="6" t="b">
        <v>0</v>
      </c>
      <c r="G389" s="6">
        <v>142.9763333333333</v>
      </c>
    </row>
    <row r="390" spans="1:7">
      <c r="A390" s="6" t="s">
        <v>207</v>
      </c>
      <c r="B390" s="6" t="s">
        <v>55</v>
      </c>
      <c r="C390" s="6" t="s">
        <v>181</v>
      </c>
      <c r="D390" s="6" t="s">
        <v>88</v>
      </c>
      <c r="E390" s="6" t="s">
        <v>88</v>
      </c>
      <c r="F390" s="6" t="b">
        <v>0</v>
      </c>
      <c r="G390" s="6">
        <v>0.1988333333333333</v>
      </c>
    </row>
    <row r="391" spans="1:7">
      <c r="A391" s="6" t="s">
        <v>207</v>
      </c>
      <c r="B391" s="6" t="s">
        <v>55</v>
      </c>
      <c r="C391" s="6" t="s">
        <v>181</v>
      </c>
      <c r="D391" s="6" t="s">
        <v>90</v>
      </c>
      <c r="E391" s="6" t="s">
        <v>90</v>
      </c>
      <c r="F391" s="6" t="b">
        <v>0</v>
      </c>
      <c r="G391" s="6">
        <v>0.005500000000000001</v>
      </c>
    </row>
    <row r="392" spans="1:7">
      <c r="A392" s="6" t="s">
        <v>207</v>
      </c>
      <c r="B392" s="6" t="s">
        <v>55</v>
      </c>
      <c r="C392" s="6" t="s">
        <v>183</v>
      </c>
      <c r="D392" s="6" t="s">
        <v>90</v>
      </c>
      <c r="E392" s="6" t="s">
        <v>86</v>
      </c>
      <c r="F392" s="6" t="b">
        <v>0</v>
      </c>
      <c r="G392" s="6">
        <v>0.001833333333333333</v>
      </c>
    </row>
    <row r="393" spans="1:7">
      <c r="A393" s="6" t="s">
        <v>207</v>
      </c>
      <c r="B393" s="6" t="s">
        <v>55</v>
      </c>
      <c r="C393" s="6" t="s">
        <v>183</v>
      </c>
      <c r="D393" s="6" t="s">
        <v>90</v>
      </c>
      <c r="E393" s="6" t="s">
        <v>90</v>
      </c>
      <c r="F393" s="6" t="b">
        <v>0</v>
      </c>
      <c r="G393" s="6">
        <v>0.00725</v>
      </c>
    </row>
    <row r="394" spans="1:7">
      <c r="A394" s="6" t="s">
        <v>207</v>
      </c>
      <c r="B394" s="6" t="s">
        <v>55</v>
      </c>
      <c r="C394" s="6" t="s">
        <v>184</v>
      </c>
      <c r="D394" s="6" t="s">
        <v>44</v>
      </c>
      <c r="E394" s="6" t="s">
        <v>44</v>
      </c>
      <c r="F394" s="6" t="b">
        <v>0</v>
      </c>
      <c r="G394" s="6">
        <v>1.658833333333333</v>
      </c>
    </row>
    <row r="395" spans="1:7">
      <c r="A395" s="6" t="s">
        <v>207</v>
      </c>
      <c r="B395" s="6" t="s">
        <v>55</v>
      </c>
      <c r="C395" s="6" t="s">
        <v>184</v>
      </c>
      <c r="D395" s="6" t="s">
        <v>88</v>
      </c>
      <c r="E395" s="6" t="s">
        <v>88</v>
      </c>
      <c r="F395" s="6" t="b">
        <v>0</v>
      </c>
      <c r="G395" s="6">
        <v>0.01008333333333333</v>
      </c>
    </row>
    <row r="396" spans="1:7">
      <c r="A396" s="6" t="s">
        <v>207</v>
      </c>
      <c r="B396" s="6" t="s">
        <v>55</v>
      </c>
      <c r="C396" s="6" t="s">
        <v>184</v>
      </c>
      <c r="D396" s="6" t="s">
        <v>90</v>
      </c>
      <c r="E396" s="6" t="s">
        <v>90</v>
      </c>
      <c r="F396" s="6" t="b">
        <v>0</v>
      </c>
      <c r="G396" s="6">
        <v>0.01383333333333333</v>
      </c>
    </row>
    <row r="397" spans="1:7">
      <c r="A397" s="6" t="s">
        <v>207</v>
      </c>
      <c r="B397" s="6" t="s">
        <v>55</v>
      </c>
      <c r="C397" s="6" t="s">
        <v>184</v>
      </c>
      <c r="D397" s="6" t="s">
        <v>90</v>
      </c>
      <c r="E397" s="6" t="s">
        <v>685</v>
      </c>
      <c r="F397" s="6" t="b">
        <v>1</v>
      </c>
      <c r="G397" s="6">
        <v>0.002666666666666667</v>
      </c>
    </row>
    <row r="398" spans="1:7">
      <c r="A398" s="6" t="s">
        <v>207</v>
      </c>
      <c r="B398" s="6" t="s">
        <v>55</v>
      </c>
      <c r="C398" s="6" t="s">
        <v>184</v>
      </c>
      <c r="D398" s="6" t="s">
        <v>177</v>
      </c>
      <c r="E398" s="6" t="s">
        <v>44</v>
      </c>
      <c r="F398" s="6" t="b">
        <v>0</v>
      </c>
      <c r="G398" s="6">
        <v>1.398416666666667</v>
      </c>
    </row>
    <row r="399" spans="1:7">
      <c r="A399" s="6" t="s">
        <v>207</v>
      </c>
      <c r="B399" s="6" t="s">
        <v>55</v>
      </c>
      <c r="C399" s="6" t="s">
        <v>184</v>
      </c>
      <c r="D399" s="6" t="s">
        <v>177</v>
      </c>
      <c r="E399" s="6" t="s">
        <v>86</v>
      </c>
      <c r="F399" s="6" t="b">
        <v>0</v>
      </c>
      <c r="G399" s="6">
        <v>0.00275</v>
      </c>
    </row>
    <row r="400" spans="1:7">
      <c r="A400" s="6" t="s">
        <v>207</v>
      </c>
      <c r="B400" s="6" t="s">
        <v>55</v>
      </c>
      <c r="C400" s="6" t="s">
        <v>184</v>
      </c>
      <c r="D400" s="6" t="s">
        <v>177</v>
      </c>
      <c r="E400" s="6" t="s">
        <v>685</v>
      </c>
      <c r="F400" s="6" t="b">
        <v>1</v>
      </c>
      <c r="G400" s="6">
        <v>0.1063333333333333</v>
      </c>
    </row>
    <row r="401" spans="1:7">
      <c r="A401" s="6" t="s">
        <v>207</v>
      </c>
      <c r="B401" s="6" t="s">
        <v>55</v>
      </c>
      <c r="C401" s="6" t="s">
        <v>186</v>
      </c>
      <c r="D401" s="6" t="s">
        <v>86</v>
      </c>
      <c r="E401" s="6" t="s">
        <v>86</v>
      </c>
      <c r="F401" s="6" t="b">
        <v>0</v>
      </c>
      <c r="G401" s="6">
        <v>0.3329166666666667</v>
      </c>
    </row>
    <row r="402" spans="1:7">
      <c r="A402" s="6" t="s">
        <v>207</v>
      </c>
      <c r="B402" s="6" t="s">
        <v>55</v>
      </c>
      <c r="C402" s="6" t="s">
        <v>186</v>
      </c>
      <c r="D402" s="6" t="s">
        <v>88</v>
      </c>
      <c r="E402" s="6" t="s">
        <v>88</v>
      </c>
      <c r="F402" s="6" t="b">
        <v>0</v>
      </c>
      <c r="G402" s="6">
        <v>0.01233333333333333</v>
      </c>
    </row>
    <row r="403" spans="1:7">
      <c r="A403" s="6" t="s">
        <v>207</v>
      </c>
      <c r="B403" s="6" t="s">
        <v>55</v>
      </c>
      <c r="C403" s="6" t="s">
        <v>186</v>
      </c>
      <c r="D403" s="6" t="s">
        <v>90</v>
      </c>
      <c r="E403" s="6" t="s">
        <v>90</v>
      </c>
      <c r="F403" s="6" t="b">
        <v>0</v>
      </c>
      <c r="G403" s="6">
        <v>0.177</v>
      </c>
    </row>
    <row r="404" spans="1:7">
      <c r="A404" s="6" t="s">
        <v>207</v>
      </c>
      <c r="B404" s="6" t="s">
        <v>55</v>
      </c>
      <c r="C404" s="6" t="s">
        <v>186</v>
      </c>
      <c r="D404" s="6" t="s">
        <v>177</v>
      </c>
      <c r="E404" s="6" t="s">
        <v>86</v>
      </c>
      <c r="F404" s="6" t="b">
        <v>0</v>
      </c>
      <c r="G404" s="6">
        <v>0.011</v>
      </c>
    </row>
    <row r="405" spans="1:7">
      <c r="A405" s="6" t="s">
        <v>207</v>
      </c>
      <c r="B405" s="6" t="s">
        <v>55</v>
      </c>
      <c r="C405" s="6" t="s">
        <v>189</v>
      </c>
      <c r="D405" s="6" t="s">
        <v>86</v>
      </c>
      <c r="E405" s="6" t="s">
        <v>86</v>
      </c>
      <c r="F405" s="6" t="b">
        <v>0</v>
      </c>
      <c r="G405" s="6">
        <v>0.1020833333333333</v>
      </c>
    </row>
    <row r="406" spans="1:7">
      <c r="A406" s="6" t="s">
        <v>207</v>
      </c>
      <c r="B406" s="6" t="s">
        <v>55</v>
      </c>
      <c r="C406" s="6" t="s">
        <v>189</v>
      </c>
      <c r="D406" s="6" t="s">
        <v>88</v>
      </c>
      <c r="E406" s="6" t="s">
        <v>88</v>
      </c>
      <c r="F406" s="6" t="b">
        <v>0</v>
      </c>
      <c r="G406" s="6">
        <v>0.03458333333333333</v>
      </c>
    </row>
    <row r="407" spans="1:7">
      <c r="A407" s="6" t="s">
        <v>207</v>
      </c>
      <c r="B407" s="6" t="s">
        <v>55</v>
      </c>
      <c r="C407" s="6" t="s">
        <v>189</v>
      </c>
      <c r="D407" s="6" t="s">
        <v>90</v>
      </c>
      <c r="E407" s="6" t="s">
        <v>90</v>
      </c>
      <c r="F407" s="6" t="b">
        <v>0</v>
      </c>
      <c r="G407" s="6">
        <v>0.007583333333333333</v>
      </c>
    </row>
    <row r="408" spans="1:7">
      <c r="A408" s="6" t="s">
        <v>208</v>
      </c>
      <c r="B408" s="6" t="s">
        <v>51</v>
      </c>
      <c r="C408" s="6" t="s">
        <v>181</v>
      </c>
      <c r="D408" s="6" t="s">
        <v>88</v>
      </c>
      <c r="E408" s="6" t="s">
        <v>88</v>
      </c>
      <c r="F408" s="6" t="b">
        <v>0</v>
      </c>
      <c r="G408" s="6">
        <v>1.263583333333333</v>
      </c>
    </row>
    <row r="409" spans="1:7">
      <c r="A409" s="6" t="s">
        <v>208</v>
      </c>
      <c r="B409" s="6" t="s">
        <v>51</v>
      </c>
      <c r="C409" s="6" t="s">
        <v>181</v>
      </c>
      <c r="D409" s="6" t="s">
        <v>90</v>
      </c>
      <c r="E409" s="6" t="s">
        <v>90</v>
      </c>
      <c r="F409" s="6" t="b">
        <v>0</v>
      </c>
      <c r="G409" s="6">
        <v>0.00825</v>
      </c>
    </row>
    <row r="410" spans="1:7">
      <c r="A410" s="6" t="s">
        <v>208</v>
      </c>
      <c r="B410" s="6" t="s">
        <v>51</v>
      </c>
      <c r="C410" s="6" t="s">
        <v>182</v>
      </c>
      <c r="D410" s="6" t="s">
        <v>88</v>
      </c>
      <c r="E410" s="6" t="s">
        <v>88</v>
      </c>
      <c r="F410" s="6" t="b">
        <v>0</v>
      </c>
      <c r="G410" s="6">
        <v>0.498</v>
      </c>
    </row>
    <row r="411" spans="1:7">
      <c r="A411" s="6" t="s">
        <v>208</v>
      </c>
      <c r="B411" s="6" t="s">
        <v>51</v>
      </c>
      <c r="C411" s="6" t="s">
        <v>183</v>
      </c>
      <c r="D411" s="6" t="s">
        <v>86</v>
      </c>
      <c r="E411" s="6" t="s">
        <v>86</v>
      </c>
      <c r="F411" s="6" t="b">
        <v>0</v>
      </c>
      <c r="G411" s="6">
        <v>0.001833333333333333</v>
      </c>
    </row>
    <row r="412" spans="1:7">
      <c r="A412" s="6" t="s">
        <v>208</v>
      </c>
      <c r="B412" s="6" t="s">
        <v>51</v>
      </c>
      <c r="C412" s="6" t="s">
        <v>183</v>
      </c>
      <c r="D412" s="6" t="s">
        <v>88</v>
      </c>
      <c r="E412" s="6" t="s">
        <v>88</v>
      </c>
      <c r="F412" s="6" t="b">
        <v>0</v>
      </c>
      <c r="G412" s="6">
        <v>0.03375</v>
      </c>
    </row>
    <row r="413" spans="1:7">
      <c r="A413" s="6" t="s">
        <v>208</v>
      </c>
      <c r="B413" s="6" t="s">
        <v>51</v>
      </c>
      <c r="C413" s="6" t="s">
        <v>183</v>
      </c>
      <c r="D413" s="6" t="s">
        <v>90</v>
      </c>
      <c r="E413" s="6" t="s">
        <v>86</v>
      </c>
      <c r="F413" s="6" t="b">
        <v>0</v>
      </c>
      <c r="G413" s="6">
        <v>0.1385833333333333</v>
      </c>
    </row>
    <row r="414" spans="1:7">
      <c r="A414" s="6" t="s">
        <v>208</v>
      </c>
      <c r="B414" s="6" t="s">
        <v>51</v>
      </c>
      <c r="C414" s="6" t="s">
        <v>183</v>
      </c>
      <c r="D414" s="6" t="s">
        <v>90</v>
      </c>
      <c r="E414" s="6" t="s">
        <v>90</v>
      </c>
      <c r="F414" s="6" t="b">
        <v>0</v>
      </c>
      <c r="G414" s="6">
        <v>0.07933333333333333</v>
      </c>
    </row>
    <row r="415" spans="1:7">
      <c r="A415" s="6" t="s">
        <v>208</v>
      </c>
      <c r="B415" s="6" t="s">
        <v>51</v>
      </c>
      <c r="C415" s="6" t="s">
        <v>183</v>
      </c>
      <c r="D415" s="6" t="s">
        <v>177</v>
      </c>
      <c r="E415" s="6" t="s">
        <v>86</v>
      </c>
      <c r="F415" s="6" t="b">
        <v>0</v>
      </c>
      <c r="G415" s="6">
        <v>0.007583333333333333</v>
      </c>
    </row>
    <row r="416" spans="1:7">
      <c r="A416" s="6" t="s">
        <v>208</v>
      </c>
      <c r="B416" s="6" t="s">
        <v>51</v>
      </c>
      <c r="C416" s="6" t="s">
        <v>184</v>
      </c>
      <c r="D416" s="6" t="s">
        <v>44</v>
      </c>
      <c r="E416" s="6" t="s">
        <v>44</v>
      </c>
      <c r="F416" s="6" t="b">
        <v>0</v>
      </c>
      <c r="G416" s="6">
        <v>26.53175</v>
      </c>
    </row>
    <row r="417" spans="1:7">
      <c r="A417" s="6" t="s">
        <v>208</v>
      </c>
      <c r="B417" s="6" t="s">
        <v>51</v>
      </c>
      <c r="C417" s="6" t="s">
        <v>184</v>
      </c>
      <c r="D417" s="6" t="s">
        <v>88</v>
      </c>
      <c r="E417" s="6" t="s">
        <v>88</v>
      </c>
      <c r="F417" s="6" t="b">
        <v>0</v>
      </c>
      <c r="G417" s="6">
        <v>0.02341666666666667</v>
      </c>
    </row>
    <row r="418" spans="1:7">
      <c r="A418" s="6" t="s">
        <v>208</v>
      </c>
      <c r="B418" s="6" t="s">
        <v>51</v>
      </c>
      <c r="C418" s="6" t="s">
        <v>184</v>
      </c>
      <c r="D418" s="6" t="s">
        <v>90</v>
      </c>
      <c r="E418" s="6" t="s">
        <v>90</v>
      </c>
      <c r="F418" s="6" t="b">
        <v>0</v>
      </c>
      <c r="G418" s="6">
        <v>0.03908333333333334</v>
      </c>
    </row>
    <row r="419" spans="1:7">
      <c r="A419" s="6" t="s">
        <v>208</v>
      </c>
      <c r="B419" s="6" t="s">
        <v>51</v>
      </c>
      <c r="C419" s="6" t="s">
        <v>184</v>
      </c>
      <c r="D419" s="6" t="s">
        <v>90</v>
      </c>
      <c r="E419" s="6" t="s">
        <v>685</v>
      </c>
      <c r="F419" s="6" t="b">
        <v>1</v>
      </c>
      <c r="G419" s="6">
        <v>0.2924166666666667</v>
      </c>
    </row>
    <row r="420" spans="1:7">
      <c r="A420" s="6" t="s">
        <v>208</v>
      </c>
      <c r="B420" s="6" t="s">
        <v>51</v>
      </c>
      <c r="C420" s="6" t="s">
        <v>184</v>
      </c>
      <c r="D420" s="6" t="s">
        <v>177</v>
      </c>
      <c r="E420" s="6" t="s">
        <v>44</v>
      </c>
      <c r="F420" s="6" t="b">
        <v>0</v>
      </c>
      <c r="G420" s="6">
        <v>16.63066666666667</v>
      </c>
    </row>
    <row r="421" spans="1:7">
      <c r="A421" s="6" t="s">
        <v>208</v>
      </c>
      <c r="B421" s="6" t="s">
        <v>51</v>
      </c>
      <c r="C421" s="6" t="s">
        <v>184</v>
      </c>
      <c r="D421" s="6" t="s">
        <v>177</v>
      </c>
      <c r="E421" s="6" t="s">
        <v>86</v>
      </c>
      <c r="F421" s="6" t="b">
        <v>0</v>
      </c>
      <c r="G421" s="6">
        <v>0.03325</v>
      </c>
    </row>
    <row r="422" spans="1:7">
      <c r="A422" s="6" t="s">
        <v>208</v>
      </c>
      <c r="B422" s="6" t="s">
        <v>51</v>
      </c>
      <c r="C422" s="6" t="s">
        <v>184</v>
      </c>
      <c r="D422" s="6" t="s">
        <v>177</v>
      </c>
      <c r="E422" s="6" t="s">
        <v>685</v>
      </c>
      <c r="F422" s="6" t="b">
        <v>1</v>
      </c>
      <c r="G422" s="6">
        <v>1.632083333333333</v>
      </c>
    </row>
    <row r="423" spans="1:7">
      <c r="A423" s="6" t="s">
        <v>208</v>
      </c>
      <c r="B423" s="6" t="s">
        <v>51</v>
      </c>
      <c r="C423" s="6" t="s">
        <v>185</v>
      </c>
      <c r="D423" s="6" t="s">
        <v>44</v>
      </c>
      <c r="E423" s="6" t="s">
        <v>685</v>
      </c>
      <c r="F423" s="6" t="b">
        <v>1</v>
      </c>
      <c r="G423" s="6">
        <v>15.195</v>
      </c>
    </row>
    <row r="424" spans="1:7">
      <c r="A424" s="6" t="s">
        <v>208</v>
      </c>
      <c r="B424" s="6" t="s">
        <v>51</v>
      </c>
      <c r="C424" s="6" t="s">
        <v>186</v>
      </c>
      <c r="D424" s="6" t="s">
        <v>86</v>
      </c>
      <c r="E424" s="6" t="s">
        <v>86</v>
      </c>
      <c r="F424" s="6" t="b">
        <v>0</v>
      </c>
      <c r="G424" s="6">
        <v>1.431333333333333</v>
      </c>
    </row>
    <row r="425" spans="1:7">
      <c r="A425" s="6" t="s">
        <v>208</v>
      </c>
      <c r="B425" s="6" t="s">
        <v>51</v>
      </c>
      <c r="C425" s="6" t="s">
        <v>186</v>
      </c>
      <c r="D425" s="6" t="s">
        <v>88</v>
      </c>
      <c r="E425" s="6" t="s">
        <v>88</v>
      </c>
      <c r="F425" s="6" t="b">
        <v>0</v>
      </c>
      <c r="G425" s="6">
        <v>0.1546666666666667</v>
      </c>
    </row>
    <row r="426" spans="1:7">
      <c r="A426" s="6" t="s">
        <v>208</v>
      </c>
      <c r="B426" s="6" t="s">
        <v>51</v>
      </c>
      <c r="C426" s="6" t="s">
        <v>186</v>
      </c>
      <c r="D426" s="6" t="s">
        <v>90</v>
      </c>
      <c r="E426" s="6" t="s">
        <v>90</v>
      </c>
      <c r="F426" s="6" t="b">
        <v>0</v>
      </c>
      <c r="G426" s="6">
        <v>3.158916666666667</v>
      </c>
    </row>
    <row r="427" spans="1:7">
      <c r="A427" s="6" t="s">
        <v>208</v>
      </c>
      <c r="B427" s="6" t="s">
        <v>51</v>
      </c>
      <c r="C427" s="6" t="s">
        <v>186</v>
      </c>
      <c r="D427" s="6" t="s">
        <v>177</v>
      </c>
      <c r="E427" s="6" t="s">
        <v>86</v>
      </c>
      <c r="F427" s="6" t="b">
        <v>0</v>
      </c>
      <c r="G427" s="6">
        <v>0.04833333333333334</v>
      </c>
    </row>
    <row r="428" spans="1:7">
      <c r="A428" s="6" t="s">
        <v>208</v>
      </c>
      <c r="B428" s="6" t="s">
        <v>51</v>
      </c>
      <c r="C428" s="6" t="s">
        <v>189</v>
      </c>
      <c r="D428" s="6" t="s">
        <v>86</v>
      </c>
      <c r="E428" s="6" t="s">
        <v>86</v>
      </c>
      <c r="F428" s="6" t="b">
        <v>0</v>
      </c>
      <c r="G428" s="6">
        <v>0.5886666666666667</v>
      </c>
    </row>
    <row r="429" spans="1:7">
      <c r="A429" s="6" t="s">
        <v>208</v>
      </c>
      <c r="B429" s="6" t="s">
        <v>51</v>
      </c>
      <c r="C429" s="6" t="s">
        <v>189</v>
      </c>
      <c r="D429" s="6" t="s">
        <v>88</v>
      </c>
      <c r="E429" s="6" t="s">
        <v>88</v>
      </c>
      <c r="F429" s="6" t="b">
        <v>0</v>
      </c>
      <c r="G429" s="6">
        <v>0.22725</v>
      </c>
    </row>
    <row r="430" spans="1:7">
      <c r="A430" s="6" t="s">
        <v>208</v>
      </c>
      <c r="B430" s="6" t="s">
        <v>51</v>
      </c>
      <c r="C430" s="6" t="s">
        <v>189</v>
      </c>
      <c r="D430" s="6" t="s">
        <v>90</v>
      </c>
      <c r="E430" s="6" t="s">
        <v>90</v>
      </c>
      <c r="F430" s="6" t="b">
        <v>0</v>
      </c>
      <c r="G430" s="6">
        <v>0.07266666666666667</v>
      </c>
    </row>
    <row r="431" spans="1:7">
      <c r="A431" s="6" t="s">
        <v>208</v>
      </c>
      <c r="B431" s="6" t="s">
        <v>51</v>
      </c>
      <c r="C431" s="6" t="s">
        <v>190</v>
      </c>
      <c r="D431" s="6" t="s">
        <v>44</v>
      </c>
      <c r="E431" s="6" t="s">
        <v>44</v>
      </c>
      <c r="F431" s="6" t="b">
        <v>0</v>
      </c>
      <c r="G431" s="6">
        <v>1.191916666666667</v>
      </c>
    </row>
    <row r="432" spans="1:7">
      <c r="A432" s="6" t="s">
        <v>208</v>
      </c>
      <c r="B432" s="6" t="s">
        <v>51</v>
      </c>
      <c r="C432" s="6" t="s">
        <v>190</v>
      </c>
      <c r="D432" s="6" t="s">
        <v>86</v>
      </c>
      <c r="E432" s="6" t="s">
        <v>44</v>
      </c>
      <c r="F432" s="6" t="b">
        <v>0</v>
      </c>
      <c r="G432" s="6">
        <v>0.4168333333333333</v>
      </c>
    </row>
    <row r="433" spans="1:7">
      <c r="A433" s="6" t="s">
        <v>208</v>
      </c>
      <c r="B433" s="6" t="s">
        <v>51</v>
      </c>
      <c r="C433" s="6" t="s">
        <v>190</v>
      </c>
      <c r="D433" s="6" t="s">
        <v>86</v>
      </c>
      <c r="E433" s="6" t="s">
        <v>86</v>
      </c>
      <c r="F433" s="6" t="b">
        <v>0</v>
      </c>
      <c r="G433" s="6">
        <v>0.03299999999999999</v>
      </c>
    </row>
    <row r="434" spans="1:7">
      <c r="A434" s="6" t="s">
        <v>208</v>
      </c>
      <c r="B434" s="6" t="s">
        <v>51</v>
      </c>
      <c r="C434" s="6" t="s">
        <v>190</v>
      </c>
      <c r="D434" s="6" t="s">
        <v>90</v>
      </c>
      <c r="E434" s="6" t="s">
        <v>44</v>
      </c>
      <c r="F434" s="6" t="b">
        <v>0</v>
      </c>
      <c r="G434" s="6">
        <v>0.2255</v>
      </c>
    </row>
    <row r="435" spans="1:7">
      <c r="A435" s="6" t="s">
        <v>208</v>
      </c>
      <c r="B435" s="6" t="s">
        <v>51</v>
      </c>
      <c r="C435" s="6" t="s">
        <v>190</v>
      </c>
      <c r="D435" s="6" t="s">
        <v>90</v>
      </c>
      <c r="E435" s="6" t="s">
        <v>90</v>
      </c>
      <c r="F435" s="6" t="b">
        <v>0</v>
      </c>
      <c r="G435" s="6">
        <v>0.08883333333333333</v>
      </c>
    </row>
    <row r="436" spans="1:7">
      <c r="A436" s="6" t="s">
        <v>208</v>
      </c>
      <c r="B436" s="6" t="s">
        <v>51</v>
      </c>
      <c r="C436" s="6" t="s">
        <v>190</v>
      </c>
      <c r="D436" s="6" t="s">
        <v>177</v>
      </c>
      <c r="E436" s="6" t="s">
        <v>44</v>
      </c>
      <c r="F436" s="6" t="b">
        <v>0</v>
      </c>
      <c r="G436" s="6">
        <v>1.010166666666667</v>
      </c>
    </row>
    <row r="437" spans="1:7">
      <c r="A437" s="6" t="s">
        <v>209</v>
      </c>
      <c r="B437" s="6" t="s">
        <v>57</v>
      </c>
      <c r="C437" s="6" t="s">
        <v>181</v>
      </c>
      <c r="D437" s="6" t="s">
        <v>88</v>
      </c>
      <c r="E437" s="6" t="s">
        <v>88</v>
      </c>
      <c r="F437" s="6" t="b">
        <v>0</v>
      </c>
      <c r="G437" s="6">
        <v>0.1499166666666667</v>
      </c>
    </row>
    <row r="438" spans="1:7">
      <c r="A438" s="6" t="s">
        <v>209</v>
      </c>
      <c r="B438" s="6" t="s">
        <v>57</v>
      </c>
      <c r="C438" s="6" t="s">
        <v>181</v>
      </c>
      <c r="D438" s="6" t="s">
        <v>90</v>
      </c>
      <c r="E438" s="6" t="s">
        <v>90</v>
      </c>
      <c r="F438" s="6" t="b">
        <v>0</v>
      </c>
      <c r="G438" s="6">
        <v>0.01375</v>
      </c>
    </row>
    <row r="439" spans="1:7">
      <c r="A439" s="6" t="s">
        <v>209</v>
      </c>
      <c r="B439" s="6" t="s">
        <v>57</v>
      </c>
      <c r="C439" s="6" t="s">
        <v>183</v>
      </c>
      <c r="D439" s="6" t="s">
        <v>90</v>
      </c>
      <c r="E439" s="6" t="s">
        <v>86</v>
      </c>
      <c r="F439" s="6" t="b">
        <v>0</v>
      </c>
      <c r="G439" s="6">
        <v>0.001833333333333333</v>
      </c>
    </row>
    <row r="440" spans="1:7">
      <c r="A440" s="6" t="s">
        <v>209</v>
      </c>
      <c r="B440" s="6" t="s">
        <v>57</v>
      </c>
      <c r="C440" s="6" t="s">
        <v>183</v>
      </c>
      <c r="D440" s="6" t="s">
        <v>90</v>
      </c>
      <c r="E440" s="6" t="s">
        <v>90</v>
      </c>
      <c r="F440" s="6" t="b">
        <v>0</v>
      </c>
      <c r="G440" s="6">
        <v>0.01158333333333333</v>
      </c>
    </row>
    <row r="441" spans="1:7">
      <c r="A441" s="6" t="s">
        <v>209</v>
      </c>
      <c r="B441" s="6" t="s">
        <v>57</v>
      </c>
      <c r="C441" s="6" t="s">
        <v>184</v>
      </c>
      <c r="D441" s="6" t="s">
        <v>44</v>
      </c>
      <c r="E441" s="6" t="s">
        <v>44</v>
      </c>
      <c r="F441" s="6" t="b">
        <v>0</v>
      </c>
      <c r="G441" s="6">
        <v>2.454166666666667</v>
      </c>
    </row>
    <row r="442" spans="1:7">
      <c r="A442" s="6" t="s">
        <v>209</v>
      </c>
      <c r="B442" s="6" t="s">
        <v>57</v>
      </c>
      <c r="C442" s="6" t="s">
        <v>184</v>
      </c>
      <c r="D442" s="6" t="s">
        <v>88</v>
      </c>
      <c r="E442" s="6" t="s">
        <v>88</v>
      </c>
      <c r="F442" s="6" t="b">
        <v>0</v>
      </c>
      <c r="G442" s="6">
        <v>0.011</v>
      </c>
    </row>
    <row r="443" spans="1:7">
      <c r="A443" s="6" t="s">
        <v>209</v>
      </c>
      <c r="B443" s="6" t="s">
        <v>57</v>
      </c>
      <c r="C443" s="6" t="s">
        <v>184</v>
      </c>
      <c r="D443" s="6" t="s">
        <v>90</v>
      </c>
      <c r="E443" s="6" t="s">
        <v>90</v>
      </c>
      <c r="F443" s="6" t="b">
        <v>0</v>
      </c>
      <c r="G443" s="6">
        <v>0.01666666666666667</v>
      </c>
    </row>
    <row r="444" spans="1:7">
      <c r="A444" s="6" t="s">
        <v>209</v>
      </c>
      <c r="B444" s="6" t="s">
        <v>57</v>
      </c>
      <c r="C444" s="6" t="s">
        <v>184</v>
      </c>
      <c r="D444" s="6" t="s">
        <v>90</v>
      </c>
      <c r="E444" s="6" t="s">
        <v>685</v>
      </c>
      <c r="F444" s="6" t="b">
        <v>1</v>
      </c>
      <c r="G444" s="6">
        <v>0.003416666666666667</v>
      </c>
    </row>
    <row r="445" spans="1:7">
      <c r="A445" s="6" t="s">
        <v>209</v>
      </c>
      <c r="B445" s="6" t="s">
        <v>57</v>
      </c>
      <c r="C445" s="6" t="s">
        <v>184</v>
      </c>
      <c r="D445" s="6" t="s">
        <v>177</v>
      </c>
      <c r="E445" s="6" t="s">
        <v>44</v>
      </c>
      <c r="F445" s="6" t="b">
        <v>0</v>
      </c>
      <c r="G445" s="6">
        <v>1.712583333333334</v>
      </c>
    </row>
    <row r="446" spans="1:7">
      <c r="A446" s="6" t="s">
        <v>209</v>
      </c>
      <c r="B446" s="6" t="s">
        <v>57</v>
      </c>
      <c r="C446" s="6" t="s">
        <v>184</v>
      </c>
      <c r="D446" s="6" t="s">
        <v>177</v>
      </c>
      <c r="E446" s="6" t="s">
        <v>86</v>
      </c>
      <c r="F446" s="6" t="b">
        <v>0</v>
      </c>
      <c r="G446" s="6">
        <v>0.009000000000000001</v>
      </c>
    </row>
    <row r="447" spans="1:7">
      <c r="A447" s="6" t="s">
        <v>209</v>
      </c>
      <c r="B447" s="6" t="s">
        <v>57</v>
      </c>
      <c r="C447" s="6" t="s">
        <v>184</v>
      </c>
      <c r="D447" s="6" t="s">
        <v>177</v>
      </c>
      <c r="E447" s="6" t="s">
        <v>685</v>
      </c>
      <c r="F447" s="6" t="b">
        <v>1</v>
      </c>
      <c r="G447" s="6">
        <v>0.1946666666666667</v>
      </c>
    </row>
    <row r="448" spans="1:7">
      <c r="A448" s="6" t="s">
        <v>209</v>
      </c>
      <c r="B448" s="6" t="s">
        <v>57</v>
      </c>
      <c r="C448" s="6" t="s">
        <v>186</v>
      </c>
      <c r="D448" s="6" t="s">
        <v>86</v>
      </c>
      <c r="E448" s="6" t="s">
        <v>86</v>
      </c>
      <c r="F448" s="6" t="b">
        <v>0</v>
      </c>
      <c r="G448" s="6">
        <v>0.2736666666666667</v>
      </c>
    </row>
    <row r="449" spans="1:7">
      <c r="A449" s="6" t="s">
        <v>209</v>
      </c>
      <c r="B449" s="6" t="s">
        <v>57</v>
      </c>
      <c r="C449" s="6" t="s">
        <v>186</v>
      </c>
      <c r="D449" s="6" t="s">
        <v>88</v>
      </c>
      <c r="E449" s="6" t="s">
        <v>88</v>
      </c>
      <c r="F449" s="6" t="b">
        <v>0</v>
      </c>
      <c r="G449" s="6">
        <v>0.01458333333333333</v>
      </c>
    </row>
    <row r="450" spans="1:7">
      <c r="A450" s="6" t="s">
        <v>209</v>
      </c>
      <c r="B450" s="6" t="s">
        <v>57</v>
      </c>
      <c r="C450" s="6" t="s">
        <v>186</v>
      </c>
      <c r="D450" s="6" t="s">
        <v>90</v>
      </c>
      <c r="E450" s="6" t="s">
        <v>90</v>
      </c>
      <c r="F450" s="6" t="b">
        <v>0</v>
      </c>
      <c r="G450" s="6">
        <v>0.1598333333333334</v>
      </c>
    </row>
    <row r="451" spans="1:7">
      <c r="A451" s="6" t="s">
        <v>209</v>
      </c>
      <c r="B451" s="6" t="s">
        <v>57</v>
      </c>
      <c r="C451" s="6" t="s">
        <v>186</v>
      </c>
      <c r="D451" s="6" t="s">
        <v>177</v>
      </c>
      <c r="E451" s="6" t="s">
        <v>86</v>
      </c>
      <c r="F451" s="6" t="b">
        <v>0</v>
      </c>
      <c r="G451" s="6">
        <v>0.005333333333333333</v>
      </c>
    </row>
    <row r="452" spans="1:7">
      <c r="A452" s="6" t="s">
        <v>209</v>
      </c>
      <c r="B452" s="6" t="s">
        <v>57</v>
      </c>
      <c r="C452" s="6" t="s">
        <v>189</v>
      </c>
      <c r="D452" s="6" t="s">
        <v>86</v>
      </c>
      <c r="E452" s="6" t="s">
        <v>86</v>
      </c>
      <c r="F452" s="6" t="b">
        <v>0</v>
      </c>
      <c r="G452" s="6">
        <v>0.11675</v>
      </c>
    </row>
    <row r="453" spans="1:7">
      <c r="A453" s="6" t="s">
        <v>209</v>
      </c>
      <c r="B453" s="6" t="s">
        <v>57</v>
      </c>
      <c r="C453" s="6" t="s">
        <v>189</v>
      </c>
      <c r="D453" s="6" t="s">
        <v>88</v>
      </c>
      <c r="E453" s="6" t="s">
        <v>88</v>
      </c>
      <c r="F453" s="6" t="b">
        <v>0</v>
      </c>
      <c r="G453" s="6">
        <v>0.05016666666666666</v>
      </c>
    </row>
    <row r="454" spans="1:7">
      <c r="A454" s="6" t="s">
        <v>209</v>
      </c>
      <c r="B454" s="6" t="s">
        <v>57</v>
      </c>
      <c r="C454" s="6" t="s">
        <v>189</v>
      </c>
      <c r="D454" s="6" t="s">
        <v>90</v>
      </c>
      <c r="E454" s="6" t="s">
        <v>90</v>
      </c>
      <c r="F454" s="6" t="b">
        <v>0</v>
      </c>
      <c r="G454" s="6">
        <v>0.02275</v>
      </c>
    </row>
    <row r="455" spans="1:7">
      <c r="A455" s="6" t="s">
        <v>210</v>
      </c>
      <c r="B455" s="6" t="s">
        <v>53</v>
      </c>
      <c r="C455" s="6" t="s">
        <v>181</v>
      </c>
      <c r="D455" s="6" t="s">
        <v>88</v>
      </c>
      <c r="E455" s="6" t="s">
        <v>88</v>
      </c>
      <c r="F455" s="6" t="b">
        <v>0</v>
      </c>
      <c r="G455" s="6">
        <v>0.3258333333333334</v>
      </c>
    </row>
    <row r="456" spans="1:7">
      <c r="A456" s="6" t="s">
        <v>210</v>
      </c>
      <c r="B456" s="6" t="s">
        <v>53</v>
      </c>
      <c r="C456" s="6" t="s">
        <v>183</v>
      </c>
      <c r="D456" s="6" t="s">
        <v>88</v>
      </c>
      <c r="E456" s="6" t="s">
        <v>88</v>
      </c>
      <c r="F456" s="6" t="b">
        <v>0</v>
      </c>
      <c r="G456" s="6">
        <v>0.01241666666666667</v>
      </c>
    </row>
    <row r="457" spans="1:7">
      <c r="A457" s="6" t="s">
        <v>210</v>
      </c>
      <c r="B457" s="6" t="s">
        <v>53</v>
      </c>
      <c r="C457" s="6" t="s">
        <v>183</v>
      </c>
      <c r="D457" s="6" t="s">
        <v>90</v>
      </c>
      <c r="E457" s="6" t="s">
        <v>86</v>
      </c>
      <c r="F457" s="6" t="b">
        <v>0</v>
      </c>
      <c r="G457" s="6">
        <v>0.008</v>
      </c>
    </row>
    <row r="458" spans="1:7">
      <c r="A458" s="6" t="s">
        <v>210</v>
      </c>
      <c r="B458" s="6" t="s">
        <v>53</v>
      </c>
      <c r="C458" s="6" t="s">
        <v>183</v>
      </c>
      <c r="D458" s="6" t="s">
        <v>90</v>
      </c>
      <c r="E458" s="6" t="s">
        <v>90</v>
      </c>
      <c r="F458" s="6" t="b">
        <v>0</v>
      </c>
      <c r="G458" s="6">
        <v>0.001666666666666667</v>
      </c>
    </row>
    <row r="459" spans="1:7">
      <c r="A459" s="6" t="s">
        <v>210</v>
      </c>
      <c r="B459" s="6" t="s">
        <v>53</v>
      </c>
      <c r="C459" s="6" t="s">
        <v>183</v>
      </c>
      <c r="D459" s="6" t="s">
        <v>177</v>
      </c>
      <c r="E459" s="6" t="s">
        <v>685</v>
      </c>
      <c r="F459" s="6" t="b">
        <v>1</v>
      </c>
      <c r="G459" s="6">
        <v>0.001</v>
      </c>
    </row>
    <row r="460" spans="1:7">
      <c r="A460" s="6" t="s">
        <v>210</v>
      </c>
      <c r="B460" s="6" t="s">
        <v>53</v>
      </c>
      <c r="C460" s="6" t="s">
        <v>184</v>
      </c>
      <c r="D460" s="6" t="s">
        <v>44</v>
      </c>
      <c r="E460" s="6" t="s">
        <v>44</v>
      </c>
      <c r="F460" s="6" t="b">
        <v>0</v>
      </c>
      <c r="G460" s="6">
        <v>1.879583333333333</v>
      </c>
    </row>
    <row r="461" spans="1:7">
      <c r="A461" s="6" t="s">
        <v>210</v>
      </c>
      <c r="B461" s="6" t="s">
        <v>53</v>
      </c>
      <c r="C461" s="6" t="s">
        <v>184</v>
      </c>
      <c r="D461" s="6" t="s">
        <v>88</v>
      </c>
      <c r="E461" s="6" t="s">
        <v>88</v>
      </c>
      <c r="F461" s="6" t="b">
        <v>0</v>
      </c>
      <c r="G461" s="6">
        <v>0.00525</v>
      </c>
    </row>
    <row r="462" spans="1:7">
      <c r="A462" s="6" t="s">
        <v>210</v>
      </c>
      <c r="B462" s="6" t="s">
        <v>53</v>
      </c>
      <c r="C462" s="6" t="s">
        <v>184</v>
      </c>
      <c r="D462" s="6" t="s">
        <v>90</v>
      </c>
      <c r="E462" s="6" t="s">
        <v>90</v>
      </c>
      <c r="F462" s="6" t="b">
        <v>0</v>
      </c>
      <c r="G462" s="6">
        <v>0.01325</v>
      </c>
    </row>
    <row r="463" spans="1:7">
      <c r="A463" s="6" t="s">
        <v>210</v>
      </c>
      <c r="B463" s="6" t="s">
        <v>53</v>
      </c>
      <c r="C463" s="6" t="s">
        <v>184</v>
      </c>
      <c r="D463" s="6" t="s">
        <v>90</v>
      </c>
      <c r="E463" s="6" t="s">
        <v>685</v>
      </c>
      <c r="F463" s="6" t="b">
        <v>1</v>
      </c>
      <c r="G463" s="6">
        <v>0.01025</v>
      </c>
    </row>
    <row r="464" spans="1:7">
      <c r="A464" s="6" t="s">
        <v>210</v>
      </c>
      <c r="B464" s="6" t="s">
        <v>53</v>
      </c>
      <c r="C464" s="6" t="s">
        <v>184</v>
      </c>
      <c r="D464" s="6" t="s">
        <v>177</v>
      </c>
      <c r="E464" s="6" t="s">
        <v>44</v>
      </c>
      <c r="F464" s="6" t="b">
        <v>0</v>
      </c>
      <c r="G464" s="6">
        <v>1.839583333333333</v>
      </c>
    </row>
    <row r="465" spans="1:7">
      <c r="A465" s="6" t="s">
        <v>210</v>
      </c>
      <c r="B465" s="6" t="s">
        <v>53</v>
      </c>
      <c r="C465" s="6" t="s">
        <v>184</v>
      </c>
      <c r="D465" s="6" t="s">
        <v>177</v>
      </c>
      <c r="E465" s="6" t="s">
        <v>86</v>
      </c>
      <c r="F465" s="6" t="b">
        <v>0</v>
      </c>
      <c r="G465" s="6">
        <v>0.0105</v>
      </c>
    </row>
    <row r="466" spans="1:7">
      <c r="A466" s="6" t="s">
        <v>210</v>
      </c>
      <c r="B466" s="6" t="s">
        <v>53</v>
      </c>
      <c r="C466" s="6" t="s">
        <v>184</v>
      </c>
      <c r="D466" s="6" t="s">
        <v>177</v>
      </c>
      <c r="E466" s="6" t="s">
        <v>685</v>
      </c>
      <c r="F466" s="6" t="b">
        <v>1</v>
      </c>
      <c r="G466" s="6">
        <v>0.1515</v>
      </c>
    </row>
    <row r="467" spans="1:7">
      <c r="A467" s="6" t="s">
        <v>210</v>
      </c>
      <c r="B467" s="6" t="s">
        <v>53</v>
      </c>
      <c r="C467" s="6" t="s">
        <v>186</v>
      </c>
      <c r="D467" s="6" t="s">
        <v>86</v>
      </c>
      <c r="E467" s="6" t="s">
        <v>86</v>
      </c>
      <c r="F467" s="6" t="b">
        <v>0</v>
      </c>
      <c r="G467" s="6">
        <v>0.4755833333333333</v>
      </c>
    </row>
    <row r="468" spans="1:7">
      <c r="A468" s="6" t="s">
        <v>210</v>
      </c>
      <c r="B468" s="6" t="s">
        <v>53</v>
      </c>
      <c r="C468" s="6" t="s">
        <v>186</v>
      </c>
      <c r="D468" s="6" t="s">
        <v>88</v>
      </c>
      <c r="E468" s="6" t="s">
        <v>88</v>
      </c>
      <c r="F468" s="6" t="b">
        <v>0</v>
      </c>
      <c r="G468" s="6">
        <v>0.017</v>
      </c>
    </row>
    <row r="469" spans="1:7">
      <c r="A469" s="6" t="s">
        <v>210</v>
      </c>
      <c r="B469" s="6" t="s">
        <v>53</v>
      </c>
      <c r="C469" s="6" t="s">
        <v>186</v>
      </c>
      <c r="D469" s="6" t="s">
        <v>90</v>
      </c>
      <c r="E469" s="6" t="s">
        <v>90</v>
      </c>
      <c r="F469" s="6" t="b">
        <v>0</v>
      </c>
      <c r="G469" s="6">
        <v>0.1584166666666667</v>
      </c>
    </row>
    <row r="470" spans="1:7">
      <c r="A470" s="6" t="s">
        <v>210</v>
      </c>
      <c r="B470" s="6" t="s">
        <v>53</v>
      </c>
      <c r="C470" s="6" t="s">
        <v>186</v>
      </c>
      <c r="D470" s="6" t="s">
        <v>177</v>
      </c>
      <c r="E470" s="6" t="s">
        <v>86</v>
      </c>
      <c r="F470" s="6" t="b">
        <v>0</v>
      </c>
      <c r="G470" s="6">
        <v>0.01383333333333333</v>
      </c>
    </row>
    <row r="471" spans="1:7">
      <c r="A471" s="6" t="s">
        <v>210</v>
      </c>
      <c r="B471" s="6" t="s">
        <v>53</v>
      </c>
      <c r="C471" s="6" t="s">
        <v>189</v>
      </c>
      <c r="D471" s="6" t="s">
        <v>86</v>
      </c>
      <c r="E471" s="6" t="s">
        <v>86</v>
      </c>
      <c r="F471" s="6" t="b">
        <v>0</v>
      </c>
      <c r="G471" s="6">
        <v>0.04758333333333333</v>
      </c>
    </row>
    <row r="472" spans="1:7">
      <c r="A472" s="6" t="s">
        <v>210</v>
      </c>
      <c r="B472" s="6" t="s">
        <v>53</v>
      </c>
      <c r="C472" s="6" t="s">
        <v>189</v>
      </c>
      <c r="D472" s="6" t="s">
        <v>88</v>
      </c>
      <c r="E472" s="6" t="s">
        <v>88</v>
      </c>
      <c r="F472" s="6" t="b">
        <v>0</v>
      </c>
      <c r="G472" s="6">
        <v>0.04408333333333334</v>
      </c>
    </row>
    <row r="473" spans="1:7">
      <c r="A473" s="6" t="s">
        <v>210</v>
      </c>
      <c r="B473" s="6" t="s">
        <v>53</v>
      </c>
      <c r="C473" s="6" t="s">
        <v>189</v>
      </c>
      <c r="D473" s="6" t="s">
        <v>90</v>
      </c>
      <c r="E473" s="6" t="s">
        <v>90</v>
      </c>
      <c r="F473" s="6" t="b">
        <v>0</v>
      </c>
      <c r="G473" s="6">
        <v>0.008833333333333334</v>
      </c>
    </row>
    <row r="474" spans="1:7">
      <c r="A474" s="6" t="s">
        <v>211</v>
      </c>
      <c r="B474" s="6" t="s">
        <v>55</v>
      </c>
      <c r="C474" s="6" t="s">
        <v>181</v>
      </c>
      <c r="D474" s="6" t="s">
        <v>88</v>
      </c>
      <c r="E474" s="6" t="s">
        <v>88</v>
      </c>
      <c r="F474" s="6" t="b">
        <v>0</v>
      </c>
      <c r="G474" s="6">
        <v>103.8203333333333</v>
      </c>
    </row>
    <row r="475" spans="1:7">
      <c r="A475" s="6" t="s">
        <v>211</v>
      </c>
      <c r="B475" s="6" t="s">
        <v>55</v>
      </c>
      <c r="C475" s="6" t="s">
        <v>181</v>
      </c>
      <c r="D475" s="6" t="s">
        <v>90</v>
      </c>
      <c r="E475" s="6" t="s">
        <v>90</v>
      </c>
      <c r="F475" s="6" t="b">
        <v>0</v>
      </c>
      <c r="G475" s="6">
        <v>0.36925</v>
      </c>
    </row>
    <row r="476" spans="1:7">
      <c r="A476" s="6" t="s">
        <v>211</v>
      </c>
      <c r="B476" s="6" t="s">
        <v>55</v>
      </c>
      <c r="C476" s="6" t="s">
        <v>182</v>
      </c>
      <c r="D476" s="6" t="s">
        <v>88</v>
      </c>
      <c r="E476" s="6" t="s">
        <v>88</v>
      </c>
      <c r="F476" s="6" t="b">
        <v>0</v>
      </c>
      <c r="G476" s="6">
        <v>4.341</v>
      </c>
    </row>
    <row r="477" spans="1:7">
      <c r="A477" s="6" t="s">
        <v>211</v>
      </c>
      <c r="B477" s="6" t="s">
        <v>55</v>
      </c>
      <c r="C477" s="6" t="s">
        <v>183</v>
      </c>
      <c r="D477" s="6" t="s">
        <v>86</v>
      </c>
      <c r="E477" s="6" t="s">
        <v>86</v>
      </c>
      <c r="F477" s="6" t="b">
        <v>0</v>
      </c>
      <c r="G477" s="6">
        <v>0.34725</v>
      </c>
    </row>
    <row r="478" spans="1:7">
      <c r="A478" s="6" t="s">
        <v>211</v>
      </c>
      <c r="B478" s="6" t="s">
        <v>55</v>
      </c>
      <c r="C478" s="6" t="s">
        <v>183</v>
      </c>
      <c r="D478" s="6" t="s">
        <v>88</v>
      </c>
      <c r="E478" s="6" t="s">
        <v>88</v>
      </c>
      <c r="F478" s="6" t="b">
        <v>0</v>
      </c>
      <c r="G478" s="6">
        <v>1.631</v>
      </c>
    </row>
    <row r="479" spans="1:7">
      <c r="A479" s="6" t="s">
        <v>211</v>
      </c>
      <c r="B479" s="6" t="s">
        <v>55</v>
      </c>
      <c r="C479" s="6" t="s">
        <v>183</v>
      </c>
      <c r="D479" s="6" t="s">
        <v>90</v>
      </c>
      <c r="E479" s="6" t="s">
        <v>86</v>
      </c>
      <c r="F479" s="6" t="b">
        <v>0</v>
      </c>
      <c r="G479" s="6">
        <v>1.377916666666667</v>
      </c>
    </row>
    <row r="480" spans="1:7">
      <c r="A480" s="6" t="s">
        <v>211</v>
      </c>
      <c r="B480" s="6" t="s">
        <v>55</v>
      </c>
      <c r="C480" s="6" t="s">
        <v>183</v>
      </c>
      <c r="D480" s="6" t="s">
        <v>90</v>
      </c>
      <c r="E480" s="6" t="s">
        <v>90</v>
      </c>
      <c r="F480" s="6" t="b">
        <v>0</v>
      </c>
      <c r="G480" s="6">
        <v>3.385083333333334</v>
      </c>
    </row>
    <row r="481" spans="1:7">
      <c r="A481" s="6" t="s">
        <v>211</v>
      </c>
      <c r="B481" s="6" t="s">
        <v>55</v>
      </c>
      <c r="C481" s="6" t="s">
        <v>183</v>
      </c>
      <c r="D481" s="6" t="s">
        <v>177</v>
      </c>
      <c r="E481" s="6" t="s">
        <v>86</v>
      </c>
      <c r="F481" s="6" t="b">
        <v>0</v>
      </c>
      <c r="G481" s="6">
        <v>0.16325</v>
      </c>
    </row>
    <row r="482" spans="1:7">
      <c r="A482" s="6" t="s">
        <v>211</v>
      </c>
      <c r="B482" s="6" t="s">
        <v>55</v>
      </c>
      <c r="C482" s="6" t="s">
        <v>183</v>
      </c>
      <c r="D482" s="6" t="s">
        <v>177</v>
      </c>
      <c r="E482" s="6" t="s">
        <v>685</v>
      </c>
      <c r="F482" s="6" t="b">
        <v>1</v>
      </c>
      <c r="G482" s="6">
        <v>0.017</v>
      </c>
    </row>
    <row r="483" spans="1:7">
      <c r="A483" s="6" t="s">
        <v>211</v>
      </c>
      <c r="B483" s="6" t="s">
        <v>55</v>
      </c>
      <c r="C483" s="6" t="s">
        <v>184</v>
      </c>
      <c r="D483" s="6" t="s">
        <v>44</v>
      </c>
      <c r="E483" s="6" t="s">
        <v>44</v>
      </c>
      <c r="F483" s="6" t="b">
        <v>0</v>
      </c>
      <c r="G483" s="6">
        <v>1110.119916666667</v>
      </c>
    </row>
    <row r="484" spans="1:7">
      <c r="A484" s="6" t="s">
        <v>211</v>
      </c>
      <c r="B484" s="6" t="s">
        <v>55</v>
      </c>
      <c r="C484" s="6" t="s">
        <v>184</v>
      </c>
      <c r="D484" s="6" t="s">
        <v>86</v>
      </c>
      <c r="E484" s="6" t="s">
        <v>86</v>
      </c>
      <c r="F484" s="6" t="b">
        <v>0</v>
      </c>
      <c r="G484" s="6">
        <v>0.475</v>
      </c>
    </row>
    <row r="485" spans="1:7">
      <c r="A485" s="6" t="s">
        <v>211</v>
      </c>
      <c r="B485" s="6" t="s">
        <v>55</v>
      </c>
      <c r="C485" s="6" t="s">
        <v>184</v>
      </c>
      <c r="D485" s="6" t="s">
        <v>88</v>
      </c>
      <c r="E485" s="6" t="s">
        <v>88</v>
      </c>
      <c r="F485" s="6" t="b">
        <v>0</v>
      </c>
      <c r="G485" s="6">
        <v>2.48875</v>
      </c>
    </row>
    <row r="486" spans="1:7">
      <c r="A486" s="6" t="s">
        <v>211</v>
      </c>
      <c r="B486" s="6" t="s">
        <v>55</v>
      </c>
      <c r="C486" s="6" t="s">
        <v>184</v>
      </c>
      <c r="D486" s="6" t="s">
        <v>90</v>
      </c>
      <c r="E486" s="6" t="s">
        <v>90</v>
      </c>
      <c r="F486" s="6" t="b">
        <v>0</v>
      </c>
      <c r="G486" s="6">
        <v>38.766</v>
      </c>
    </row>
    <row r="487" spans="1:7">
      <c r="A487" s="6" t="s">
        <v>211</v>
      </c>
      <c r="B487" s="6" t="s">
        <v>55</v>
      </c>
      <c r="C487" s="6" t="s">
        <v>184</v>
      </c>
      <c r="D487" s="6" t="s">
        <v>90</v>
      </c>
      <c r="E487" s="6" t="s">
        <v>685</v>
      </c>
      <c r="F487" s="6" t="b">
        <v>1</v>
      </c>
      <c r="G487" s="6">
        <v>4.31575</v>
      </c>
    </row>
    <row r="488" spans="1:7">
      <c r="A488" s="6" t="s">
        <v>211</v>
      </c>
      <c r="B488" s="6" t="s">
        <v>55</v>
      </c>
      <c r="C488" s="6" t="s">
        <v>184</v>
      </c>
      <c r="D488" s="6" t="s">
        <v>177</v>
      </c>
      <c r="E488" s="6" t="s">
        <v>44</v>
      </c>
      <c r="F488" s="6" t="b">
        <v>0</v>
      </c>
      <c r="G488" s="6">
        <v>814.1514999999999</v>
      </c>
    </row>
    <row r="489" spans="1:7">
      <c r="A489" s="6" t="s">
        <v>211</v>
      </c>
      <c r="B489" s="6" t="s">
        <v>55</v>
      </c>
      <c r="C489" s="6" t="s">
        <v>184</v>
      </c>
      <c r="D489" s="6" t="s">
        <v>177</v>
      </c>
      <c r="E489" s="6" t="s">
        <v>86</v>
      </c>
      <c r="F489" s="6" t="b">
        <v>0</v>
      </c>
      <c r="G489" s="6">
        <v>1.8575</v>
      </c>
    </row>
    <row r="490" spans="1:7">
      <c r="A490" s="6" t="s">
        <v>211</v>
      </c>
      <c r="B490" s="6" t="s">
        <v>55</v>
      </c>
      <c r="C490" s="6" t="s">
        <v>184</v>
      </c>
      <c r="D490" s="6" t="s">
        <v>177</v>
      </c>
      <c r="E490" s="6" t="s">
        <v>685</v>
      </c>
      <c r="F490" s="6" t="b">
        <v>1</v>
      </c>
      <c r="G490" s="6">
        <v>29.74816666666667</v>
      </c>
    </row>
    <row r="491" spans="1:7">
      <c r="A491" s="6" t="s">
        <v>211</v>
      </c>
      <c r="B491" s="6" t="s">
        <v>55</v>
      </c>
      <c r="C491" s="6" t="s">
        <v>185</v>
      </c>
      <c r="D491" s="6" t="s">
        <v>44</v>
      </c>
      <c r="E491" s="6" t="s">
        <v>685</v>
      </c>
      <c r="F491" s="6" t="b">
        <v>1</v>
      </c>
      <c r="G491" s="6">
        <v>14.82833333333333</v>
      </c>
    </row>
    <row r="492" spans="1:7">
      <c r="A492" s="6" t="s">
        <v>211</v>
      </c>
      <c r="B492" s="6" t="s">
        <v>55</v>
      </c>
      <c r="C492" s="6" t="s">
        <v>186</v>
      </c>
      <c r="D492" s="6" t="s">
        <v>86</v>
      </c>
      <c r="E492" s="6" t="s">
        <v>86</v>
      </c>
      <c r="F492" s="6" t="b">
        <v>0</v>
      </c>
      <c r="G492" s="6">
        <v>184.8691666666666</v>
      </c>
    </row>
    <row r="493" spans="1:7">
      <c r="A493" s="6" t="s">
        <v>211</v>
      </c>
      <c r="B493" s="6" t="s">
        <v>55</v>
      </c>
      <c r="C493" s="6" t="s">
        <v>186</v>
      </c>
      <c r="D493" s="6" t="s">
        <v>88</v>
      </c>
      <c r="E493" s="6" t="s">
        <v>88</v>
      </c>
      <c r="F493" s="6" t="b">
        <v>0</v>
      </c>
      <c r="G493" s="6">
        <v>11.37291666666667</v>
      </c>
    </row>
    <row r="494" spans="1:7">
      <c r="A494" s="6" t="s">
        <v>211</v>
      </c>
      <c r="B494" s="6" t="s">
        <v>55</v>
      </c>
      <c r="C494" s="6" t="s">
        <v>186</v>
      </c>
      <c r="D494" s="6" t="s">
        <v>90</v>
      </c>
      <c r="E494" s="6" t="s">
        <v>86</v>
      </c>
      <c r="F494" s="6" t="b">
        <v>0</v>
      </c>
      <c r="G494" s="6">
        <v>0.009916666666666667</v>
      </c>
    </row>
    <row r="495" spans="1:7">
      <c r="A495" s="6" t="s">
        <v>211</v>
      </c>
      <c r="B495" s="6" t="s">
        <v>55</v>
      </c>
      <c r="C495" s="6" t="s">
        <v>186</v>
      </c>
      <c r="D495" s="6" t="s">
        <v>90</v>
      </c>
      <c r="E495" s="6" t="s">
        <v>90</v>
      </c>
      <c r="F495" s="6" t="b">
        <v>0</v>
      </c>
      <c r="G495" s="6">
        <v>114.9176666666667</v>
      </c>
    </row>
    <row r="496" spans="1:7">
      <c r="A496" s="6" t="s">
        <v>211</v>
      </c>
      <c r="B496" s="6" t="s">
        <v>55</v>
      </c>
      <c r="C496" s="6" t="s">
        <v>186</v>
      </c>
      <c r="D496" s="6" t="s">
        <v>177</v>
      </c>
      <c r="E496" s="6" t="s">
        <v>86</v>
      </c>
      <c r="F496" s="6" t="b">
        <v>0</v>
      </c>
      <c r="G496" s="6">
        <v>2.716416666666667</v>
      </c>
    </row>
    <row r="497" spans="1:7">
      <c r="A497" s="6" t="s">
        <v>211</v>
      </c>
      <c r="B497" s="6" t="s">
        <v>55</v>
      </c>
      <c r="C497" s="6" t="s">
        <v>188</v>
      </c>
      <c r="D497" s="6" t="s">
        <v>86</v>
      </c>
      <c r="E497" s="6" t="s">
        <v>86</v>
      </c>
      <c r="F497" s="6" t="b">
        <v>0</v>
      </c>
      <c r="G497" s="6">
        <v>32.7325</v>
      </c>
    </row>
    <row r="498" spans="1:7">
      <c r="A498" s="6" t="s">
        <v>211</v>
      </c>
      <c r="B498" s="6" t="s">
        <v>55</v>
      </c>
      <c r="C498" s="6" t="s">
        <v>188</v>
      </c>
      <c r="D498" s="6" t="s">
        <v>88</v>
      </c>
      <c r="E498" s="6" t="s">
        <v>88</v>
      </c>
      <c r="F498" s="6" t="b">
        <v>0</v>
      </c>
      <c r="G498" s="6">
        <v>171.4078333333333</v>
      </c>
    </row>
    <row r="499" spans="1:7">
      <c r="A499" s="6" t="s">
        <v>211</v>
      </c>
      <c r="B499" s="6" t="s">
        <v>55</v>
      </c>
      <c r="C499" s="6" t="s">
        <v>189</v>
      </c>
      <c r="D499" s="6" t="s">
        <v>86</v>
      </c>
      <c r="E499" s="6" t="s">
        <v>86</v>
      </c>
      <c r="F499" s="6" t="b">
        <v>0</v>
      </c>
      <c r="G499" s="6">
        <v>71.21016666666667</v>
      </c>
    </row>
    <row r="500" spans="1:7">
      <c r="A500" s="6" t="s">
        <v>211</v>
      </c>
      <c r="B500" s="6" t="s">
        <v>55</v>
      </c>
      <c r="C500" s="6" t="s">
        <v>189</v>
      </c>
      <c r="D500" s="6" t="s">
        <v>88</v>
      </c>
      <c r="E500" s="6" t="s">
        <v>88</v>
      </c>
      <c r="F500" s="6" t="b">
        <v>0</v>
      </c>
      <c r="G500" s="6">
        <v>109.3509166666667</v>
      </c>
    </row>
    <row r="501" spans="1:7">
      <c r="A501" s="6" t="s">
        <v>211</v>
      </c>
      <c r="B501" s="6" t="s">
        <v>55</v>
      </c>
      <c r="C501" s="6" t="s">
        <v>189</v>
      </c>
      <c r="D501" s="6" t="s">
        <v>90</v>
      </c>
      <c r="E501" s="6" t="s">
        <v>90</v>
      </c>
      <c r="F501" s="6" t="b">
        <v>0</v>
      </c>
      <c r="G501" s="6">
        <v>15.04983333333333</v>
      </c>
    </row>
    <row r="502" spans="1:7">
      <c r="A502" s="6" t="s">
        <v>211</v>
      </c>
      <c r="B502" s="6" t="s">
        <v>55</v>
      </c>
      <c r="C502" s="6" t="s">
        <v>190</v>
      </c>
      <c r="D502" s="6" t="s">
        <v>44</v>
      </c>
      <c r="E502" s="6" t="s">
        <v>44</v>
      </c>
      <c r="F502" s="6" t="b">
        <v>0</v>
      </c>
      <c r="G502" s="6">
        <v>618.7593333333333</v>
      </c>
    </row>
    <row r="503" spans="1:7">
      <c r="A503" s="6" t="s">
        <v>211</v>
      </c>
      <c r="B503" s="6" t="s">
        <v>55</v>
      </c>
      <c r="C503" s="6" t="s">
        <v>190</v>
      </c>
      <c r="D503" s="6" t="s">
        <v>86</v>
      </c>
      <c r="E503" s="6" t="s">
        <v>44</v>
      </c>
      <c r="F503" s="6" t="b">
        <v>0</v>
      </c>
      <c r="G503" s="6">
        <v>26.1785</v>
      </c>
    </row>
    <row r="504" spans="1:7">
      <c r="A504" s="6" t="s">
        <v>211</v>
      </c>
      <c r="B504" s="6" t="s">
        <v>55</v>
      </c>
      <c r="C504" s="6" t="s">
        <v>190</v>
      </c>
      <c r="D504" s="6" t="s">
        <v>86</v>
      </c>
      <c r="E504" s="6" t="s">
        <v>86</v>
      </c>
      <c r="F504" s="6" t="b">
        <v>0</v>
      </c>
      <c r="G504" s="6">
        <v>2.71325</v>
      </c>
    </row>
    <row r="505" spans="1:7">
      <c r="A505" s="6" t="s">
        <v>211</v>
      </c>
      <c r="B505" s="6" t="s">
        <v>55</v>
      </c>
      <c r="C505" s="6" t="s">
        <v>190</v>
      </c>
      <c r="D505" s="6" t="s">
        <v>88</v>
      </c>
      <c r="E505" s="6" t="s">
        <v>88</v>
      </c>
      <c r="F505" s="6" t="b">
        <v>0</v>
      </c>
      <c r="G505" s="6">
        <v>0.1496666666666667</v>
      </c>
    </row>
    <row r="506" spans="1:7">
      <c r="A506" s="6" t="s">
        <v>211</v>
      </c>
      <c r="B506" s="6" t="s">
        <v>55</v>
      </c>
      <c r="C506" s="6" t="s">
        <v>190</v>
      </c>
      <c r="D506" s="6" t="s">
        <v>90</v>
      </c>
      <c r="E506" s="6" t="s">
        <v>44</v>
      </c>
      <c r="F506" s="6" t="b">
        <v>0</v>
      </c>
      <c r="G506" s="6">
        <v>16.18816666666666</v>
      </c>
    </row>
    <row r="507" spans="1:7">
      <c r="A507" s="6" t="s">
        <v>211</v>
      </c>
      <c r="B507" s="6" t="s">
        <v>55</v>
      </c>
      <c r="C507" s="6" t="s">
        <v>190</v>
      </c>
      <c r="D507" s="6" t="s">
        <v>90</v>
      </c>
      <c r="E507" s="6" t="s">
        <v>90</v>
      </c>
      <c r="F507" s="6" t="b">
        <v>0</v>
      </c>
      <c r="G507" s="6">
        <v>43.62516666666667</v>
      </c>
    </row>
    <row r="508" spans="1:7">
      <c r="A508" s="6" t="s">
        <v>211</v>
      </c>
      <c r="B508" s="6" t="s">
        <v>55</v>
      </c>
      <c r="C508" s="6" t="s">
        <v>190</v>
      </c>
      <c r="D508" s="6" t="s">
        <v>177</v>
      </c>
      <c r="E508" s="6" t="s">
        <v>44</v>
      </c>
      <c r="F508" s="6" t="b">
        <v>0</v>
      </c>
      <c r="G508" s="6">
        <v>404.7655</v>
      </c>
    </row>
    <row r="509" spans="1:7">
      <c r="A509" s="6" t="s">
        <v>211</v>
      </c>
      <c r="B509" s="6" t="s">
        <v>55</v>
      </c>
      <c r="C509" s="6" t="s">
        <v>190</v>
      </c>
      <c r="D509" s="6" t="s">
        <v>177</v>
      </c>
      <c r="E509" s="6" t="s">
        <v>86</v>
      </c>
      <c r="F509" s="6" t="b">
        <v>0</v>
      </c>
      <c r="G509" s="6">
        <v>8.64925</v>
      </c>
    </row>
    <row r="510" spans="1:7">
      <c r="A510" s="6" t="s">
        <v>211</v>
      </c>
      <c r="B510" s="6" t="s">
        <v>55</v>
      </c>
      <c r="C510" s="6" t="s">
        <v>190</v>
      </c>
      <c r="D510" s="6" t="s">
        <v>177</v>
      </c>
      <c r="E510" s="6" t="s">
        <v>685</v>
      </c>
      <c r="F510" s="6" t="b">
        <v>1</v>
      </c>
      <c r="G510" s="6">
        <v>0.7480000000000001</v>
      </c>
    </row>
    <row r="511" spans="1:7">
      <c r="A511" s="6" t="s">
        <v>211</v>
      </c>
      <c r="B511" s="6" t="s">
        <v>55</v>
      </c>
      <c r="C511" s="6" t="s">
        <v>190</v>
      </c>
      <c r="D511" s="6" t="s">
        <v>92</v>
      </c>
      <c r="E511" s="6" t="s">
        <v>92</v>
      </c>
      <c r="F511" s="6" t="b">
        <v>0</v>
      </c>
      <c r="G511" s="6">
        <v>10.25733333333333</v>
      </c>
    </row>
    <row r="512" spans="1:7">
      <c r="A512" s="6" t="s">
        <v>377</v>
      </c>
      <c r="B512" s="6" t="s">
        <v>51</v>
      </c>
      <c r="C512" s="6" t="s">
        <v>188</v>
      </c>
      <c r="D512" s="6" t="s">
        <v>86</v>
      </c>
      <c r="E512" s="6" t="s">
        <v>86</v>
      </c>
      <c r="F512" s="6" t="b">
        <v>0</v>
      </c>
      <c r="G512" s="6">
        <v>0.6653333333333333</v>
      </c>
    </row>
    <row r="513" spans="1:7">
      <c r="A513" s="6" t="s">
        <v>377</v>
      </c>
      <c r="B513" s="6" t="s">
        <v>51</v>
      </c>
      <c r="C513" s="6" t="s">
        <v>188</v>
      </c>
      <c r="D513" s="6" t="s">
        <v>88</v>
      </c>
      <c r="E513" s="6" t="s">
        <v>88</v>
      </c>
      <c r="F513" s="6" t="b">
        <v>0</v>
      </c>
      <c r="G513" s="6">
        <v>4.25175</v>
      </c>
    </row>
    <row r="514" spans="1:7">
      <c r="A514" s="6" t="s">
        <v>212</v>
      </c>
      <c r="B514" s="6" t="s">
        <v>55</v>
      </c>
      <c r="C514" s="6" t="s">
        <v>181</v>
      </c>
      <c r="D514" s="6" t="s">
        <v>88</v>
      </c>
      <c r="E514" s="6" t="s">
        <v>88</v>
      </c>
      <c r="F514" s="6" t="b">
        <v>0</v>
      </c>
      <c r="G514" s="6">
        <v>15.68475</v>
      </c>
    </row>
    <row r="515" spans="1:7">
      <c r="A515" s="6" t="s">
        <v>212</v>
      </c>
      <c r="B515" s="6" t="s">
        <v>55</v>
      </c>
      <c r="C515" s="6" t="s">
        <v>183</v>
      </c>
      <c r="D515" s="6" t="s">
        <v>88</v>
      </c>
      <c r="E515" s="6" t="s">
        <v>88</v>
      </c>
      <c r="F515" s="6" t="b">
        <v>0</v>
      </c>
      <c r="G515" s="6">
        <v>0.07466666666666667</v>
      </c>
    </row>
    <row r="516" spans="1:7">
      <c r="A516" s="6" t="s">
        <v>212</v>
      </c>
      <c r="B516" s="6" t="s">
        <v>55</v>
      </c>
      <c r="C516" s="6" t="s">
        <v>183</v>
      </c>
      <c r="D516" s="6" t="s">
        <v>90</v>
      </c>
      <c r="E516" s="6" t="s">
        <v>86</v>
      </c>
      <c r="F516" s="6" t="b">
        <v>0</v>
      </c>
      <c r="G516" s="6">
        <v>0.01958333333333333</v>
      </c>
    </row>
    <row r="517" spans="1:7">
      <c r="A517" s="6" t="s">
        <v>212</v>
      </c>
      <c r="B517" s="6" t="s">
        <v>55</v>
      </c>
      <c r="C517" s="6" t="s">
        <v>183</v>
      </c>
      <c r="D517" s="6" t="s">
        <v>90</v>
      </c>
      <c r="E517" s="6" t="s">
        <v>90</v>
      </c>
      <c r="F517" s="6" t="b">
        <v>0</v>
      </c>
      <c r="G517" s="6">
        <v>0.007166666666666668</v>
      </c>
    </row>
    <row r="518" spans="1:7">
      <c r="A518" s="6" t="s">
        <v>212</v>
      </c>
      <c r="B518" s="6" t="s">
        <v>55</v>
      </c>
      <c r="C518" s="6" t="s">
        <v>183</v>
      </c>
      <c r="D518" s="6" t="s">
        <v>177</v>
      </c>
      <c r="E518" s="6" t="s">
        <v>685</v>
      </c>
      <c r="F518" s="6" t="b">
        <v>1</v>
      </c>
      <c r="G518" s="6">
        <v>0.0075</v>
      </c>
    </row>
    <row r="519" spans="1:7">
      <c r="A519" s="6" t="s">
        <v>212</v>
      </c>
      <c r="B519" s="6" t="s">
        <v>55</v>
      </c>
      <c r="C519" s="6" t="s">
        <v>184</v>
      </c>
      <c r="D519" s="6" t="s">
        <v>44</v>
      </c>
      <c r="E519" s="6" t="s">
        <v>44</v>
      </c>
      <c r="F519" s="6" t="b">
        <v>0</v>
      </c>
      <c r="G519" s="6">
        <v>336.7518333333333</v>
      </c>
    </row>
    <row r="520" spans="1:7">
      <c r="A520" s="6" t="s">
        <v>212</v>
      </c>
      <c r="B520" s="6" t="s">
        <v>55</v>
      </c>
      <c r="C520" s="6" t="s">
        <v>184</v>
      </c>
      <c r="D520" s="6" t="s">
        <v>86</v>
      </c>
      <c r="E520" s="6" t="s">
        <v>86</v>
      </c>
      <c r="F520" s="6" t="b">
        <v>0</v>
      </c>
      <c r="G520" s="6">
        <v>2.291666666666667</v>
      </c>
    </row>
    <row r="521" spans="1:7">
      <c r="A521" s="6" t="s">
        <v>212</v>
      </c>
      <c r="B521" s="6" t="s">
        <v>55</v>
      </c>
      <c r="C521" s="6" t="s">
        <v>184</v>
      </c>
      <c r="D521" s="6" t="s">
        <v>90</v>
      </c>
      <c r="E521" s="6" t="s">
        <v>90</v>
      </c>
      <c r="F521" s="6" t="b">
        <v>0</v>
      </c>
      <c r="G521" s="6">
        <v>0.22575</v>
      </c>
    </row>
    <row r="522" spans="1:7">
      <c r="A522" s="6" t="s">
        <v>212</v>
      </c>
      <c r="B522" s="6" t="s">
        <v>55</v>
      </c>
      <c r="C522" s="6" t="s">
        <v>184</v>
      </c>
      <c r="D522" s="6" t="s">
        <v>90</v>
      </c>
      <c r="E522" s="6" t="s">
        <v>685</v>
      </c>
      <c r="F522" s="6" t="b">
        <v>1</v>
      </c>
      <c r="G522" s="6">
        <v>0.056</v>
      </c>
    </row>
    <row r="523" spans="1:7">
      <c r="A523" s="6" t="s">
        <v>212</v>
      </c>
      <c r="B523" s="6" t="s">
        <v>55</v>
      </c>
      <c r="C523" s="6" t="s">
        <v>184</v>
      </c>
      <c r="D523" s="6" t="s">
        <v>177</v>
      </c>
      <c r="E523" s="6" t="s">
        <v>44</v>
      </c>
      <c r="F523" s="6" t="b">
        <v>0</v>
      </c>
      <c r="G523" s="6">
        <v>88.07350000000001</v>
      </c>
    </row>
    <row r="524" spans="1:7">
      <c r="A524" s="6" t="s">
        <v>212</v>
      </c>
      <c r="B524" s="6" t="s">
        <v>55</v>
      </c>
      <c r="C524" s="6" t="s">
        <v>184</v>
      </c>
      <c r="D524" s="6" t="s">
        <v>177</v>
      </c>
      <c r="E524" s="6" t="s">
        <v>685</v>
      </c>
      <c r="F524" s="6" t="b">
        <v>1</v>
      </c>
      <c r="G524" s="6">
        <v>0.05416666666666667</v>
      </c>
    </row>
    <row r="525" spans="1:7">
      <c r="A525" s="6" t="s">
        <v>212</v>
      </c>
      <c r="B525" s="6" t="s">
        <v>55</v>
      </c>
      <c r="C525" s="6" t="s">
        <v>186</v>
      </c>
      <c r="D525" s="6" t="s">
        <v>86</v>
      </c>
      <c r="E525" s="6" t="s">
        <v>86</v>
      </c>
      <c r="F525" s="6" t="b">
        <v>0</v>
      </c>
      <c r="G525" s="6">
        <v>54.94483333333333</v>
      </c>
    </row>
    <row r="526" spans="1:7">
      <c r="A526" s="6" t="s">
        <v>212</v>
      </c>
      <c r="B526" s="6" t="s">
        <v>55</v>
      </c>
      <c r="C526" s="6" t="s">
        <v>186</v>
      </c>
      <c r="D526" s="6" t="s">
        <v>88</v>
      </c>
      <c r="E526" s="6" t="s">
        <v>88</v>
      </c>
      <c r="F526" s="6" t="b">
        <v>0</v>
      </c>
      <c r="G526" s="6">
        <v>5.233</v>
      </c>
    </row>
    <row r="527" spans="1:7">
      <c r="A527" s="6" t="s">
        <v>212</v>
      </c>
      <c r="B527" s="6" t="s">
        <v>55</v>
      </c>
      <c r="C527" s="6" t="s">
        <v>186</v>
      </c>
      <c r="D527" s="6" t="s">
        <v>90</v>
      </c>
      <c r="E527" s="6" t="s">
        <v>86</v>
      </c>
      <c r="F527" s="6" t="b">
        <v>0</v>
      </c>
      <c r="G527" s="6">
        <v>0.08783333333333333</v>
      </c>
    </row>
    <row r="528" spans="1:7">
      <c r="A528" s="6" t="s">
        <v>212</v>
      </c>
      <c r="B528" s="6" t="s">
        <v>55</v>
      </c>
      <c r="C528" s="6" t="s">
        <v>186</v>
      </c>
      <c r="D528" s="6" t="s">
        <v>90</v>
      </c>
      <c r="E528" s="6" t="s">
        <v>90</v>
      </c>
      <c r="F528" s="6" t="b">
        <v>0</v>
      </c>
      <c r="G528" s="6">
        <v>21.91425</v>
      </c>
    </row>
    <row r="529" spans="1:7">
      <c r="A529" s="6" t="s">
        <v>212</v>
      </c>
      <c r="B529" s="6" t="s">
        <v>55</v>
      </c>
      <c r="C529" s="6" t="s">
        <v>186</v>
      </c>
      <c r="D529" s="6" t="s">
        <v>177</v>
      </c>
      <c r="E529" s="6" t="s">
        <v>86</v>
      </c>
      <c r="F529" s="6" t="b">
        <v>0</v>
      </c>
      <c r="G529" s="6">
        <v>0.5103333333333333</v>
      </c>
    </row>
    <row r="530" spans="1:7">
      <c r="A530" s="6" t="s">
        <v>212</v>
      </c>
      <c r="B530" s="6" t="s">
        <v>55</v>
      </c>
      <c r="C530" s="6" t="s">
        <v>189</v>
      </c>
      <c r="D530" s="6" t="s">
        <v>86</v>
      </c>
      <c r="E530" s="6" t="s">
        <v>86</v>
      </c>
      <c r="F530" s="6" t="b">
        <v>0</v>
      </c>
      <c r="G530" s="6">
        <v>0.7879999999999999</v>
      </c>
    </row>
    <row r="531" spans="1:7">
      <c r="A531" s="6" t="s">
        <v>212</v>
      </c>
      <c r="B531" s="6" t="s">
        <v>55</v>
      </c>
      <c r="C531" s="6" t="s">
        <v>189</v>
      </c>
      <c r="D531" s="6" t="s">
        <v>88</v>
      </c>
      <c r="E531" s="6" t="s">
        <v>88</v>
      </c>
      <c r="F531" s="6" t="b">
        <v>0</v>
      </c>
      <c r="G531" s="6">
        <v>4.91625</v>
      </c>
    </row>
    <row r="532" spans="1:7">
      <c r="A532" s="6" t="s">
        <v>212</v>
      </c>
      <c r="B532" s="6" t="s">
        <v>55</v>
      </c>
      <c r="C532" s="6" t="s">
        <v>189</v>
      </c>
      <c r="D532" s="6" t="s">
        <v>90</v>
      </c>
      <c r="E532" s="6" t="s">
        <v>90</v>
      </c>
      <c r="F532" s="6" t="b">
        <v>0</v>
      </c>
      <c r="G532" s="6">
        <v>1.124166666666667</v>
      </c>
    </row>
    <row r="533" spans="1:7">
      <c r="A533" s="6" t="s">
        <v>212</v>
      </c>
      <c r="B533" s="6" t="s">
        <v>55</v>
      </c>
      <c r="C533" s="6" t="s">
        <v>190</v>
      </c>
      <c r="D533" s="6" t="s">
        <v>44</v>
      </c>
      <c r="E533" s="6" t="s">
        <v>44</v>
      </c>
      <c r="F533" s="6" t="b">
        <v>0</v>
      </c>
      <c r="G533" s="6">
        <v>24.45433333333333</v>
      </c>
    </row>
    <row r="534" spans="1:7">
      <c r="A534" s="6" t="s">
        <v>212</v>
      </c>
      <c r="B534" s="6" t="s">
        <v>55</v>
      </c>
      <c r="C534" s="6" t="s">
        <v>190</v>
      </c>
      <c r="D534" s="6" t="s">
        <v>90</v>
      </c>
      <c r="E534" s="6" t="s">
        <v>90</v>
      </c>
      <c r="F534" s="6" t="b">
        <v>0</v>
      </c>
      <c r="G534" s="6">
        <v>4.874</v>
      </c>
    </row>
    <row r="535" spans="1:7">
      <c r="A535" s="6" t="s">
        <v>212</v>
      </c>
      <c r="B535" s="6" t="s">
        <v>55</v>
      </c>
      <c r="C535" s="6" t="s">
        <v>190</v>
      </c>
      <c r="D535" s="6" t="s">
        <v>177</v>
      </c>
      <c r="E535" s="6" t="s">
        <v>44</v>
      </c>
      <c r="F535" s="6" t="b">
        <v>0</v>
      </c>
      <c r="G535" s="6">
        <v>0.02</v>
      </c>
    </row>
    <row r="536" spans="1:7">
      <c r="A536" s="6" t="s">
        <v>213</v>
      </c>
      <c r="B536" s="6" t="s">
        <v>52</v>
      </c>
      <c r="C536" s="6" t="s">
        <v>181</v>
      </c>
      <c r="D536" s="6" t="s">
        <v>88</v>
      </c>
      <c r="E536" s="6" t="s">
        <v>88</v>
      </c>
      <c r="F536" s="6" t="b">
        <v>0</v>
      </c>
      <c r="G536" s="6">
        <v>3.806333333333333</v>
      </c>
    </row>
    <row r="537" spans="1:7">
      <c r="A537" s="6" t="s">
        <v>213</v>
      </c>
      <c r="B537" s="6" t="s">
        <v>52</v>
      </c>
      <c r="C537" s="6" t="s">
        <v>184</v>
      </c>
      <c r="D537" s="6" t="s">
        <v>44</v>
      </c>
      <c r="E537" s="6" t="s">
        <v>44</v>
      </c>
      <c r="F537" s="6" t="b">
        <v>0</v>
      </c>
      <c r="G537" s="6">
        <v>31.05183333333333</v>
      </c>
    </row>
    <row r="538" spans="1:7">
      <c r="A538" s="6" t="s">
        <v>213</v>
      </c>
      <c r="B538" s="6" t="s">
        <v>52</v>
      </c>
      <c r="C538" s="6" t="s">
        <v>184</v>
      </c>
      <c r="D538" s="6" t="s">
        <v>44</v>
      </c>
      <c r="E538" s="6" t="s">
        <v>685</v>
      </c>
      <c r="F538" s="6" t="b">
        <v>1</v>
      </c>
      <c r="G538" s="6">
        <v>5.482499999999999</v>
      </c>
    </row>
    <row r="539" spans="1:7">
      <c r="A539" s="6" t="s">
        <v>213</v>
      </c>
      <c r="B539" s="6" t="s">
        <v>52</v>
      </c>
      <c r="C539" s="6" t="s">
        <v>184</v>
      </c>
      <c r="D539" s="6" t="s">
        <v>177</v>
      </c>
      <c r="E539" s="6" t="s">
        <v>685</v>
      </c>
      <c r="F539" s="6" t="b">
        <v>1</v>
      </c>
      <c r="G539" s="6">
        <v>5.758416666666666</v>
      </c>
    </row>
    <row r="540" spans="1:7">
      <c r="A540" s="6" t="s">
        <v>213</v>
      </c>
      <c r="B540" s="6" t="s">
        <v>52</v>
      </c>
      <c r="C540" s="6" t="s">
        <v>186</v>
      </c>
      <c r="D540" s="6" t="s">
        <v>86</v>
      </c>
      <c r="E540" s="6" t="s">
        <v>86</v>
      </c>
      <c r="F540" s="6" t="b">
        <v>0</v>
      </c>
      <c r="G540" s="6">
        <v>72.836</v>
      </c>
    </row>
    <row r="541" spans="1:7">
      <c r="A541" s="6" t="s">
        <v>213</v>
      </c>
      <c r="B541" s="6" t="s">
        <v>52</v>
      </c>
      <c r="C541" s="6" t="s">
        <v>186</v>
      </c>
      <c r="D541" s="6" t="s">
        <v>88</v>
      </c>
      <c r="E541" s="6" t="s">
        <v>88</v>
      </c>
      <c r="F541" s="6" t="b">
        <v>0</v>
      </c>
      <c r="G541" s="6">
        <v>0.68675</v>
      </c>
    </row>
    <row r="542" spans="1:7">
      <c r="A542" s="6" t="s">
        <v>213</v>
      </c>
      <c r="B542" s="6" t="s">
        <v>52</v>
      </c>
      <c r="C542" s="6" t="s">
        <v>186</v>
      </c>
      <c r="D542" s="6" t="s">
        <v>90</v>
      </c>
      <c r="E542" s="6" t="s">
        <v>86</v>
      </c>
      <c r="F542" s="6" t="b">
        <v>0</v>
      </c>
      <c r="G542" s="6">
        <v>0.233</v>
      </c>
    </row>
    <row r="543" spans="1:7">
      <c r="A543" s="6" t="s">
        <v>213</v>
      </c>
      <c r="B543" s="6" t="s">
        <v>52</v>
      </c>
      <c r="C543" s="6" t="s">
        <v>186</v>
      </c>
      <c r="D543" s="6" t="s">
        <v>90</v>
      </c>
      <c r="E543" s="6" t="s">
        <v>90</v>
      </c>
      <c r="F543" s="6" t="b">
        <v>0</v>
      </c>
      <c r="G543" s="6">
        <v>1.136833333333333</v>
      </c>
    </row>
    <row r="544" spans="1:7">
      <c r="A544" s="6" t="s">
        <v>213</v>
      </c>
      <c r="B544" s="6" t="s">
        <v>52</v>
      </c>
      <c r="C544" s="6" t="s">
        <v>186</v>
      </c>
      <c r="D544" s="6" t="s">
        <v>177</v>
      </c>
      <c r="E544" s="6" t="s">
        <v>86</v>
      </c>
      <c r="F544" s="6" t="b">
        <v>0</v>
      </c>
      <c r="G544" s="6">
        <v>1.149</v>
      </c>
    </row>
    <row r="545" spans="1:7">
      <c r="A545" s="6" t="s">
        <v>213</v>
      </c>
      <c r="B545" s="6" t="s">
        <v>52</v>
      </c>
      <c r="C545" s="6" t="s">
        <v>189</v>
      </c>
      <c r="D545" s="6" t="s">
        <v>86</v>
      </c>
      <c r="E545" s="6" t="s">
        <v>86</v>
      </c>
      <c r="F545" s="6" t="b">
        <v>0</v>
      </c>
      <c r="G545" s="6">
        <v>13.09383333333333</v>
      </c>
    </row>
    <row r="546" spans="1:7">
      <c r="A546" s="6" t="s">
        <v>213</v>
      </c>
      <c r="B546" s="6" t="s">
        <v>52</v>
      </c>
      <c r="C546" s="6" t="s">
        <v>189</v>
      </c>
      <c r="D546" s="6" t="s">
        <v>88</v>
      </c>
      <c r="E546" s="6" t="s">
        <v>88</v>
      </c>
      <c r="F546" s="6" t="b">
        <v>0</v>
      </c>
      <c r="G546" s="6">
        <v>12.43083333333333</v>
      </c>
    </row>
    <row r="547" spans="1:7">
      <c r="A547" s="6" t="s">
        <v>213</v>
      </c>
      <c r="B547" s="6" t="s">
        <v>52</v>
      </c>
      <c r="C547" s="6" t="s">
        <v>189</v>
      </c>
      <c r="D547" s="6" t="s">
        <v>90</v>
      </c>
      <c r="E547" s="6" t="s">
        <v>90</v>
      </c>
      <c r="F547" s="6" t="b">
        <v>0</v>
      </c>
      <c r="G547" s="6">
        <v>0.1709166666666667</v>
      </c>
    </row>
    <row r="548" spans="1:7">
      <c r="A548" s="6" t="s">
        <v>214</v>
      </c>
      <c r="B548" s="6" t="s">
        <v>53</v>
      </c>
      <c r="C548" s="6" t="s">
        <v>181</v>
      </c>
      <c r="D548" s="6" t="s">
        <v>88</v>
      </c>
      <c r="E548" s="6" t="s">
        <v>88</v>
      </c>
      <c r="F548" s="6" t="b">
        <v>0</v>
      </c>
      <c r="G548" s="6">
        <v>0.2708333333333333</v>
      </c>
    </row>
    <row r="549" spans="1:7">
      <c r="A549" s="6" t="s">
        <v>214</v>
      </c>
      <c r="B549" s="6" t="s">
        <v>53</v>
      </c>
      <c r="C549" s="6" t="s">
        <v>181</v>
      </c>
      <c r="D549" s="6" t="s">
        <v>90</v>
      </c>
      <c r="E549" s="6" t="s">
        <v>90</v>
      </c>
      <c r="F549" s="6" t="b">
        <v>0</v>
      </c>
      <c r="G549" s="6">
        <v>0.01375</v>
      </c>
    </row>
    <row r="550" spans="1:7">
      <c r="A550" s="6" t="s">
        <v>214</v>
      </c>
      <c r="B550" s="6" t="s">
        <v>53</v>
      </c>
      <c r="C550" s="6" t="s">
        <v>183</v>
      </c>
      <c r="D550" s="6" t="s">
        <v>86</v>
      </c>
      <c r="E550" s="6" t="s">
        <v>86</v>
      </c>
      <c r="F550" s="6" t="b">
        <v>0</v>
      </c>
      <c r="G550" s="6">
        <v>0.001416666666666667</v>
      </c>
    </row>
    <row r="551" spans="1:7">
      <c r="A551" s="6" t="s">
        <v>214</v>
      </c>
      <c r="B551" s="6" t="s">
        <v>53</v>
      </c>
      <c r="C551" s="6" t="s">
        <v>183</v>
      </c>
      <c r="D551" s="6" t="s">
        <v>88</v>
      </c>
      <c r="E551" s="6" t="s">
        <v>88</v>
      </c>
      <c r="F551" s="6" t="b">
        <v>0</v>
      </c>
      <c r="G551" s="6">
        <v>0.002333333333333334</v>
      </c>
    </row>
    <row r="552" spans="1:7">
      <c r="A552" s="6" t="s">
        <v>214</v>
      </c>
      <c r="B552" s="6" t="s">
        <v>53</v>
      </c>
      <c r="C552" s="6" t="s">
        <v>183</v>
      </c>
      <c r="D552" s="6" t="s">
        <v>90</v>
      </c>
      <c r="E552" s="6" t="s">
        <v>86</v>
      </c>
      <c r="F552" s="6" t="b">
        <v>0</v>
      </c>
      <c r="G552" s="6">
        <v>0.001083333333333333</v>
      </c>
    </row>
    <row r="553" spans="1:7">
      <c r="A553" s="6" t="s">
        <v>214</v>
      </c>
      <c r="B553" s="6" t="s">
        <v>53</v>
      </c>
      <c r="C553" s="6" t="s">
        <v>183</v>
      </c>
      <c r="D553" s="6" t="s">
        <v>90</v>
      </c>
      <c r="E553" s="6" t="s">
        <v>90</v>
      </c>
      <c r="F553" s="6" t="b">
        <v>0</v>
      </c>
      <c r="G553" s="6">
        <v>0.01791666666666667</v>
      </c>
    </row>
    <row r="554" spans="1:7">
      <c r="A554" s="6" t="s">
        <v>214</v>
      </c>
      <c r="B554" s="6" t="s">
        <v>53</v>
      </c>
      <c r="C554" s="6" t="s">
        <v>184</v>
      </c>
      <c r="D554" s="6" t="s">
        <v>44</v>
      </c>
      <c r="E554" s="6" t="s">
        <v>44</v>
      </c>
      <c r="F554" s="6" t="b">
        <v>0</v>
      </c>
      <c r="G554" s="6">
        <v>1.632916666666667</v>
      </c>
    </row>
    <row r="555" spans="1:7">
      <c r="A555" s="6" t="s">
        <v>214</v>
      </c>
      <c r="B555" s="6" t="s">
        <v>53</v>
      </c>
      <c r="C555" s="6" t="s">
        <v>184</v>
      </c>
      <c r="D555" s="6" t="s">
        <v>88</v>
      </c>
      <c r="E555" s="6" t="s">
        <v>88</v>
      </c>
      <c r="F555" s="6" t="b">
        <v>0</v>
      </c>
      <c r="G555" s="6">
        <v>0.01633333333333334</v>
      </c>
    </row>
    <row r="556" spans="1:7">
      <c r="A556" s="6" t="s">
        <v>214</v>
      </c>
      <c r="B556" s="6" t="s">
        <v>53</v>
      </c>
      <c r="C556" s="6" t="s">
        <v>184</v>
      </c>
      <c r="D556" s="6" t="s">
        <v>90</v>
      </c>
      <c r="E556" s="6" t="s">
        <v>90</v>
      </c>
      <c r="F556" s="6" t="b">
        <v>0</v>
      </c>
      <c r="G556" s="6">
        <v>0.01258333333333334</v>
      </c>
    </row>
    <row r="557" spans="1:7">
      <c r="A557" s="6" t="s">
        <v>214</v>
      </c>
      <c r="B557" s="6" t="s">
        <v>53</v>
      </c>
      <c r="C557" s="6" t="s">
        <v>184</v>
      </c>
      <c r="D557" s="6" t="s">
        <v>90</v>
      </c>
      <c r="E557" s="6" t="s">
        <v>685</v>
      </c>
      <c r="F557" s="6" t="b">
        <v>1</v>
      </c>
      <c r="G557" s="6">
        <v>0.008750000000000001</v>
      </c>
    </row>
    <row r="558" spans="1:7">
      <c r="A558" s="6" t="s">
        <v>214</v>
      </c>
      <c r="B558" s="6" t="s">
        <v>53</v>
      </c>
      <c r="C558" s="6" t="s">
        <v>184</v>
      </c>
      <c r="D558" s="6" t="s">
        <v>177</v>
      </c>
      <c r="E558" s="6" t="s">
        <v>44</v>
      </c>
      <c r="F558" s="6" t="b">
        <v>0</v>
      </c>
      <c r="G558" s="6">
        <v>0.793</v>
      </c>
    </row>
    <row r="559" spans="1:7">
      <c r="A559" s="6" t="s">
        <v>214</v>
      </c>
      <c r="B559" s="6" t="s">
        <v>53</v>
      </c>
      <c r="C559" s="6" t="s">
        <v>184</v>
      </c>
      <c r="D559" s="6" t="s">
        <v>177</v>
      </c>
      <c r="E559" s="6" t="s">
        <v>86</v>
      </c>
      <c r="F559" s="6" t="b">
        <v>0</v>
      </c>
      <c r="G559" s="6">
        <v>0.0035</v>
      </c>
    </row>
    <row r="560" spans="1:7">
      <c r="A560" s="6" t="s">
        <v>214</v>
      </c>
      <c r="B560" s="6" t="s">
        <v>53</v>
      </c>
      <c r="C560" s="6" t="s">
        <v>184</v>
      </c>
      <c r="D560" s="6" t="s">
        <v>177</v>
      </c>
      <c r="E560" s="6" t="s">
        <v>685</v>
      </c>
      <c r="F560" s="6" t="b">
        <v>1</v>
      </c>
      <c r="G560" s="6">
        <v>0.1701666666666667</v>
      </c>
    </row>
    <row r="561" spans="1:7">
      <c r="A561" s="6" t="s">
        <v>214</v>
      </c>
      <c r="B561" s="6" t="s">
        <v>53</v>
      </c>
      <c r="C561" s="6" t="s">
        <v>186</v>
      </c>
      <c r="D561" s="6" t="s">
        <v>86</v>
      </c>
      <c r="E561" s="6" t="s">
        <v>86</v>
      </c>
      <c r="F561" s="6" t="b">
        <v>0</v>
      </c>
      <c r="G561" s="6">
        <v>0.4028333333333333</v>
      </c>
    </row>
    <row r="562" spans="1:7">
      <c r="A562" s="6" t="s">
        <v>214</v>
      </c>
      <c r="B562" s="6" t="s">
        <v>53</v>
      </c>
      <c r="C562" s="6" t="s">
        <v>186</v>
      </c>
      <c r="D562" s="6" t="s">
        <v>88</v>
      </c>
      <c r="E562" s="6" t="s">
        <v>88</v>
      </c>
      <c r="F562" s="6" t="b">
        <v>0</v>
      </c>
      <c r="G562" s="6">
        <v>0.03008333333333333</v>
      </c>
    </row>
    <row r="563" spans="1:7">
      <c r="A563" s="6" t="s">
        <v>214</v>
      </c>
      <c r="B563" s="6" t="s">
        <v>53</v>
      </c>
      <c r="C563" s="6" t="s">
        <v>186</v>
      </c>
      <c r="D563" s="6" t="s">
        <v>90</v>
      </c>
      <c r="E563" s="6" t="s">
        <v>90</v>
      </c>
      <c r="F563" s="6" t="b">
        <v>0</v>
      </c>
      <c r="G563" s="6">
        <v>0.2393333333333333</v>
      </c>
    </row>
    <row r="564" spans="1:7">
      <c r="A564" s="6" t="s">
        <v>214</v>
      </c>
      <c r="B564" s="6" t="s">
        <v>53</v>
      </c>
      <c r="C564" s="6" t="s">
        <v>186</v>
      </c>
      <c r="D564" s="6" t="s">
        <v>177</v>
      </c>
      <c r="E564" s="6" t="s">
        <v>86</v>
      </c>
      <c r="F564" s="6" t="b">
        <v>0</v>
      </c>
      <c r="G564" s="6">
        <v>0.015</v>
      </c>
    </row>
    <row r="565" spans="1:7">
      <c r="A565" s="6" t="s">
        <v>214</v>
      </c>
      <c r="B565" s="6" t="s">
        <v>53</v>
      </c>
      <c r="C565" s="6" t="s">
        <v>189</v>
      </c>
      <c r="D565" s="6" t="s">
        <v>86</v>
      </c>
      <c r="E565" s="6" t="s">
        <v>86</v>
      </c>
      <c r="F565" s="6" t="b">
        <v>0</v>
      </c>
      <c r="G565" s="6">
        <v>0.08341666666666665</v>
      </c>
    </row>
    <row r="566" spans="1:7">
      <c r="A566" s="6" t="s">
        <v>214</v>
      </c>
      <c r="B566" s="6" t="s">
        <v>53</v>
      </c>
      <c r="C566" s="6" t="s">
        <v>189</v>
      </c>
      <c r="D566" s="6" t="s">
        <v>88</v>
      </c>
      <c r="E566" s="6" t="s">
        <v>88</v>
      </c>
      <c r="F566" s="6" t="b">
        <v>0</v>
      </c>
      <c r="G566" s="6">
        <v>0.03833333333333334</v>
      </c>
    </row>
    <row r="567" spans="1:7">
      <c r="A567" s="6" t="s">
        <v>214</v>
      </c>
      <c r="B567" s="6" t="s">
        <v>53</v>
      </c>
      <c r="C567" s="6" t="s">
        <v>189</v>
      </c>
      <c r="D567" s="6" t="s">
        <v>90</v>
      </c>
      <c r="E567" s="6" t="s">
        <v>90</v>
      </c>
      <c r="F567" s="6" t="b">
        <v>0</v>
      </c>
      <c r="G567" s="6">
        <v>0.0105</v>
      </c>
    </row>
    <row r="568" spans="1:7">
      <c r="A568" s="6" t="s">
        <v>214</v>
      </c>
      <c r="B568" s="6" t="s">
        <v>53</v>
      </c>
      <c r="C568" s="6" t="s">
        <v>190</v>
      </c>
      <c r="D568" s="6" t="s">
        <v>44</v>
      </c>
      <c r="E568" s="6" t="s">
        <v>44</v>
      </c>
      <c r="F568" s="6" t="b">
        <v>0</v>
      </c>
      <c r="G568" s="6">
        <v>1.3355</v>
      </c>
    </row>
    <row r="569" spans="1:7">
      <c r="A569" s="6" t="s">
        <v>214</v>
      </c>
      <c r="B569" s="6" t="s">
        <v>53</v>
      </c>
      <c r="C569" s="6" t="s">
        <v>190</v>
      </c>
      <c r="D569" s="6" t="s">
        <v>86</v>
      </c>
      <c r="E569" s="6" t="s">
        <v>44</v>
      </c>
      <c r="F569" s="6" t="b">
        <v>0</v>
      </c>
      <c r="G569" s="6">
        <v>0.5603333333333333</v>
      </c>
    </row>
    <row r="570" spans="1:7">
      <c r="A570" s="6" t="s">
        <v>214</v>
      </c>
      <c r="B570" s="6" t="s">
        <v>53</v>
      </c>
      <c r="C570" s="6" t="s">
        <v>190</v>
      </c>
      <c r="D570" s="6" t="s">
        <v>86</v>
      </c>
      <c r="E570" s="6" t="s">
        <v>86</v>
      </c>
      <c r="F570" s="6" t="b">
        <v>0</v>
      </c>
      <c r="G570" s="6">
        <v>0.22075</v>
      </c>
    </row>
    <row r="571" spans="1:7">
      <c r="A571" s="6" t="s">
        <v>214</v>
      </c>
      <c r="B571" s="6" t="s">
        <v>53</v>
      </c>
      <c r="C571" s="6" t="s">
        <v>190</v>
      </c>
      <c r="D571" s="6" t="s">
        <v>90</v>
      </c>
      <c r="E571" s="6" t="s">
        <v>44</v>
      </c>
      <c r="F571" s="6" t="b">
        <v>0</v>
      </c>
      <c r="G571" s="6">
        <v>0.2733333333333333</v>
      </c>
    </row>
    <row r="572" spans="1:7">
      <c r="A572" s="6" t="s">
        <v>214</v>
      </c>
      <c r="B572" s="6" t="s">
        <v>53</v>
      </c>
      <c r="C572" s="6" t="s">
        <v>190</v>
      </c>
      <c r="D572" s="6" t="s">
        <v>90</v>
      </c>
      <c r="E572" s="6" t="s">
        <v>90</v>
      </c>
      <c r="F572" s="6" t="b">
        <v>0</v>
      </c>
      <c r="G572" s="6">
        <v>0.1608333333333333</v>
      </c>
    </row>
    <row r="573" spans="1:7">
      <c r="A573" s="6" t="s">
        <v>214</v>
      </c>
      <c r="B573" s="6" t="s">
        <v>53</v>
      </c>
      <c r="C573" s="6" t="s">
        <v>190</v>
      </c>
      <c r="D573" s="6" t="s">
        <v>177</v>
      </c>
      <c r="E573" s="6" t="s">
        <v>44</v>
      </c>
      <c r="F573" s="6" t="b">
        <v>0</v>
      </c>
      <c r="G573" s="6">
        <v>1.774833333333333</v>
      </c>
    </row>
    <row r="574" spans="1:7">
      <c r="A574" s="6" t="s">
        <v>215</v>
      </c>
      <c r="B574" s="6" t="s">
        <v>54</v>
      </c>
      <c r="C574" s="6" t="s">
        <v>181</v>
      </c>
      <c r="D574" s="6" t="s">
        <v>88</v>
      </c>
      <c r="E574" s="6" t="s">
        <v>88</v>
      </c>
      <c r="F574" s="6" t="b">
        <v>0</v>
      </c>
      <c r="G574" s="6">
        <v>78.19916666666667</v>
      </c>
    </row>
    <row r="575" spans="1:7">
      <c r="A575" s="6" t="s">
        <v>215</v>
      </c>
      <c r="B575" s="6" t="s">
        <v>54</v>
      </c>
      <c r="C575" s="6" t="s">
        <v>181</v>
      </c>
      <c r="D575" s="6" t="s">
        <v>90</v>
      </c>
      <c r="E575" s="6" t="s">
        <v>90</v>
      </c>
      <c r="F575" s="6" t="b">
        <v>0</v>
      </c>
      <c r="G575" s="6">
        <v>0.1429166666666667</v>
      </c>
    </row>
    <row r="576" spans="1:7">
      <c r="A576" s="6" t="s">
        <v>215</v>
      </c>
      <c r="B576" s="6" t="s">
        <v>54</v>
      </c>
      <c r="C576" s="6" t="s">
        <v>182</v>
      </c>
      <c r="D576" s="6" t="s">
        <v>88</v>
      </c>
      <c r="E576" s="6" t="s">
        <v>88</v>
      </c>
      <c r="F576" s="6" t="b">
        <v>0</v>
      </c>
      <c r="G576" s="6">
        <v>36.057</v>
      </c>
    </row>
    <row r="577" spans="1:7">
      <c r="A577" s="6" t="s">
        <v>215</v>
      </c>
      <c r="B577" s="6" t="s">
        <v>54</v>
      </c>
      <c r="C577" s="6" t="s">
        <v>183</v>
      </c>
      <c r="D577" s="6" t="s">
        <v>86</v>
      </c>
      <c r="E577" s="6" t="s">
        <v>86</v>
      </c>
      <c r="F577" s="6" t="b">
        <v>0</v>
      </c>
      <c r="G577" s="6">
        <v>0.05691666666666667</v>
      </c>
    </row>
    <row r="578" spans="1:7">
      <c r="A578" s="6" t="s">
        <v>215</v>
      </c>
      <c r="B578" s="6" t="s">
        <v>54</v>
      </c>
      <c r="C578" s="6" t="s">
        <v>183</v>
      </c>
      <c r="D578" s="6" t="s">
        <v>88</v>
      </c>
      <c r="E578" s="6" t="s">
        <v>88</v>
      </c>
      <c r="F578" s="6" t="b">
        <v>0</v>
      </c>
      <c r="G578" s="6">
        <v>0.3184166666666667</v>
      </c>
    </row>
    <row r="579" spans="1:7">
      <c r="A579" s="6" t="s">
        <v>215</v>
      </c>
      <c r="B579" s="6" t="s">
        <v>54</v>
      </c>
      <c r="C579" s="6" t="s">
        <v>183</v>
      </c>
      <c r="D579" s="6" t="s">
        <v>90</v>
      </c>
      <c r="E579" s="6" t="s">
        <v>86</v>
      </c>
      <c r="F579" s="6" t="b">
        <v>0</v>
      </c>
      <c r="G579" s="6">
        <v>0.5128333333333334</v>
      </c>
    </row>
    <row r="580" spans="1:7">
      <c r="A580" s="6" t="s">
        <v>215</v>
      </c>
      <c r="B580" s="6" t="s">
        <v>54</v>
      </c>
      <c r="C580" s="6" t="s">
        <v>183</v>
      </c>
      <c r="D580" s="6" t="s">
        <v>90</v>
      </c>
      <c r="E580" s="6" t="s">
        <v>90</v>
      </c>
      <c r="F580" s="6" t="b">
        <v>0</v>
      </c>
      <c r="G580" s="6">
        <v>0.4414166666666666</v>
      </c>
    </row>
    <row r="581" spans="1:7">
      <c r="A581" s="6" t="s">
        <v>215</v>
      </c>
      <c r="B581" s="6" t="s">
        <v>54</v>
      </c>
      <c r="C581" s="6" t="s">
        <v>183</v>
      </c>
      <c r="D581" s="6" t="s">
        <v>177</v>
      </c>
      <c r="E581" s="6" t="s">
        <v>86</v>
      </c>
      <c r="F581" s="6" t="b">
        <v>0</v>
      </c>
      <c r="G581" s="6">
        <v>0.08933333333333333</v>
      </c>
    </row>
    <row r="582" spans="1:7">
      <c r="A582" s="6" t="s">
        <v>215</v>
      </c>
      <c r="B582" s="6" t="s">
        <v>54</v>
      </c>
      <c r="C582" s="6" t="s">
        <v>183</v>
      </c>
      <c r="D582" s="6" t="s">
        <v>177</v>
      </c>
      <c r="E582" s="6" t="s">
        <v>685</v>
      </c>
      <c r="F582" s="6" t="b">
        <v>1</v>
      </c>
      <c r="G582" s="6">
        <v>0.014</v>
      </c>
    </row>
    <row r="583" spans="1:7">
      <c r="A583" s="6" t="s">
        <v>215</v>
      </c>
      <c r="B583" s="6" t="s">
        <v>54</v>
      </c>
      <c r="C583" s="6" t="s">
        <v>184</v>
      </c>
      <c r="D583" s="6" t="s">
        <v>44</v>
      </c>
      <c r="E583" s="6" t="s">
        <v>44</v>
      </c>
      <c r="F583" s="6" t="b">
        <v>0</v>
      </c>
      <c r="G583" s="6">
        <v>516.7365833333333</v>
      </c>
    </row>
    <row r="584" spans="1:7">
      <c r="A584" s="6" t="s">
        <v>215</v>
      </c>
      <c r="B584" s="6" t="s">
        <v>54</v>
      </c>
      <c r="C584" s="6" t="s">
        <v>184</v>
      </c>
      <c r="D584" s="6" t="s">
        <v>86</v>
      </c>
      <c r="E584" s="6" t="s">
        <v>86</v>
      </c>
      <c r="F584" s="6" t="b">
        <v>0</v>
      </c>
      <c r="G584" s="6">
        <v>2.375</v>
      </c>
    </row>
    <row r="585" spans="1:7">
      <c r="A585" s="6" t="s">
        <v>215</v>
      </c>
      <c r="B585" s="6" t="s">
        <v>54</v>
      </c>
      <c r="C585" s="6" t="s">
        <v>184</v>
      </c>
      <c r="D585" s="6" t="s">
        <v>88</v>
      </c>
      <c r="E585" s="6" t="s">
        <v>88</v>
      </c>
      <c r="F585" s="6" t="b">
        <v>0</v>
      </c>
      <c r="G585" s="6">
        <v>0.7127500000000001</v>
      </c>
    </row>
    <row r="586" spans="1:7">
      <c r="A586" s="6" t="s">
        <v>215</v>
      </c>
      <c r="B586" s="6" t="s">
        <v>54</v>
      </c>
      <c r="C586" s="6" t="s">
        <v>184</v>
      </c>
      <c r="D586" s="6" t="s">
        <v>90</v>
      </c>
      <c r="E586" s="6" t="s">
        <v>90</v>
      </c>
      <c r="F586" s="6" t="b">
        <v>0</v>
      </c>
      <c r="G586" s="6">
        <v>1.4165</v>
      </c>
    </row>
    <row r="587" spans="1:7">
      <c r="A587" s="6" t="s">
        <v>215</v>
      </c>
      <c r="B587" s="6" t="s">
        <v>54</v>
      </c>
      <c r="C587" s="6" t="s">
        <v>184</v>
      </c>
      <c r="D587" s="6" t="s">
        <v>90</v>
      </c>
      <c r="E587" s="6" t="s">
        <v>685</v>
      </c>
      <c r="F587" s="6" t="b">
        <v>1</v>
      </c>
      <c r="G587" s="6">
        <v>1.814833333333333</v>
      </c>
    </row>
    <row r="588" spans="1:7">
      <c r="A588" s="6" t="s">
        <v>215</v>
      </c>
      <c r="B588" s="6" t="s">
        <v>54</v>
      </c>
      <c r="C588" s="6" t="s">
        <v>184</v>
      </c>
      <c r="D588" s="6" t="s">
        <v>177</v>
      </c>
      <c r="E588" s="6" t="s">
        <v>44</v>
      </c>
      <c r="F588" s="6" t="b">
        <v>0</v>
      </c>
      <c r="G588" s="6">
        <v>518.53575</v>
      </c>
    </row>
    <row r="589" spans="1:7">
      <c r="A589" s="6" t="s">
        <v>215</v>
      </c>
      <c r="B589" s="6" t="s">
        <v>54</v>
      </c>
      <c r="C589" s="6" t="s">
        <v>184</v>
      </c>
      <c r="D589" s="6" t="s">
        <v>177</v>
      </c>
      <c r="E589" s="6" t="s">
        <v>86</v>
      </c>
      <c r="F589" s="6" t="b">
        <v>0</v>
      </c>
      <c r="G589" s="6">
        <v>0.7402500000000001</v>
      </c>
    </row>
    <row r="590" spans="1:7">
      <c r="A590" s="6" t="s">
        <v>215</v>
      </c>
      <c r="B590" s="6" t="s">
        <v>54</v>
      </c>
      <c r="C590" s="6" t="s">
        <v>184</v>
      </c>
      <c r="D590" s="6" t="s">
        <v>177</v>
      </c>
      <c r="E590" s="6" t="s">
        <v>685</v>
      </c>
      <c r="F590" s="6" t="b">
        <v>1</v>
      </c>
      <c r="G590" s="6">
        <v>11.14933333333333</v>
      </c>
    </row>
    <row r="591" spans="1:7">
      <c r="A591" s="6" t="s">
        <v>215</v>
      </c>
      <c r="B591" s="6" t="s">
        <v>54</v>
      </c>
      <c r="C591" s="6" t="s">
        <v>185</v>
      </c>
      <c r="D591" s="6" t="s">
        <v>44</v>
      </c>
      <c r="E591" s="6" t="s">
        <v>44</v>
      </c>
      <c r="F591" s="6" t="b">
        <v>0</v>
      </c>
      <c r="G591" s="6">
        <v>163.6243333333333</v>
      </c>
    </row>
    <row r="592" spans="1:7">
      <c r="A592" s="6" t="s">
        <v>215</v>
      </c>
      <c r="B592" s="6" t="s">
        <v>54</v>
      </c>
      <c r="C592" s="6" t="s">
        <v>185</v>
      </c>
      <c r="D592" s="6" t="s">
        <v>44</v>
      </c>
      <c r="E592" s="6" t="s">
        <v>685</v>
      </c>
      <c r="F592" s="6" t="b">
        <v>1</v>
      </c>
      <c r="G592" s="6">
        <v>23.6735</v>
      </c>
    </row>
    <row r="593" spans="1:7">
      <c r="A593" s="6" t="s">
        <v>215</v>
      </c>
      <c r="B593" s="6" t="s">
        <v>54</v>
      </c>
      <c r="C593" s="6" t="s">
        <v>186</v>
      </c>
      <c r="D593" s="6" t="s">
        <v>86</v>
      </c>
      <c r="E593" s="6" t="s">
        <v>86</v>
      </c>
      <c r="F593" s="6" t="b">
        <v>0</v>
      </c>
      <c r="G593" s="6">
        <v>193.5269166666667</v>
      </c>
    </row>
    <row r="594" spans="1:7">
      <c r="A594" s="6" t="s">
        <v>215</v>
      </c>
      <c r="B594" s="6" t="s">
        <v>54</v>
      </c>
      <c r="C594" s="6" t="s">
        <v>186</v>
      </c>
      <c r="D594" s="6" t="s">
        <v>88</v>
      </c>
      <c r="E594" s="6" t="s">
        <v>88</v>
      </c>
      <c r="F594" s="6" t="b">
        <v>0</v>
      </c>
      <c r="G594" s="6">
        <v>7.605583333333333</v>
      </c>
    </row>
    <row r="595" spans="1:7">
      <c r="A595" s="6" t="s">
        <v>215</v>
      </c>
      <c r="B595" s="6" t="s">
        <v>54</v>
      </c>
      <c r="C595" s="6" t="s">
        <v>186</v>
      </c>
      <c r="D595" s="6" t="s">
        <v>90</v>
      </c>
      <c r="E595" s="6" t="s">
        <v>86</v>
      </c>
      <c r="F595" s="6" t="b">
        <v>0</v>
      </c>
      <c r="G595" s="6">
        <v>0.02975</v>
      </c>
    </row>
    <row r="596" spans="1:7">
      <c r="A596" s="6" t="s">
        <v>215</v>
      </c>
      <c r="B596" s="6" t="s">
        <v>54</v>
      </c>
      <c r="C596" s="6" t="s">
        <v>186</v>
      </c>
      <c r="D596" s="6" t="s">
        <v>90</v>
      </c>
      <c r="E596" s="6" t="s">
        <v>90</v>
      </c>
      <c r="F596" s="6" t="b">
        <v>0</v>
      </c>
      <c r="G596" s="6">
        <v>75.916</v>
      </c>
    </row>
    <row r="597" spans="1:7">
      <c r="A597" s="6" t="s">
        <v>215</v>
      </c>
      <c r="B597" s="6" t="s">
        <v>54</v>
      </c>
      <c r="C597" s="6" t="s">
        <v>186</v>
      </c>
      <c r="D597" s="6" t="s">
        <v>177</v>
      </c>
      <c r="E597" s="6" t="s">
        <v>86</v>
      </c>
      <c r="F597" s="6" t="b">
        <v>0</v>
      </c>
      <c r="G597" s="6">
        <v>1.101416666666667</v>
      </c>
    </row>
    <row r="598" spans="1:7">
      <c r="A598" s="6" t="s">
        <v>215</v>
      </c>
      <c r="B598" s="6" t="s">
        <v>54</v>
      </c>
      <c r="C598" s="6" t="s">
        <v>188</v>
      </c>
      <c r="D598" s="6" t="s">
        <v>88</v>
      </c>
      <c r="E598" s="6" t="s">
        <v>88</v>
      </c>
      <c r="F598" s="6" t="b">
        <v>0</v>
      </c>
      <c r="G598" s="6">
        <v>1.084166666666667</v>
      </c>
    </row>
    <row r="599" spans="1:7">
      <c r="A599" s="6" t="s">
        <v>215</v>
      </c>
      <c r="B599" s="6" t="s">
        <v>54</v>
      </c>
      <c r="C599" s="6" t="s">
        <v>189</v>
      </c>
      <c r="D599" s="6" t="s">
        <v>86</v>
      </c>
      <c r="E599" s="6" t="s">
        <v>86</v>
      </c>
      <c r="F599" s="6" t="b">
        <v>0</v>
      </c>
      <c r="G599" s="6">
        <v>12.52141666666667</v>
      </c>
    </row>
    <row r="600" spans="1:7">
      <c r="A600" s="6" t="s">
        <v>215</v>
      </c>
      <c r="B600" s="6" t="s">
        <v>54</v>
      </c>
      <c r="C600" s="6" t="s">
        <v>189</v>
      </c>
      <c r="D600" s="6" t="s">
        <v>88</v>
      </c>
      <c r="E600" s="6" t="s">
        <v>88</v>
      </c>
      <c r="F600" s="6" t="b">
        <v>0</v>
      </c>
      <c r="G600" s="6">
        <v>75.39516666666667</v>
      </c>
    </row>
    <row r="601" spans="1:7">
      <c r="A601" s="6" t="s">
        <v>215</v>
      </c>
      <c r="B601" s="6" t="s">
        <v>54</v>
      </c>
      <c r="C601" s="6" t="s">
        <v>189</v>
      </c>
      <c r="D601" s="6" t="s">
        <v>90</v>
      </c>
      <c r="E601" s="6" t="s">
        <v>90</v>
      </c>
      <c r="F601" s="6" t="b">
        <v>0</v>
      </c>
      <c r="G601" s="6">
        <v>4.805833333333333</v>
      </c>
    </row>
    <row r="602" spans="1:7">
      <c r="A602" s="6" t="s">
        <v>215</v>
      </c>
      <c r="B602" s="6" t="s">
        <v>54</v>
      </c>
      <c r="C602" s="6" t="s">
        <v>190</v>
      </c>
      <c r="D602" s="6" t="s">
        <v>44</v>
      </c>
      <c r="E602" s="6" t="s">
        <v>44</v>
      </c>
      <c r="F602" s="6" t="b">
        <v>0</v>
      </c>
      <c r="G602" s="6">
        <v>252.53275</v>
      </c>
    </row>
    <row r="603" spans="1:7">
      <c r="A603" s="6" t="s">
        <v>215</v>
      </c>
      <c r="B603" s="6" t="s">
        <v>54</v>
      </c>
      <c r="C603" s="6" t="s">
        <v>190</v>
      </c>
      <c r="D603" s="6" t="s">
        <v>86</v>
      </c>
      <c r="E603" s="6" t="s">
        <v>44</v>
      </c>
      <c r="F603" s="6" t="b">
        <v>0</v>
      </c>
      <c r="G603" s="6">
        <v>7.766083333333333</v>
      </c>
    </row>
    <row r="604" spans="1:7">
      <c r="A604" s="6" t="s">
        <v>215</v>
      </c>
      <c r="B604" s="6" t="s">
        <v>54</v>
      </c>
      <c r="C604" s="6" t="s">
        <v>190</v>
      </c>
      <c r="D604" s="6" t="s">
        <v>86</v>
      </c>
      <c r="E604" s="6" t="s">
        <v>86</v>
      </c>
      <c r="F604" s="6" t="b">
        <v>0</v>
      </c>
      <c r="G604" s="6">
        <v>2.965416666666667</v>
      </c>
    </row>
    <row r="605" spans="1:7">
      <c r="A605" s="6" t="s">
        <v>215</v>
      </c>
      <c r="B605" s="6" t="s">
        <v>54</v>
      </c>
      <c r="C605" s="6" t="s">
        <v>190</v>
      </c>
      <c r="D605" s="6" t="s">
        <v>88</v>
      </c>
      <c r="E605" s="6" t="s">
        <v>88</v>
      </c>
      <c r="F605" s="6" t="b">
        <v>0</v>
      </c>
      <c r="G605" s="6">
        <v>0.03816666666666667</v>
      </c>
    </row>
    <row r="606" spans="1:7">
      <c r="A606" s="6" t="s">
        <v>215</v>
      </c>
      <c r="B606" s="6" t="s">
        <v>54</v>
      </c>
      <c r="C606" s="6" t="s">
        <v>190</v>
      </c>
      <c r="D606" s="6" t="s">
        <v>90</v>
      </c>
      <c r="E606" s="6" t="s">
        <v>44</v>
      </c>
      <c r="F606" s="6" t="b">
        <v>0</v>
      </c>
      <c r="G606" s="6">
        <v>4.264</v>
      </c>
    </row>
    <row r="607" spans="1:7">
      <c r="A607" s="6" t="s">
        <v>215</v>
      </c>
      <c r="B607" s="6" t="s">
        <v>54</v>
      </c>
      <c r="C607" s="6" t="s">
        <v>190</v>
      </c>
      <c r="D607" s="6" t="s">
        <v>90</v>
      </c>
      <c r="E607" s="6" t="s">
        <v>90</v>
      </c>
      <c r="F607" s="6" t="b">
        <v>0</v>
      </c>
      <c r="G607" s="6">
        <v>8.944000000000001</v>
      </c>
    </row>
    <row r="608" spans="1:7">
      <c r="A608" s="6" t="s">
        <v>215</v>
      </c>
      <c r="B608" s="6" t="s">
        <v>54</v>
      </c>
      <c r="C608" s="6" t="s">
        <v>190</v>
      </c>
      <c r="D608" s="6" t="s">
        <v>177</v>
      </c>
      <c r="E608" s="6" t="s">
        <v>44</v>
      </c>
      <c r="F608" s="6" t="b">
        <v>0</v>
      </c>
      <c r="G608" s="6">
        <v>84.71300000000001</v>
      </c>
    </row>
    <row r="609" spans="1:7">
      <c r="A609" s="6" t="s">
        <v>215</v>
      </c>
      <c r="B609" s="6" t="s">
        <v>54</v>
      </c>
      <c r="C609" s="6" t="s">
        <v>190</v>
      </c>
      <c r="D609" s="6" t="s">
        <v>177</v>
      </c>
      <c r="E609" s="6" t="s">
        <v>86</v>
      </c>
      <c r="F609" s="6" t="b">
        <v>0</v>
      </c>
      <c r="G609" s="6">
        <v>27.23091666666667</v>
      </c>
    </row>
    <row r="610" spans="1:7">
      <c r="A610" s="6" t="s">
        <v>215</v>
      </c>
      <c r="B610" s="6" t="s">
        <v>54</v>
      </c>
      <c r="C610" s="6" t="s">
        <v>190</v>
      </c>
      <c r="D610" s="6" t="s">
        <v>177</v>
      </c>
      <c r="E610" s="6" t="s">
        <v>685</v>
      </c>
      <c r="F610" s="6" t="b">
        <v>1</v>
      </c>
      <c r="G610" s="6">
        <v>17.26633333333333</v>
      </c>
    </row>
    <row r="611" spans="1:7">
      <c r="A611" s="6" t="s">
        <v>215</v>
      </c>
      <c r="B611" s="6" t="s">
        <v>54</v>
      </c>
      <c r="C611" s="6" t="s">
        <v>190</v>
      </c>
      <c r="D611" s="6" t="s">
        <v>92</v>
      </c>
      <c r="E611" s="6" t="s">
        <v>92</v>
      </c>
      <c r="F611" s="6" t="b">
        <v>0</v>
      </c>
      <c r="G611" s="6">
        <v>0.3561666666666667</v>
      </c>
    </row>
    <row r="612" spans="1:7">
      <c r="A612" s="6" t="s">
        <v>216</v>
      </c>
      <c r="B612" s="6" t="s">
        <v>55</v>
      </c>
      <c r="C612" s="6" t="s">
        <v>181</v>
      </c>
      <c r="D612" s="6" t="s">
        <v>88</v>
      </c>
      <c r="E612" s="6" t="s">
        <v>88</v>
      </c>
      <c r="F612" s="6" t="b">
        <v>0</v>
      </c>
      <c r="G612" s="6">
        <v>0.9788333333333333</v>
      </c>
    </row>
    <row r="613" spans="1:7">
      <c r="A613" s="6" t="s">
        <v>216</v>
      </c>
      <c r="B613" s="6" t="s">
        <v>55</v>
      </c>
      <c r="C613" s="6" t="s">
        <v>181</v>
      </c>
      <c r="D613" s="6" t="s">
        <v>90</v>
      </c>
      <c r="E613" s="6" t="s">
        <v>90</v>
      </c>
      <c r="F613" s="6" t="b">
        <v>0</v>
      </c>
      <c r="G613" s="6">
        <v>0.01925</v>
      </c>
    </row>
    <row r="614" spans="1:7">
      <c r="A614" s="6" t="s">
        <v>216</v>
      </c>
      <c r="B614" s="6" t="s">
        <v>55</v>
      </c>
      <c r="C614" s="6" t="s">
        <v>183</v>
      </c>
      <c r="D614" s="6" t="s">
        <v>86</v>
      </c>
      <c r="E614" s="6" t="s">
        <v>86</v>
      </c>
      <c r="F614" s="6" t="b">
        <v>0</v>
      </c>
      <c r="G614" s="6">
        <v>0.008916666666666668</v>
      </c>
    </row>
    <row r="615" spans="1:7">
      <c r="A615" s="6" t="s">
        <v>216</v>
      </c>
      <c r="B615" s="6" t="s">
        <v>55</v>
      </c>
      <c r="C615" s="6" t="s">
        <v>183</v>
      </c>
      <c r="D615" s="6" t="s">
        <v>88</v>
      </c>
      <c r="E615" s="6" t="s">
        <v>88</v>
      </c>
      <c r="F615" s="6" t="b">
        <v>0</v>
      </c>
      <c r="G615" s="6">
        <v>0.02416666666666667</v>
      </c>
    </row>
    <row r="616" spans="1:7">
      <c r="A616" s="6" t="s">
        <v>216</v>
      </c>
      <c r="B616" s="6" t="s">
        <v>55</v>
      </c>
      <c r="C616" s="6" t="s">
        <v>183</v>
      </c>
      <c r="D616" s="6" t="s">
        <v>90</v>
      </c>
      <c r="E616" s="6" t="s">
        <v>86</v>
      </c>
      <c r="F616" s="6" t="b">
        <v>0</v>
      </c>
      <c r="G616" s="6">
        <v>0.04141666666666666</v>
      </c>
    </row>
    <row r="617" spans="1:7">
      <c r="A617" s="6" t="s">
        <v>216</v>
      </c>
      <c r="B617" s="6" t="s">
        <v>55</v>
      </c>
      <c r="C617" s="6" t="s">
        <v>183</v>
      </c>
      <c r="D617" s="6" t="s">
        <v>90</v>
      </c>
      <c r="E617" s="6" t="s">
        <v>90</v>
      </c>
      <c r="F617" s="6" t="b">
        <v>0</v>
      </c>
      <c r="G617" s="6">
        <v>0.07408333333333333</v>
      </c>
    </row>
    <row r="618" spans="1:7">
      <c r="A618" s="6" t="s">
        <v>216</v>
      </c>
      <c r="B618" s="6" t="s">
        <v>55</v>
      </c>
      <c r="C618" s="6" t="s">
        <v>183</v>
      </c>
      <c r="D618" s="6" t="s">
        <v>177</v>
      </c>
      <c r="E618" s="6" t="s">
        <v>86</v>
      </c>
      <c r="F618" s="6" t="b">
        <v>0</v>
      </c>
      <c r="G618" s="6">
        <v>0.008666666666666666</v>
      </c>
    </row>
    <row r="619" spans="1:7">
      <c r="A619" s="6" t="s">
        <v>216</v>
      </c>
      <c r="B619" s="6" t="s">
        <v>55</v>
      </c>
      <c r="C619" s="6" t="s">
        <v>184</v>
      </c>
      <c r="D619" s="6" t="s">
        <v>44</v>
      </c>
      <c r="E619" s="6" t="s">
        <v>44</v>
      </c>
      <c r="F619" s="6" t="b">
        <v>0</v>
      </c>
      <c r="G619" s="6">
        <v>7.842333333333333</v>
      </c>
    </row>
    <row r="620" spans="1:7">
      <c r="A620" s="6" t="s">
        <v>216</v>
      </c>
      <c r="B620" s="6" t="s">
        <v>55</v>
      </c>
      <c r="C620" s="6" t="s">
        <v>184</v>
      </c>
      <c r="D620" s="6" t="s">
        <v>88</v>
      </c>
      <c r="E620" s="6" t="s">
        <v>88</v>
      </c>
      <c r="F620" s="6" t="b">
        <v>0</v>
      </c>
      <c r="G620" s="6">
        <v>0.1083333333333333</v>
      </c>
    </row>
    <row r="621" spans="1:7">
      <c r="A621" s="6" t="s">
        <v>216</v>
      </c>
      <c r="B621" s="6" t="s">
        <v>55</v>
      </c>
      <c r="C621" s="6" t="s">
        <v>184</v>
      </c>
      <c r="D621" s="6" t="s">
        <v>90</v>
      </c>
      <c r="E621" s="6" t="s">
        <v>90</v>
      </c>
      <c r="F621" s="6" t="b">
        <v>0</v>
      </c>
      <c r="G621" s="6">
        <v>0.07941666666666668</v>
      </c>
    </row>
    <row r="622" spans="1:7">
      <c r="A622" s="6" t="s">
        <v>216</v>
      </c>
      <c r="B622" s="6" t="s">
        <v>55</v>
      </c>
      <c r="C622" s="6" t="s">
        <v>184</v>
      </c>
      <c r="D622" s="6" t="s">
        <v>90</v>
      </c>
      <c r="E622" s="6" t="s">
        <v>685</v>
      </c>
      <c r="F622" s="6" t="b">
        <v>1</v>
      </c>
      <c r="G622" s="6">
        <v>0.05783333333333334</v>
      </c>
    </row>
    <row r="623" spans="1:7">
      <c r="A623" s="6" t="s">
        <v>216</v>
      </c>
      <c r="B623" s="6" t="s">
        <v>55</v>
      </c>
      <c r="C623" s="6" t="s">
        <v>184</v>
      </c>
      <c r="D623" s="6" t="s">
        <v>177</v>
      </c>
      <c r="E623" s="6" t="s">
        <v>44</v>
      </c>
      <c r="F623" s="6" t="b">
        <v>0</v>
      </c>
      <c r="G623" s="6">
        <v>13.21725</v>
      </c>
    </row>
    <row r="624" spans="1:7">
      <c r="A624" s="6" t="s">
        <v>216</v>
      </c>
      <c r="B624" s="6" t="s">
        <v>55</v>
      </c>
      <c r="C624" s="6" t="s">
        <v>184</v>
      </c>
      <c r="D624" s="6" t="s">
        <v>177</v>
      </c>
      <c r="E624" s="6" t="s">
        <v>86</v>
      </c>
      <c r="F624" s="6" t="b">
        <v>0</v>
      </c>
      <c r="G624" s="6">
        <v>0.031</v>
      </c>
    </row>
    <row r="625" spans="1:7">
      <c r="A625" s="6" t="s">
        <v>216</v>
      </c>
      <c r="B625" s="6" t="s">
        <v>55</v>
      </c>
      <c r="C625" s="6" t="s">
        <v>184</v>
      </c>
      <c r="D625" s="6" t="s">
        <v>177</v>
      </c>
      <c r="E625" s="6" t="s">
        <v>685</v>
      </c>
      <c r="F625" s="6" t="b">
        <v>1</v>
      </c>
      <c r="G625" s="6">
        <v>0.9350000000000001</v>
      </c>
    </row>
    <row r="626" spans="1:7">
      <c r="A626" s="6" t="s">
        <v>216</v>
      </c>
      <c r="B626" s="6" t="s">
        <v>55</v>
      </c>
      <c r="C626" s="6" t="s">
        <v>186</v>
      </c>
      <c r="D626" s="6" t="s">
        <v>86</v>
      </c>
      <c r="E626" s="6" t="s">
        <v>86</v>
      </c>
      <c r="F626" s="6" t="b">
        <v>0</v>
      </c>
      <c r="G626" s="6">
        <v>2.096583333333333</v>
      </c>
    </row>
    <row r="627" spans="1:7">
      <c r="A627" s="6" t="s">
        <v>216</v>
      </c>
      <c r="B627" s="6" t="s">
        <v>55</v>
      </c>
      <c r="C627" s="6" t="s">
        <v>186</v>
      </c>
      <c r="D627" s="6" t="s">
        <v>88</v>
      </c>
      <c r="E627" s="6" t="s">
        <v>88</v>
      </c>
      <c r="F627" s="6" t="b">
        <v>0</v>
      </c>
      <c r="G627" s="6">
        <v>0.1375833333333333</v>
      </c>
    </row>
    <row r="628" spans="1:7">
      <c r="A628" s="6" t="s">
        <v>216</v>
      </c>
      <c r="B628" s="6" t="s">
        <v>55</v>
      </c>
      <c r="C628" s="6" t="s">
        <v>186</v>
      </c>
      <c r="D628" s="6" t="s">
        <v>90</v>
      </c>
      <c r="E628" s="6" t="s">
        <v>90</v>
      </c>
      <c r="F628" s="6" t="b">
        <v>0</v>
      </c>
      <c r="G628" s="6">
        <v>1.3535</v>
      </c>
    </row>
    <row r="629" spans="1:7">
      <c r="A629" s="6" t="s">
        <v>216</v>
      </c>
      <c r="B629" s="6" t="s">
        <v>55</v>
      </c>
      <c r="C629" s="6" t="s">
        <v>186</v>
      </c>
      <c r="D629" s="6" t="s">
        <v>177</v>
      </c>
      <c r="E629" s="6" t="s">
        <v>86</v>
      </c>
      <c r="F629" s="6" t="b">
        <v>0</v>
      </c>
      <c r="G629" s="6">
        <v>0.07049999999999999</v>
      </c>
    </row>
    <row r="630" spans="1:7">
      <c r="A630" s="6" t="s">
        <v>216</v>
      </c>
      <c r="B630" s="6" t="s">
        <v>55</v>
      </c>
      <c r="C630" s="6" t="s">
        <v>189</v>
      </c>
      <c r="D630" s="6" t="s">
        <v>86</v>
      </c>
      <c r="E630" s="6" t="s">
        <v>86</v>
      </c>
      <c r="F630" s="6" t="b">
        <v>0</v>
      </c>
      <c r="G630" s="6">
        <v>0.8986666666666667</v>
      </c>
    </row>
    <row r="631" spans="1:7">
      <c r="A631" s="6" t="s">
        <v>216</v>
      </c>
      <c r="B631" s="6" t="s">
        <v>55</v>
      </c>
      <c r="C631" s="6" t="s">
        <v>189</v>
      </c>
      <c r="D631" s="6" t="s">
        <v>88</v>
      </c>
      <c r="E631" s="6" t="s">
        <v>88</v>
      </c>
      <c r="F631" s="6" t="b">
        <v>0</v>
      </c>
      <c r="G631" s="6">
        <v>0.2474166666666666</v>
      </c>
    </row>
    <row r="632" spans="1:7">
      <c r="A632" s="6" t="s">
        <v>216</v>
      </c>
      <c r="B632" s="6" t="s">
        <v>55</v>
      </c>
      <c r="C632" s="6" t="s">
        <v>189</v>
      </c>
      <c r="D632" s="6" t="s">
        <v>90</v>
      </c>
      <c r="E632" s="6" t="s">
        <v>90</v>
      </c>
      <c r="F632" s="6" t="b">
        <v>0</v>
      </c>
      <c r="G632" s="6">
        <v>0.1275</v>
      </c>
    </row>
    <row r="633" spans="1:7">
      <c r="A633" s="6" t="s">
        <v>216</v>
      </c>
      <c r="B633" s="6" t="s">
        <v>55</v>
      </c>
      <c r="C633" s="6" t="s">
        <v>190</v>
      </c>
      <c r="D633" s="6" t="s">
        <v>44</v>
      </c>
      <c r="E633" s="6" t="s">
        <v>44</v>
      </c>
      <c r="F633" s="6" t="b">
        <v>0</v>
      </c>
      <c r="G633" s="6">
        <v>0.1805</v>
      </c>
    </row>
    <row r="634" spans="1:7">
      <c r="A634" s="6" t="s">
        <v>216</v>
      </c>
      <c r="B634" s="6" t="s">
        <v>55</v>
      </c>
      <c r="C634" s="6" t="s">
        <v>190</v>
      </c>
      <c r="D634" s="6" t="s">
        <v>177</v>
      </c>
      <c r="E634" s="6" t="s">
        <v>44</v>
      </c>
      <c r="F634" s="6" t="b">
        <v>0</v>
      </c>
      <c r="G634" s="6">
        <v>0.08750000000000001</v>
      </c>
    </row>
    <row r="635" spans="1:7">
      <c r="A635" s="6" t="s">
        <v>341</v>
      </c>
      <c r="B635" s="6" t="s">
        <v>52</v>
      </c>
      <c r="C635" s="6" t="s">
        <v>186</v>
      </c>
      <c r="D635" s="6" t="s">
        <v>86</v>
      </c>
      <c r="E635" s="6" t="s">
        <v>86</v>
      </c>
      <c r="F635" s="6" t="b">
        <v>0</v>
      </c>
      <c r="G635" s="6">
        <v>2.619166666666667</v>
      </c>
    </row>
    <row r="636" spans="1:7">
      <c r="A636" s="6" t="s">
        <v>341</v>
      </c>
      <c r="B636" s="6" t="s">
        <v>52</v>
      </c>
      <c r="C636" s="6" t="s">
        <v>186</v>
      </c>
      <c r="D636" s="6" t="s">
        <v>90</v>
      </c>
      <c r="E636" s="6" t="s">
        <v>90</v>
      </c>
      <c r="F636" s="6" t="b">
        <v>0</v>
      </c>
      <c r="G636" s="6">
        <v>0.271</v>
      </c>
    </row>
    <row r="637" spans="1:7">
      <c r="A637" s="6" t="s">
        <v>341</v>
      </c>
      <c r="B637" s="6" t="s">
        <v>52</v>
      </c>
      <c r="C637" s="6" t="s">
        <v>189</v>
      </c>
      <c r="D637" s="6" t="s">
        <v>86</v>
      </c>
      <c r="E637" s="6" t="s">
        <v>86</v>
      </c>
      <c r="F637" s="6" t="b">
        <v>0</v>
      </c>
      <c r="G637" s="6">
        <v>0.8100000000000001</v>
      </c>
    </row>
    <row r="638" spans="1:7">
      <c r="A638" s="6" t="s">
        <v>341</v>
      </c>
      <c r="B638" s="6" t="s">
        <v>52</v>
      </c>
      <c r="C638" s="6" t="s">
        <v>189</v>
      </c>
      <c r="D638" s="6" t="s">
        <v>88</v>
      </c>
      <c r="E638" s="6" t="s">
        <v>88</v>
      </c>
      <c r="F638" s="6" t="b">
        <v>0</v>
      </c>
      <c r="G638" s="6">
        <v>11.00733333333333</v>
      </c>
    </row>
    <row r="639" spans="1:7">
      <c r="A639" s="6" t="s">
        <v>217</v>
      </c>
      <c r="B639" s="6" t="s">
        <v>53</v>
      </c>
      <c r="C639" s="6" t="s">
        <v>181</v>
      </c>
      <c r="D639" s="6" t="s">
        <v>88</v>
      </c>
      <c r="E639" s="6" t="s">
        <v>88</v>
      </c>
      <c r="F639" s="6" t="b">
        <v>0</v>
      </c>
      <c r="G639" s="6">
        <v>9.401</v>
      </c>
    </row>
    <row r="640" spans="1:7">
      <c r="A640" s="6" t="s">
        <v>217</v>
      </c>
      <c r="B640" s="6" t="s">
        <v>53</v>
      </c>
      <c r="C640" s="6" t="s">
        <v>181</v>
      </c>
      <c r="D640" s="6" t="s">
        <v>90</v>
      </c>
      <c r="E640" s="6" t="s">
        <v>90</v>
      </c>
      <c r="F640" s="6" t="b">
        <v>0</v>
      </c>
      <c r="G640" s="6">
        <v>0.0165</v>
      </c>
    </row>
    <row r="641" spans="1:7">
      <c r="A641" s="6" t="s">
        <v>217</v>
      </c>
      <c r="B641" s="6" t="s">
        <v>53</v>
      </c>
      <c r="C641" s="6" t="s">
        <v>183</v>
      </c>
      <c r="D641" s="6" t="s">
        <v>86</v>
      </c>
      <c r="E641" s="6" t="s">
        <v>86</v>
      </c>
      <c r="F641" s="6" t="b">
        <v>0</v>
      </c>
      <c r="G641" s="6">
        <v>0.00425</v>
      </c>
    </row>
    <row r="642" spans="1:7">
      <c r="A642" s="6" t="s">
        <v>217</v>
      </c>
      <c r="B642" s="6" t="s">
        <v>53</v>
      </c>
      <c r="C642" s="6" t="s">
        <v>183</v>
      </c>
      <c r="D642" s="6" t="s">
        <v>88</v>
      </c>
      <c r="E642" s="6" t="s">
        <v>88</v>
      </c>
      <c r="F642" s="6" t="b">
        <v>0</v>
      </c>
      <c r="G642" s="6">
        <v>0.1503333333333333</v>
      </c>
    </row>
    <row r="643" spans="1:7">
      <c r="A643" s="6" t="s">
        <v>217</v>
      </c>
      <c r="B643" s="6" t="s">
        <v>53</v>
      </c>
      <c r="C643" s="6" t="s">
        <v>183</v>
      </c>
      <c r="D643" s="6" t="s">
        <v>90</v>
      </c>
      <c r="E643" s="6" t="s">
        <v>86</v>
      </c>
      <c r="F643" s="6" t="b">
        <v>0</v>
      </c>
      <c r="G643" s="6">
        <v>0.1315833333333333</v>
      </c>
    </row>
    <row r="644" spans="1:7">
      <c r="A644" s="6" t="s">
        <v>217</v>
      </c>
      <c r="B644" s="6" t="s">
        <v>53</v>
      </c>
      <c r="C644" s="6" t="s">
        <v>183</v>
      </c>
      <c r="D644" s="6" t="s">
        <v>90</v>
      </c>
      <c r="E644" s="6" t="s">
        <v>90</v>
      </c>
      <c r="F644" s="6" t="b">
        <v>0</v>
      </c>
      <c r="G644" s="6">
        <v>0.04683333333333334</v>
      </c>
    </row>
    <row r="645" spans="1:7">
      <c r="A645" s="6" t="s">
        <v>217</v>
      </c>
      <c r="B645" s="6" t="s">
        <v>53</v>
      </c>
      <c r="C645" s="6" t="s">
        <v>183</v>
      </c>
      <c r="D645" s="6" t="s">
        <v>177</v>
      </c>
      <c r="E645" s="6" t="s">
        <v>86</v>
      </c>
      <c r="F645" s="6" t="b">
        <v>0</v>
      </c>
      <c r="G645" s="6">
        <v>0.01</v>
      </c>
    </row>
    <row r="646" spans="1:7">
      <c r="A646" s="6" t="s">
        <v>217</v>
      </c>
      <c r="B646" s="6" t="s">
        <v>53</v>
      </c>
      <c r="C646" s="6" t="s">
        <v>183</v>
      </c>
      <c r="D646" s="6" t="s">
        <v>177</v>
      </c>
      <c r="E646" s="6" t="s">
        <v>685</v>
      </c>
      <c r="F646" s="6" t="b">
        <v>1</v>
      </c>
      <c r="G646" s="6">
        <v>0.018</v>
      </c>
    </row>
    <row r="647" spans="1:7">
      <c r="A647" s="6" t="s">
        <v>217</v>
      </c>
      <c r="B647" s="6" t="s">
        <v>53</v>
      </c>
      <c r="C647" s="6" t="s">
        <v>184</v>
      </c>
      <c r="D647" s="6" t="s">
        <v>44</v>
      </c>
      <c r="E647" s="6" t="s">
        <v>44</v>
      </c>
      <c r="F647" s="6" t="b">
        <v>0</v>
      </c>
      <c r="G647" s="6">
        <v>99.70191666666666</v>
      </c>
    </row>
    <row r="648" spans="1:7">
      <c r="A648" s="6" t="s">
        <v>217</v>
      </c>
      <c r="B648" s="6" t="s">
        <v>53</v>
      </c>
      <c r="C648" s="6" t="s">
        <v>184</v>
      </c>
      <c r="D648" s="6" t="s">
        <v>86</v>
      </c>
      <c r="E648" s="6" t="s">
        <v>86</v>
      </c>
      <c r="F648" s="6" t="b">
        <v>0</v>
      </c>
      <c r="G648" s="6">
        <v>2.354666666666667</v>
      </c>
    </row>
    <row r="649" spans="1:7">
      <c r="A649" s="6" t="s">
        <v>217</v>
      </c>
      <c r="B649" s="6" t="s">
        <v>53</v>
      </c>
      <c r="C649" s="6" t="s">
        <v>184</v>
      </c>
      <c r="D649" s="6" t="s">
        <v>88</v>
      </c>
      <c r="E649" s="6" t="s">
        <v>88</v>
      </c>
      <c r="F649" s="6" t="b">
        <v>0</v>
      </c>
      <c r="G649" s="6">
        <v>0.06658333333333334</v>
      </c>
    </row>
    <row r="650" spans="1:7">
      <c r="A650" s="6" t="s">
        <v>217</v>
      </c>
      <c r="B650" s="6" t="s">
        <v>53</v>
      </c>
      <c r="C650" s="6" t="s">
        <v>184</v>
      </c>
      <c r="D650" s="6" t="s">
        <v>90</v>
      </c>
      <c r="E650" s="6" t="s">
        <v>90</v>
      </c>
      <c r="F650" s="6" t="b">
        <v>0</v>
      </c>
      <c r="G650" s="6">
        <v>0.1681666666666667</v>
      </c>
    </row>
    <row r="651" spans="1:7">
      <c r="A651" s="6" t="s">
        <v>217</v>
      </c>
      <c r="B651" s="6" t="s">
        <v>53</v>
      </c>
      <c r="C651" s="6" t="s">
        <v>184</v>
      </c>
      <c r="D651" s="6" t="s">
        <v>90</v>
      </c>
      <c r="E651" s="6" t="s">
        <v>685</v>
      </c>
      <c r="F651" s="6" t="b">
        <v>1</v>
      </c>
      <c r="G651" s="6">
        <v>0.05608333333333334</v>
      </c>
    </row>
    <row r="652" spans="1:7">
      <c r="A652" s="6" t="s">
        <v>217</v>
      </c>
      <c r="B652" s="6" t="s">
        <v>53</v>
      </c>
      <c r="C652" s="6" t="s">
        <v>184</v>
      </c>
      <c r="D652" s="6" t="s">
        <v>177</v>
      </c>
      <c r="E652" s="6" t="s">
        <v>44</v>
      </c>
      <c r="F652" s="6" t="b">
        <v>0</v>
      </c>
      <c r="G652" s="6">
        <v>333.6639166666667</v>
      </c>
    </row>
    <row r="653" spans="1:7">
      <c r="A653" s="6" t="s">
        <v>217</v>
      </c>
      <c r="B653" s="6" t="s">
        <v>53</v>
      </c>
      <c r="C653" s="6" t="s">
        <v>184</v>
      </c>
      <c r="D653" s="6" t="s">
        <v>177</v>
      </c>
      <c r="E653" s="6" t="s">
        <v>86</v>
      </c>
      <c r="F653" s="6" t="b">
        <v>0</v>
      </c>
      <c r="G653" s="6">
        <v>0.02625</v>
      </c>
    </row>
    <row r="654" spans="1:7">
      <c r="A654" s="6" t="s">
        <v>217</v>
      </c>
      <c r="B654" s="6" t="s">
        <v>53</v>
      </c>
      <c r="C654" s="6" t="s">
        <v>184</v>
      </c>
      <c r="D654" s="6" t="s">
        <v>177</v>
      </c>
      <c r="E654" s="6" t="s">
        <v>685</v>
      </c>
      <c r="F654" s="6" t="b">
        <v>1</v>
      </c>
      <c r="G654" s="6">
        <v>1.504583333333333</v>
      </c>
    </row>
    <row r="655" spans="1:7">
      <c r="A655" s="6" t="s">
        <v>217</v>
      </c>
      <c r="B655" s="6" t="s">
        <v>53</v>
      </c>
      <c r="C655" s="6" t="s">
        <v>186</v>
      </c>
      <c r="D655" s="6" t="s">
        <v>86</v>
      </c>
      <c r="E655" s="6" t="s">
        <v>86</v>
      </c>
      <c r="F655" s="6" t="b">
        <v>0</v>
      </c>
      <c r="G655" s="6">
        <v>70.19433333333333</v>
      </c>
    </row>
    <row r="656" spans="1:7">
      <c r="A656" s="6" t="s">
        <v>217</v>
      </c>
      <c r="B656" s="6" t="s">
        <v>53</v>
      </c>
      <c r="C656" s="6" t="s">
        <v>186</v>
      </c>
      <c r="D656" s="6" t="s">
        <v>88</v>
      </c>
      <c r="E656" s="6" t="s">
        <v>88</v>
      </c>
      <c r="F656" s="6" t="b">
        <v>0</v>
      </c>
      <c r="G656" s="6">
        <v>1.282333333333333</v>
      </c>
    </row>
    <row r="657" spans="1:7">
      <c r="A657" s="6" t="s">
        <v>217</v>
      </c>
      <c r="B657" s="6" t="s">
        <v>53</v>
      </c>
      <c r="C657" s="6" t="s">
        <v>186</v>
      </c>
      <c r="D657" s="6" t="s">
        <v>90</v>
      </c>
      <c r="E657" s="6" t="s">
        <v>86</v>
      </c>
      <c r="F657" s="6" t="b">
        <v>0</v>
      </c>
      <c r="G657" s="6">
        <v>0.007083333333333334</v>
      </c>
    </row>
    <row r="658" spans="1:7">
      <c r="A658" s="6" t="s">
        <v>217</v>
      </c>
      <c r="B658" s="6" t="s">
        <v>53</v>
      </c>
      <c r="C658" s="6" t="s">
        <v>186</v>
      </c>
      <c r="D658" s="6" t="s">
        <v>90</v>
      </c>
      <c r="E658" s="6" t="s">
        <v>90</v>
      </c>
      <c r="F658" s="6" t="b">
        <v>0</v>
      </c>
      <c r="G658" s="6">
        <v>15.04275</v>
      </c>
    </row>
    <row r="659" spans="1:7">
      <c r="A659" s="6" t="s">
        <v>217</v>
      </c>
      <c r="B659" s="6" t="s">
        <v>53</v>
      </c>
      <c r="C659" s="6" t="s">
        <v>186</v>
      </c>
      <c r="D659" s="6" t="s">
        <v>177</v>
      </c>
      <c r="E659" s="6" t="s">
        <v>86</v>
      </c>
      <c r="F659" s="6" t="b">
        <v>0</v>
      </c>
      <c r="G659" s="6">
        <v>0.6988333333333334</v>
      </c>
    </row>
    <row r="660" spans="1:7">
      <c r="A660" s="6" t="s">
        <v>217</v>
      </c>
      <c r="B660" s="6" t="s">
        <v>53</v>
      </c>
      <c r="C660" s="6" t="s">
        <v>189</v>
      </c>
      <c r="D660" s="6" t="s">
        <v>86</v>
      </c>
      <c r="E660" s="6" t="s">
        <v>86</v>
      </c>
      <c r="F660" s="6" t="b">
        <v>0</v>
      </c>
      <c r="G660" s="6">
        <v>1.10675</v>
      </c>
    </row>
    <row r="661" spans="1:7">
      <c r="A661" s="6" t="s">
        <v>217</v>
      </c>
      <c r="B661" s="6" t="s">
        <v>53</v>
      </c>
      <c r="C661" s="6" t="s">
        <v>189</v>
      </c>
      <c r="D661" s="6" t="s">
        <v>88</v>
      </c>
      <c r="E661" s="6" t="s">
        <v>88</v>
      </c>
      <c r="F661" s="6" t="b">
        <v>0</v>
      </c>
      <c r="G661" s="6">
        <v>3.474833333333333</v>
      </c>
    </row>
    <row r="662" spans="1:7">
      <c r="A662" s="6" t="s">
        <v>217</v>
      </c>
      <c r="B662" s="6" t="s">
        <v>53</v>
      </c>
      <c r="C662" s="6" t="s">
        <v>189</v>
      </c>
      <c r="D662" s="6" t="s">
        <v>90</v>
      </c>
      <c r="E662" s="6" t="s">
        <v>90</v>
      </c>
      <c r="F662" s="6" t="b">
        <v>0</v>
      </c>
      <c r="G662" s="6">
        <v>0.8404166666666666</v>
      </c>
    </row>
    <row r="663" spans="1:7">
      <c r="A663" s="6" t="s">
        <v>217</v>
      </c>
      <c r="B663" s="6" t="s">
        <v>53</v>
      </c>
      <c r="C663" s="6" t="s">
        <v>190</v>
      </c>
      <c r="D663" s="6" t="s">
        <v>44</v>
      </c>
      <c r="E663" s="6" t="s">
        <v>44</v>
      </c>
      <c r="F663" s="6" t="b">
        <v>0</v>
      </c>
      <c r="G663" s="6">
        <v>1.292916666666667</v>
      </c>
    </row>
    <row r="664" spans="1:7">
      <c r="A664" s="6" t="s">
        <v>217</v>
      </c>
      <c r="B664" s="6" t="s">
        <v>53</v>
      </c>
      <c r="C664" s="6" t="s">
        <v>190</v>
      </c>
      <c r="D664" s="6" t="s">
        <v>86</v>
      </c>
      <c r="E664" s="6" t="s">
        <v>44</v>
      </c>
      <c r="F664" s="6" t="b">
        <v>0</v>
      </c>
      <c r="G664" s="6">
        <v>1.308583333333333</v>
      </c>
    </row>
    <row r="665" spans="1:7">
      <c r="A665" s="6" t="s">
        <v>217</v>
      </c>
      <c r="B665" s="6" t="s">
        <v>53</v>
      </c>
      <c r="C665" s="6" t="s">
        <v>190</v>
      </c>
      <c r="D665" s="6" t="s">
        <v>86</v>
      </c>
      <c r="E665" s="6" t="s">
        <v>86</v>
      </c>
      <c r="F665" s="6" t="b">
        <v>0</v>
      </c>
      <c r="G665" s="6">
        <v>0.08708333333333333</v>
      </c>
    </row>
    <row r="666" spans="1:7">
      <c r="A666" s="6" t="s">
        <v>217</v>
      </c>
      <c r="B666" s="6" t="s">
        <v>53</v>
      </c>
      <c r="C666" s="6" t="s">
        <v>190</v>
      </c>
      <c r="D666" s="6" t="s">
        <v>90</v>
      </c>
      <c r="E666" s="6" t="s">
        <v>44</v>
      </c>
      <c r="F666" s="6" t="b">
        <v>0</v>
      </c>
      <c r="G666" s="6">
        <v>1.435</v>
      </c>
    </row>
    <row r="667" spans="1:7">
      <c r="A667" s="6" t="s">
        <v>217</v>
      </c>
      <c r="B667" s="6" t="s">
        <v>53</v>
      </c>
      <c r="C667" s="6" t="s">
        <v>190</v>
      </c>
      <c r="D667" s="6" t="s">
        <v>90</v>
      </c>
      <c r="E667" s="6" t="s">
        <v>90</v>
      </c>
      <c r="F667" s="6" t="b">
        <v>0</v>
      </c>
      <c r="G667" s="6">
        <v>0.10125</v>
      </c>
    </row>
    <row r="668" spans="1:7">
      <c r="A668" s="6" t="s">
        <v>217</v>
      </c>
      <c r="B668" s="6" t="s">
        <v>53</v>
      </c>
      <c r="C668" s="6" t="s">
        <v>190</v>
      </c>
      <c r="D668" s="6" t="s">
        <v>177</v>
      </c>
      <c r="E668" s="6" t="s">
        <v>44</v>
      </c>
      <c r="F668" s="6" t="b">
        <v>0</v>
      </c>
      <c r="G668" s="6">
        <v>10.9655</v>
      </c>
    </row>
    <row r="669" spans="1:7">
      <c r="A669" s="6" t="s">
        <v>217</v>
      </c>
      <c r="B669" s="6" t="s">
        <v>53</v>
      </c>
      <c r="C669" s="6" t="s">
        <v>190</v>
      </c>
      <c r="D669" s="6" t="s">
        <v>92</v>
      </c>
      <c r="E669" s="6" t="s">
        <v>92</v>
      </c>
      <c r="F669" s="6" t="b">
        <v>0</v>
      </c>
      <c r="G669" s="6">
        <v>0.09458333333333334</v>
      </c>
    </row>
    <row r="670" spans="1:7">
      <c r="A670" s="6" t="s">
        <v>218</v>
      </c>
      <c r="B670" s="6" t="s">
        <v>54</v>
      </c>
      <c r="C670" s="6" t="s">
        <v>181</v>
      </c>
      <c r="D670" s="6" t="s">
        <v>88</v>
      </c>
      <c r="E670" s="6" t="s">
        <v>88</v>
      </c>
      <c r="F670" s="6" t="b">
        <v>0</v>
      </c>
      <c r="G670" s="6">
        <v>0.1951666666666667</v>
      </c>
    </row>
    <row r="671" spans="1:7">
      <c r="A671" s="6" t="s">
        <v>218</v>
      </c>
      <c r="B671" s="6" t="s">
        <v>54</v>
      </c>
      <c r="C671" s="6" t="s">
        <v>183</v>
      </c>
      <c r="D671" s="6" t="s">
        <v>88</v>
      </c>
      <c r="E671" s="6" t="s">
        <v>88</v>
      </c>
      <c r="F671" s="6" t="b">
        <v>0</v>
      </c>
      <c r="G671" s="6">
        <v>0.006666666666666667</v>
      </c>
    </row>
    <row r="672" spans="1:7">
      <c r="A672" s="6" t="s">
        <v>218</v>
      </c>
      <c r="B672" s="6" t="s">
        <v>54</v>
      </c>
      <c r="C672" s="6" t="s">
        <v>183</v>
      </c>
      <c r="D672" s="6" t="s">
        <v>90</v>
      </c>
      <c r="E672" s="6" t="s">
        <v>90</v>
      </c>
      <c r="F672" s="6" t="b">
        <v>0</v>
      </c>
      <c r="G672" s="6">
        <v>0.008333333333333333</v>
      </c>
    </row>
    <row r="673" spans="1:7">
      <c r="A673" s="6" t="s">
        <v>218</v>
      </c>
      <c r="B673" s="6" t="s">
        <v>54</v>
      </c>
      <c r="C673" s="6" t="s">
        <v>183</v>
      </c>
      <c r="D673" s="6" t="s">
        <v>177</v>
      </c>
      <c r="E673" s="6" t="s">
        <v>685</v>
      </c>
      <c r="F673" s="6" t="b">
        <v>1</v>
      </c>
      <c r="G673" s="6">
        <v>0.0015</v>
      </c>
    </row>
    <row r="674" spans="1:7">
      <c r="A674" s="6" t="s">
        <v>218</v>
      </c>
      <c r="B674" s="6" t="s">
        <v>54</v>
      </c>
      <c r="C674" s="6" t="s">
        <v>184</v>
      </c>
      <c r="D674" s="6" t="s">
        <v>44</v>
      </c>
      <c r="E674" s="6" t="s">
        <v>44</v>
      </c>
      <c r="F674" s="6" t="b">
        <v>0</v>
      </c>
      <c r="G674" s="6">
        <v>6.811416666666666</v>
      </c>
    </row>
    <row r="675" spans="1:7">
      <c r="A675" s="6" t="s">
        <v>218</v>
      </c>
      <c r="B675" s="6" t="s">
        <v>54</v>
      </c>
      <c r="C675" s="6" t="s">
        <v>184</v>
      </c>
      <c r="D675" s="6" t="s">
        <v>86</v>
      </c>
      <c r="E675" s="6" t="s">
        <v>86</v>
      </c>
      <c r="F675" s="6" t="b">
        <v>0</v>
      </c>
      <c r="G675" s="6">
        <v>0.188</v>
      </c>
    </row>
    <row r="676" spans="1:7">
      <c r="A676" s="6" t="s">
        <v>218</v>
      </c>
      <c r="B676" s="6" t="s">
        <v>54</v>
      </c>
      <c r="C676" s="6" t="s">
        <v>184</v>
      </c>
      <c r="D676" s="6" t="s">
        <v>177</v>
      </c>
      <c r="E676" s="6" t="s">
        <v>44</v>
      </c>
      <c r="F676" s="6" t="b">
        <v>0</v>
      </c>
      <c r="G676" s="6">
        <v>52.59475</v>
      </c>
    </row>
    <row r="677" spans="1:7">
      <c r="A677" s="6" t="s">
        <v>218</v>
      </c>
      <c r="B677" s="6" t="s">
        <v>54</v>
      </c>
      <c r="C677" s="6" t="s">
        <v>186</v>
      </c>
      <c r="D677" s="6" t="s">
        <v>86</v>
      </c>
      <c r="E677" s="6" t="s">
        <v>86</v>
      </c>
      <c r="F677" s="6" t="b">
        <v>0</v>
      </c>
      <c r="G677" s="6">
        <v>9.966916666666666</v>
      </c>
    </row>
    <row r="678" spans="1:7">
      <c r="A678" s="6" t="s">
        <v>218</v>
      </c>
      <c r="B678" s="6" t="s">
        <v>54</v>
      </c>
      <c r="C678" s="6" t="s">
        <v>186</v>
      </c>
      <c r="D678" s="6" t="s">
        <v>88</v>
      </c>
      <c r="E678" s="6" t="s">
        <v>88</v>
      </c>
      <c r="F678" s="6" t="b">
        <v>0</v>
      </c>
      <c r="G678" s="6">
        <v>0.02333333333333333</v>
      </c>
    </row>
    <row r="679" spans="1:7">
      <c r="A679" s="6" t="s">
        <v>218</v>
      </c>
      <c r="B679" s="6" t="s">
        <v>54</v>
      </c>
      <c r="C679" s="6" t="s">
        <v>186</v>
      </c>
      <c r="D679" s="6" t="s">
        <v>90</v>
      </c>
      <c r="E679" s="6" t="s">
        <v>90</v>
      </c>
      <c r="F679" s="6" t="b">
        <v>0</v>
      </c>
      <c r="G679" s="6">
        <v>0.4273333333333333</v>
      </c>
    </row>
    <row r="680" spans="1:7">
      <c r="A680" s="6" t="s">
        <v>218</v>
      </c>
      <c r="B680" s="6" t="s">
        <v>54</v>
      </c>
      <c r="C680" s="6" t="s">
        <v>186</v>
      </c>
      <c r="D680" s="6" t="s">
        <v>177</v>
      </c>
      <c r="E680" s="6" t="s">
        <v>86</v>
      </c>
      <c r="F680" s="6" t="b">
        <v>0</v>
      </c>
      <c r="G680" s="6">
        <v>0.005</v>
      </c>
    </row>
    <row r="681" spans="1:7">
      <c r="A681" s="6" t="s">
        <v>218</v>
      </c>
      <c r="B681" s="6" t="s">
        <v>54</v>
      </c>
      <c r="C681" s="6" t="s">
        <v>189</v>
      </c>
      <c r="D681" s="6" t="s">
        <v>88</v>
      </c>
      <c r="E681" s="6" t="s">
        <v>88</v>
      </c>
      <c r="F681" s="6" t="b">
        <v>0</v>
      </c>
      <c r="G681" s="6">
        <v>0.04166666666666666</v>
      </c>
    </row>
    <row r="682" spans="1:7">
      <c r="A682" s="6" t="s">
        <v>218</v>
      </c>
      <c r="B682" s="6" t="s">
        <v>54</v>
      </c>
      <c r="C682" s="6" t="s">
        <v>189</v>
      </c>
      <c r="D682" s="6" t="s">
        <v>90</v>
      </c>
      <c r="E682" s="6" t="s">
        <v>90</v>
      </c>
      <c r="F682" s="6" t="b">
        <v>0</v>
      </c>
      <c r="G682" s="6">
        <v>0.02016666666666667</v>
      </c>
    </row>
    <row r="683" spans="1:7">
      <c r="A683" s="6" t="s">
        <v>219</v>
      </c>
      <c r="B683" s="6" t="s">
        <v>51</v>
      </c>
      <c r="C683" s="6" t="s">
        <v>181</v>
      </c>
      <c r="D683" s="6" t="s">
        <v>88</v>
      </c>
      <c r="E683" s="6" t="s">
        <v>88</v>
      </c>
      <c r="F683" s="6" t="b">
        <v>0</v>
      </c>
      <c r="G683" s="6">
        <v>4.65625</v>
      </c>
    </row>
    <row r="684" spans="1:7">
      <c r="A684" s="6" t="s">
        <v>219</v>
      </c>
      <c r="B684" s="6" t="s">
        <v>51</v>
      </c>
      <c r="C684" s="6" t="s">
        <v>181</v>
      </c>
      <c r="D684" s="6" t="s">
        <v>90</v>
      </c>
      <c r="E684" s="6" t="s">
        <v>90</v>
      </c>
      <c r="F684" s="6" t="b">
        <v>0</v>
      </c>
      <c r="G684" s="6">
        <v>0.01975</v>
      </c>
    </row>
    <row r="685" spans="1:7">
      <c r="A685" s="6" t="s">
        <v>219</v>
      </c>
      <c r="B685" s="6" t="s">
        <v>51</v>
      </c>
      <c r="C685" s="6" t="s">
        <v>183</v>
      </c>
      <c r="D685" s="6" t="s">
        <v>86</v>
      </c>
      <c r="E685" s="6" t="s">
        <v>86</v>
      </c>
      <c r="F685" s="6" t="b">
        <v>0</v>
      </c>
      <c r="G685" s="6">
        <v>0.01441666666666667</v>
      </c>
    </row>
    <row r="686" spans="1:7">
      <c r="A686" s="6" t="s">
        <v>219</v>
      </c>
      <c r="B686" s="6" t="s">
        <v>51</v>
      </c>
      <c r="C686" s="6" t="s">
        <v>183</v>
      </c>
      <c r="D686" s="6" t="s">
        <v>88</v>
      </c>
      <c r="E686" s="6" t="s">
        <v>88</v>
      </c>
      <c r="F686" s="6" t="b">
        <v>0</v>
      </c>
      <c r="G686" s="6">
        <v>0.1225833333333333</v>
      </c>
    </row>
    <row r="687" spans="1:7">
      <c r="A687" s="6" t="s">
        <v>219</v>
      </c>
      <c r="B687" s="6" t="s">
        <v>51</v>
      </c>
      <c r="C687" s="6" t="s">
        <v>183</v>
      </c>
      <c r="D687" s="6" t="s">
        <v>90</v>
      </c>
      <c r="E687" s="6" t="s">
        <v>86</v>
      </c>
      <c r="F687" s="6" t="b">
        <v>0</v>
      </c>
      <c r="G687" s="6">
        <v>0.3040833333333333</v>
      </c>
    </row>
    <row r="688" spans="1:7">
      <c r="A688" s="6" t="s">
        <v>219</v>
      </c>
      <c r="B688" s="6" t="s">
        <v>51</v>
      </c>
      <c r="C688" s="6" t="s">
        <v>183</v>
      </c>
      <c r="D688" s="6" t="s">
        <v>90</v>
      </c>
      <c r="E688" s="6" t="s">
        <v>90</v>
      </c>
      <c r="F688" s="6" t="b">
        <v>0</v>
      </c>
      <c r="G688" s="6">
        <v>1.945666666666667</v>
      </c>
    </row>
    <row r="689" spans="1:7">
      <c r="A689" s="6" t="s">
        <v>219</v>
      </c>
      <c r="B689" s="6" t="s">
        <v>51</v>
      </c>
      <c r="C689" s="6" t="s">
        <v>183</v>
      </c>
      <c r="D689" s="6" t="s">
        <v>177</v>
      </c>
      <c r="E689" s="6" t="s">
        <v>86</v>
      </c>
      <c r="F689" s="6" t="b">
        <v>0</v>
      </c>
      <c r="G689" s="6">
        <v>0.02383333333333333</v>
      </c>
    </row>
    <row r="690" spans="1:7">
      <c r="A690" s="6" t="s">
        <v>219</v>
      </c>
      <c r="B690" s="6" t="s">
        <v>51</v>
      </c>
      <c r="C690" s="6" t="s">
        <v>183</v>
      </c>
      <c r="D690" s="6" t="s">
        <v>177</v>
      </c>
      <c r="E690" s="6" t="s">
        <v>685</v>
      </c>
      <c r="F690" s="6" t="b">
        <v>1</v>
      </c>
      <c r="G690" s="6">
        <v>0.001</v>
      </c>
    </row>
    <row r="691" spans="1:7">
      <c r="A691" s="6" t="s">
        <v>219</v>
      </c>
      <c r="B691" s="6" t="s">
        <v>51</v>
      </c>
      <c r="C691" s="6" t="s">
        <v>184</v>
      </c>
      <c r="D691" s="6" t="s">
        <v>44</v>
      </c>
      <c r="E691" s="6" t="s">
        <v>44</v>
      </c>
      <c r="F691" s="6" t="b">
        <v>0</v>
      </c>
      <c r="G691" s="6">
        <v>141.6500833333333</v>
      </c>
    </row>
    <row r="692" spans="1:7">
      <c r="A692" s="6" t="s">
        <v>219</v>
      </c>
      <c r="B692" s="6" t="s">
        <v>51</v>
      </c>
      <c r="C692" s="6" t="s">
        <v>184</v>
      </c>
      <c r="D692" s="6" t="s">
        <v>88</v>
      </c>
      <c r="E692" s="6" t="s">
        <v>88</v>
      </c>
      <c r="F692" s="6" t="b">
        <v>0</v>
      </c>
      <c r="G692" s="6">
        <v>0.6716666666666667</v>
      </c>
    </row>
    <row r="693" spans="1:7">
      <c r="A693" s="6" t="s">
        <v>219</v>
      </c>
      <c r="B693" s="6" t="s">
        <v>51</v>
      </c>
      <c r="C693" s="6" t="s">
        <v>184</v>
      </c>
      <c r="D693" s="6" t="s">
        <v>90</v>
      </c>
      <c r="E693" s="6" t="s">
        <v>90</v>
      </c>
      <c r="F693" s="6" t="b">
        <v>0</v>
      </c>
      <c r="G693" s="6">
        <v>21.70775</v>
      </c>
    </row>
    <row r="694" spans="1:7">
      <c r="A694" s="6" t="s">
        <v>219</v>
      </c>
      <c r="B694" s="6" t="s">
        <v>51</v>
      </c>
      <c r="C694" s="6" t="s">
        <v>184</v>
      </c>
      <c r="D694" s="6" t="s">
        <v>90</v>
      </c>
      <c r="E694" s="6" t="s">
        <v>685</v>
      </c>
      <c r="F694" s="6" t="b">
        <v>1</v>
      </c>
      <c r="G694" s="6">
        <v>1.371083333333333</v>
      </c>
    </row>
    <row r="695" spans="1:7">
      <c r="A695" s="6" t="s">
        <v>219</v>
      </c>
      <c r="B695" s="6" t="s">
        <v>51</v>
      </c>
      <c r="C695" s="6" t="s">
        <v>184</v>
      </c>
      <c r="D695" s="6" t="s">
        <v>177</v>
      </c>
      <c r="E695" s="6" t="s">
        <v>44</v>
      </c>
      <c r="F695" s="6" t="b">
        <v>0</v>
      </c>
      <c r="G695" s="6">
        <v>30.40675</v>
      </c>
    </row>
    <row r="696" spans="1:7">
      <c r="A696" s="6" t="s">
        <v>219</v>
      </c>
      <c r="B696" s="6" t="s">
        <v>51</v>
      </c>
      <c r="C696" s="6" t="s">
        <v>184</v>
      </c>
      <c r="D696" s="6" t="s">
        <v>177</v>
      </c>
      <c r="E696" s="6" t="s">
        <v>86</v>
      </c>
      <c r="F696" s="6" t="b">
        <v>0</v>
      </c>
      <c r="G696" s="6">
        <v>0.3265</v>
      </c>
    </row>
    <row r="697" spans="1:7">
      <c r="A697" s="6" t="s">
        <v>219</v>
      </c>
      <c r="B697" s="6" t="s">
        <v>51</v>
      </c>
      <c r="C697" s="6" t="s">
        <v>184</v>
      </c>
      <c r="D697" s="6" t="s">
        <v>177</v>
      </c>
      <c r="E697" s="6" t="s">
        <v>685</v>
      </c>
      <c r="F697" s="6" t="b">
        <v>1</v>
      </c>
      <c r="G697" s="6">
        <v>8.154</v>
      </c>
    </row>
    <row r="698" spans="1:7">
      <c r="A698" s="6" t="s">
        <v>219</v>
      </c>
      <c r="B698" s="6" t="s">
        <v>51</v>
      </c>
      <c r="C698" s="6" t="s">
        <v>186</v>
      </c>
      <c r="D698" s="6" t="s">
        <v>86</v>
      </c>
      <c r="E698" s="6" t="s">
        <v>86</v>
      </c>
      <c r="F698" s="6" t="b">
        <v>0</v>
      </c>
      <c r="G698" s="6">
        <v>6.229083333333333</v>
      </c>
    </row>
    <row r="699" spans="1:7">
      <c r="A699" s="6" t="s">
        <v>219</v>
      </c>
      <c r="B699" s="6" t="s">
        <v>51</v>
      </c>
      <c r="C699" s="6" t="s">
        <v>186</v>
      </c>
      <c r="D699" s="6" t="s">
        <v>88</v>
      </c>
      <c r="E699" s="6" t="s">
        <v>88</v>
      </c>
      <c r="F699" s="6" t="b">
        <v>0</v>
      </c>
      <c r="G699" s="6">
        <v>0.9985833333333334</v>
      </c>
    </row>
    <row r="700" spans="1:7">
      <c r="A700" s="6" t="s">
        <v>219</v>
      </c>
      <c r="B700" s="6" t="s">
        <v>51</v>
      </c>
      <c r="C700" s="6" t="s">
        <v>186</v>
      </c>
      <c r="D700" s="6" t="s">
        <v>90</v>
      </c>
      <c r="E700" s="6" t="s">
        <v>90</v>
      </c>
      <c r="F700" s="6" t="b">
        <v>0</v>
      </c>
      <c r="G700" s="6">
        <v>18.30308333333333</v>
      </c>
    </row>
    <row r="701" spans="1:7">
      <c r="A701" s="6" t="s">
        <v>219</v>
      </c>
      <c r="B701" s="6" t="s">
        <v>51</v>
      </c>
      <c r="C701" s="6" t="s">
        <v>186</v>
      </c>
      <c r="D701" s="6" t="s">
        <v>177</v>
      </c>
      <c r="E701" s="6" t="s">
        <v>86</v>
      </c>
      <c r="F701" s="6" t="b">
        <v>0</v>
      </c>
      <c r="G701" s="6">
        <v>0.1495</v>
      </c>
    </row>
    <row r="702" spans="1:7">
      <c r="A702" s="6" t="s">
        <v>219</v>
      </c>
      <c r="B702" s="6" t="s">
        <v>51</v>
      </c>
      <c r="C702" s="6" t="s">
        <v>189</v>
      </c>
      <c r="D702" s="6" t="s">
        <v>86</v>
      </c>
      <c r="E702" s="6" t="s">
        <v>86</v>
      </c>
      <c r="F702" s="6" t="b">
        <v>0</v>
      </c>
      <c r="G702" s="6">
        <v>4.900916666666666</v>
      </c>
    </row>
    <row r="703" spans="1:7">
      <c r="A703" s="6" t="s">
        <v>219</v>
      </c>
      <c r="B703" s="6" t="s">
        <v>51</v>
      </c>
      <c r="C703" s="6" t="s">
        <v>189</v>
      </c>
      <c r="D703" s="6" t="s">
        <v>88</v>
      </c>
      <c r="E703" s="6" t="s">
        <v>88</v>
      </c>
      <c r="F703" s="6" t="b">
        <v>0</v>
      </c>
      <c r="G703" s="6">
        <v>1.3005</v>
      </c>
    </row>
    <row r="704" spans="1:7">
      <c r="A704" s="6" t="s">
        <v>219</v>
      </c>
      <c r="B704" s="6" t="s">
        <v>51</v>
      </c>
      <c r="C704" s="6" t="s">
        <v>189</v>
      </c>
      <c r="D704" s="6" t="s">
        <v>90</v>
      </c>
      <c r="E704" s="6" t="s">
        <v>90</v>
      </c>
      <c r="F704" s="6" t="b">
        <v>0</v>
      </c>
      <c r="G704" s="6">
        <v>1.005416666666667</v>
      </c>
    </row>
    <row r="705" spans="1:7">
      <c r="A705" s="6" t="s">
        <v>219</v>
      </c>
      <c r="B705" s="6" t="s">
        <v>51</v>
      </c>
      <c r="C705" s="6" t="s">
        <v>190</v>
      </c>
      <c r="D705" s="6" t="s">
        <v>44</v>
      </c>
      <c r="E705" s="6" t="s">
        <v>44</v>
      </c>
      <c r="F705" s="6" t="b">
        <v>0</v>
      </c>
      <c r="G705" s="6">
        <v>4.18825</v>
      </c>
    </row>
    <row r="706" spans="1:7">
      <c r="A706" s="6" t="s">
        <v>219</v>
      </c>
      <c r="B706" s="6" t="s">
        <v>51</v>
      </c>
      <c r="C706" s="6" t="s">
        <v>190</v>
      </c>
      <c r="D706" s="6" t="s">
        <v>86</v>
      </c>
      <c r="E706" s="6" t="s">
        <v>44</v>
      </c>
      <c r="F706" s="6" t="b">
        <v>0</v>
      </c>
      <c r="G706" s="6">
        <v>0.1093333333333333</v>
      </c>
    </row>
    <row r="707" spans="1:7">
      <c r="A707" s="6" t="s">
        <v>219</v>
      </c>
      <c r="B707" s="6" t="s">
        <v>51</v>
      </c>
      <c r="C707" s="6" t="s">
        <v>190</v>
      </c>
      <c r="D707" s="6" t="s">
        <v>86</v>
      </c>
      <c r="E707" s="6" t="s">
        <v>86</v>
      </c>
      <c r="F707" s="6" t="b">
        <v>0</v>
      </c>
      <c r="G707" s="6">
        <v>0.039</v>
      </c>
    </row>
    <row r="708" spans="1:7">
      <c r="A708" s="6" t="s">
        <v>219</v>
      </c>
      <c r="B708" s="6" t="s">
        <v>51</v>
      </c>
      <c r="C708" s="6" t="s">
        <v>190</v>
      </c>
      <c r="D708" s="6" t="s">
        <v>90</v>
      </c>
      <c r="E708" s="6" t="s">
        <v>44</v>
      </c>
      <c r="F708" s="6" t="b">
        <v>0</v>
      </c>
      <c r="G708" s="6">
        <v>0.08541666666666668</v>
      </c>
    </row>
    <row r="709" spans="1:7">
      <c r="A709" s="6" t="s">
        <v>219</v>
      </c>
      <c r="B709" s="6" t="s">
        <v>51</v>
      </c>
      <c r="C709" s="6" t="s">
        <v>190</v>
      </c>
      <c r="D709" s="6" t="s">
        <v>90</v>
      </c>
      <c r="E709" s="6" t="s">
        <v>90</v>
      </c>
      <c r="F709" s="6" t="b">
        <v>0</v>
      </c>
      <c r="G709" s="6">
        <v>0.8803333333333333</v>
      </c>
    </row>
    <row r="710" spans="1:7">
      <c r="A710" s="6" t="s">
        <v>219</v>
      </c>
      <c r="B710" s="6" t="s">
        <v>51</v>
      </c>
      <c r="C710" s="6" t="s">
        <v>190</v>
      </c>
      <c r="D710" s="6" t="s">
        <v>177</v>
      </c>
      <c r="E710" s="6" t="s">
        <v>44</v>
      </c>
      <c r="F710" s="6" t="b">
        <v>0</v>
      </c>
      <c r="G710" s="6">
        <v>0.8426666666666667</v>
      </c>
    </row>
    <row r="711" spans="1:7">
      <c r="A711" s="6" t="s">
        <v>219</v>
      </c>
      <c r="B711" s="6" t="s">
        <v>51</v>
      </c>
      <c r="C711" s="6" t="s">
        <v>190</v>
      </c>
      <c r="D711" s="6" t="s">
        <v>177</v>
      </c>
      <c r="E711" s="6" t="s">
        <v>86</v>
      </c>
      <c r="F711" s="6" t="b">
        <v>0</v>
      </c>
      <c r="G711" s="6">
        <v>0.06016666666666667</v>
      </c>
    </row>
    <row r="712" spans="1:7">
      <c r="A712" s="6" t="s">
        <v>220</v>
      </c>
      <c r="B712" s="6" t="s">
        <v>57</v>
      </c>
      <c r="C712" s="6" t="s">
        <v>181</v>
      </c>
      <c r="D712" s="6" t="s">
        <v>88</v>
      </c>
      <c r="E712" s="6" t="s">
        <v>88</v>
      </c>
      <c r="F712" s="6" t="b">
        <v>0</v>
      </c>
      <c r="G712" s="6">
        <v>1.216916666666667</v>
      </c>
    </row>
    <row r="713" spans="1:7">
      <c r="A713" s="6" t="s">
        <v>220</v>
      </c>
      <c r="B713" s="6" t="s">
        <v>57</v>
      </c>
      <c r="C713" s="6" t="s">
        <v>183</v>
      </c>
      <c r="D713" s="6" t="s">
        <v>88</v>
      </c>
      <c r="E713" s="6" t="s">
        <v>88</v>
      </c>
      <c r="F713" s="6" t="b">
        <v>0</v>
      </c>
      <c r="G713" s="6">
        <v>0.07866666666666668</v>
      </c>
    </row>
    <row r="714" spans="1:7">
      <c r="A714" s="6" t="s">
        <v>220</v>
      </c>
      <c r="B714" s="6" t="s">
        <v>57</v>
      </c>
      <c r="C714" s="6" t="s">
        <v>183</v>
      </c>
      <c r="D714" s="6" t="s">
        <v>90</v>
      </c>
      <c r="E714" s="6" t="s">
        <v>86</v>
      </c>
      <c r="F714" s="6" t="b">
        <v>0</v>
      </c>
      <c r="G714" s="6">
        <v>0.01283333333333333</v>
      </c>
    </row>
    <row r="715" spans="1:7">
      <c r="A715" s="6" t="s">
        <v>220</v>
      </c>
      <c r="B715" s="6" t="s">
        <v>57</v>
      </c>
      <c r="C715" s="6" t="s">
        <v>183</v>
      </c>
      <c r="D715" s="6" t="s">
        <v>90</v>
      </c>
      <c r="E715" s="6" t="s">
        <v>90</v>
      </c>
      <c r="F715" s="6" t="b">
        <v>0</v>
      </c>
      <c r="G715" s="6">
        <v>0.02033333333333333</v>
      </c>
    </row>
    <row r="716" spans="1:7">
      <c r="A716" s="6" t="s">
        <v>220</v>
      </c>
      <c r="B716" s="6" t="s">
        <v>57</v>
      </c>
      <c r="C716" s="6" t="s">
        <v>183</v>
      </c>
      <c r="D716" s="6" t="s">
        <v>177</v>
      </c>
      <c r="E716" s="6" t="s">
        <v>86</v>
      </c>
      <c r="F716" s="6" t="b">
        <v>0</v>
      </c>
      <c r="G716" s="6">
        <v>0.006416666666666667</v>
      </c>
    </row>
    <row r="717" spans="1:7">
      <c r="A717" s="6" t="s">
        <v>220</v>
      </c>
      <c r="B717" s="6" t="s">
        <v>57</v>
      </c>
      <c r="C717" s="6" t="s">
        <v>184</v>
      </c>
      <c r="D717" s="6" t="s">
        <v>44</v>
      </c>
      <c r="E717" s="6" t="s">
        <v>44</v>
      </c>
      <c r="F717" s="6" t="b">
        <v>0</v>
      </c>
      <c r="G717" s="6">
        <v>6.391666666666667</v>
      </c>
    </row>
    <row r="718" spans="1:7">
      <c r="A718" s="6" t="s">
        <v>220</v>
      </c>
      <c r="B718" s="6" t="s">
        <v>57</v>
      </c>
      <c r="C718" s="6" t="s">
        <v>184</v>
      </c>
      <c r="D718" s="6" t="s">
        <v>88</v>
      </c>
      <c r="E718" s="6" t="s">
        <v>88</v>
      </c>
      <c r="F718" s="6" t="b">
        <v>0</v>
      </c>
      <c r="G718" s="6">
        <v>0.02741666666666667</v>
      </c>
    </row>
    <row r="719" spans="1:7">
      <c r="A719" s="6" t="s">
        <v>220</v>
      </c>
      <c r="B719" s="6" t="s">
        <v>57</v>
      </c>
      <c r="C719" s="6" t="s">
        <v>184</v>
      </c>
      <c r="D719" s="6" t="s">
        <v>90</v>
      </c>
      <c r="E719" s="6" t="s">
        <v>90</v>
      </c>
      <c r="F719" s="6" t="b">
        <v>0</v>
      </c>
      <c r="G719" s="6">
        <v>0.054</v>
      </c>
    </row>
    <row r="720" spans="1:7">
      <c r="A720" s="6" t="s">
        <v>220</v>
      </c>
      <c r="B720" s="6" t="s">
        <v>57</v>
      </c>
      <c r="C720" s="6" t="s">
        <v>184</v>
      </c>
      <c r="D720" s="6" t="s">
        <v>177</v>
      </c>
      <c r="E720" s="6" t="s">
        <v>44</v>
      </c>
      <c r="F720" s="6" t="b">
        <v>0</v>
      </c>
      <c r="G720" s="6">
        <v>10.814</v>
      </c>
    </row>
    <row r="721" spans="1:7">
      <c r="A721" s="6" t="s">
        <v>220</v>
      </c>
      <c r="B721" s="6" t="s">
        <v>57</v>
      </c>
      <c r="C721" s="6" t="s">
        <v>184</v>
      </c>
      <c r="D721" s="6" t="s">
        <v>177</v>
      </c>
      <c r="E721" s="6" t="s">
        <v>86</v>
      </c>
      <c r="F721" s="6" t="b">
        <v>0</v>
      </c>
      <c r="G721" s="6">
        <v>0.033</v>
      </c>
    </row>
    <row r="722" spans="1:7">
      <c r="A722" s="6" t="s">
        <v>220</v>
      </c>
      <c r="B722" s="6" t="s">
        <v>57</v>
      </c>
      <c r="C722" s="6" t="s">
        <v>184</v>
      </c>
      <c r="D722" s="6" t="s">
        <v>177</v>
      </c>
      <c r="E722" s="6" t="s">
        <v>685</v>
      </c>
      <c r="F722" s="6" t="b">
        <v>1</v>
      </c>
      <c r="G722" s="6">
        <v>0.01575</v>
      </c>
    </row>
    <row r="723" spans="1:7">
      <c r="A723" s="6" t="s">
        <v>220</v>
      </c>
      <c r="B723" s="6" t="s">
        <v>57</v>
      </c>
      <c r="C723" s="6" t="s">
        <v>186</v>
      </c>
      <c r="D723" s="6" t="s">
        <v>86</v>
      </c>
      <c r="E723" s="6" t="s">
        <v>86</v>
      </c>
      <c r="F723" s="6" t="b">
        <v>0</v>
      </c>
      <c r="G723" s="6">
        <v>3.69525</v>
      </c>
    </row>
    <row r="724" spans="1:7">
      <c r="A724" s="6" t="s">
        <v>220</v>
      </c>
      <c r="B724" s="6" t="s">
        <v>57</v>
      </c>
      <c r="C724" s="6" t="s">
        <v>186</v>
      </c>
      <c r="D724" s="6" t="s">
        <v>88</v>
      </c>
      <c r="E724" s="6" t="s">
        <v>88</v>
      </c>
      <c r="F724" s="6" t="b">
        <v>0</v>
      </c>
      <c r="G724" s="6">
        <v>0.1513333333333333</v>
      </c>
    </row>
    <row r="725" spans="1:7">
      <c r="A725" s="6" t="s">
        <v>220</v>
      </c>
      <c r="B725" s="6" t="s">
        <v>57</v>
      </c>
      <c r="C725" s="6" t="s">
        <v>186</v>
      </c>
      <c r="D725" s="6" t="s">
        <v>90</v>
      </c>
      <c r="E725" s="6" t="s">
        <v>86</v>
      </c>
      <c r="F725" s="6" t="b">
        <v>0</v>
      </c>
      <c r="G725" s="6">
        <v>0.0003333333333333333</v>
      </c>
    </row>
    <row r="726" spans="1:7">
      <c r="A726" s="6" t="s">
        <v>220</v>
      </c>
      <c r="B726" s="6" t="s">
        <v>57</v>
      </c>
      <c r="C726" s="6" t="s">
        <v>186</v>
      </c>
      <c r="D726" s="6" t="s">
        <v>90</v>
      </c>
      <c r="E726" s="6" t="s">
        <v>90</v>
      </c>
      <c r="F726" s="6" t="b">
        <v>0</v>
      </c>
      <c r="G726" s="6">
        <v>1.01125</v>
      </c>
    </row>
    <row r="727" spans="1:7">
      <c r="A727" s="6" t="s">
        <v>220</v>
      </c>
      <c r="B727" s="6" t="s">
        <v>57</v>
      </c>
      <c r="C727" s="6" t="s">
        <v>186</v>
      </c>
      <c r="D727" s="6" t="s">
        <v>177</v>
      </c>
      <c r="E727" s="6" t="s">
        <v>86</v>
      </c>
      <c r="F727" s="6" t="b">
        <v>0</v>
      </c>
      <c r="G727" s="6">
        <v>0.07766666666666668</v>
      </c>
    </row>
    <row r="728" spans="1:7">
      <c r="A728" s="6" t="s">
        <v>220</v>
      </c>
      <c r="B728" s="6" t="s">
        <v>57</v>
      </c>
      <c r="C728" s="6" t="s">
        <v>189</v>
      </c>
      <c r="D728" s="6" t="s">
        <v>86</v>
      </c>
      <c r="E728" s="6" t="s">
        <v>86</v>
      </c>
      <c r="F728" s="6" t="b">
        <v>0</v>
      </c>
      <c r="G728" s="6">
        <v>0.4309166666666667</v>
      </c>
    </row>
    <row r="729" spans="1:7">
      <c r="A729" s="6" t="s">
        <v>220</v>
      </c>
      <c r="B729" s="6" t="s">
        <v>57</v>
      </c>
      <c r="C729" s="6" t="s">
        <v>189</v>
      </c>
      <c r="D729" s="6" t="s">
        <v>88</v>
      </c>
      <c r="E729" s="6" t="s">
        <v>88</v>
      </c>
      <c r="F729" s="6" t="b">
        <v>0</v>
      </c>
      <c r="G729" s="6">
        <v>0.08400000000000001</v>
      </c>
    </row>
    <row r="730" spans="1:7">
      <c r="A730" s="6" t="s">
        <v>220</v>
      </c>
      <c r="B730" s="6" t="s">
        <v>57</v>
      </c>
      <c r="C730" s="6" t="s">
        <v>189</v>
      </c>
      <c r="D730" s="6" t="s">
        <v>90</v>
      </c>
      <c r="E730" s="6" t="s">
        <v>90</v>
      </c>
      <c r="F730" s="6" t="b">
        <v>0</v>
      </c>
      <c r="G730" s="6">
        <v>0.1136666666666667</v>
      </c>
    </row>
    <row r="731" spans="1:7">
      <c r="A731" s="6" t="s">
        <v>221</v>
      </c>
      <c r="B731" s="6" t="s">
        <v>51</v>
      </c>
      <c r="C731" s="6" t="s">
        <v>181</v>
      </c>
      <c r="D731" s="6" t="s">
        <v>88</v>
      </c>
      <c r="E731" s="6" t="s">
        <v>88</v>
      </c>
      <c r="F731" s="6" t="b">
        <v>0</v>
      </c>
      <c r="G731" s="6">
        <v>14.27458333333333</v>
      </c>
    </row>
    <row r="732" spans="1:7">
      <c r="A732" s="6" t="s">
        <v>221</v>
      </c>
      <c r="B732" s="6" t="s">
        <v>51</v>
      </c>
      <c r="C732" s="6" t="s">
        <v>181</v>
      </c>
      <c r="D732" s="6" t="s">
        <v>90</v>
      </c>
      <c r="E732" s="6" t="s">
        <v>90</v>
      </c>
      <c r="F732" s="6" t="b">
        <v>0</v>
      </c>
      <c r="G732" s="6">
        <v>0.00825</v>
      </c>
    </row>
    <row r="733" spans="1:7">
      <c r="A733" s="6" t="s">
        <v>221</v>
      </c>
      <c r="B733" s="6" t="s">
        <v>51</v>
      </c>
      <c r="C733" s="6" t="s">
        <v>183</v>
      </c>
      <c r="D733" s="6" t="s">
        <v>88</v>
      </c>
      <c r="E733" s="6" t="s">
        <v>88</v>
      </c>
      <c r="F733" s="6" t="b">
        <v>0</v>
      </c>
      <c r="G733" s="6">
        <v>0.1385833333333333</v>
      </c>
    </row>
    <row r="734" spans="1:7">
      <c r="A734" s="6" t="s">
        <v>221</v>
      </c>
      <c r="B734" s="6" t="s">
        <v>51</v>
      </c>
      <c r="C734" s="6" t="s">
        <v>183</v>
      </c>
      <c r="D734" s="6" t="s">
        <v>90</v>
      </c>
      <c r="E734" s="6" t="s">
        <v>86</v>
      </c>
      <c r="F734" s="6" t="b">
        <v>0</v>
      </c>
      <c r="G734" s="6">
        <v>0.051</v>
      </c>
    </row>
    <row r="735" spans="1:7">
      <c r="A735" s="6" t="s">
        <v>221</v>
      </c>
      <c r="B735" s="6" t="s">
        <v>51</v>
      </c>
      <c r="C735" s="6" t="s">
        <v>183</v>
      </c>
      <c r="D735" s="6" t="s">
        <v>90</v>
      </c>
      <c r="E735" s="6" t="s">
        <v>90</v>
      </c>
      <c r="F735" s="6" t="b">
        <v>0</v>
      </c>
      <c r="G735" s="6">
        <v>0.03016666666666666</v>
      </c>
    </row>
    <row r="736" spans="1:7">
      <c r="A736" s="6" t="s">
        <v>221</v>
      </c>
      <c r="B736" s="6" t="s">
        <v>51</v>
      </c>
      <c r="C736" s="6" t="s">
        <v>183</v>
      </c>
      <c r="D736" s="6" t="s">
        <v>177</v>
      </c>
      <c r="E736" s="6" t="s">
        <v>86</v>
      </c>
      <c r="F736" s="6" t="b">
        <v>0</v>
      </c>
      <c r="G736" s="6">
        <v>0.0009166666666666666</v>
      </c>
    </row>
    <row r="737" spans="1:7">
      <c r="A737" s="6" t="s">
        <v>221</v>
      </c>
      <c r="B737" s="6" t="s">
        <v>51</v>
      </c>
      <c r="C737" s="6" t="s">
        <v>183</v>
      </c>
      <c r="D737" s="6" t="s">
        <v>177</v>
      </c>
      <c r="E737" s="6" t="s">
        <v>685</v>
      </c>
      <c r="F737" s="6" t="b">
        <v>1</v>
      </c>
      <c r="G737" s="6">
        <v>0.008499999999999999</v>
      </c>
    </row>
    <row r="738" spans="1:7">
      <c r="A738" s="6" t="s">
        <v>221</v>
      </c>
      <c r="B738" s="6" t="s">
        <v>51</v>
      </c>
      <c r="C738" s="6" t="s">
        <v>184</v>
      </c>
      <c r="D738" s="6" t="s">
        <v>44</v>
      </c>
      <c r="E738" s="6" t="s">
        <v>44</v>
      </c>
      <c r="F738" s="6" t="b">
        <v>0</v>
      </c>
      <c r="G738" s="6">
        <v>151.7275833333333</v>
      </c>
    </row>
    <row r="739" spans="1:7">
      <c r="A739" s="6" t="s">
        <v>221</v>
      </c>
      <c r="B739" s="6" t="s">
        <v>51</v>
      </c>
      <c r="C739" s="6" t="s">
        <v>184</v>
      </c>
      <c r="D739" s="6" t="s">
        <v>88</v>
      </c>
      <c r="E739" s="6" t="s">
        <v>88</v>
      </c>
      <c r="F739" s="6" t="b">
        <v>0</v>
      </c>
      <c r="G739" s="6">
        <v>0.03666666666666667</v>
      </c>
    </row>
    <row r="740" spans="1:7">
      <c r="A740" s="6" t="s">
        <v>221</v>
      </c>
      <c r="B740" s="6" t="s">
        <v>51</v>
      </c>
      <c r="C740" s="6" t="s">
        <v>184</v>
      </c>
      <c r="D740" s="6" t="s">
        <v>90</v>
      </c>
      <c r="E740" s="6" t="s">
        <v>90</v>
      </c>
      <c r="F740" s="6" t="b">
        <v>0</v>
      </c>
      <c r="G740" s="6">
        <v>0.5821666666666667</v>
      </c>
    </row>
    <row r="741" spans="1:7">
      <c r="A741" s="6" t="s">
        <v>221</v>
      </c>
      <c r="B741" s="6" t="s">
        <v>51</v>
      </c>
      <c r="C741" s="6" t="s">
        <v>184</v>
      </c>
      <c r="D741" s="6" t="s">
        <v>90</v>
      </c>
      <c r="E741" s="6" t="s">
        <v>685</v>
      </c>
      <c r="F741" s="6" t="b">
        <v>1</v>
      </c>
      <c r="G741" s="6">
        <v>0.5943333333333334</v>
      </c>
    </row>
    <row r="742" spans="1:7">
      <c r="A742" s="6" t="s">
        <v>221</v>
      </c>
      <c r="B742" s="6" t="s">
        <v>51</v>
      </c>
      <c r="C742" s="6" t="s">
        <v>184</v>
      </c>
      <c r="D742" s="6" t="s">
        <v>177</v>
      </c>
      <c r="E742" s="6" t="s">
        <v>44</v>
      </c>
      <c r="F742" s="6" t="b">
        <v>0</v>
      </c>
      <c r="G742" s="6">
        <v>81.88708333333334</v>
      </c>
    </row>
    <row r="743" spans="1:7">
      <c r="A743" s="6" t="s">
        <v>221</v>
      </c>
      <c r="B743" s="6" t="s">
        <v>51</v>
      </c>
      <c r="C743" s="6" t="s">
        <v>184</v>
      </c>
      <c r="D743" s="6" t="s">
        <v>177</v>
      </c>
      <c r="E743" s="6" t="s">
        <v>86</v>
      </c>
      <c r="F743" s="6" t="b">
        <v>0</v>
      </c>
      <c r="G743" s="6">
        <v>0.20025</v>
      </c>
    </row>
    <row r="744" spans="1:7">
      <c r="A744" s="6" t="s">
        <v>221</v>
      </c>
      <c r="B744" s="6" t="s">
        <v>51</v>
      </c>
      <c r="C744" s="6" t="s">
        <v>184</v>
      </c>
      <c r="D744" s="6" t="s">
        <v>177</v>
      </c>
      <c r="E744" s="6" t="s">
        <v>685</v>
      </c>
      <c r="F744" s="6" t="b">
        <v>1</v>
      </c>
      <c r="G744" s="6">
        <v>1.218333333333333</v>
      </c>
    </row>
    <row r="745" spans="1:7">
      <c r="A745" s="6" t="s">
        <v>221</v>
      </c>
      <c r="B745" s="6" t="s">
        <v>51</v>
      </c>
      <c r="C745" s="6" t="s">
        <v>186</v>
      </c>
      <c r="D745" s="6" t="s">
        <v>86</v>
      </c>
      <c r="E745" s="6" t="s">
        <v>86</v>
      </c>
      <c r="F745" s="6" t="b">
        <v>0</v>
      </c>
      <c r="G745" s="6">
        <v>39.68233333333333</v>
      </c>
    </row>
    <row r="746" spans="1:7">
      <c r="A746" s="6" t="s">
        <v>221</v>
      </c>
      <c r="B746" s="6" t="s">
        <v>51</v>
      </c>
      <c r="C746" s="6" t="s">
        <v>186</v>
      </c>
      <c r="D746" s="6" t="s">
        <v>88</v>
      </c>
      <c r="E746" s="6" t="s">
        <v>88</v>
      </c>
      <c r="F746" s="6" t="b">
        <v>0</v>
      </c>
      <c r="G746" s="6">
        <v>2.601083333333333</v>
      </c>
    </row>
    <row r="747" spans="1:7">
      <c r="A747" s="6" t="s">
        <v>221</v>
      </c>
      <c r="B747" s="6" t="s">
        <v>51</v>
      </c>
      <c r="C747" s="6" t="s">
        <v>186</v>
      </c>
      <c r="D747" s="6" t="s">
        <v>90</v>
      </c>
      <c r="E747" s="6" t="s">
        <v>86</v>
      </c>
      <c r="F747" s="6" t="b">
        <v>0</v>
      </c>
      <c r="G747" s="6">
        <v>0.001416666666666667</v>
      </c>
    </row>
    <row r="748" spans="1:7">
      <c r="A748" s="6" t="s">
        <v>221</v>
      </c>
      <c r="B748" s="6" t="s">
        <v>51</v>
      </c>
      <c r="C748" s="6" t="s">
        <v>186</v>
      </c>
      <c r="D748" s="6" t="s">
        <v>90</v>
      </c>
      <c r="E748" s="6" t="s">
        <v>90</v>
      </c>
      <c r="F748" s="6" t="b">
        <v>0</v>
      </c>
      <c r="G748" s="6">
        <v>12.08533333333333</v>
      </c>
    </row>
    <row r="749" spans="1:7">
      <c r="A749" s="6" t="s">
        <v>221</v>
      </c>
      <c r="B749" s="6" t="s">
        <v>51</v>
      </c>
      <c r="C749" s="6" t="s">
        <v>186</v>
      </c>
      <c r="D749" s="6" t="s">
        <v>177</v>
      </c>
      <c r="E749" s="6" t="s">
        <v>86</v>
      </c>
      <c r="F749" s="6" t="b">
        <v>0</v>
      </c>
      <c r="G749" s="6">
        <v>0.3275833333333333</v>
      </c>
    </row>
    <row r="750" spans="1:7">
      <c r="A750" s="6" t="s">
        <v>221</v>
      </c>
      <c r="B750" s="6" t="s">
        <v>51</v>
      </c>
      <c r="C750" s="6" t="s">
        <v>188</v>
      </c>
      <c r="D750" s="6" t="s">
        <v>86</v>
      </c>
      <c r="E750" s="6" t="s">
        <v>86</v>
      </c>
      <c r="F750" s="6" t="b">
        <v>0</v>
      </c>
      <c r="G750" s="6">
        <v>0.4433333333333334</v>
      </c>
    </row>
    <row r="751" spans="1:7">
      <c r="A751" s="6" t="s">
        <v>221</v>
      </c>
      <c r="B751" s="6" t="s">
        <v>51</v>
      </c>
      <c r="C751" s="6" t="s">
        <v>188</v>
      </c>
      <c r="D751" s="6" t="s">
        <v>88</v>
      </c>
      <c r="E751" s="6" t="s">
        <v>88</v>
      </c>
      <c r="F751" s="6" t="b">
        <v>0</v>
      </c>
      <c r="G751" s="6">
        <v>18.09841666666667</v>
      </c>
    </row>
    <row r="752" spans="1:7">
      <c r="A752" s="6" t="s">
        <v>221</v>
      </c>
      <c r="B752" s="6" t="s">
        <v>51</v>
      </c>
      <c r="C752" s="6" t="s">
        <v>189</v>
      </c>
      <c r="D752" s="6" t="s">
        <v>86</v>
      </c>
      <c r="E752" s="6" t="s">
        <v>86</v>
      </c>
      <c r="F752" s="6" t="b">
        <v>0</v>
      </c>
      <c r="G752" s="6">
        <v>3.126583333333333</v>
      </c>
    </row>
    <row r="753" spans="1:7">
      <c r="A753" s="6" t="s">
        <v>221</v>
      </c>
      <c r="B753" s="6" t="s">
        <v>51</v>
      </c>
      <c r="C753" s="6" t="s">
        <v>189</v>
      </c>
      <c r="D753" s="6" t="s">
        <v>88</v>
      </c>
      <c r="E753" s="6" t="s">
        <v>88</v>
      </c>
      <c r="F753" s="6" t="b">
        <v>0</v>
      </c>
      <c r="G753" s="6">
        <v>3.503083333333333</v>
      </c>
    </row>
    <row r="754" spans="1:7">
      <c r="A754" s="6" t="s">
        <v>221</v>
      </c>
      <c r="B754" s="6" t="s">
        <v>51</v>
      </c>
      <c r="C754" s="6" t="s">
        <v>189</v>
      </c>
      <c r="D754" s="6" t="s">
        <v>90</v>
      </c>
      <c r="E754" s="6" t="s">
        <v>90</v>
      </c>
      <c r="F754" s="6" t="b">
        <v>0</v>
      </c>
      <c r="G754" s="6">
        <v>0.7218333333333332</v>
      </c>
    </row>
    <row r="755" spans="1:7">
      <c r="A755" s="6" t="s">
        <v>221</v>
      </c>
      <c r="B755" s="6" t="s">
        <v>51</v>
      </c>
      <c r="C755" s="6" t="s">
        <v>190</v>
      </c>
      <c r="D755" s="6" t="s">
        <v>44</v>
      </c>
      <c r="E755" s="6" t="s">
        <v>44</v>
      </c>
      <c r="F755" s="6" t="b">
        <v>0</v>
      </c>
      <c r="G755" s="6">
        <v>0.2455</v>
      </c>
    </row>
    <row r="756" spans="1:7">
      <c r="A756" s="6" t="s">
        <v>221</v>
      </c>
      <c r="B756" s="6" t="s">
        <v>51</v>
      </c>
      <c r="C756" s="6" t="s">
        <v>190</v>
      </c>
      <c r="D756" s="6" t="s">
        <v>86</v>
      </c>
      <c r="E756" s="6" t="s">
        <v>44</v>
      </c>
      <c r="F756" s="6" t="b">
        <v>0</v>
      </c>
      <c r="G756" s="6">
        <v>0.02733333333333333</v>
      </c>
    </row>
    <row r="757" spans="1:7">
      <c r="A757" s="6" t="s">
        <v>221</v>
      </c>
      <c r="B757" s="6" t="s">
        <v>51</v>
      </c>
      <c r="C757" s="6" t="s">
        <v>190</v>
      </c>
      <c r="D757" s="6" t="s">
        <v>90</v>
      </c>
      <c r="E757" s="6" t="s">
        <v>44</v>
      </c>
      <c r="F757" s="6" t="b">
        <v>0</v>
      </c>
      <c r="G757" s="6">
        <v>0.246</v>
      </c>
    </row>
    <row r="758" spans="1:7">
      <c r="A758" s="6" t="s">
        <v>221</v>
      </c>
      <c r="B758" s="6" t="s">
        <v>51</v>
      </c>
      <c r="C758" s="6" t="s">
        <v>190</v>
      </c>
      <c r="D758" s="6" t="s">
        <v>90</v>
      </c>
      <c r="E758" s="6" t="s">
        <v>90</v>
      </c>
      <c r="F758" s="6" t="b">
        <v>0</v>
      </c>
      <c r="G758" s="6">
        <v>0.01866666666666666</v>
      </c>
    </row>
    <row r="759" spans="1:7">
      <c r="A759" s="6" t="s">
        <v>221</v>
      </c>
      <c r="B759" s="6" t="s">
        <v>51</v>
      </c>
      <c r="C759" s="6" t="s">
        <v>190</v>
      </c>
      <c r="D759" s="6" t="s">
        <v>177</v>
      </c>
      <c r="E759" s="6" t="s">
        <v>44</v>
      </c>
      <c r="F759" s="6" t="b">
        <v>0</v>
      </c>
      <c r="G759" s="6">
        <v>0.8203333333333332</v>
      </c>
    </row>
    <row r="760" spans="1:7">
      <c r="A760" s="6" t="s">
        <v>221</v>
      </c>
      <c r="B760" s="6" t="s">
        <v>51</v>
      </c>
      <c r="C760" s="6" t="s">
        <v>190</v>
      </c>
      <c r="D760" s="6" t="s">
        <v>92</v>
      </c>
      <c r="E760" s="6" t="s">
        <v>92</v>
      </c>
      <c r="F760" s="6" t="b">
        <v>0</v>
      </c>
      <c r="G760" s="6">
        <v>0.03316666666666667</v>
      </c>
    </row>
    <row r="761" spans="1:7">
      <c r="A761" s="6" t="s">
        <v>222</v>
      </c>
      <c r="B761" s="6" t="s">
        <v>57</v>
      </c>
      <c r="C761" s="6" t="s">
        <v>181</v>
      </c>
      <c r="D761" s="6" t="s">
        <v>88</v>
      </c>
      <c r="E761" s="6" t="s">
        <v>88</v>
      </c>
      <c r="F761" s="6" t="b">
        <v>0</v>
      </c>
      <c r="G761" s="6">
        <v>0.1951666666666667</v>
      </c>
    </row>
    <row r="762" spans="1:7">
      <c r="A762" s="6" t="s">
        <v>222</v>
      </c>
      <c r="B762" s="6" t="s">
        <v>57</v>
      </c>
      <c r="C762" s="6" t="s">
        <v>181</v>
      </c>
      <c r="D762" s="6" t="s">
        <v>90</v>
      </c>
      <c r="E762" s="6" t="s">
        <v>90</v>
      </c>
      <c r="F762" s="6" t="b">
        <v>0</v>
      </c>
      <c r="G762" s="6">
        <v>0.005500000000000001</v>
      </c>
    </row>
    <row r="763" spans="1:7">
      <c r="A763" s="6" t="s">
        <v>222</v>
      </c>
      <c r="B763" s="6" t="s">
        <v>57</v>
      </c>
      <c r="C763" s="6" t="s">
        <v>183</v>
      </c>
      <c r="D763" s="6" t="s">
        <v>88</v>
      </c>
      <c r="E763" s="6" t="s">
        <v>88</v>
      </c>
      <c r="F763" s="6" t="b">
        <v>0</v>
      </c>
      <c r="G763" s="6">
        <v>0.00175</v>
      </c>
    </row>
    <row r="764" spans="1:7">
      <c r="A764" s="6" t="s">
        <v>222</v>
      </c>
      <c r="B764" s="6" t="s">
        <v>57</v>
      </c>
      <c r="C764" s="6" t="s">
        <v>183</v>
      </c>
      <c r="D764" s="6" t="s">
        <v>90</v>
      </c>
      <c r="E764" s="6" t="s">
        <v>86</v>
      </c>
      <c r="F764" s="6" t="b">
        <v>0</v>
      </c>
      <c r="G764" s="6">
        <v>0.0009166666666666666</v>
      </c>
    </row>
    <row r="765" spans="1:7">
      <c r="A765" s="6" t="s">
        <v>222</v>
      </c>
      <c r="B765" s="6" t="s">
        <v>57</v>
      </c>
      <c r="C765" s="6" t="s">
        <v>183</v>
      </c>
      <c r="D765" s="6" t="s">
        <v>90</v>
      </c>
      <c r="E765" s="6" t="s">
        <v>90</v>
      </c>
      <c r="F765" s="6" t="b">
        <v>0</v>
      </c>
      <c r="G765" s="6">
        <v>0.00325</v>
      </c>
    </row>
    <row r="766" spans="1:7">
      <c r="A766" s="6" t="s">
        <v>222</v>
      </c>
      <c r="B766" s="6" t="s">
        <v>57</v>
      </c>
      <c r="C766" s="6" t="s">
        <v>184</v>
      </c>
      <c r="D766" s="6" t="s">
        <v>44</v>
      </c>
      <c r="E766" s="6" t="s">
        <v>44</v>
      </c>
      <c r="F766" s="6" t="b">
        <v>0</v>
      </c>
      <c r="G766" s="6">
        <v>2.2715</v>
      </c>
    </row>
    <row r="767" spans="1:7">
      <c r="A767" s="6" t="s">
        <v>222</v>
      </c>
      <c r="B767" s="6" t="s">
        <v>57</v>
      </c>
      <c r="C767" s="6" t="s">
        <v>184</v>
      </c>
      <c r="D767" s="6" t="s">
        <v>88</v>
      </c>
      <c r="E767" s="6" t="s">
        <v>88</v>
      </c>
      <c r="F767" s="6" t="b">
        <v>0</v>
      </c>
      <c r="G767" s="6">
        <v>0.01425</v>
      </c>
    </row>
    <row r="768" spans="1:7">
      <c r="A768" s="6" t="s">
        <v>222</v>
      </c>
      <c r="B768" s="6" t="s">
        <v>57</v>
      </c>
      <c r="C768" s="6" t="s">
        <v>184</v>
      </c>
      <c r="D768" s="6" t="s">
        <v>90</v>
      </c>
      <c r="E768" s="6" t="s">
        <v>90</v>
      </c>
      <c r="F768" s="6" t="b">
        <v>0</v>
      </c>
      <c r="G768" s="6">
        <v>0.01433333333333334</v>
      </c>
    </row>
    <row r="769" spans="1:7">
      <c r="A769" s="6" t="s">
        <v>222</v>
      </c>
      <c r="B769" s="6" t="s">
        <v>57</v>
      </c>
      <c r="C769" s="6" t="s">
        <v>184</v>
      </c>
      <c r="D769" s="6" t="s">
        <v>90</v>
      </c>
      <c r="E769" s="6" t="s">
        <v>685</v>
      </c>
      <c r="F769" s="6" t="b">
        <v>1</v>
      </c>
      <c r="G769" s="6">
        <v>0.01483333333333333</v>
      </c>
    </row>
    <row r="770" spans="1:7">
      <c r="A770" s="6" t="s">
        <v>222</v>
      </c>
      <c r="B770" s="6" t="s">
        <v>57</v>
      </c>
      <c r="C770" s="6" t="s">
        <v>184</v>
      </c>
      <c r="D770" s="6" t="s">
        <v>177</v>
      </c>
      <c r="E770" s="6" t="s">
        <v>44</v>
      </c>
      <c r="F770" s="6" t="b">
        <v>0</v>
      </c>
      <c r="G770" s="6">
        <v>1.68975</v>
      </c>
    </row>
    <row r="771" spans="1:7">
      <c r="A771" s="6" t="s">
        <v>222</v>
      </c>
      <c r="B771" s="6" t="s">
        <v>57</v>
      </c>
      <c r="C771" s="6" t="s">
        <v>184</v>
      </c>
      <c r="D771" s="6" t="s">
        <v>177</v>
      </c>
      <c r="E771" s="6" t="s">
        <v>86</v>
      </c>
      <c r="F771" s="6" t="b">
        <v>0</v>
      </c>
      <c r="G771" s="6">
        <v>0.004500000000000001</v>
      </c>
    </row>
    <row r="772" spans="1:7">
      <c r="A772" s="6" t="s">
        <v>222</v>
      </c>
      <c r="B772" s="6" t="s">
        <v>57</v>
      </c>
      <c r="C772" s="6" t="s">
        <v>184</v>
      </c>
      <c r="D772" s="6" t="s">
        <v>177</v>
      </c>
      <c r="E772" s="6" t="s">
        <v>685</v>
      </c>
      <c r="F772" s="6" t="b">
        <v>1</v>
      </c>
      <c r="G772" s="6">
        <v>0.25775</v>
      </c>
    </row>
    <row r="773" spans="1:7">
      <c r="A773" s="6" t="s">
        <v>222</v>
      </c>
      <c r="B773" s="6" t="s">
        <v>57</v>
      </c>
      <c r="C773" s="6" t="s">
        <v>186</v>
      </c>
      <c r="D773" s="6" t="s">
        <v>86</v>
      </c>
      <c r="E773" s="6" t="s">
        <v>86</v>
      </c>
      <c r="F773" s="6" t="b">
        <v>0</v>
      </c>
      <c r="G773" s="6">
        <v>0.33325</v>
      </c>
    </row>
    <row r="774" spans="1:7">
      <c r="A774" s="6" t="s">
        <v>222</v>
      </c>
      <c r="B774" s="6" t="s">
        <v>57</v>
      </c>
      <c r="C774" s="6" t="s">
        <v>186</v>
      </c>
      <c r="D774" s="6" t="s">
        <v>88</v>
      </c>
      <c r="E774" s="6" t="s">
        <v>88</v>
      </c>
      <c r="F774" s="6" t="b">
        <v>0</v>
      </c>
      <c r="G774" s="6">
        <v>0.02125</v>
      </c>
    </row>
    <row r="775" spans="1:7">
      <c r="A775" s="6" t="s">
        <v>222</v>
      </c>
      <c r="B775" s="6" t="s">
        <v>57</v>
      </c>
      <c r="C775" s="6" t="s">
        <v>186</v>
      </c>
      <c r="D775" s="6" t="s">
        <v>90</v>
      </c>
      <c r="E775" s="6" t="s">
        <v>90</v>
      </c>
      <c r="F775" s="6" t="b">
        <v>0</v>
      </c>
      <c r="G775" s="6">
        <v>0.13675</v>
      </c>
    </row>
    <row r="776" spans="1:7">
      <c r="A776" s="6" t="s">
        <v>222</v>
      </c>
      <c r="B776" s="6" t="s">
        <v>57</v>
      </c>
      <c r="C776" s="6" t="s">
        <v>186</v>
      </c>
      <c r="D776" s="6" t="s">
        <v>177</v>
      </c>
      <c r="E776" s="6" t="s">
        <v>86</v>
      </c>
      <c r="F776" s="6" t="b">
        <v>0</v>
      </c>
      <c r="G776" s="6">
        <v>0.01</v>
      </c>
    </row>
    <row r="777" spans="1:7">
      <c r="A777" s="6" t="s">
        <v>222</v>
      </c>
      <c r="B777" s="6" t="s">
        <v>57</v>
      </c>
      <c r="C777" s="6" t="s">
        <v>189</v>
      </c>
      <c r="D777" s="6" t="s">
        <v>86</v>
      </c>
      <c r="E777" s="6" t="s">
        <v>86</v>
      </c>
      <c r="F777" s="6" t="b">
        <v>0</v>
      </c>
      <c r="G777" s="6">
        <v>0.1484166666666667</v>
      </c>
    </row>
    <row r="778" spans="1:7">
      <c r="A778" s="6" t="s">
        <v>222</v>
      </c>
      <c r="B778" s="6" t="s">
        <v>57</v>
      </c>
      <c r="C778" s="6" t="s">
        <v>189</v>
      </c>
      <c r="D778" s="6" t="s">
        <v>88</v>
      </c>
      <c r="E778" s="6" t="s">
        <v>88</v>
      </c>
      <c r="F778" s="6" t="b">
        <v>0</v>
      </c>
      <c r="G778" s="6">
        <v>0.07933333333333333</v>
      </c>
    </row>
    <row r="779" spans="1:7">
      <c r="A779" s="6" t="s">
        <v>222</v>
      </c>
      <c r="B779" s="6" t="s">
        <v>57</v>
      </c>
      <c r="C779" s="6" t="s">
        <v>189</v>
      </c>
      <c r="D779" s="6" t="s">
        <v>90</v>
      </c>
      <c r="E779" s="6" t="s">
        <v>90</v>
      </c>
      <c r="F779" s="6" t="b">
        <v>0</v>
      </c>
      <c r="G779" s="6">
        <v>0.01033333333333333</v>
      </c>
    </row>
    <row r="780" spans="1:7">
      <c r="A780" s="6" t="s">
        <v>342</v>
      </c>
      <c r="B780" s="6" t="s">
        <v>53</v>
      </c>
      <c r="C780" s="6" t="s">
        <v>181</v>
      </c>
      <c r="D780" s="6" t="s">
        <v>88</v>
      </c>
      <c r="E780" s="6" t="s">
        <v>88</v>
      </c>
      <c r="F780" s="6" t="b">
        <v>0</v>
      </c>
      <c r="G780" s="6">
        <v>13.6375</v>
      </c>
    </row>
    <row r="781" spans="1:7">
      <c r="A781" s="6" t="s">
        <v>342</v>
      </c>
      <c r="B781" s="6" t="s">
        <v>53</v>
      </c>
      <c r="C781" s="6" t="s">
        <v>181</v>
      </c>
      <c r="D781" s="6" t="s">
        <v>90</v>
      </c>
      <c r="E781" s="6" t="s">
        <v>90</v>
      </c>
      <c r="F781" s="6" t="b">
        <v>0</v>
      </c>
      <c r="G781" s="6">
        <v>0.003666666666666667</v>
      </c>
    </row>
    <row r="782" spans="1:7">
      <c r="A782" s="6" t="s">
        <v>342</v>
      </c>
      <c r="B782" s="6" t="s">
        <v>53</v>
      </c>
      <c r="C782" s="6" t="s">
        <v>183</v>
      </c>
      <c r="D782" s="6" t="s">
        <v>86</v>
      </c>
      <c r="E782" s="6" t="s">
        <v>86</v>
      </c>
      <c r="F782" s="6" t="b">
        <v>0</v>
      </c>
      <c r="G782" s="6">
        <v>0.0015</v>
      </c>
    </row>
    <row r="783" spans="1:7">
      <c r="A783" s="6" t="s">
        <v>342</v>
      </c>
      <c r="B783" s="6" t="s">
        <v>53</v>
      </c>
      <c r="C783" s="6" t="s">
        <v>183</v>
      </c>
      <c r="D783" s="6" t="s">
        <v>88</v>
      </c>
      <c r="E783" s="6" t="s">
        <v>88</v>
      </c>
      <c r="F783" s="6" t="b">
        <v>0</v>
      </c>
      <c r="G783" s="6">
        <v>0.4616666666666667</v>
      </c>
    </row>
    <row r="784" spans="1:7">
      <c r="A784" s="6" t="s">
        <v>342</v>
      </c>
      <c r="B784" s="6" t="s">
        <v>53</v>
      </c>
      <c r="C784" s="6" t="s">
        <v>183</v>
      </c>
      <c r="D784" s="6" t="s">
        <v>90</v>
      </c>
      <c r="E784" s="6" t="s">
        <v>86</v>
      </c>
      <c r="F784" s="6" t="b">
        <v>0</v>
      </c>
      <c r="G784" s="6">
        <v>0.10725</v>
      </c>
    </row>
    <row r="785" spans="1:7">
      <c r="A785" s="6" t="s">
        <v>342</v>
      </c>
      <c r="B785" s="6" t="s">
        <v>53</v>
      </c>
      <c r="C785" s="6" t="s">
        <v>183</v>
      </c>
      <c r="D785" s="6" t="s">
        <v>90</v>
      </c>
      <c r="E785" s="6" t="s">
        <v>90</v>
      </c>
      <c r="F785" s="6" t="b">
        <v>0</v>
      </c>
      <c r="G785" s="6">
        <v>0.006000000000000001</v>
      </c>
    </row>
    <row r="786" spans="1:7">
      <c r="A786" s="6" t="s">
        <v>342</v>
      </c>
      <c r="B786" s="6" t="s">
        <v>53</v>
      </c>
      <c r="C786" s="6" t="s">
        <v>183</v>
      </c>
      <c r="D786" s="6" t="s">
        <v>177</v>
      </c>
      <c r="E786" s="6" t="s">
        <v>86</v>
      </c>
      <c r="F786" s="6" t="b">
        <v>0</v>
      </c>
      <c r="G786" s="6">
        <v>0.02291666666666667</v>
      </c>
    </row>
    <row r="787" spans="1:7">
      <c r="A787" s="6" t="s">
        <v>342</v>
      </c>
      <c r="B787" s="6" t="s">
        <v>53</v>
      </c>
      <c r="C787" s="6" t="s">
        <v>183</v>
      </c>
      <c r="D787" s="6" t="s">
        <v>177</v>
      </c>
      <c r="E787" s="6" t="s">
        <v>685</v>
      </c>
      <c r="F787" s="6" t="b">
        <v>1</v>
      </c>
      <c r="G787" s="6">
        <v>0.01633333333333334</v>
      </c>
    </row>
    <row r="788" spans="1:7">
      <c r="A788" s="6" t="s">
        <v>342</v>
      </c>
      <c r="B788" s="6" t="s">
        <v>53</v>
      </c>
      <c r="C788" s="6" t="s">
        <v>184</v>
      </c>
      <c r="D788" s="6" t="s">
        <v>44</v>
      </c>
      <c r="E788" s="6" t="s">
        <v>44</v>
      </c>
      <c r="F788" s="6" t="b">
        <v>0</v>
      </c>
      <c r="G788" s="6">
        <v>104.1595833333333</v>
      </c>
    </row>
    <row r="789" spans="1:7">
      <c r="A789" s="6" t="s">
        <v>342</v>
      </c>
      <c r="B789" s="6" t="s">
        <v>53</v>
      </c>
      <c r="C789" s="6" t="s">
        <v>184</v>
      </c>
      <c r="D789" s="6" t="s">
        <v>86</v>
      </c>
      <c r="E789" s="6" t="s">
        <v>86</v>
      </c>
      <c r="F789" s="6" t="b">
        <v>0</v>
      </c>
      <c r="G789" s="6">
        <v>0.5416666666666666</v>
      </c>
    </row>
    <row r="790" spans="1:7">
      <c r="A790" s="6" t="s">
        <v>342</v>
      </c>
      <c r="B790" s="6" t="s">
        <v>53</v>
      </c>
      <c r="C790" s="6" t="s">
        <v>184</v>
      </c>
      <c r="D790" s="6" t="s">
        <v>88</v>
      </c>
      <c r="E790" s="6" t="s">
        <v>88</v>
      </c>
      <c r="F790" s="6" t="b">
        <v>0</v>
      </c>
      <c r="G790" s="6">
        <v>0.1896666666666667</v>
      </c>
    </row>
    <row r="791" spans="1:7">
      <c r="A791" s="6" t="s">
        <v>342</v>
      </c>
      <c r="B791" s="6" t="s">
        <v>53</v>
      </c>
      <c r="C791" s="6" t="s">
        <v>184</v>
      </c>
      <c r="D791" s="6" t="s">
        <v>90</v>
      </c>
      <c r="E791" s="6" t="s">
        <v>90</v>
      </c>
      <c r="F791" s="6" t="b">
        <v>0</v>
      </c>
      <c r="G791" s="6">
        <v>0.4634166666666666</v>
      </c>
    </row>
    <row r="792" spans="1:7">
      <c r="A792" s="6" t="s">
        <v>342</v>
      </c>
      <c r="B792" s="6" t="s">
        <v>53</v>
      </c>
      <c r="C792" s="6" t="s">
        <v>184</v>
      </c>
      <c r="D792" s="6" t="s">
        <v>90</v>
      </c>
      <c r="E792" s="6" t="s">
        <v>685</v>
      </c>
      <c r="F792" s="6" t="b">
        <v>1</v>
      </c>
      <c r="G792" s="6">
        <v>0.15125</v>
      </c>
    </row>
    <row r="793" spans="1:7">
      <c r="A793" s="6" t="s">
        <v>342</v>
      </c>
      <c r="B793" s="6" t="s">
        <v>53</v>
      </c>
      <c r="C793" s="6" t="s">
        <v>184</v>
      </c>
      <c r="D793" s="6" t="s">
        <v>177</v>
      </c>
      <c r="E793" s="6" t="s">
        <v>44</v>
      </c>
      <c r="F793" s="6" t="b">
        <v>0</v>
      </c>
      <c r="G793" s="6">
        <v>208.8099166666667</v>
      </c>
    </row>
    <row r="794" spans="1:7">
      <c r="A794" s="6" t="s">
        <v>342</v>
      </c>
      <c r="B794" s="6" t="s">
        <v>53</v>
      </c>
      <c r="C794" s="6" t="s">
        <v>184</v>
      </c>
      <c r="D794" s="6" t="s">
        <v>177</v>
      </c>
      <c r="E794" s="6" t="s">
        <v>86</v>
      </c>
      <c r="F794" s="6" t="b">
        <v>0</v>
      </c>
      <c r="G794" s="6">
        <v>0.14125</v>
      </c>
    </row>
    <row r="795" spans="1:7">
      <c r="A795" s="6" t="s">
        <v>342</v>
      </c>
      <c r="B795" s="6" t="s">
        <v>53</v>
      </c>
      <c r="C795" s="6" t="s">
        <v>184</v>
      </c>
      <c r="D795" s="6" t="s">
        <v>177</v>
      </c>
      <c r="E795" s="6" t="s">
        <v>685</v>
      </c>
      <c r="F795" s="6" t="b">
        <v>1</v>
      </c>
      <c r="G795" s="6">
        <v>1.958083333333333</v>
      </c>
    </row>
    <row r="796" spans="1:7">
      <c r="A796" s="6" t="s">
        <v>342</v>
      </c>
      <c r="B796" s="6" t="s">
        <v>53</v>
      </c>
      <c r="C796" s="6" t="s">
        <v>186</v>
      </c>
      <c r="D796" s="6" t="s">
        <v>86</v>
      </c>
      <c r="E796" s="6" t="s">
        <v>86</v>
      </c>
      <c r="F796" s="6" t="b">
        <v>0</v>
      </c>
      <c r="G796" s="6">
        <v>41.18266666666667</v>
      </c>
    </row>
    <row r="797" spans="1:7">
      <c r="A797" s="6" t="s">
        <v>342</v>
      </c>
      <c r="B797" s="6" t="s">
        <v>53</v>
      </c>
      <c r="C797" s="6" t="s">
        <v>186</v>
      </c>
      <c r="D797" s="6" t="s">
        <v>88</v>
      </c>
      <c r="E797" s="6" t="s">
        <v>88</v>
      </c>
      <c r="F797" s="6" t="b">
        <v>0</v>
      </c>
      <c r="G797" s="6">
        <v>1.642666666666667</v>
      </c>
    </row>
    <row r="798" spans="1:7">
      <c r="A798" s="6" t="s">
        <v>342</v>
      </c>
      <c r="B798" s="6" t="s">
        <v>53</v>
      </c>
      <c r="C798" s="6" t="s">
        <v>186</v>
      </c>
      <c r="D798" s="6" t="s">
        <v>90</v>
      </c>
      <c r="E798" s="6" t="s">
        <v>90</v>
      </c>
      <c r="F798" s="6" t="b">
        <v>0</v>
      </c>
      <c r="G798" s="6">
        <v>6.998666666666666</v>
      </c>
    </row>
    <row r="799" spans="1:7">
      <c r="A799" s="6" t="s">
        <v>342</v>
      </c>
      <c r="B799" s="6" t="s">
        <v>53</v>
      </c>
      <c r="C799" s="6" t="s">
        <v>186</v>
      </c>
      <c r="D799" s="6" t="s">
        <v>177</v>
      </c>
      <c r="E799" s="6" t="s">
        <v>86</v>
      </c>
      <c r="F799" s="6" t="b">
        <v>0</v>
      </c>
      <c r="G799" s="6">
        <v>0.5496666666666666</v>
      </c>
    </row>
    <row r="800" spans="1:7">
      <c r="A800" s="6" t="s">
        <v>342</v>
      </c>
      <c r="B800" s="6" t="s">
        <v>53</v>
      </c>
      <c r="C800" s="6" t="s">
        <v>189</v>
      </c>
      <c r="D800" s="6" t="s">
        <v>86</v>
      </c>
      <c r="E800" s="6" t="s">
        <v>86</v>
      </c>
      <c r="F800" s="6" t="b">
        <v>0</v>
      </c>
      <c r="G800" s="6">
        <v>3.661833333333333</v>
      </c>
    </row>
    <row r="801" spans="1:7">
      <c r="A801" s="6" t="s">
        <v>342</v>
      </c>
      <c r="B801" s="6" t="s">
        <v>53</v>
      </c>
      <c r="C801" s="6" t="s">
        <v>189</v>
      </c>
      <c r="D801" s="6" t="s">
        <v>88</v>
      </c>
      <c r="E801" s="6" t="s">
        <v>88</v>
      </c>
      <c r="F801" s="6" t="b">
        <v>0</v>
      </c>
      <c r="G801" s="6">
        <v>3.316583333333333</v>
      </c>
    </row>
    <row r="802" spans="1:7">
      <c r="A802" s="6" t="s">
        <v>342</v>
      </c>
      <c r="B802" s="6" t="s">
        <v>53</v>
      </c>
      <c r="C802" s="6" t="s">
        <v>189</v>
      </c>
      <c r="D802" s="6" t="s">
        <v>90</v>
      </c>
      <c r="E802" s="6" t="s">
        <v>90</v>
      </c>
      <c r="F802" s="6" t="b">
        <v>0</v>
      </c>
      <c r="G802" s="6">
        <v>0.8319166666666667</v>
      </c>
    </row>
    <row r="803" spans="1:7">
      <c r="A803" s="6" t="s">
        <v>342</v>
      </c>
      <c r="B803" s="6" t="s">
        <v>53</v>
      </c>
      <c r="C803" s="6" t="s">
        <v>190</v>
      </c>
      <c r="D803" s="6" t="s">
        <v>44</v>
      </c>
      <c r="E803" s="6" t="s">
        <v>44</v>
      </c>
      <c r="F803" s="6" t="b">
        <v>0</v>
      </c>
      <c r="G803" s="6">
        <v>12.02733333333333</v>
      </c>
    </row>
    <row r="804" spans="1:7">
      <c r="A804" s="6" t="s">
        <v>342</v>
      </c>
      <c r="B804" s="6" t="s">
        <v>53</v>
      </c>
      <c r="C804" s="6" t="s">
        <v>190</v>
      </c>
      <c r="D804" s="6" t="s">
        <v>86</v>
      </c>
      <c r="E804" s="6" t="s">
        <v>44</v>
      </c>
      <c r="F804" s="6" t="b">
        <v>0</v>
      </c>
      <c r="G804" s="6">
        <v>2.764083333333333</v>
      </c>
    </row>
    <row r="805" spans="1:7">
      <c r="A805" s="6" t="s">
        <v>342</v>
      </c>
      <c r="B805" s="6" t="s">
        <v>53</v>
      </c>
      <c r="C805" s="6" t="s">
        <v>190</v>
      </c>
      <c r="D805" s="6" t="s">
        <v>86</v>
      </c>
      <c r="E805" s="6" t="s">
        <v>86</v>
      </c>
      <c r="F805" s="6" t="b">
        <v>0</v>
      </c>
      <c r="G805" s="6">
        <v>0.1233333333333333</v>
      </c>
    </row>
    <row r="806" spans="1:7">
      <c r="A806" s="6" t="s">
        <v>342</v>
      </c>
      <c r="B806" s="6" t="s">
        <v>53</v>
      </c>
      <c r="C806" s="6" t="s">
        <v>190</v>
      </c>
      <c r="D806" s="6" t="s">
        <v>90</v>
      </c>
      <c r="E806" s="6" t="s">
        <v>44</v>
      </c>
      <c r="F806" s="6" t="b">
        <v>0</v>
      </c>
      <c r="G806" s="6">
        <v>1.503333333333333</v>
      </c>
    </row>
    <row r="807" spans="1:7">
      <c r="A807" s="6" t="s">
        <v>342</v>
      </c>
      <c r="B807" s="6" t="s">
        <v>53</v>
      </c>
      <c r="C807" s="6" t="s">
        <v>190</v>
      </c>
      <c r="D807" s="6" t="s">
        <v>90</v>
      </c>
      <c r="E807" s="6" t="s">
        <v>90</v>
      </c>
      <c r="F807" s="6" t="b">
        <v>0</v>
      </c>
      <c r="G807" s="6">
        <v>1.343083333333333</v>
      </c>
    </row>
    <row r="808" spans="1:7">
      <c r="A808" s="6" t="s">
        <v>342</v>
      </c>
      <c r="B808" s="6" t="s">
        <v>53</v>
      </c>
      <c r="C808" s="6" t="s">
        <v>190</v>
      </c>
      <c r="D808" s="6" t="s">
        <v>177</v>
      </c>
      <c r="E808" s="6" t="s">
        <v>44</v>
      </c>
      <c r="F808" s="6" t="b">
        <v>0</v>
      </c>
      <c r="G808" s="6">
        <v>14.25191666666667</v>
      </c>
    </row>
    <row r="809" spans="1:7">
      <c r="A809" s="6" t="s">
        <v>342</v>
      </c>
      <c r="B809" s="6" t="s">
        <v>53</v>
      </c>
      <c r="C809" s="6" t="s">
        <v>190</v>
      </c>
      <c r="D809" s="6" t="s">
        <v>177</v>
      </c>
      <c r="E809" s="6" t="s">
        <v>86</v>
      </c>
      <c r="F809" s="6" t="b">
        <v>0</v>
      </c>
      <c r="G809" s="6">
        <v>0.102</v>
      </c>
    </row>
    <row r="810" spans="1:7">
      <c r="A810" s="6" t="s">
        <v>342</v>
      </c>
      <c r="B810" s="6" t="s">
        <v>53</v>
      </c>
      <c r="C810" s="6" t="s">
        <v>190</v>
      </c>
      <c r="D810" s="6" t="s">
        <v>92</v>
      </c>
      <c r="E810" s="6" t="s">
        <v>92</v>
      </c>
      <c r="F810" s="6" t="b">
        <v>0</v>
      </c>
      <c r="G810" s="6">
        <v>0.2923333333333333</v>
      </c>
    </row>
    <row r="811" spans="1:7">
      <c r="A811" s="6" t="s">
        <v>343</v>
      </c>
      <c r="B811" s="6" t="s">
        <v>52</v>
      </c>
      <c r="C811" s="6" t="s">
        <v>189</v>
      </c>
      <c r="D811" s="6" t="s">
        <v>86</v>
      </c>
      <c r="E811" s="6" t="s">
        <v>86</v>
      </c>
      <c r="F811" s="6" t="b">
        <v>0</v>
      </c>
      <c r="G811" s="6">
        <v>11.10891666666667</v>
      </c>
    </row>
    <row r="812" spans="1:7">
      <c r="A812" s="6" t="s">
        <v>223</v>
      </c>
      <c r="B812" s="6" t="s">
        <v>53</v>
      </c>
      <c r="C812" s="6" t="s">
        <v>181</v>
      </c>
      <c r="D812" s="6" t="s">
        <v>88</v>
      </c>
      <c r="E812" s="6" t="s">
        <v>88</v>
      </c>
      <c r="F812" s="6" t="b">
        <v>0</v>
      </c>
      <c r="G812" s="6">
        <v>0.59875</v>
      </c>
    </row>
    <row r="813" spans="1:7">
      <c r="A813" s="6" t="s">
        <v>223</v>
      </c>
      <c r="B813" s="6" t="s">
        <v>53</v>
      </c>
      <c r="C813" s="6" t="s">
        <v>183</v>
      </c>
      <c r="D813" s="6" t="s">
        <v>86</v>
      </c>
      <c r="E813" s="6" t="s">
        <v>86</v>
      </c>
      <c r="F813" s="6" t="b">
        <v>0</v>
      </c>
      <c r="G813" s="6">
        <v>0.001416666666666667</v>
      </c>
    </row>
    <row r="814" spans="1:7">
      <c r="A814" s="6" t="s">
        <v>223</v>
      </c>
      <c r="B814" s="6" t="s">
        <v>53</v>
      </c>
      <c r="C814" s="6" t="s">
        <v>183</v>
      </c>
      <c r="D814" s="6" t="s">
        <v>88</v>
      </c>
      <c r="E814" s="6" t="s">
        <v>88</v>
      </c>
      <c r="F814" s="6" t="b">
        <v>0</v>
      </c>
      <c r="G814" s="6">
        <v>0.01383333333333333</v>
      </c>
    </row>
    <row r="815" spans="1:7">
      <c r="A815" s="6" t="s">
        <v>223</v>
      </c>
      <c r="B815" s="6" t="s">
        <v>53</v>
      </c>
      <c r="C815" s="6" t="s">
        <v>183</v>
      </c>
      <c r="D815" s="6" t="s">
        <v>90</v>
      </c>
      <c r="E815" s="6" t="s">
        <v>86</v>
      </c>
      <c r="F815" s="6" t="b">
        <v>0</v>
      </c>
      <c r="G815" s="6">
        <v>0.008666666666666666</v>
      </c>
    </row>
    <row r="816" spans="1:7">
      <c r="A816" s="6" t="s">
        <v>223</v>
      </c>
      <c r="B816" s="6" t="s">
        <v>53</v>
      </c>
      <c r="C816" s="6" t="s">
        <v>184</v>
      </c>
      <c r="D816" s="6" t="s">
        <v>44</v>
      </c>
      <c r="E816" s="6" t="s">
        <v>44</v>
      </c>
      <c r="F816" s="6" t="b">
        <v>0</v>
      </c>
      <c r="G816" s="6">
        <v>0.1943333333333333</v>
      </c>
    </row>
    <row r="817" spans="1:7">
      <c r="A817" s="6" t="s">
        <v>223</v>
      </c>
      <c r="B817" s="6" t="s">
        <v>53</v>
      </c>
      <c r="C817" s="6" t="s">
        <v>184</v>
      </c>
      <c r="D817" s="6" t="s">
        <v>88</v>
      </c>
      <c r="E817" s="6" t="s">
        <v>88</v>
      </c>
      <c r="F817" s="6" t="b">
        <v>0</v>
      </c>
      <c r="G817" s="6">
        <v>0.006249999999999999</v>
      </c>
    </row>
    <row r="818" spans="1:7">
      <c r="A818" s="6" t="s">
        <v>223</v>
      </c>
      <c r="B818" s="6" t="s">
        <v>53</v>
      </c>
      <c r="C818" s="6" t="s">
        <v>184</v>
      </c>
      <c r="D818" s="6" t="s">
        <v>90</v>
      </c>
      <c r="E818" s="6" t="s">
        <v>90</v>
      </c>
      <c r="F818" s="6" t="b">
        <v>0</v>
      </c>
      <c r="G818" s="6">
        <v>0.10325</v>
      </c>
    </row>
    <row r="819" spans="1:7">
      <c r="A819" s="6" t="s">
        <v>223</v>
      </c>
      <c r="B819" s="6" t="s">
        <v>53</v>
      </c>
      <c r="C819" s="6" t="s">
        <v>184</v>
      </c>
      <c r="D819" s="6" t="s">
        <v>90</v>
      </c>
      <c r="E819" s="6" t="s">
        <v>685</v>
      </c>
      <c r="F819" s="6" t="b">
        <v>1</v>
      </c>
      <c r="G819" s="6">
        <v>0.003416666666666667</v>
      </c>
    </row>
    <row r="820" spans="1:7">
      <c r="A820" s="6" t="s">
        <v>223</v>
      </c>
      <c r="B820" s="6" t="s">
        <v>53</v>
      </c>
      <c r="C820" s="6" t="s">
        <v>184</v>
      </c>
      <c r="D820" s="6" t="s">
        <v>177</v>
      </c>
      <c r="E820" s="6" t="s">
        <v>44</v>
      </c>
      <c r="F820" s="6" t="b">
        <v>0</v>
      </c>
      <c r="G820" s="6">
        <v>0.5121666666666667</v>
      </c>
    </row>
    <row r="821" spans="1:7">
      <c r="A821" s="6" t="s">
        <v>223</v>
      </c>
      <c r="B821" s="6" t="s">
        <v>53</v>
      </c>
      <c r="C821" s="6" t="s">
        <v>184</v>
      </c>
      <c r="D821" s="6" t="s">
        <v>177</v>
      </c>
      <c r="E821" s="6" t="s">
        <v>86</v>
      </c>
      <c r="F821" s="6" t="b">
        <v>0</v>
      </c>
      <c r="G821" s="6">
        <v>0.014</v>
      </c>
    </row>
    <row r="822" spans="1:7">
      <c r="A822" s="6" t="s">
        <v>223</v>
      </c>
      <c r="B822" s="6" t="s">
        <v>53</v>
      </c>
      <c r="C822" s="6" t="s">
        <v>184</v>
      </c>
      <c r="D822" s="6" t="s">
        <v>177</v>
      </c>
      <c r="E822" s="6" t="s">
        <v>685</v>
      </c>
      <c r="F822" s="6" t="b">
        <v>1</v>
      </c>
      <c r="G822" s="6">
        <v>0.03375</v>
      </c>
    </row>
    <row r="823" spans="1:7">
      <c r="A823" s="6" t="s">
        <v>223</v>
      </c>
      <c r="B823" s="6" t="s">
        <v>53</v>
      </c>
      <c r="C823" s="6" t="s">
        <v>186</v>
      </c>
      <c r="D823" s="6" t="s">
        <v>86</v>
      </c>
      <c r="E823" s="6" t="s">
        <v>86</v>
      </c>
      <c r="F823" s="6" t="b">
        <v>0</v>
      </c>
      <c r="G823" s="6">
        <v>0.5175</v>
      </c>
    </row>
    <row r="824" spans="1:7">
      <c r="A824" s="6" t="s">
        <v>223</v>
      </c>
      <c r="B824" s="6" t="s">
        <v>53</v>
      </c>
      <c r="C824" s="6" t="s">
        <v>186</v>
      </c>
      <c r="D824" s="6" t="s">
        <v>88</v>
      </c>
      <c r="E824" s="6" t="s">
        <v>88</v>
      </c>
      <c r="F824" s="6" t="b">
        <v>0</v>
      </c>
      <c r="G824" s="6">
        <v>0.1011666666666667</v>
      </c>
    </row>
    <row r="825" spans="1:7">
      <c r="A825" s="6" t="s">
        <v>223</v>
      </c>
      <c r="B825" s="6" t="s">
        <v>53</v>
      </c>
      <c r="C825" s="6" t="s">
        <v>186</v>
      </c>
      <c r="D825" s="6" t="s">
        <v>90</v>
      </c>
      <c r="E825" s="6" t="s">
        <v>90</v>
      </c>
      <c r="F825" s="6" t="b">
        <v>0</v>
      </c>
      <c r="G825" s="6">
        <v>0.05708333333333333</v>
      </c>
    </row>
    <row r="826" spans="1:7">
      <c r="A826" s="6" t="s">
        <v>223</v>
      </c>
      <c r="B826" s="6" t="s">
        <v>53</v>
      </c>
      <c r="C826" s="6" t="s">
        <v>186</v>
      </c>
      <c r="D826" s="6" t="s">
        <v>177</v>
      </c>
      <c r="E826" s="6" t="s">
        <v>86</v>
      </c>
      <c r="F826" s="6" t="b">
        <v>0</v>
      </c>
      <c r="G826" s="6">
        <v>0.011</v>
      </c>
    </row>
    <row r="827" spans="1:7">
      <c r="A827" s="6" t="s">
        <v>223</v>
      </c>
      <c r="B827" s="6" t="s">
        <v>53</v>
      </c>
      <c r="C827" s="6" t="s">
        <v>188</v>
      </c>
      <c r="D827" s="6" t="s">
        <v>86</v>
      </c>
      <c r="E827" s="6" t="s">
        <v>86</v>
      </c>
      <c r="F827" s="6" t="b">
        <v>0</v>
      </c>
      <c r="G827" s="6">
        <v>13.71683333333333</v>
      </c>
    </row>
    <row r="828" spans="1:7">
      <c r="A828" s="6" t="s">
        <v>223</v>
      </c>
      <c r="B828" s="6" t="s">
        <v>53</v>
      </c>
      <c r="C828" s="6" t="s">
        <v>188</v>
      </c>
      <c r="D828" s="6" t="s">
        <v>88</v>
      </c>
      <c r="E828" s="6" t="s">
        <v>88</v>
      </c>
      <c r="F828" s="6" t="b">
        <v>0</v>
      </c>
      <c r="G828" s="6">
        <v>46.90741666666667</v>
      </c>
    </row>
    <row r="829" spans="1:7">
      <c r="A829" s="6" t="s">
        <v>223</v>
      </c>
      <c r="B829" s="6" t="s">
        <v>53</v>
      </c>
      <c r="C829" s="6" t="s">
        <v>189</v>
      </c>
      <c r="D829" s="6" t="s">
        <v>86</v>
      </c>
      <c r="E829" s="6" t="s">
        <v>86</v>
      </c>
      <c r="F829" s="6" t="b">
        <v>0</v>
      </c>
      <c r="G829" s="6">
        <v>1.17675</v>
      </c>
    </row>
    <row r="830" spans="1:7">
      <c r="A830" s="6" t="s">
        <v>223</v>
      </c>
      <c r="B830" s="6" t="s">
        <v>53</v>
      </c>
      <c r="C830" s="6" t="s">
        <v>189</v>
      </c>
      <c r="D830" s="6" t="s">
        <v>88</v>
      </c>
      <c r="E830" s="6" t="s">
        <v>88</v>
      </c>
      <c r="F830" s="6" t="b">
        <v>0</v>
      </c>
      <c r="G830" s="6">
        <v>2.23025</v>
      </c>
    </row>
    <row r="831" spans="1:7">
      <c r="A831" s="6" t="s">
        <v>223</v>
      </c>
      <c r="B831" s="6" t="s">
        <v>53</v>
      </c>
      <c r="C831" s="6" t="s">
        <v>189</v>
      </c>
      <c r="D831" s="6" t="s">
        <v>90</v>
      </c>
      <c r="E831" s="6" t="s">
        <v>90</v>
      </c>
      <c r="F831" s="6" t="b">
        <v>0</v>
      </c>
      <c r="G831" s="6">
        <v>0.27575</v>
      </c>
    </row>
    <row r="832" spans="1:7">
      <c r="A832" s="6" t="s">
        <v>223</v>
      </c>
      <c r="B832" s="6" t="s">
        <v>53</v>
      </c>
      <c r="C832" s="6" t="s">
        <v>190</v>
      </c>
      <c r="D832" s="6" t="s">
        <v>44</v>
      </c>
      <c r="E832" s="6" t="s">
        <v>44</v>
      </c>
      <c r="F832" s="6" t="b">
        <v>0</v>
      </c>
      <c r="G832" s="6">
        <v>346.461</v>
      </c>
    </row>
    <row r="833" spans="1:7">
      <c r="A833" s="6" t="s">
        <v>223</v>
      </c>
      <c r="B833" s="6" t="s">
        <v>53</v>
      </c>
      <c r="C833" s="6" t="s">
        <v>190</v>
      </c>
      <c r="D833" s="6" t="s">
        <v>86</v>
      </c>
      <c r="E833" s="6" t="s">
        <v>44</v>
      </c>
      <c r="F833" s="6" t="b">
        <v>0</v>
      </c>
      <c r="G833" s="6">
        <v>70.32183333333333</v>
      </c>
    </row>
    <row r="834" spans="1:7">
      <c r="A834" s="6" t="s">
        <v>223</v>
      </c>
      <c r="B834" s="6" t="s">
        <v>53</v>
      </c>
      <c r="C834" s="6" t="s">
        <v>190</v>
      </c>
      <c r="D834" s="6" t="s">
        <v>86</v>
      </c>
      <c r="E834" s="6" t="s">
        <v>86</v>
      </c>
      <c r="F834" s="6" t="b">
        <v>0</v>
      </c>
      <c r="G834" s="6">
        <v>3.221083333333333</v>
      </c>
    </row>
    <row r="835" spans="1:7">
      <c r="A835" s="6" t="s">
        <v>223</v>
      </c>
      <c r="B835" s="6" t="s">
        <v>53</v>
      </c>
      <c r="C835" s="6" t="s">
        <v>190</v>
      </c>
      <c r="D835" s="6" t="s">
        <v>88</v>
      </c>
      <c r="E835" s="6" t="s">
        <v>88</v>
      </c>
      <c r="F835" s="6" t="b">
        <v>0</v>
      </c>
      <c r="G835" s="6">
        <v>0.02833333333333333</v>
      </c>
    </row>
    <row r="836" spans="1:7">
      <c r="A836" s="6" t="s">
        <v>223</v>
      </c>
      <c r="B836" s="6" t="s">
        <v>53</v>
      </c>
      <c r="C836" s="6" t="s">
        <v>190</v>
      </c>
      <c r="D836" s="6" t="s">
        <v>90</v>
      </c>
      <c r="E836" s="6" t="s">
        <v>44</v>
      </c>
      <c r="F836" s="6" t="b">
        <v>0</v>
      </c>
      <c r="G836" s="6">
        <v>36.84875</v>
      </c>
    </row>
    <row r="837" spans="1:7">
      <c r="A837" s="6" t="s">
        <v>223</v>
      </c>
      <c r="B837" s="6" t="s">
        <v>53</v>
      </c>
      <c r="C837" s="6" t="s">
        <v>190</v>
      </c>
      <c r="D837" s="6" t="s">
        <v>90</v>
      </c>
      <c r="E837" s="6" t="s">
        <v>90</v>
      </c>
      <c r="F837" s="6" t="b">
        <v>0</v>
      </c>
      <c r="G837" s="6">
        <v>35.39591666666666</v>
      </c>
    </row>
    <row r="838" spans="1:7">
      <c r="A838" s="6" t="s">
        <v>223</v>
      </c>
      <c r="B838" s="6" t="s">
        <v>53</v>
      </c>
      <c r="C838" s="6" t="s">
        <v>190</v>
      </c>
      <c r="D838" s="6" t="s">
        <v>177</v>
      </c>
      <c r="E838" s="6" t="s">
        <v>44</v>
      </c>
      <c r="F838" s="6" t="b">
        <v>0</v>
      </c>
      <c r="G838" s="6">
        <v>287.8305</v>
      </c>
    </row>
    <row r="839" spans="1:7">
      <c r="A839" s="6" t="s">
        <v>223</v>
      </c>
      <c r="B839" s="6" t="s">
        <v>53</v>
      </c>
      <c r="C839" s="6" t="s">
        <v>190</v>
      </c>
      <c r="D839" s="6" t="s">
        <v>177</v>
      </c>
      <c r="E839" s="6" t="s">
        <v>86</v>
      </c>
      <c r="F839" s="6" t="b">
        <v>0</v>
      </c>
      <c r="G839" s="6">
        <v>25.53525</v>
      </c>
    </row>
    <row r="840" spans="1:7">
      <c r="A840" s="6" t="s">
        <v>223</v>
      </c>
      <c r="B840" s="6" t="s">
        <v>53</v>
      </c>
      <c r="C840" s="6" t="s">
        <v>190</v>
      </c>
      <c r="D840" s="6" t="s">
        <v>177</v>
      </c>
      <c r="E840" s="6" t="s">
        <v>685</v>
      </c>
      <c r="F840" s="6" t="b">
        <v>1</v>
      </c>
      <c r="G840" s="6">
        <v>2.0655</v>
      </c>
    </row>
    <row r="841" spans="1:7">
      <c r="A841" s="6" t="s">
        <v>223</v>
      </c>
      <c r="B841" s="6" t="s">
        <v>53</v>
      </c>
      <c r="C841" s="6" t="s">
        <v>190</v>
      </c>
      <c r="D841" s="6" t="s">
        <v>92</v>
      </c>
      <c r="E841" s="6" t="s">
        <v>92</v>
      </c>
      <c r="F841" s="6" t="b">
        <v>0</v>
      </c>
      <c r="G841" s="6">
        <v>1.0745</v>
      </c>
    </row>
    <row r="842" spans="1:7">
      <c r="A842" s="6" t="s">
        <v>224</v>
      </c>
      <c r="B842" s="6" t="s">
        <v>51</v>
      </c>
      <c r="C842" s="6" t="s">
        <v>181</v>
      </c>
      <c r="D842" s="6" t="s">
        <v>88</v>
      </c>
      <c r="E842" s="6" t="s">
        <v>88</v>
      </c>
      <c r="F842" s="6" t="b">
        <v>0</v>
      </c>
      <c r="G842" s="6">
        <v>214.5691666666667</v>
      </c>
    </row>
    <row r="843" spans="1:7">
      <c r="A843" s="6" t="s">
        <v>224</v>
      </c>
      <c r="B843" s="6" t="s">
        <v>51</v>
      </c>
      <c r="C843" s="6" t="s">
        <v>183</v>
      </c>
      <c r="D843" s="6" t="s">
        <v>86</v>
      </c>
      <c r="E843" s="6" t="s">
        <v>86</v>
      </c>
      <c r="F843" s="6" t="b">
        <v>0</v>
      </c>
      <c r="G843" s="6">
        <v>0.2700833333333333</v>
      </c>
    </row>
    <row r="844" spans="1:7">
      <c r="A844" s="6" t="s">
        <v>224</v>
      </c>
      <c r="B844" s="6" t="s">
        <v>51</v>
      </c>
      <c r="C844" s="6" t="s">
        <v>183</v>
      </c>
      <c r="D844" s="6" t="s">
        <v>88</v>
      </c>
      <c r="E844" s="6" t="s">
        <v>88</v>
      </c>
      <c r="F844" s="6" t="b">
        <v>0</v>
      </c>
      <c r="G844" s="6">
        <v>4.169333333333333</v>
      </c>
    </row>
    <row r="845" spans="1:7">
      <c r="A845" s="6" t="s">
        <v>224</v>
      </c>
      <c r="B845" s="6" t="s">
        <v>51</v>
      </c>
      <c r="C845" s="6" t="s">
        <v>183</v>
      </c>
      <c r="D845" s="6" t="s">
        <v>90</v>
      </c>
      <c r="E845" s="6" t="s">
        <v>86</v>
      </c>
      <c r="F845" s="6" t="b">
        <v>0</v>
      </c>
      <c r="G845" s="6">
        <v>1.718833333333333</v>
      </c>
    </row>
    <row r="846" spans="1:7">
      <c r="A846" s="6" t="s">
        <v>224</v>
      </c>
      <c r="B846" s="6" t="s">
        <v>51</v>
      </c>
      <c r="C846" s="6" t="s">
        <v>183</v>
      </c>
      <c r="D846" s="6" t="s">
        <v>90</v>
      </c>
      <c r="E846" s="6" t="s">
        <v>90</v>
      </c>
      <c r="F846" s="6" t="b">
        <v>0</v>
      </c>
      <c r="G846" s="6">
        <v>1.262833333333333</v>
      </c>
    </row>
    <row r="847" spans="1:7">
      <c r="A847" s="6" t="s">
        <v>224</v>
      </c>
      <c r="B847" s="6" t="s">
        <v>51</v>
      </c>
      <c r="C847" s="6" t="s">
        <v>183</v>
      </c>
      <c r="D847" s="6" t="s">
        <v>177</v>
      </c>
      <c r="E847" s="6" t="s">
        <v>86</v>
      </c>
      <c r="F847" s="6" t="b">
        <v>0</v>
      </c>
      <c r="G847" s="6">
        <v>1.146166666666667</v>
      </c>
    </row>
    <row r="848" spans="1:7">
      <c r="A848" s="6" t="s">
        <v>224</v>
      </c>
      <c r="B848" s="6" t="s">
        <v>51</v>
      </c>
      <c r="C848" s="6" t="s">
        <v>183</v>
      </c>
      <c r="D848" s="6" t="s">
        <v>177</v>
      </c>
      <c r="E848" s="6" t="s">
        <v>685</v>
      </c>
      <c r="F848" s="6" t="b">
        <v>1</v>
      </c>
      <c r="G848" s="6">
        <v>0.0195</v>
      </c>
    </row>
    <row r="849" spans="1:7">
      <c r="A849" s="6" t="s">
        <v>224</v>
      </c>
      <c r="B849" s="6" t="s">
        <v>51</v>
      </c>
      <c r="C849" s="6" t="s">
        <v>184</v>
      </c>
      <c r="D849" s="6" t="s">
        <v>44</v>
      </c>
      <c r="E849" s="6" t="s">
        <v>44</v>
      </c>
      <c r="F849" s="6" t="b">
        <v>0</v>
      </c>
      <c r="G849" s="6">
        <v>657.6538333333333</v>
      </c>
    </row>
    <row r="850" spans="1:7">
      <c r="A850" s="6" t="s">
        <v>224</v>
      </c>
      <c r="B850" s="6" t="s">
        <v>51</v>
      </c>
      <c r="C850" s="6" t="s">
        <v>184</v>
      </c>
      <c r="D850" s="6" t="s">
        <v>88</v>
      </c>
      <c r="E850" s="6" t="s">
        <v>88</v>
      </c>
      <c r="F850" s="6" t="b">
        <v>0</v>
      </c>
      <c r="G850" s="6">
        <v>0.6470833333333333</v>
      </c>
    </row>
    <row r="851" spans="1:7">
      <c r="A851" s="6" t="s">
        <v>224</v>
      </c>
      <c r="B851" s="6" t="s">
        <v>51</v>
      </c>
      <c r="C851" s="6" t="s">
        <v>184</v>
      </c>
      <c r="D851" s="6" t="s">
        <v>90</v>
      </c>
      <c r="E851" s="6" t="s">
        <v>90</v>
      </c>
      <c r="F851" s="6" t="b">
        <v>0</v>
      </c>
      <c r="G851" s="6">
        <v>12.21641666666667</v>
      </c>
    </row>
    <row r="852" spans="1:7">
      <c r="A852" s="6" t="s">
        <v>224</v>
      </c>
      <c r="B852" s="6" t="s">
        <v>51</v>
      </c>
      <c r="C852" s="6" t="s">
        <v>184</v>
      </c>
      <c r="D852" s="6" t="s">
        <v>90</v>
      </c>
      <c r="E852" s="6" t="s">
        <v>685</v>
      </c>
      <c r="F852" s="6" t="b">
        <v>1</v>
      </c>
      <c r="G852" s="6">
        <v>15.29425</v>
      </c>
    </row>
    <row r="853" spans="1:7">
      <c r="A853" s="6" t="s">
        <v>224</v>
      </c>
      <c r="B853" s="6" t="s">
        <v>51</v>
      </c>
      <c r="C853" s="6" t="s">
        <v>184</v>
      </c>
      <c r="D853" s="6" t="s">
        <v>177</v>
      </c>
      <c r="E853" s="6" t="s">
        <v>44</v>
      </c>
      <c r="F853" s="6" t="b">
        <v>0</v>
      </c>
      <c r="G853" s="6">
        <v>328.2461666666667</v>
      </c>
    </row>
    <row r="854" spans="1:7">
      <c r="A854" s="6" t="s">
        <v>224</v>
      </c>
      <c r="B854" s="6" t="s">
        <v>51</v>
      </c>
      <c r="C854" s="6" t="s">
        <v>184</v>
      </c>
      <c r="D854" s="6" t="s">
        <v>177</v>
      </c>
      <c r="E854" s="6" t="s">
        <v>86</v>
      </c>
      <c r="F854" s="6" t="b">
        <v>0</v>
      </c>
      <c r="G854" s="6">
        <v>0.805</v>
      </c>
    </row>
    <row r="855" spans="1:7">
      <c r="A855" s="6" t="s">
        <v>224</v>
      </c>
      <c r="B855" s="6" t="s">
        <v>51</v>
      </c>
      <c r="C855" s="6" t="s">
        <v>184</v>
      </c>
      <c r="D855" s="6" t="s">
        <v>177</v>
      </c>
      <c r="E855" s="6" t="s">
        <v>685</v>
      </c>
      <c r="F855" s="6" t="b">
        <v>1</v>
      </c>
      <c r="G855" s="6">
        <v>6.482166666666667</v>
      </c>
    </row>
    <row r="856" spans="1:7">
      <c r="A856" s="6" t="s">
        <v>224</v>
      </c>
      <c r="B856" s="6" t="s">
        <v>51</v>
      </c>
      <c r="C856" s="6" t="s">
        <v>185</v>
      </c>
      <c r="D856" s="6" t="s">
        <v>44</v>
      </c>
      <c r="E856" s="6" t="s">
        <v>44</v>
      </c>
      <c r="F856" s="6" t="b">
        <v>0</v>
      </c>
      <c r="G856" s="6">
        <v>387.7579166666667</v>
      </c>
    </row>
    <row r="857" spans="1:7">
      <c r="A857" s="6" t="s">
        <v>224</v>
      </c>
      <c r="B857" s="6" t="s">
        <v>51</v>
      </c>
      <c r="C857" s="6" t="s">
        <v>185</v>
      </c>
      <c r="D857" s="6" t="s">
        <v>44</v>
      </c>
      <c r="E857" s="6" t="s">
        <v>685</v>
      </c>
      <c r="F857" s="6" t="b">
        <v>1</v>
      </c>
      <c r="G857" s="6">
        <v>3932.9915</v>
      </c>
    </row>
    <row r="858" spans="1:7">
      <c r="A858" s="6" t="s">
        <v>224</v>
      </c>
      <c r="B858" s="6" t="s">
        <v>51</v>
      </c>
      <c r="C858" s="6" t="s">
        <v>186</v>
      </c>
      <c r="D858" s="6" t="s">
        <v>86</v>
      </c>
      <c r="E858" s="6" t="s">
        <v>86</v>
      </c>
      <c r="F858" s="6" t="b">
        <v>0</v>
      </c>
      <c r="G858" s="6">
        <v>391.69325</v>
      </c>
    </row>
    <row r="859" spans="1:7">
      <c r="A859" s="6" t="s">
        <v>224</v>
      </c>
      <c r="B859" s="6" t="s">
        <v>51</v>
      </c>
      <c r="C859" s="6" t="s">
        <v>186</v>
      </c>
      <c r="D859" s="6" t="s">
        <v>88</v>
      </c>
      <c r="E859" s="6" t="s">
        <v>88</v>
      </c>
      <c r="F859" s="6" t="b">
        <v>0</v>
      </c>
      <c r="G859" s="6">
        <v>23.1545</v>
      </c>
    </row>
    <row r="860" spans="1:7">
      <c r="A860" s="6" t="s">
        <v>224</v>
      </c>
      <c r="B860" s="6" t="s">
        <v>51</v>
      </c>
      <c r="C860" s="6" t="s">
        <v>186</v>
      </c>
      <c r="D860" s="6" t="s">
        <v>90</v>
      </c>
      <c r="E860" s="6" t="s">
        <v>86</v>
      </c>
      <c r="F860" s="6" t="b">
        <v>0</v>
      </c>
      <c r="G860" s="6">
        <v>0.008499999999999999</v>
      </c>
    </row>
    <row r="861" spans="1:7">
      <c r="A861" s="6" t="s">
        <v>224</v>
      </c>
      <c r="B861" s="6" t="s">
        <v>51</v>
      </c>
      <c r="C861" s="6" t="s">
        <v>186</v>
      </c>
      <c r="D861" s="6" t="s">
        <v>90</v>
      </c>
      <c r="E861" s="6" t="s">
        <v>90</v>
      </c>
      <c r="F861" s="6" t="b">
        <v>0</v>
      </c>
      <c r="G861" s="6">
        <v>93.34241666666667</v>
      </c>
    </row>
    <row r="862" spans="1:7">
      <c r="A862" s="6" t="s">
        <v>224</v>
      </c>
      <c r="B862" s="6" t="s">
        <v>51</v>
      </c>
      <c r="C862" s="6" t="s">
        <v>186</v>
      </c>
      <c r="D862" s="6" t="s">
        <v>177</v>
      </c>
      <c r="E862" s="6" t="s">
        <v>86</v>
      </c>
      <c r="F862" s="6" t="b">
        <v>0</v>
      </c>
      <c r="G862" s="6">
        <v>2.3075</v>
      </c>
    </row>
    <row r="863" spans="1:7">
      <c r="A863" s="6" t="s">
        <v>224</v>
      </c>
      <c r="B863" s="6" t="s">
        <v>51</v>
      </c>
      <c r="C863" s="6" t="s">
        <v>189</v>
      </c>
      <c r="D863" s="6" t="s">
        <v>86</v>
      </c>
      <c r="E863" s="6" t="s">
        <v>86</v>
      </c>
      <c r="F863" s="6" t="b">
        <v>0</v>
      </c>
      <c r="G863" s="6">
        <v>195.0799166666667</v>
      </c>
    </row>
    <row r="864" spans="1:7">
      <c r="A864" s="6" t="s">
        <v>224</v>
      </c>
      <c r="B864" s="6" t="s">
        <v>51</v>
      </c>
      <c r="C864" s="6" t="s">
        <v>189</v>
      </c>
      <c r="D864" s="6" t="s">
        <v>88</v>
      </c>
      <c r="E864" s="6" t="s">
        <v>88</v>
      </c>
      <c r="F864" s="6" t="b">
        <v>0</v>
      </c>
      <c r="G864" s="6">
        <v>378.7075</v>
      </c>
    </row>
    <row r="865" spans="1:7">
      <c r="A865" s="6" t="s">
        <v>224</v>
      </c>
      <c r="B865" s="6" t="s">
        <v>51</v>
      </c>
      <c r="C865" s="6" t="s">
        <v>189</v>
      </c>
      <c r="D865" s="6" t="s">
        <v>90</v>
      </c>
      <c r="E865" s="6" t="s">
        <v>90</v>
      </c>
      <c r="F865" s="6" t="b">
        <v>0</v>
      </c>
      <c r="G865" s="6">
        <v>90.64258333333333</v>
      </c>
    </row>
    <row r="866" spans="1:7">
      <c r="A866" s="6" t="s">
        <v>224</v>
      </c>
      <c r="B866" s="6" t="s">
        <v>51</v>
      </c>
      <c r="C866" s="6" t="s">
        <v>190</v>
      </c>
      <c r="D866" s="6" t="s">
        <v>44</v>
      </c>
      <c r="E866" s="6" t="s">
        <v>44</v>
      </c>
      <c r="F866" s="6" t="b">
        <v>0</v>
      </c>
      <c r="G866" s="6">
        <v>366.475</v>
      </c>
    </row>
    <row r="867" spans="1:7">
      <c r="A867" s="6" t="s">
        <v>224</v>
      </c>
      <c r="B867" s="6" t="s">
        <v>51</v>
      </c>
      <c r="C867" s="6" t="s">
        <v>190</v>
      </c>
      <c r="D867" s="6" t="s">
        <v>86</v>
      </c>
      <c r="E867" s="6" t="s">
        <v>44</v>
      </c>
      <c r="F867" s="6" t="b">
        <v>0</v>
      </c>
      <c r="G867" s="6">
        <v>44.24583333333334</v>
      </c>
    </row>
    <row r="868" spans="1:7">
      <c r="A868" s="6" t="s">
        <v>224</v>
      </c>
      <c r="B868" s="6" t="s">
        <v>51</v>
      </c>
      <c r="C868" s="6" t="s">
        <v>190</v>
      </c>
      <c r="D868" s="6" t="s">
        <v>86</v>
      </c>
      <c r="E868" s="6" t="s">
        <v>86</v>
      </c>
      <c r="F868" s="6" t="b">
        <v>0</v>
      </c>
      <c r="G868" s="6">
        <v>5.80425</v>
      </c>
    </row>
    <row r="869" spans="1:7">
      <c r="A869" s="6" t="s">
        <v>224</v>
      </c>
      <c r="B869" s="6" t="s">
        <v>51</v>
      </c>
      <c r="C869" s="6" t="s">
        <v>190</v>
      </c>
      <c r="D869" s="6" t="s">
        <v>88</v>
      </c>
      <c r="E869" s="6" t="s">
        <v>88</v>
      </c>
      <c r="F869" s="6" t="b">
        <v>0</v>
      </c>
      <c r="G869" s="6">
        <v>0.08566666666666667</v>
      </c>
    </row>
    <row r="870" spans="1:7">
      <c r="A870" s="6" t="s">
        <v>224</v>
      </c>
      <c r="B870" s="6" t="s">
        <v>51</v>
      </c>
      <c r="C870" s="6" t="s">
        <v>190</v>
      </c>
      <c r="D870" s="6" t="s">
        <v>90</v>
      </c>
      <c r="E870" s="6" t="s">
        <v>44</v>
      </c>
      <c r="F870" s="6" t="b">
        <v>0</v>
      </c>
      <c r="G870" s="6">
        <v>21.68216666666666</v>
      </c>
    </row>
    <row r="871" spans="1:7">
      <c r="A871" s="6" t="s">
        <v>224</v>
      </c>
      <c r="B871" s="6" t="s">
        <v>51</v>
      </c>
      <c r="C871" s="6" t="s">
        <v>190</v>
      </c>
      <c r="D871" s="6" t="s">
        <v>90</v>
      </c>
      <c r="E871" s="6" t="s">
        <v>90</v>
      </c>
      <c r="F871" s="6" t="b">
        <v>0</v>
      </c>
      <c r="G871" s="6">
        <v>17.06516666666667</v>
      </c>
    </row>
    <row r="872" spans="1:7">
      <c r="A872" s="6" t="s">
        <v>224</v>
      </c>
      <c r="B872" s="6" t="s">
        <v>51</v>
      </c>
      <c r="C872" s="6" t="s">
        <v>190</v>
      </c>
      <c r="D872" s="6" t="s">
        <v>177</v>
      </c>
      <c r="E872" s="6" t="s">
        <v>44</v>
      </c>
      <c r="F872" s="6" t="b">
        <v>0</v>
      </c>
      <c r="G872" s="6">
        <v>110.0933333333333</v>
      </c>
    </row>
    <row r="873" spans="1:7">
      <c r="A873" s="6" t="s">
        <v>224</v>
      </c>
      <c r="B873" s="6" t="s">
        <v>51</v>
      </c>
      <c r="C873" s="6" t="s">
        <v>190</v>
      </c>
      <c r="D873" s="6" t="s">
        <v>177</v>
      </c>
      <c r="E873" s="6" t="s">
        <v>86</v>
      </c>
      <c r="F873" s="6" t="b">
        <v>0</v>
      </c>
      <c r="G873" s="6">
        <v>30.424</v>
      </c>
    </row>
    <row r="874" spans="1:7">
      <c r="A874" s="6" t="s">
        <v>224</v>
      </c>
      <c r="B874" s="6" t="s">
        <v>51</v>
      </c>
      <c r="C874" s="6" t="s">
        <v>190</v>
      </c>
      <c r="D874" s="6" t="s">
        <v>177</v>
      </c>
      <c r="E874" s="6" t="s">
        <v>685</v>
      </c>
      <c r="F874" s="6" t="b">
        <v>1</v>
      </c>
      <c r="G874" s="6">
        <v>5.114166666666667</v>
      </c>
    </row>
    <row r="875" spans="1:7">
      <c r="A875" s="6" t="s">
        <v>224</v>
      </c>
      <c r="B875" s="6" t="s">
        <v>51</v>
      </c>
      <c r="C875" s="6" t="s">
        <v>190</v>
      </c>
      <c r="D875" s="6" t="s">
        <v>92</v>
      </c>
      <c r="E875" s="6" t="s">
        <v>92</v>
      </c>
      <c r="F875" s="6" t="b">
        <v>0</v>
      </c>
      <c r="G875" s="6">
        <v>2.665</v>
      </c>
    </row>
    <row r="876" spans="1:7">
      <c r="A876" s="6" t="s">
        <v>225</v>
      </c>
      <c r="B876" s="6" t="s">
        <v>54</v>
      </c>
      <c r="C876" s="6" t="s">
        <v>183</v>
      </c>
      <c r="D876" s="6" t="s">
        <v>90</v>
      </c>
      <c r="E876" s="6" t="s">
        <v>86</v>
      </c>
      <c r="F876" s="6" t="b">
        <v>0</v>
      </c>
      <c r="G876" s="6">
        <v>0.001833333333333333</v>
      </c>
    </row>
    <row r="877" spans="1:7">
      <c r="A877" s="6" t="s">
        <v>225</v>
      </c>
      <c r="B877" s="6" t="s">
        <v>54</v>
      </c>
      <c r="C877" s="6" t="s">
        <v>184</v>
      </c>
      <c r="D877" s="6" t="s">
        <v>44</v>
      </c>
      <c r="E877" s="6" t="s">
        <v>44</v>
      </c>
      <c r="F877" s="6" t="b">
        <v>0</v>
      </c>
      <c r="G877" s="6">
        <v>0.06325</v>
      </c>
    </row>
    <row r="878" spans="1:7">
      <c r="A878" s="6" t="s">
        <v>225</v>
      </c>
      <c r="B878" s="6" t="s">
        <v>54</v>
      </c>
      <c r="C878" s="6" t="s">
        <v>184</v>
      </c>
      <c r="D878" s="6" t="s">
        <v>88</v>
      </c>
      <c r="E878" s="6" t="s">
        <v>88</v>
      </c>
      <c r="F878" s="6" t="b">
        <v>0</v>
      </c>
      <c r="G878" s="6">
        <v>0.00275</v>
      </c>
    </row>
    <row r="879" spans="1:7">
      <c r="A879" s="6" t="s">
        <v>225</v>
      </c>
      <c r="B879" s="6" t="s">
        <v>54</v>
      </c>
      <c r="C879" s="6" t="s">
        <v>184</v>
      </c>
      <c r="D879" s="6" t="s">
        <v>177</v>
      </c>
      <c r="E879" s="6" t="s">
        <v>44</v>
      </c>
      <c r="F879" s="6" t="b">
        <v>0</v>
      </c>
      <c r="G879" s="6">
        <v>0.013</v>
      </c>
    </row>
    <row r="880" spans="1:7">
      <c r="A880" s="6" t="s">
        <v>225</v>
      </c>
      <c r="B880" s="6" t="s">
        <v>54</v>
      </c>
      <c r="C880" s="6" t="s">
        <v>186</v>
      </c>
      <c r="D880" s="6" t="s">
        <v>86</v>
      </c>
      <c r="E880" s="6" t="s">
        <v>86</v>
      </c>
      <c r="F880" s="6" t="b">
        <v>0</v>
      </c>
      <c r="G880" s="6">
        <v>0.002</v>
      </c>
    </row>
    <row r="881" spans="1:7">
      <c r="A881" s="6" t="s">
        <v>225</v>
      </c>
      <c r="B881" s="6" t="s">
        <v>54</v>
      </c>
      <c r="C881" s="6" t="s">
        <v>186</v>
      </c>
      <c r="D881" s="6" t="s">
        <v>88</v>
      </c>
      <c r="E881" s="6" t="s">
        <v>88</v>
      </c>
      <c r="F881" s="6" t="b">
        <v>0</v>
      </c>
      <c r="G881" s="6">
        <v>0.001916666666666667</v>
      </c>
    </row>
    <row r="882" spans="1:7">
      <c r="A882" s="6" t="s">
        <v>225</v>
      </c>
      <c r="B882" s="6" t="s">
        <v>54</v>
      </c>
      <c r="C882" s="6" t="s">
        <v>186</v>
      </c>
      <c r="D882" s="6" t="s">
        <v>90</v>
      </c>
      <c r="E882" s="6" t="s">
        <v>90</v>
      </c>
      <c r="F882" s="6" t="b">
        <v>0</v>
      </c>
      <c r="G882" s="6">
        <v>0.0025</v>
      </c>
    </row>
    <row r="883" spans="1:7">
      <c r="A883" s="6" t="s">
        <v>225</v>
      </c>
      <c r="B883" s="6" t="s">
        <v>54</v>
      </c>
      <c r="C883" s="6" t="s">
        <v>189</v>
      </c>
      <c r="D883" s="6" t="s">
        <v>86</v>
      </c>
      <c r="E883" s="6" t="s">
        <v>86</v>
      </c>
      <c r="F883" s="6" t="b">
        <v>0</v>
      </c>
      <c r="G883" s="6">
        <v>0.003833333333333333</v>
      </c>
    </row>
    <row r="884" spans="1:7">
      <c r="A884" s="6" t="s">
        <v>226</v>
      </c>
      <c r="B884" s="6" t="s">
        <v>56</v>
      </c>
      <c r="C884" s="6" t="s">
        <v>181</v>
      </c>
      <c r="D884" s="6" t="s">
        <v>88</v>
      </c>
      <c r="E884" s="6" t="s">
        <v>88</v>
      </c>
      <c r="F884" s="6" t="b">
        <v>0</v>
      </c>
      <c r="G884" s="6">
        <v>74.13758333333332</v>
      </c>
    </row>
    <row r="885" spans="1:7">
      <c r="A885" s="6" t="s">
        <v>226</v>
      </c>
      <c r="B885" s="6" t="s">
        <v>56</v>
      </c>
      <c r="C885" s="6" t="s">
        <v>181</v>
      </c>
      <c r="D885" s="6" t="s">
        <v>90</v>
      </c>
      <c r="E885" s="6" t="s">
        <v>90</v>
      </c>
      <c r="F885" s="6" t="b">
        <v>0</v>
      </c>
      <c r="G885" s="6">
        <v>0.05025</v>
      </c>
    </row>
    <row r="886" spans="1:7">
      <c r="A886" s="6" t="s">
        <v>226</v>
      </c>
      <c r="B886" s="6" t="s">
        <v>56</v>
      </c>
      <c r="C886" s="6" t="s">
        <v>182</v>
      </c>
      <c r="D886" s="6" t="s">
        <v>88</v>
      </c>
      <c r="E886" s="6" t="s">
        <v>88</v>
      </c>
      <c r="F886" s="6" t="b">
        <v>0</v>
      </c>
      <c r="G886" s="6">
        <v>0.75</v>
      </c>
    </row>
    <row r="887" spans="1:7">
      <c r="A887" s="6" t="s">
        <v>226</v>
      </c>
      <c r="B887" s="6" t="s">
        <v>56</v>
      </c>
      <c r="C887" s="6" t="s">
        <v>183</v>
      </c>
      <c r="D887" s="6" t="s">
        <v>86</v>
      </c>
      <c r="E887" s="6" t="s">
        <v>86</v>
      </c>
      <c r="F887" s="6" t="b">
        <v>0</v>
      </c>
      <c r="G887" s="6">
        <v>0.03816666666666667</v>
      </c>
    </row>
    <row r="888" spans="1:7">
      <c r="A888" s="6" t="s">
        <v>226</v>
      </c>
      <c r="B888" s="6" t="s">
        <v>56</v>
      </c>
      <c r="C888" s="6" t="s">
        <v>183</v>
      </c>
      <c r="D888" s="6" t="s">
        <v>88</v>
      </c>
      <c r="E888" s="6" t="s">
        <v>88</v>
      </c>
      <c r="F888" s="6" t="b">
        <v>0</v>
      </c>
      <c r="G888" s="6">
        <v>0.8070833333333334</v>
      </c>
    </row>
    <row r="889" spans="1:7">
      <c r="A889" s="6" t="s">
        <v>226</v>
      </c>
      <c r="B889" s="6" t="s">
        <v>56</v>
      </c>
      <c r="C889" s="6" t="s">
        <v>183</v>
      </c>
      <c r="D889" s="6" t="s">
        <v>90</v>
      </c>
      <c r="E889" s="6" t="s">
        <v>86</v>
      </c>
      <c r="F889" s="6" t="b">
        <v>0</v>
      </c>
      <c r="G889" s="6">
        <v>1.021666666666667</v>
      </c>
    </row>
    <row r="890" spans="1:7">
      <c r="A890" s="6" t="s">
        <v>226</v>
      </c>
      <c r="B890" s="6" t="s">
        <v>56</v>
      </c>
      <c r="C890" s="6" t="s">
        <v>183</v>
      </c>
      <c r="D890" s="6" t="s">
        <v>90</v>
      </c>
      <c r="E890" s="6" t="s">
        <v>90</v>
      </c>
      <c r="F890" s="6" t="b">
        <v>0</v>
      </c>
      <c r="G890" s="6">
        <v>0.7473333333333333</v>
      </c>
    </row>
    <row r="891" spans="1:7">
      <c r="A891" s="6" t="s">
        <v>226</v>
      </c>
      <c r="B891" s="6" t="s">
        <v>56</v>
      </c>
      <c r="C891" s="6" t="s">
        <v>183</v>
      </c>
      <c r="D891" s="6" t="s">
        <v>177</v>
      </c>
      <c r="E891" s="6" t="s">
        <v>86</v>
      </c>
      <c r="F891" s="6" t="b">
        <v>0</v>
      </c>
      <c r="G891" s="6">
        <v>0.1034166666666667</v>
      </c>
    </row>
    <row r="892" spans="1:7">
      <c r="A892" s="6" t="s">
        <v>226</v>
      </c>
      <c r="B892" s="6" t="s">
        <v>56</v>
      </c>
      <c r="C892" s="6" t="s">
        <v>183</v>
      </c>
      <c r="D892" s="6" t="s">
        <v>177</v>
      </c>
      <c r="E892" s="6" t="s">
        <v>685</v>
      </c>
      <c r="F892" s="6" t="b">
        <v>1</v>
      </c>
      <c r="G892" s="6">
        <v>0.04849999999999999</v>
      </c>
    </row>
    <row r="893" spans="1:7">
      <c r="A893" s="6" t="s">
        <v>226</v>
      </c>
      <c r="B893" s="6" t="s">
        <v>56</v>
      </c>
      <c r="C893" s="6" t="s">
        <v>184</v>
      </c>
      <c r="D893" s="6" t="s">
        <v>44</v>
      </c>
      <c r="E893" s="6" t="s">
        <v>44</v>
      </c>
      <c r="F893" s="6" t="b">
        <v>0</v>
      </c>
      <c r="G893" s="6">
        <v>743.6266666666667</v>
      </c>
    </row>
    <row r="894" spans="1:7">
      <c r="A894" s="6" t="s">
        <v>226</v>
      </c>
      <c r="B894" s="6" t="s">
        <v>56</v>
      </c>
      <c r="C894" s="6" t="s">
        <v>184</v>
      </c>
      <c r="D894" s="6" t="s">
        <v>86</v>
      </c>
      <c r="E894" s="6" t="s">
        <v>86</v>
      </c>
      <c r="F894" s="6" t="b">
        <v>0</v>
      </c>
      <c r="G894" s="6">
        <v>0.4166666666666667</v>
      </c>
    </row>
    <row r="895" spans="1:7">
      <c r="A895" s="6" t="s">
        <v>226</v>
      </c>
      <c r="B895" s="6" t="s">
        <v>56</v>
      </c>
      <c r="C895" s="6" t="s">
        <v>184</v>
      </c>
      <c r="D895" s="6" t="s">
        <v>88</v>
      </c>
      <c r="E895" s="6" t="s">
        <v>88</v>
      </c>
      <c r="F895" s="6" t="b">
        <v>0</v>
      </c>
      <c r="G895" s="6">
        <v>0.5366666666666667</v>
      </c>
    </row>
    <row r="896" spans="1:7">
      <c r="A896" s="6" t="s">
        <v>226</v>
      </c>
      <c r="B896" s="6" t="s">
        <v>56</v>
      </c>
      <c r="C896" s="6" t="s">
        <v>184</v>
      </c>
      <c r="D896" s="6" t="s">
        <v>90</v>
      </c>
      <c r="E896" s="6" t="s">
        <v>90</v>
      </c>
      <c r="F896" s="6" t="b">
        <v>0</v>
      </c>
      <c r="G896" s="6">
        <v>0.9665833333333333</v>
      </c>
    </row>
    <row r="897" spans="1:7">
      <c r="A897" s="6" t="s">
        <v>226</v>
      </c>
      <c r="B897" s="6" t="s">
        <v>56</v>
      </c>
      <c r="C897" s="6" t="s">
        <v>184</v>
      </c>
      <c r="D897" s="6" t="s">
        <v>90</v>
      </c>
      <c r="E897" s="6" t="s">
        <v>685</v>
      </c>
      <c r="F897" s="6" t="b">
        <v>1</v>
      </c>
      <c r="G897" s="6">
        <v>1.014083333333333</v>
      </c>
    </row>
    <row r="898" spans="1:7">
      <c r="A898" s="6" t="s">
        <v>226</v>
      </c>
      <c r="B898" s="6" t="s">
        <v>56</v>
      </c>
      <c r="C898" s="6" t="s">
        <v>184</v>
      </c>
      <c r="D898" s="6" t="s">
        <v>177</v>
      </c>
      <c r="E898" s="6" t="s">
        <v>44</v>
      </c>
      <c r="F898" s="6" t="b">
        <v>0</v>
      </c>
      <c r="G898" s="6">
        <v>358.4663333333333</v>
      </c>
    </row>
    <row r="899" spans="1:7">
      <c r="A899" s="6" t="s">
        <v>226</v>
      </c>
      <c r="B899" s="6" t="s">
        <v>56</v>
      </c>
      <c r="C899" s="6" t="s">
        <v>184</v>
      </c>
      <c r="D899" s="6" t="s">
        <v>177</v>
      </c>
      <c r="E899" s="6" t="s">
        <v>86</v>
      </c>
      <c r="F899" s="6" t="b">
        <v>0</v>
      </c>
      <c r="G899" s="6">
        <v>0.3585</v>
      </c>
    </row>
    <row r="900" spans="1:7">
      <c r="A900" s="6" t="s">
        <v>226</v>
      </c>
      <c r="B900" s="6" t="s">
        <v>56</v>
      </c>
      <c r="C900" s="6" t="s">
        <v>184</v>
      </c>
      <c r="D900" s="6" t="s">
        <v>177</v>
      </c>
      <c r="E900" s="6" t="s">
        <v>685</v>
      </c>
      <c r="F900" s="6" t="b">
        <v>1</v>
      </c>
      <c r="G900" s="6">
        <v>10.20475</v>
      </c>
    </row>
    <row r="901" spans="1:7">
      <c r="A901" s="6" t="s">
        <v>226</v>
      </c>
      <c r="B901" s="6" t="s">
        <v>56</v>
      </c>
      <c r="C901" s="6" t="s">
        <v>185</v>
      </c>
      <c r="D901" s="6" t="s">
        <v>44</v>
      </c>
      <c r="E901" s="6" t="s">
        <v>44</v>
      </c>
      <c r="F901" s="6" t="b">
        <v>0</v>
      </c>
      <c r="G901" s="6">
        <v>208.0601666666666</v>
      </c>
    </row>
    <row r="902" spans="1:7">
      <c r="A902" s="6" t="s">
        <v>226</v>
      </c>
      <c r="B902" s="6" t="s">
        <v>56</v>
      </c>
      <c r="C902" s="6" t="s">
        <v>185</v>
      </c>
      <c r="D902" s="6" t="s">
        <v>44</v>
      </c>
      <c r="E902" s="6" t="s">
        <v>685</v>
      </c>
      <c r="F902" s="6" t="b">
        <v>1</v>
      </c>
      <c r="G902" s="6">
        <v>745.616</v>
      </c>
    </row>
    <row r="903" spans="1:7">
      <c r="A903" s="6" t="s">
        <v>226</v>
      </c>
      <c r="B903" s="6" t="s">
        <v>56</v>
      </c>
      <c r="C903" s="6" t="s">
        <v>186</v>
      </c>
      <c r="D903" s="6" t="s">
        <v>86</v>
      </c>
      <c r="E903" s="6" t="s">
        <v>86</v>
      </c>
      <c r="F903" s="6" t="b">
        <v>0</v>
      </c>
      <c r="G903" s="6">
        <v>223.14525</v>
      </c>
    </row>
    <row r="904" spans="1:7">
      <c r="A904" s="6" t="s">
        <v>226</v>
      </c>
      <c r="B904" s="6" t="s">
        <v>56</v>
      </c>
      <c r="C904" s="6" t="s">
        <v>186</v>
      </c>
      <c r="D904" s="6" t="s">
        <v>88</v>
      </c>
      <c r="E904" s="6" t="s">
        <v>88</v>
      </c>
      <c r="F904" s="6" t="b">
        <v>0</v>
      </c>
      <c r="G904" s="6">
        <v>12.82458333333333</v>
      </c>
    </row>
    <row r="905" spans="1:7">
      <c r="A905" s="6" t="s">
        <v>226</v>
      </c>
      <c r="B905" s="6" t="s">
        <v>56</v>
      </c>
      <c r="C905" s="6" t="s">
        <v>186</v>
      </c>
      <c r="D905" s="6" t="s">
        <v>90</v>
      </c>
      <c r="E905" s="6" t="s">
        <v>86</v>
      </c>
      <c r="F905" s="6" t="b">
        <v>0</v>
      </c>
      <c r="G905" s="6">
        <v>0.034</v>
      </c>
    </row>
    <row r="906" spans="1:7">
      <c r="A906" s="6" t="s">
        <v>226</v>
      </c>
      <c r="B906" s="6" t="s">
        <v>56</v>
      </c>
      <c r="C906" s="6" t="s">
        <v>186</v>
      </c>
      <c r="D906" s="6" t="s">
        <v>90</v>
      </c>
      <c r="E906" s="6" t="s">
        <v>90</v>
      </c>
      <c r="F906" s="6" t="b">
        <v>0</v>
      </c>
      <c r="G906" s="6">
        <v>67.15599999999999</v>
      </c>
    </row>
    <row r="907" spans="1:7">
      <c r="A907" s="6" t="s">
        <v>226</v>
      </c>
      <c r="B907" s="6" t="s">
        <v>56</v>
      </c>
      <c r="C907" s="6" t="s">
        <v>186</v>
      </c>
      <c r="D907" s="6" t="s">
        <v>177</v>
      </c>
      <c r="E907" s="6" t="s">
        <v>86</v>
      </c>
      <c r="F907" s="6" t="b">
        <v>0</v>
      </c>
      <c r="G907" s="6">
        <v>2.6655</v>
      </c>
    </row>
    <row r="908" spans="1:7">
      <c r="A908" s="6" t="s">
        <v>226</v>
      </c>
      <c r="B908" s="6" t="s">
        <v>56</v>
      </c>
      <c r="C908" s="6" t="s">
        <v>187</v>
      </c>
      <c r="D908" s="6" t="s">
        <v>86</v>
      </c>
      <c r="E908" s="6" t="s">
        <v>86</v>
      </c>
      <c r="F908" s="6" t="b">
        <v>0</v>
      </c>
      <c r="G908" s="6">
        <v>30.00533333333334</v>
      </c>
    </row>
    <row r="909" spans="1:7">
      <c r="A909" s="6" t="s">
        <v>226</v>
      </c>
      <c r="B909" s="6" t="s">
        <v>56</v>
      </c>
      <c r="C909" s="6" t="s">
        <v>187</v>
      </c>
      <c r="D909" s="6" t="s">
        <v>88</v>
      </c>
      <c r="E909" s="6" t="s">
        <v>88</v>
      </c>
      <c r="F909" s="6" t="b">
        <v>0</v>
      </c>
      <c r="G909" s="6">
        <v>78.01266666666668</v>
      </c>
    </row>
    <row r="910" spans="1:7">
      <c r="A910" s="6" t="s">
        <v>226</v>
      </c>
      <c r="B910" s="6" t="s">
        <v>56</v>
      </c>
      <c r="C910" s="6" t="s">
        <v>188</v>
      </c>
      <c r="D910" s="6" t="s">
        <v>86</v>
      </c>
      <c r="E910" s="6" t="s">
        <v>86</v>
      </c>
      <c r="F910" s="6" t="b">
        <v>0</v>
      </c>
      <c r="G910" s="6">
        <v>1.411666666666667</v>
      </c>
    </row>
    <row r="911" spans="1:7">
      <c r="A911" s="6" t="s">
        <v>226</v>
      </c>
      <c r="B911" s="6" t="s">
        <v>56</v>
      </c>
      <c r="C911" s="6" t="s">
        <v>188</v>
      </c>
      <c r="D911" s="6" t="s">
        <v>88</v>
      </c>
      <c r="E911" s="6" t="s">
        <v>88</v>
      </c>
      <c r="F911" s="6" t="b">
        <v>0</v>
      </c>
      <c r="G911" s="6">
        <v>34.30458333333333</v>
      </c>
    </row>
    <row r="912" spans="1:7">
      <c r="A912" s="6" t="s">
        <v>226</v>
      </c>
      <c r="B912" s="6" t="s">
        <v>56</v>
      </c>
      <c r="C912" s="6" t="s">
        <v>189</v>
      </c>
      <c r="D912" s="6" t="s">
        <v>86</v>
      </c>
      <c r="E912" s="6" t="s">
        <v>86</v>
      </c>
      <c r="F912" s="6" t="b">
        <v>0</v>
      </c>
      <c r="G912" s="6">
        <v>15.17225</v>
      </c>
    </row>
    <row r="913" spans="1:7">
      <c r="A913" s="6" t="s">
        <v>226</v>
      </c>
      <c r="B913" s="6" t="s">
        <v>56</v>
      </c>
      <c r="C913" s="6" t="s">
        <v>189</v>
      </c>
      <c r="D913" s="6" t="s">
        <v>88</v>
      </c>
      <c r="E913" s="6" t="s">
        <v>88</v>
      </c>
      <c r="F913" s="6" t="b">
        <v>0</v>
      </c>
      <c r="G913" s="6">
        <v>28.75225</v>
      </c>
    </row>
    <row r="914" spans="1:7">
      <c r="A914" s="6" t="s">
        <v>226</v>
      </c>
      <c r="B914" s="6" t="s">
        <v>56</v>
      </c>
      <c r="C914" s="6" t="s">
        <v>189</v>
      </c>
      <c r="D914" s="6" t="s">
        <v>90</v>
      </c>
      <c r="E914" s="6" t="s">
        <v>90</v>
      </c>
      <c r="F914" s="6" t="b">
        <v>0</v>
      </c>
      <c r="G914" s="6">
        <v>3.375583333333333</v>
      </c>
    </row>
    <row r="915" spans="1:7">
      <c r="A915" s="6" t="s">
        <v>226</v>
      </c>
      <c r="B915" s="6" t="s">
        <v>56</v>
      </c>
      <c r="C915" s="6" t="s">
        <v>190</v>
      </c>
      <c r="D915" s="6" t="s">
        <v>44</v>
      </c>
      <c r="E915" s="6" t="s">
        <v>44</v>
      </c>
      <c r="F915" s="6" t="b">
        <v>0</v>
      </c>
      <c r="G915" s="6">
        <v>71.76291666666667</v>
      </c>
    </row>
    <row r="916" spans="1:7">
      <c r="A916" s="6" t="s">
        <v>226</v>
      </c>
      <c r="B916" s="6" t="s">
        <v>56</v>
      </c>
      <c r="C916" s="6" t="s">
        <v>190</v>
      </c>
      <c r="D916" s="6" t="s">
        <v>86</v>
      </c>
      <c r="E916" s="6" t="s">
        <v>44</v>
      </c>
      <c r="F916" s="6" t="b">
        <v>0</v>
      </c>
      <c r="G916" s="6">
        <v>4.486083333333333</v>
      </c>
    </row>
    <row r="917" spans="1:7">
      <c r="A917" s="6" t="s">
        <v>226</v>
      </c>
      <c r="B917" s="6" t="s">
        <v>56</v>
      </c>
      <c r="C917" s="6" t="s">
        <v>190</v>
      </c>
      <c r="D917" s="6" t="s">
        <v>86</v>
      </c>
      <c r="E917" s="6" t="s">
        <v>86</v>
      </c>
      <c r="F917" s="6" t="b">
        <v>0</v>
      </c>
      <c r="G917" s="6">
        <v>1.274666666666667</v>
      </c>
    </row>
    <row r="918" spans="1:7">
      <c r="A918" s="6" t="s">
        <v>226</v>
      </c>
      <c r="B918" s="6" t="s">
        <v>56</v>
      </c>
      <c r="C918" s="6" t="s">
        <v>190</v>
      </c>
      <c r="D918" s="6" t="s">
        <v>90</v>
      </c>
      <c r="E918" s="6" t="s">
        <v>44</v>
      </c>
      <c r="F918" s="6" t="b">
        <v>0</v>
      </c>
      <c r="G918" s="6">
        <v>4.219583333333333</v>
      </c>
    </row>
    <row r="919" spans="1:7">
      <c r="A919" s="6" t="s">
        <v>226</v>
      </c>
      <c r="B919" s="6" t="s">
        <v>56</v>
      </c>
      <c r="C919" s="6" t="s">
        <v>190</v>
      </c>
      <c r="D919" s="6" t="s">
        <v>90</v>
      </c>
      <c r="E919" s="6" t="s">
        <v>90</v>
      </c>
      <c r="F919" s="6" t="b">
        <v>0</v>
      </c>
      <c r="G919" s="6">
        <v>5.276916666666667</v>
      </c>
    </row>
    <row r="920" spans="1:7">
      <c r="A920" s="6" t="s">
        <v>226</v>
      </c>
      <c r="B920" s="6" t="s">
        <v>56</v>
      </c>
      <c r="C920" s="6" t="s">
        <v>190</v>
      </c>
      <c r="D920" s="6" t="s">
        <v>177</v>
      </c>
      <c r="E920" s="6" t="s">
        <v>44</v>
      </c>
      <c r="F920" s="6" t="b">
        <v>0</v>
      </c>
      <c r="G920" s="6">
        <v>43.34716666666666</v>
      </c>
    </row>
    <row r="921" spans="1:7">
      <c r="A921" s="6" t="s">
        <v>226</v>
      </c>
      <c r="B921" s="6" t="s">
        <v>56</v>
      </c>
      <c r="C921" s="6" t="s">
        <v>190</v>
      </c>
      <c r="D921" s="6" t="s">
        <v>177</v>
      </c>
      <c r="E921" s="6" t="s">
        <v>86</v>
      </c>
      <c r="F921" s="6" t="b">
        <v>0</v>
      </c>
      <c r="G921" s="6">
        <v>1.401083333333333</v>
      </c>
    </row>
    <row r="922" spans="1:7">
      <c r="A922" s="6" t="s">
        <v>226</v>
      </c>
      <c r="B922" s="6" t="s">
        <v>56</v>
      </c>
      <c r="C922" s="6" t="s">
        <v>190</v>
      </c>
      <c r="D922" s="6" t="s">
        <v>92</v>
      </c>
      <c r="E922" s="6" t="s">
        <v>92</v>
      </c>
      <c r="F922" s="6" t="b">
        <v>0</v>
      </c>
      <c r="G922" s="6">
        <v>1.0315</v>
      </c>
    </row>
    <row r="923" spans="1:7">
      <c r="A923" s="6" t="s">
        <v>344</v>
      </c>
      <c r="B923" s="6" t="s">
        <v>52</v>
      </c>
      <c r="C923" s="6" t="s">
        <v>189</v>
      </c>
      <c r="D923" s="6" t="s">
        <v>86</v>
      </c>
      <c r="E923" s="6" t="s">
        <v>86</v>
      </c>
      <c r="F923" s="6" t="b">
        <v>0</v>
      </c>
      <c r="G923" s="6">
        <v>45.14816666666667</v>
      </c>
    </row>
    <row r="924" spans="1:7">
      <c r="A924" s="6" t="s">
        <v>344</v>
      </c>
      <c r="B924" s="6" t="s">
        <v>52</v>
      </c>
      <c r="C924" s="6" t="s">
        <v>189</v>
      </c>
      <c r="D924" s="6" t="s">
        <v>88</v>
      </c>
      <c r="E924" s="6" t="s">
        <v>88</v>
      </c>
      <c r="F924" s="6" t="b">
        <v>0</v>
      </c>
      <c r="G924" s="6">
        <v>22.83183333333334</v>
      </c>
    </row>
    <row r="925" spans="1:7">
      <c r="A925" s="6" t="s">
        <v>344</v>
      </c>
      <c r="B925" s="6" t="s">
        <v>52</v>
      </c>
      <c r="C925" s="6" t="s">
        <v>189</v>
      </c>
      <c r="D925" s="6" t="s">
        <v>90</v>
      </c>
      <c r="E925" s="6" t="s">
        <v>90</v>
      </c>
      <c r="F925" s="6" t="b">
        <v>0</v>
      </c>
      <c r="G925" s="6">
        <v>2.162166666666667</v>
      </c>
    </row>
    <row r="926" spans="1:7">
      <c r="A926" s="6" t="s">
        <v>345</v>
      </c>
      <c r="B926" s="6" t="s">
        <v>53</v>
      </c>
      <c r="C926" s="6" t="s">
        <v>181</v>
      </c>
      <c r="D926" s="6" t="s">
        <v>88</v>
      </c>
      <c r="E926" s="6" t="s">
        <v>88</v>
      </c>
      <c r="F926" s="6" t="b">
        <v>0</v>
      </c>
      <c r="G926" s="6">
        <v>10.84658333333333</v>
      </c>
    </row>
    <row r="927" spans="1:7">
      <c r="A927" s="6" t="s">
        <v>345</v>
      </c>
      <c r="B927" s="6" t="s">
        <v>53</v>
      </c>
      <c r="C927" s="6" t="s">
        <v>181</v>
      </c>
      <c r="D927" s="6" t="s">
        <v>90</v>
      </c>
      <c r="E927" s="6" t="s">
        <v>90</v>
      </c>
      <c r="F927" s="6" t="b">
        <v>0</v>
      </c>
      <c r="G927" s="6">
        <v>0.005500000000000001</v>
      </c>
    </row>
    <row r="928" spans="1:7">
      <c r="A928" s="6" t="s">
        <v>345</v>
      </c>
      <c r="B928" s="6" t="s">
        <v>53</v>
      </c>
      <c r="C928" s="6" t="s">
        <v>183</v>
      </c>
      <c r="D928" s="6" t="s">
        <v>86</v>
      </c>
      <c r="E928" s="6" t="s">
        <v>86</v>
      </c>
      <c r="F928" s="6" t="b">
        <v>0</v>
      </c>
      <c r="G928" s="6">
        <v>0.0005</v>
      </c>
    </row>
    <row r="929" spans="1:7">
      <c r="A929" s="6" t="s">
        <v>345</v>
      </c>
      <c r="B929" s="6" t="s">
        <v>53</v>
      </c>
      <c r="C929" s="6" t="s">
        <v>183</v>
      </c>
      <c r="D929" s="6" t="s">
        <v>88</v>
      </c>
      <c r="E929" s="6" t="s">
        <v>88</v>
      </c>
      <c r="F929" s="6" t="b">
        <v>0</v>
      </c>
      <c r="G929" s="6">
        <v>0.3946666666666667</v>
      </c>
    </row>
    <row r="930" spans="1:7">
      <c r="A930" s="6" t="s">
        <v>345</v>
      </c>
      <c r="B930" s="6" t="s">
        <v>53</v>
      </c>
      <c r="C930" s="6" t="s">
        <v>183</v>
      </c>
      <c r="D930" s="6" t="s">
        <v>90</v>
      </c>
      <c r="E930" s="6" t="s">
        <v>86</v>
      </c>
      <c r="F930" s="6" t="b">
        <v>0</v>
      </c>
      <c r="G930" s="6">
        <v>0.1655833333333333</v>
      </c>
    </row>
    <row r="931" spans="1:7">
      <c r="A931" s="6" t="s">
        <v>345</v>
      </c>
      <c r="B931" s="6" t="s">
        <v>53</v>
      </c>
      <c r="C931" s="6" t="s">
        <v>183</v>
      </c>
      <c r="D931" s="6" t="s">
        <v>90</v>
      </c>
      <c r="E931" s="6" t="s">
        <v>90</v>
      </c>
      <c r="F931" s="6" t="b">
        <v>0</v>
      </c>
      <c r="G931" s="6">
        <v>0.0045</v>
      </c>
    </row>
    <row r="932" spans="1:7">
      <c r="A932" s="6" t="s">
        <v>345</v>
      </c>
      <c r="B932" s="6" t="s">
        <v>53</v>
      </c>
      <c r="C932" s="6" t="s">
        <v>183</v>
      </c>
      <c r="D932" s="6" t="s">
        <v>177</v>
      </c>
      <c r="E932" s="6" t="s">
        <v>86</v>
      </c>
      <c r="F932" s="6" t="b">
        <v>0</v>
      </c>
      <c r="G932" s="6">
        <v>0.02791666666666667</v>
      </c>
    </row>
    <row r="933" spans="1:7">
      <c r="A933" s="6" t="s">
        <v>345</v>
      </c>
      <c r="B933" s="6" t="s">
        <v>53</v>
      </c>
      <c r="C933" s="6" t="s">
        <v>183</v>
      </c>
      <c r="D933" s="6" t="s">
        <v>177</v>
      </c>
      <c r="E933" s="6" t="s">
        <v>685</v>
      </c>
      <c r="F933" s="6" t="b">
        <v>1</v>
      </c>
      <c r="G933" s="6">
        <v>0.0285</v>
      </c>
    </row>
    <row r="934" spans="1:7">
      <c r="A934" s="6" t="s">
        <v>345</v>
      </c>
      <c r="B934" s="6" t="s">
        <v>53</v>
      </c>
      <c r="C934" s="6" t="s">
        <v>184</v>
      </c>
      <c r="D934" s="6" t="s">
        <v>44</v>
      </c>
      <c r="E934" s="6" t="s">
        <v>44</v>
      </c>
      <c r="F934" s="6" t="b">
        <v>0</v>
      </c>
      <c r="G934" s="6">
        <v>54.56216666666666</v>
      </c>
    </row>
    <row r="935" spans="1:7">
      <c r="A935" s="6" t="s">
        <v>345</v>
      </c>
      <c r="B935" s="6" t="s">
        <v>53</v>
      </c>
      <c r="C935" s="6" t="s">
        <v>184</v>
      </c>
      <c r="D935" s="6" t="s">
        <v>86</v>
      </c>
      <c r="E935" s="6" t="s">
        <v>86</v>
      </c>
      <c r="F935" s="6" t="b">
        <v>0</v>
      </c>
      <c r="G935" s="6">
        <v>0.1458333333333333</v>
      </c>
    </row>
    <row r="936" spans="1:7">
      <c r="A936" s="6" t="s">
        <v>345</v>
      </c>
      <c r="B936" s="6" t="s">
        <v>53</v>
      </c>
      <c r="C936" s="6" t="s">
        <v>184</v>
      </c>
      <c r="D936" s="6" t="s">
        <v>88</v>
      </c>
      <c r="E936" s="6" t="s">
        <v>88</v>
      </c>
      <c r="F936" s="6" t="b">
        <v>0</v>
      </c>
      <c r="G936" s="6">
        <v>0.144</v>
      </c>
    </row>
    <row r="937" spans="1:7">
      <c r="A937" s="6" t="s">
        <v>345</v>
      </c>
      <c r="B937" s="6" t="s">
        <v>53</v>
      </c>
      <c r="C937" s="6" t="s">
        <v>184</v>
      </c>
      <c r="D937" s="6" t="s">
        <v>90</v>
      </c>
      <c r="E937" s="6" t="s">
        <v>90</v>
      </c>
      <c r="F937" s="6" t="b">
        <v>0</v>
      </c>
      <c r="G937" s="6">
        <v>0.7666666666666666</v>
      </c>
    </row>
    <row r="938" spans="1:7">
      <c r="A938" s="6" t="s">
        <v>345</v>
      </c>
      <c r="B938" s="6" t="s">
        <v>53</v>
      </c>
      <c r="C938" s="6" t="s">
        <v>184</v>
      </c>
      <c r="D938" s="6" t="s">
        <v>90</v>
      </c>
      <c r="E938" s="6" t="s">
        <v>685</v>
      </c>
      <c r="F938" s="6" t="b">
        <v>1</v>
      </c>
      <c r="G938" s="6">
        <v>0.1055</v>
      </c>
    </row>
    <row r="939" spans="1:7">
      <c r="A939" s="6" t="s">
        <v>345</v>
      </c>
      <c r="B939" s="6" t="s">
        <v>53</v>
      </c>
      <c r="C939" s="6" t="s">
        <v>184</v>
      </c>
      <c r="D939" s="6" t="s">
        <v>177</v>
      </c>
      <c r="E939" s="6" t="s">
        <v>44</v>
      </c>
      <c r="F939" s="6" t="b">
        <v>0</v>
      </c>
      <c r="G939" s="6">
        <v>92.36516666666667</v>
      </c>
    </row>
    <row r="940" spans="1:7">
      <c r="A940" s="6" t="s">
        <v>345</v>
      </c>
      <c r="B940" s="6" t="s">
        <v>53</v>
      </c>
      <c r="C940" s="6" t="s">
        <v>184</v>
      </c>
      <c r="D940" s="6" t="s">
        <v>177</v>
      </c>
      <c r="E940" s="6" t="s">
        <v>86</v>
      </c>
      <c r="F940" s="6" t="b">
        <v>0</v>
      </c>
      <c r="G940" s="6">
        <v>0.12775</v>
      </c>
    </row>
    <row r="941" spans="1:7">
      <c r="A941" s="6" t="s">
        <v>345</v>
      </c>
      <c r="B941" s="6" t="s">
        <v>53</v>
      </c>
      <c r="C941" s="6" t="s">
        <v>184</v>
      </c>
      <c r="D941" s="6" t="s">
        <v>177</v>
      </c>
      <c r="E941" s="6" t="s">
        <v>685</v>
      </c>
      <c r="F941" s="6" t="b">
        <v>1</v>
      </c>
      <c r="G941" s="6">
        <v>2.85975</v>
      </c>
    </row>
    <row r="942" spans="1:7">
      <c r="A942" s="6" t="s">
        <v>345</v>
      </c>
      <c r="B942" s="6" t="s">
        <v>53</v>
      </c>
      <c r="C942" s="6" t="s">
        <v>186</v>
      </c>
      <c r="D942" s="6" t="s">
        <v>86</v>
      </c>
      <c r="E942" s="6" t="s">
        <v>86</v>
      </c>
      <c r="F942" s="6" t="b">
        <v>0</v>
      </c>
      <c r="G942" s="6">
        <v>36.36533333333333</v>
      </c>
    </row>
    <row r="943" spans="1:7">
      <c r="A943" s="6" t="s">
        <v>345</v>
      </c>
      <c r="B943" s="6" t="s">
        <v>53</v>
      </c>
      <c r="C943" s="6" t="s">
        <v>186</v>
      </c>
      <c r="D943" s="6" t="s">
        <v>88</v>
      </c>
      <c r="E943" s="6" t="s">
        <v>88</v>
      </c>
      <c r="F943" s="6" t="b">
        <v>0</v>
      </c>
      <c r="G943" s="6">
        <v>0.9886666666666667</v>
      </c>
    </row>
    <row r="944" spans="1:7">
      <c r="A944" s="6" t="s">
        <v>345</v>
      </c>
      <c r="B944" s="6" t="s">
        <v>53</v>
      </c>
      <c r="C944" s="6" t="s">
        <v>186</v>
      </c>
      <c r="D944" s="6" t="s">
        <v>90</v>
      </c>
      <c r="E944" s="6" t="s">
        <v>90</v>
      </c>
      <c r="F944" s="6" t="b">
        <v>0</v>
      </c>
      <c r="G944" s="6">
        <v>7.512583333333333</v>
      </c>
    </row>
    <row r="945" spans="1:7">
      <c r="A945" s="6" t="s">
        <v>345</v>
      </c>
      <c r="B945" s="6" t="s">
        <v>53</v>
      </c>
      <c r="C945" s="6" t="s">
        <v>186</v>
      </c>
      <c r="D945" s="6" t="s">
        <v>177</v>
      </c>
      <c r="E945" s="6" t="s">
        <v>86</v>
      </c>
      <c r="F945" s="6" t="b">
        <v>0</v>
      </c>
      <c r="G945" s="6">
        <v>0.5711666666666667</v>
      </c>
    </row>
    <row r="946" spans="1:7">
      <c r="A946" s="6" t="s">
        <v>345</v>
      </c>
      <c r="B946" s="6" t="s">
        <v>53</v>
      </c>
      <c r="C946" s="6" t="s">
        <v>189</v>
      </c>
      <c r="D946" s="6" t="s">
        <v>86</v>
      </c>
      <c r="E946" s="6" t="s">
        <v>86</v>
      </c>
      <c r="F946" s="6" t="b">
        <v>0</v>
      </c>
      <c r="G946" s="6">
        <v>2.02475</v>
      </c>
    </row>
    <row r="947" spans="1:7">
      <c r="A947" s="6" t="s">
        <v>345</v>
      </c>
      <c r="B947" s="6" t="s">
        <v>53</v>
      </c>
      <c r="C947" s="6" t="s">
        <v>189</v>
      </c>
      <c r="D947" s="6" t="s">
        <v>88</v>
      </c>
      <c r="E947" s="6" t="s">
        <v>88</v>
      </c>
      <c r="F947" s="6" t="b">
        <v>0</v>
      </c>
      <c r="G947" s="6">
        <v>3.684333333333333</v>
      </c>
    </row>
    <row r="948" spans="1:7">
      <c r="A948" s="6" t="s">
        <v>345</v>
      </c>
      <c r="B948" s="6" t="s">
        <v>53</v>
      </c>
      <c r="C948" s="6" t="s">
        <v>189</v>
      </c>
      <c r="D948" s="6" t="s">
        <v>90</v>
      </c>
      <c r="E948" s="6" t="s">
        <v>90</v>
      </c>
      <c r="F948" s="6" t="b">
        <v>0</v>
      </c>
      <c r="G948" s="6">
        <v>0.5461666666666667</v>
      </c>
    </row>
    <row r="949" spans="1:7">
      <c r="A949" s="6" t="s">
        <v>227</v>
      </c>
      <c r="B949" s="6" t="s">
        <v>57</v>
      </c>
      <c r="C949" s="6" t="s">
        <v>181</v>
      </c>
      <c r="D949" s="6" t="s">
        <v>88</v>
      </c>
      <c r="E949" s="6" t="s">
        <v>88</v>
      </c>
      <c r="F949" s="6" t="b">
        <v>0</v>
      </c>
      <c r="G949" s="6">
        <v>21.7995</v>
      </c>
    </row>
    <row r="950" spans="1:7">
      <c r="A950" s="6" t="s">
        <v>227</v>
      </c>
      <c r="B950" s="6" t="s">
        <v>57</v>
      </c>
      <c r="C950" s="6" t="s">
        <v>181</v>
      </c>
      <c r="D950" s="6" t="s">
        <v>90</v>
      </c>
      <c r="E950" s="6" t="s">
        <v>90</v>
      </c>
      <c r="F950" s="6" t="b">
        <v>0</v>
      </c>
      <c r="G950" s="6">
        <v>0.01925</v>
      </c>
    </row>
    <row r="951" spans="1:7">
      <c r="A951" s="6" t="s">
        <v>227</v>
      </c>
      <c r="B951" s="6" t="s">
        <v>57</v>
      </c>
      <c r="C951" s="6" t="s">
        <v>182</v>
      </c>
      <c r="D951" s="6" t="s">
        <v>88</v>
      </c>
      <c r="E951" s="6" t="s">
        <v>88</v>
      </c>
      <c r="F951" s="6" t="b">
        <v>0</v>
      </c>
      <c r="G951" s="6">
        <v>0.447</v>
      </c>
    </row>
    <row r="952" spans="1:7">
      <c r="A952" s="6" t="s">
        <v>227</v>
      </c>
      <c r="B952" s="6" t="s">
        <v>57</v>
      </c>
      <c r="C952" s="6" t="s">
        <v>183</v>
      </c>
      <c r="D952" s="6" t="s">
        <v>86</v>
      </c>
      <c r="E952" s="6" t="s">
        <v>86</v>
      </c>
      <c r="F952" s="6" t="b">
        <v>0</v>
      </c>
      <c r="G952" s="6">
        <v>0.02875</v>
      </c>
    </row>
    <row r="953" spans="1:7">
      <c r="A953" s="6" t="s">
        <v>227</v>
      </c>
      <c r="B953" s="6" t="s">
        <v>57</v>
      </c>
      <c r="C953" s="6" t="s">
        <v>183</v>
      </c>
      <c r="D953" s="6" t="s">
        <v>88</v>
      </c>
      <c r="E953" s="6" t="s">
        <v>88</v>
      </c>
      <c r="F953" s="6" t="b">
        <v>0</v>
      </c>
      <c r="G953" s="6">
        <v>0.4859166666666667</v>
      </c>
    </row>
    <row r="954" spans="1:7">
      <c r="A954" s="6" t="s">
        <v>227</v>
      </c>
      <c r="B954" s="6" t="s">
        <v>57</v>
      </c>
      <c r="C954" s="6" t="s">
        <v>183</v>
      </c>
      <c r="D954" s="6" t="s">
        <v>90</v>
      </c>
      <c r="E954" s="6" t="s">
        <v>86</v>
      </c>
      <c r="F954" s="6" t="b">
        <v>0</v>
      </c>
      <c r="G954" s="6">
        <v>0.2454166666666666</v>
      </c>
    </row>
    <row r="955" spans="1:7">
      <c r="A955" s="6" t="s">
        <v>227</v>
      </c>
      <c r="B955" s="6" t="s">
        <v>57</v>
      </c>
      <c r="C955" s="6" t="s">
        <v>183</v>
      </c>
      <c r="D955" s="6" t="s">
        <v>90</v>
      </c>
      <c r="E955" s="6" t="s">
        <v>90</v>
      </c>
      <c r="F955" s="6" t="b">
        <v>0</v>
      </c>
      <c r="G955" s="6">
        <v>0.1485833333333333</v>
      </c>
    </row>
    <row r="956" spans="1:7">
      <c r="A956" s="6" t="s">
        <v>227</v>
      </c>
      <c r="B956" s="6" t="s">
        <v>57</v>
      </c>
      <c r="C956" s="6" t="s">
        <v>183</v>
      </c>
      <c r="D956" s="6" t="s">
        <v>177</v>
      </c>
      <c r="E956" s="6" t="s">
        <v>86</v>
      </c>
      <c r="F956" s="6" t="b">
        <v>0</v>
      </c>
      <c r="G956" s="6">
        <v>0.04216666666666666</v>
      </c>
    </row>
    <row r="957" spans="1:7">
      <c r="A957" s="6" t="s">
        <v>227</v>
      </c>
      <c r="B957" s="6" t="s">
        <v>57</v>
      </c>
      <c r="C957" s="6" t="s">
        <v>183</v>
      </c>
      <c r="D957" s="6" t="s">
        <v>177</v>
      </c>
      <c r="E957" s="6" t="s">
        <v>685</v>
      </c>
      <c r="F957" s="6" t="b">
        <v>1</v>
      </c>
      <c r="G957" s="6">
        <v>0.0305</v>
      </c>
    </row>
    <row r="958" spans="1:7">
      <c r="A958" s="6" t="s">
        <v>227</v>
      </c>
      <c r="B958" s="6" t="s">
        <v>57</v>
      </c>
      <c r="C958" s="6" t="s">
        <v>184</v>
      </c>
      <c r="D958" s="6" t="s">
        <v>44</v>
      </c>
      <c r="E958" s="6" t="s">
        <v>44</v>
      </c>
      <c r="F958" s="6" t="b">
        <v>0</v>
      </c>
      <c r="G958" s="6">
        <v>103.9070833333333</v>
      </c>
    </row>
    <row r="959" spans="1:7">
      <c r="A959" s="6" t="s">
        <v>227</v>
      </c>
      <c r="B959" s="6" t="s">
        <v>57</v>
      </c>
      <c r="C959" s="6" t="s">
        <v>184</v>
      </c>
      <c r="D959" s="6" t="s">
        <v>86</v>
      </c>
      <c r="E959" s="6" t="s">
        <v>86</v>
      </c>
      <c r="F959" s="6" t="b">
        <v>0</v>
      </c>
      <c r="G959" s="6">
        <v>0.2083333333333333</v>
      </c>
    </row>
    <row r="960" spans="1:7">
      <c r="A960" s="6" t="s">
        <v>227</v>
      </c>
      <c r="B960" s="6" t="s">
        <v>57</v>
      </c>
      <c r="C960" s="6" t="s">
        <v>184</v>
      </c>
      <c r="D960" s="6" t="s">
        <v>88</v>
      </c>
      <c r="E960" s="6" t="s">
        <v>88</v>
      </c>
      <c r="F960" s="6" t="b">
        <v>0</v>
      </c>
      <c r="G960" s="6">
        <v>0.3083333333333333</v>
      </c>
    </row>
    <row r="961" spans="1:7">
      <c r="A961" s="6" t="s">
        <v>227</v>
      </c>
      <c r="B961" s="6" t="s">
        <v>57</v>
      </c>
      <c r="C961" s="6" t="s">
        <v>184</v>
      </c>
      <c r="D961" s="6" t="s">
        <v>90</v>
      </c>
      <c r="E961" s="6" t="s">
        <v>90</v>
      </c>
      <c r="F961" s="6" t="b">
        <v>0</v>
      </c>
      <c r="G961" s="6">
        <v>0.5910833333333333</v>
      </c>
    </row>
    <row r="962" spans="1:7">
      <c r="A962" s="6" t="s">
        <v>227</v>
      </c>
      <c r="B962" s="6" t="s">
        <v>57</v>
      </c>
      <c r="C962" s="6" t="s">
        <v>184</v>
      </c>
      <c r="D962" s="6" t="s">
        <v>90</v>
      </c>
      <c r="E962" s="6" t="s">
        <v>685</v>
      </c>
      <c r="F962" s="6" t="b">
        <v>1</v>
      </c>
      <c r="G962" s="6">
        <v>0.5353333333333333</v>
      </c>
    </row>
    <row r="963" spans="1:7">
      <c r="A963" s="6" t="s">
        <v>227</v>
      </c>
      <c r="B963" s="6" t="s">
        <v>57</v>
      </c>
      <c r="C963" s="6" t="s">
        <v>184</v>
      </c>
      <c r="D963" s="6" t="s">
        <v>177</v>
      </c>
      <c r="E963" s="6" t="s">
        <v>44</v>
      </c>
      <c r="F963" s="6" t="b">
        <v>0</v>
      </c>
      <c r="G963" s="6">
        <v>105.5488333333333</v>
      </c>
    </row>
    <row r="964" spans="1:7">
      <c r="A964" s="6" t="s">
        <v>227</v>
      </c>
      <c r="B964" s="6" t="s">
        <v>57</v>
      </c>
      <c r="C964" s="6" t="s">
        <v>184</v>
      </c>
      <c r="D964" s="6" t="s">
        <v>177</v>
      </c>
      <c r="E964" s="6" t="s">
        <v>86</v>
      </c>
      <c r="F964" s="6" t="b">
        <v>0</v>
      </c>
      <c r="G964" s="6">
        <v>0.126</v>
      </c>
    </row>
    <row r="965" spans="1:7">
      <c r="A965" s="6" t="s">
        <v>227</v>
      </c>
      <c r="B965" s="6" t="s">
        <v>57</v>
      </c>
      <c r="C965" s="6" t="s">
        <v>184</v>
      </c>
      <c r="D965" s="6" t="s">
        <v>177</v>
      </c>
      <c r="E965" s="6" t="s">
        <v>685</v>
      </c>
      <c r="F965" s="6" t="b">
        <v>1</v>
      </c>
      <c r="G965" s="6">
        <v>1.579083333333333</v>
      </c>
    </row>
    <row r="966" spans="1:7">
      <c r="A966" s="6" t="s">
        <v>227</v>
      </c>
      <c r="B966" s="6" t="s">
        <v>57</v>
      </c>
      <c r="C966" s="6" t="s">
        <v>185</v>
      </c>
      <c r="D966" s="6" t="s">
        <v>44</v>
      </c>
      <c r="E966" s="6" t="s">
        <v>685</v>
      </c>
      <c r="F966" s="6" t="b">
        <v>1</v>
      </c>
      <c r="G966" s="6">
        <v>7.898166666666667</v>
      </c>
    </row>
    <row r="967" spans="1:7">
      <c r="A967" s="6" t="s">
        <v>227</v>
      </c>
      <c r="B967" s="6" t="s">
        <v>57</v>
      </c>
      <c r="C967" s="6" t="s">
        <v>186</v>
      </c>
      <c r="D967" s="6" t="s">
        <v>86</v>
      </c>
      <c r="E967" s="6" t="s">
        <v>86</v>
      </c>
      <c r="F967" s="6" t="b">
        <v>0</v>
      </c>
      <c r="G967" s="6">
        <v>41.85533333333333</v>
      </c>
    </row>
    <row r="968" spans="1:7">
      <c r="A968" s="6" t="s">
        <v>227</v>
      </c>
      <c r="B968" s="6" t="s">
        <v>57</v>
      </c>
      <c r="C968" s="6" t="s">
        <v>186</v>
      </c>
      <c r="D968" s="6" t="s">
        <v>88</v>
      </c>
      <c r="E968" s="6" t="s">
        <v>88</v>
      </c>
      <c r="F968" s="6" t="b">
        <v>0</v>
      </c>
      <c r="G968" s="6">
        <v>1.341833333333333</v>
      </c>
    </row>
    <row r="969" spans="1:7">
      <c r="A969" s="6" t="s">
        <v>227</v>
      </c>
      <c r="B969" s="6" t="s">
        <v>57</v>
      </c>
      <c r="C969" s="6" t="s">
        <v>186</v>
      </c>
      <c r="D969" s="6" t="s">
        <v>90</v>
      </c>
      <c r="E969" s="6" t="s">
        <v>90</v>
      </c>
      <c r="F969" s="6" t="b">
        <v>0</v>
      </c>
      <c r="G969" s="6">
        <v>13.60441666666667</v>
      </c>
    </row>
    <row r="970" spans="1:7">
      <c r="A970" s="6" t="s">
        <v>227</v>
      </c>
      <c r="B970" s="6" t="s">
        <v>57</v>
      </c>
      <c r="C970" s="6" t="s">
        <v>186</v>
      </c>
      <c r="D970" s="6" t="s">
        <v>177</v>
      </c>
      <c r="E970" s="6" t="s">
        <v>86</v>
      </c>
      <c r="F970" s="6" t="b">
        <v>0</v>
      </c>
      <c r="G970" s="6">
        <v>0.6343333333333333</v>
      </c>
    </row>
    <row r="971" spans="1:7">
      <c r="A971" s="6" t="s">
        <v>227</v>
      </c>
      <c r="B971" s="6" t="s">
        <v>57</v>
      </c>
      <c r="C971" s="6" t="s">
        <v>189</v>
      </c>
      <c r="D971" s="6" t="s">
        <v>86</v>
      </c>
      <c r="E971" s="6" t="s">
        <v>86</v>
      </c>
      <c r="F971" s="6" t="b">
        <v>0</v>
      </c>
      <c r="G971" s="6">
        <v>8.210083333333333</v>
      </c>
    </row>
    <row r="972" spans="1:7">
      <c r="A972" s="6" t="s">
        <v>227</v>
      </c>
      <c r="B972" s="6" t="s">
        <v>57</v>
      </c>
      <c r="C972" s="6" t="s">
        <v>189</v>
      </c>
      <c r="D972" s="6" t="s">
        <v>88</v>
      </c>
      <c r="E972" s="6" t="s">
        <v>88</v>
      </c>
      <c r="F972" s="6" t="b">
        <v>0</v>
      </c>
      <c r="G972" s="6">
        <v>4.273916666666667</v>
      </c>
    </row>
    <row r="973" spans="1:7">
      <c r="A973" s="6" t="s">
        <v>227</v>
      </c>
      <c r="B973" s="6" t="s">
        <v>57</v>
      </c>
      <c r="C973" s="6" t="s">
        <v>189</v>
      </c>
      <c r="D973" s="6" t="s">
        <v>90</v>
      </c>
      <c r="E973" s="6" t="s">
        <v>90</v>
      </c>
      <c r="F973" s="6" t="b">
        <v>0</v>
      </c>
      <c r="G973" s="6">
        <v>1.45425</v>
      </c>
    </row>
    <row r="974" spans="1:7">
      <c r="A974" s="6" t="s">
        <v>227</v>
      </c>
      <c r="B974" s="6" t="s">
        <v>57</v>
      </c>
      <c r="C974" s="6" t="s">
        <v>190</v>
      </c>
      <c r="D974" s="6" t="s">
        <v>44</v>
      </c>
      <c r="E974" s="6" t="s">
        <v>44</v>
      </c>
      <c r="F974" s="6" t="b">
        <v>0</v>
      </c>
      <c r="G974" s="6">
        <v>88.23025</v>
      </c>
    </row>
    <row r="975" spans="1:7">
      <c r="A975" s="6" t="s">
        <v>227</v>
      </c>
      <c r="B975" s="6" t="s">
        <v>57</v>
      </c>
      <c r="C975" s="6" t="s">
        <v>190</v>
      </c>
      <c r="D975" s="6" t="s">
        <v>86</v>
      </c>
      <c r="E975" s="6" t="s">
        <v>44</v>
      </c>
      <c r="F975" s="6" t="b">
        <v>0</v>
      </c>
      <c r="G975" s="6">
        <v>4.093166666666666</v>
      </c>
    </row>
    <row r="976" spans="1:7">
      <c r="A976" s="6" t="s">
        <v>227</v>
      </c>
      <c r="B976" s="6" t="s">
        <v>57</v>
      </c>
      <c r="C976" s="6" t="s">
        <v>190</v>
      </c>
      <c r="D976" s="6" t="s">
        <v>86</v>
      </c>
      <c r="E976" s="6" t="s">
        <v>86</v>
      </c>
      <c r="F976" s="6" t="b">
        <v>0</v>
      </c>
      <c r="G976" s="6">
        <v>1.049666666666667</v>
      </c>
    </row>
    <row r="977" spans="1:7">
      <c r="A977" s="6" t="s">
        <v>227</v>
      </c>
      <c r="B977" s="6" t="s">
        <v>57</v>
      </c>
      <c r="C977" s="6" t="s">
        <v>190</v>
      </c>
      <c r="D977" s="6" t="s">
        <v>90</v>
      </c>
      <c r="E977" s="6" t="s">
        <v>44</v>
      </c>
      <c r="F977" s="6" t="b">
        <v>0</v>
      </c>
      <c r="G977" s="6">
        <v>1.971416666666667</v>
      </c>
    </row>
    <row r="978" spans="1:7">
      <c r="A978" s="6" t="s">
        <v>227</v>
      </c>
      <c r="B978" s="6" t="s">
        <v>57</v>
      </c>
      <c r="C978" s="6" t="s">
        <v>190</v>
      </c>
      <c r="D978" s="6" t="s">
        <v>90</v>
      </c>
      <c r="E978" s="6" t="s">
        <v>90</v>
      </c>
      <c r="F978" s="6" t="b">
        <v>0</v>
      </c>
      <c r="G978" s="6">
        <v>4.148083333333333</v>
      </c>
    </row>
    <row r="979" spans="1:7">
      <c r="A979" s="6" t="s">
        <v>227</v>
      </c>
      <c r="B979" s="6" t="s">
        <v>57</v>
      </c>
      <c r="C979" s="6" t="s">
        <v>190</v>
      </c>
      <c r="D979" s="6" t="s">
        <v>177</v>
      </c>
      <c r="E979" s="6" t="s">
        <v>44</v>
      </c>
      <c r="F979" s="6" t="b">
        <v>0</v>
      </c>
      <c r="G979" s="6">
        <v>65.21258333333334</v>
      </c>
    </row>
    <row r="980" spans="1:7">
      <c r="A980" s="6" t="s">
        <v>227</v>
      </c>
      <c r="B980" s="6" t="s">
        <v>57</v>
      </c>
      <c r="C980" s="6" t="s">
        <v>190</v>
      </c>
      <c r="D980" s="6" t="s">
        <v>177</v>
      </c>
      <c r="E980" s="6" t="s">
        <v>86</v>
      </c>
      <c r="F980" s="6" t="b">
        <v>0</v>
      </c>
      <c r="G980" s="6">
        <v>1.816166666666667</v>
      </c>
    </row>
    <row r="981" spans="1:7">
      <c r="A981" s="6" t="s">
        <v>227</v>
      </c>
      <c r="B981" s="6" t="s">
        <v>57</v>
      </c>
      <c r="C981" s="6" t="s">
        <v>190</v>
      </c>
      <c r="D981" s="6" t="s">
        <v>177</v>
      </c>
      <c r="E981" s="6" t="s">
        <v>685</v>
      </c>
      <c r="F981" s="6" t="b">
        <v>1</v>
      </c>
      <c r="G981" s="6">
        <v>0.1756666666666667</v>
      </c>
    </row>
    <row r="982" spans="1:7">
      <c r="A982" s="6" t="s">
        <v>227</v>
      </c>
      <c r="B982" s="6" t="s">
        <v>57</v>
      </c>
      <c r="C982" s="6" t="s">
        <v>190</v>
      </c>
      <c r="D982" s="6" t="s">
        <v>92</v>
      </c>
      <c r="E982" s="6" t="s">
        <v>92</v>
      </c>
      <c r="F982" s="6" t="b">
        <v>0</v>
      </c>
      <c r="G982" s="6">
        <v>0.5519999999999999</v>
      </c>
    </row>
    <row r="983" spans="1:7">
      <c r="A983" s="6" t="s">
        <v>228</v>
      </c>
      <c r="B983" s="6" t="s">
        <v>51</v>
      </c>
      <c r="C983" s="6" t="s">
        <v>181</v>
      </c>
      <c r="D983" s="6" t="s">
        <v>88</v>
      </c>
      <c r="E983" s="6" t="s">
        <v>88</v>
      </c>
      <c r="F983" s="6" t="b">
        <v>0</v>
      </c>
      <c r="G983" s="6">
        <v>21.1235</v>
      </c>
    </row>
    <row r="984" spans="1:7">
      <c r="A984" s="6" t="s">
        <v>228</v>
      </c>
      <c r="B984" s="6" t="s">
        <v>51</v>
      </c>
      <c r="C984" s="6" t="s">
        <v>181</v>
      </c>
      <c r="D984" s="6" t="s">
        <v>90</v>
      </c>
      <c r="E984" s="6" t="s">
        <v>90</v>
      </c>
      <c r="F984" s="6" t="b">
        <v>0</v>
      </c>
      <c r="G984" s="6">
        <v>0.01925</v>
      </c>
    </row>
    <row r="985" spans="1:7">
      <c r="A985" s="6" t="s">
        <v>228</v>
      </c>
      <c r="B985" s="6" t="s">
        <v>51</v>
      </c>
      <c r="C985" s="6" t="s">
        <v>183</v>
      </c>
      <c r="D985" s="6" t="s">
        <v>86</v>
      </c>
      <c r="E985" s="6" t="s">
        <v>86</v>
      </c>
      <c r="F985" s="6" t="b">
        <v>0</v>
      </c>
      <c r="G985" s="6">
        <v>0.01041666666666667</v>
      </c>
    </row>
    <row r="986" spans="1:7">
      <c r="A986" s="6" t="s">
        <v>228</v>
      </c>
      <c r="B986" s="6" t="s">
        <v>51</v>
      </c>
      <c r="C986" s="6" t="s">
        <v>183</v>
      </c>
      <c r="D986" s="6" t="s">
        <v>88</v>
      </c>
      <c r="E986" s="6" t="s">
        <v>88</v>
      </c>
      <c r="F986" s="6" t="b">
        <v>0</v>
      </c>
      <c r="G986" s="6">
        <v>0.4449166666666667</v>
      </c>
    </row>
    <row r="987" spans="1:7">
      <c r="A987" s="6" t="s">
        <v>228</v>
      </c>
      <c r="B987" s="6" t="s">
        <v>51</v>
      </c>
      <c r="C987" s="6" t="s">
        <v>183</v>
      </c>
      <c r="D987" s="6" t="s">
        <v>90</v>
      </c>
      <c r="E987" s="6" t="s">
        <v>86</v>
      </c>
      <c r="F987" s="6" t="b">
        <v>0</v>
      </c>
      <c r="G987" s="6">
        <v>0.22575</v>
      </c>
    </row>
    <row r="988" spans="1:7">
      <c r="A988" s="6" t="s">
        <v>228</v>
      </c>
      <c r="B988" s="6" t="s">
        <v>51</v>
      </c>
      <c r="C988" s="6" t="s">
        <v>183</v>
      </c>
      <c r="D988" s="6" t="s">
        <v>90</v>
      </c>
      <c r="E988" s="6" t="s">
        <v>90</v>
      </c>
      <c r="F988" s="6" t="b">
        <v>0</v>
      </c>
      <c r="G988" s="6">
        <v>0.1851666666666667</v>
      </c>
    </row>
    <row r="989" spans="1:7">
      <c r="A989" s="6" t="s">
        <v>228</v>
      </c>
      <c r="B989" s="6" t="s">
        <v>51</v>
      </c>
      <c r="C989" s="6" t="s">
        <v>183</v>
      </c>
      <c r="D989" s="6" t="s">
        <v>177</v>
      </c>
      <c r="E989" s="6" t="s">
        <v>86</v>
      </c>
      <c r="F989" s="6" t="b">
        <v>0</v>
      </c>
      <c r="G989" s="6">
        <v>0.0195</v>
      </c>
    </row>
    <row r="990" spans="1:7">
      <c r="A990" s="6" t="s">
        <v>228</v>
      </c>
      <c r="B990" s="6" t="s">
        <v>51</v>
      </c>
      <c r="C990" s="6" t="s">
        <v>183</v>
      </c>
      <c r="D990" s="6" t="s">
        <v>177</v>
      </c>
      <c r="E990" s="6" t="s">
        <v>685</v>
      </c>
      <c r="F990" s="6" t="b">
        <v>1</v>
      </c>
      <c r="G990" s="6">
        <v>0.015</v>
      </c>
    </row>
    <row r="991" spans="1:7">
      <c r="A991" s="6" t="s">
        <v>228</v>
      </c>
      <c r="B991" s="6" t="s">
        <v>51</v>
      </c>
      <c r="C991" s="6" t="s">
        <v>184</v>
      </c>
      <c r="D991" s="6" t="s">
        <v>44</v>
      </c>
      <c r="E991" s="6" t="s">
        <v>44</v>
      </c>
      <c r="F991" s="6" t="b">
        <v>0</v>
      </c>
      <c r="G991" s="6">
        <v>209.4079166666667</v>
      </c>
    </row>
    <row r="992" spans="1:7">
      <c r="A992" s="6" t="s">
        <v>228</v>
      </c>
      <c r="B992" s="6" t="s">
        <v>51</v>
      </c>
      <c r="C992" s="6" t="s">
        <v>184</v>
      </c>
      <c r="D992" s="6" t="s">
        <v>88</v>
      </c>
      <c r="E992" s="6" t="s">
        <v>88</v>
      </c>
      <c r="F992" s="6" t="b">
        <v>0</v>
      </c>
      <c r="G992" s="6">
        <v>0.1416666666666667</v>
      </c>
    </row>
    <row r="993" spans="1:7">
      <c r="A993" s="6" t="s">
        <v>228</v>
      </c>
      <c r="B993" s="6" t="s">
        <v>51</v>
      </c>
      <c r="C993" s="6" t="s">
        <v>184</v>
      </c>
      <c r="D993" s="6" t="s">
        <v>90</v>
      </c>
      <c r="E993" s="6" t="s">
        <v>90</v>
      </c>
      <c r="F993" s="6" t="b">
        <v>0</v>
      </c>
      <c r="G993" s="6">
        <v>0.3363333333333334</v>
      </c>
    </row>
    <row r="994" spans="1:7">
      <c r="A994" s="6" t="s">
        <v>228</v>
      </c>
      <c r="B994" s="6" t="s">
        <v>51</v>
      </c>
      <c r="C994" s="6" t="s">
        <v>184</v>
      </c>
      <c r="D994" s="6" t="s">
        <v>90</v>
      </c>
      <c r="E994" s="6" t="s">
        <v>685</v>
      </c>
      <c r="F994" s="6" t="b">
        <v>1</v>
      </c>
      <c r="G994" s="6">
        <v>0.4148333333333333</v>
      </c>
    </row>
    <row r="995" spans="1:7">
      <c r="A995" s="6" t="s">
        <v>228</v>
      </c>
      <c r="B995" s="6" t="s">
        <v>51</v>
      </c>
      <c r="C995" s="6" t="s">
        <v>184</v>
      </c>
      <c r="D995" s="6" t="s">
        <v>177</v>
      </c>
      <c r="E995" s="6" t="s">
        <v>44</v>
      </c>
      <c r="F995" s="6" t="b">
        <v>0</v>
      </c>
      <c r="G995" s="6">
        <v>145.31625</v>
      </c>
    </row>
    <row r="996" spans="1:7">
      <c r="A996" s="6" t="s">
        <v>228</v>
      </c>
      <c r="B996" s="6" t="s">
        <v>51</v>
      </c>
      <c r="C996" s="6" t="s">
        <v>184</v>
      </c>
      <c r="D996" s="6" t="s">
        <v>177</v>
      </c>
      <c r="E996" s="6" t="s">
        <v>86</v>
      </c>
      <c r="F996" s="6" t="b">
        <v>0</v>
      </c>
      <c r="G996" s="6">
        <v>0.526</v>
      </c>
    </row>
    <row r="997" spans="1:7">
      <c r="A997" s="6" t="s">
        <v>228</v>
      </c>
      <c r="B997" s="6" t="s">
        <v>51</v>
      </c>
      <c r="C997" s="6" t="s">
        <v>184</v>
      </c>
      <c r="D997" s="6" t="s">
        <v>177</v>
      </c>
      <c r="E997" s="6" t="s">
        <v>685</v>
      </c>
      <c r="F997" s="6" t="b">
        <v>1</v>
      </c>
      <c r="G997" s="6">
        <v>7.040833333333333</v>
      </c>
    </row>
    <row r="998" spans="1:7">
      <c r="A998" s="6" t="s">
        <v>228</v>
      </c>
      <c r="B998" s="6" t="s">
        <v>51</v>
      </c>
      <c r="C998" s="6" t="s">
        <v>186</v>
      </c>
      <c r="D998" s="6" t="s">
        <v>86</v>
      </c>
      <c r="E998" s="6" t="s">
        <v>86</v>
      </c>
      <c r="F998" s="6" t="b">
        <v>0</v>
      </c>
      <c r="G998" s="6">
        <v>74.20066666666666</v>
      </c>
    </row>
    <row r="999" spans="1:7">
      <c r="A999" s="6" t="s">
        <v>228</v>
      </c>
      <c r="B999" s="6" t="s">
        <v>51</v>
      </c>
      <c r="C999" s="6" t="s">
        <v>186</v>
      </c>
      <c r="D999" s="6" t="s">
        <v>88</v>
      </c>
      <c r="E999" s="6" t="s">
        <v>88</v>
      </c>
      <c r="F999" s="6" t="b">
        <v>0</v>
      </c>
      <c r="G999" s="6">
        <v>2.294916666666667</v>
      </c>
    </row>
    <row r="1000" spans="1:7">
      <c r="A1000" s="6" t="s">
        <v>228</v>
      </c>
      <c r="B1000" s="6" t="s">
        <v>51</v>
      </c>
      <c r="C1000" s="6" t="s">
        <v>186</v>
      </c>
      <c r="D1000" s="6" t="s">
        <v>90</v>
      </c>
      <c r="E1000" s="6" t="s">
        <v>86</v>
      </c>
      <c r="F1000" s="6" t="b">
        <v>0</v>
      </c>
      <c r="G1000" s="6">
        <v>0.001416666666666667</v>
      </c>
    </row>
    <row r="1001" spans="1:7">
      <c r="A1001" s="6" t="s">
        <v>228</v>
      </c>
      <c r="B1001" s="6" t="s">
        <v>51</v>
      </c>
      <c r="C1001" s="6" t="s">
        <v>186</v>
      </c>
      <c r="D1001" s="6" t="s">
        <v>90</v>
      </c>
      <c r="E1001" s="6" t="s">
        <v>90</v>
      </c>
      <c r="F1001" s="6" t="b">
        <v>0</v>
      </c>
      <c r="G1001" s="6">
        <v>24.14166666666667</v>
      </c>
    </row>
    <row r="1002" spans="1:7">
      <c r="A1002" s="6" t="s">
        <v>228</v>
      </c>
      <c r="B1002" s="6" t="s">
        <v>51</v>
      </c>
      <c r="C1002" s="6" t="s">
        <v>186</v>
      </c>
      <c r="D1002" s="6" t="s">
        <v>177</v>
      </c>
      <c r="E1002" s="6" t="s">
        <v>86</v>
      </c>
      <c r="F1002" s="6" t="b">
        <v>0</v>
      </c>
      <c r="G1002" s="6">
        <v>0.5030833333333333</v>
      </c>
    </row>
    <row r="1003" spans="1:7">
      <c r="A1003" s="6" t="s">
        <v>228</v>
      </c>
      <c r="B1003" s="6" t="s">
        <v>51</v>
      </c>
      <c r="C1003" s="6" t="s">
        <v>188</v>
      </c>
      <c r="D1003" s="6" t="s">
        <v>86</v>
      </c>
      <c r="E1003" s="6" t="s">
        <v>86</v>
      </c>
      <c r="F1003" s="6" t="b">
        <v>0</v>
      </c>
      <c r="G1003" s="6">
        <v>2.555</v>
      </c>
    </row>
    <row r="1004" spans="1:7">
      <c r="A1004" s="6" t="s">
        <v>228</v>
      </c>
      <c r="B1004" s="6" t="s">
        <v>51</v>
      </c>
      <c r="C1004" s="6" t="s">
        <v>188</v>
      </c>
      <c r="D1004" s="6" t="s">
        <v>88</v>
      </c>
      <c r="E1004" s="6" t="s">
        <v>88</v>
      </c>
      <c r="F1004" s="6" t="b">
        <v>0</v>
      </c>
      <c r="G1004" s="6">
        <v>20.06625</v>
      </c>
    </row>
    <row r="1005" spans="1:7">
      <c r="A1005" s="6" t="s">
        <v>228</v>
      </c>
      <c r="B1005" s="6" t="s">
        <v>51</v>
      </c>
      <c r="C1005" s="6" t="s">
        <v>189</v>
      </c>
      <c r="D1005" s="6" t="s">
        <v>86</v>
      </c>
      <c r="E1005" s="6" t="s">
        <v>86</v>
      </c>
      <c r="F1005" s="6" t="b">
        <v>0</v>
      </c>
      <c r="G1005" s="6">
        <v>6.228083333333333</v>
      </c>
    </row>
    <row r="1006" spans="1:7">
      <c r="A1006" s="6" t="s">
        <v>228</v>
      </c>
      <c r="B1006" s="6" t="s">
        <v>51</v>
      </c>
      <c r="C1006" s="6" t="s">
        <v>189</v>
      </c>
      <c r="D1006" s="6" t="s">
        <v>88</v>
      </c>
      <c r="E1006" s="6" t="s">
        <v>88</v>
      </c>
      <c r="F1006" s="6" t="b">
        <v>0</v>
      </c>
      <c r="G1006" s="6">
        <v>1.819583333333333</v>
      </c>
    </row>
    <row r="1007" spans="1:7">
      <c r="A1007" s="6" t="s">
        <v>228</v>
      </c>
      <c r="B1007" s="6" t="s">
        <v>51</v>
      </c>
      <c r="C1007" s="6" t="s">
        <v>189</v>
      </c>
      <c r="D1007" s="6" t="s">
        <v>90</v>
      </c>
      <c r="E1007" s="6" t="s">
        <v>90</v>
      </c>
      <c r="F1007" s="6" t="b">
        <v>0</v>
      </c>
      <c r="G1007" s="6">
        <v>0.771</v>
      </c>
    </row>
    <row r="1008" spans="1:7">
      <c r="A1008" s="6" t="s">
        <v>228</v>
      </c>
      <c r="B1008" s="6" t="s">
        <v>51</v>
      </c>
      <c r="C1008" s="6" t="s">
        <v>190</v>
      </c>
      <c r="D1008" s="6" t="s">
        <v>44</v>
      </c>
      <c r="E1008" s="6" t="s">
        <v>44</v>
      </c>
      <c r="F1008" s="6" t="b">
        <v>0</v>
      </c>
      <c r="G1008" s="6">
        <v>0.1963333333333333</v>
      </c>
    </row>
    <row r="1009" spans="1:7">
      <c r="A1009" s="6" t="s">
        <v>228</v>
      </c>
      <c r="B1009" s="6" t="s">
        <v>51</v>
      </c>
      <c r="C1009" s="6" t="s">
        <v>190</v>
      </c>
      <c r="D1009" s="6" t="s">
        <v>86</v>
      </c>
      <c r="E1009" s="6" t="s">
        <v>44</v>
      </c>
      <c r="F1009" s="6" t="b">
        <v>0</v>
      </c>
      <c r="G1009" s="6">
        <v>0.003416666666666667</v>
      </c>
    </row>
    <row r="1010" spans="1:7">
      <c r="A1010" s="6" t="s">
        <v>228</v>
      </c>
      <c r="B1010" s="6" t="s">
        <v>51</v>
      </c>
      <c r="C1010" s="6" t="s">
        <v>190</v>
      </c>
      <c r="D1010" s="6" t="s">
        <v>177</v>
      </c>
      <c r="E1010" s="6" t="s">
        <v>44</v>
      </c>
      <c r="F1010" s="6" t="b">
        <v>0</v>
      </c>
      <c r="G1010" s="6">
        <v>0.13125</v>
      </c>
    </row>
    <row r="1011" spans="1:7">
      <c r="A1011" s="6" t="s">
        <v>229</v>
      </c>
      <c r="B1011" s="6" t="s">
        <v>53</v>
      </c>
      <c r="C1011" s="6" t="s">
        <v>181</v>
      </c>
      <c r="D1011" s="6" t="s">
        <v>88</v>
      </c>
      <c r="E1011" s="6" t="s">
        <v>88</v>
      </c>
      <c r="F1011" s="6" t="b">
        <v>0</v>
      </c>
      <c r="G1011" s="6">
        <v>16.6595</v>
      </c>
    </row>
    <row r="1012" spans="1:7">
      <c r="A1012" s="6" t="s">
        <v>229</v>
      </c>
      <c r="B1012" s="6" t="s">
        <v>53</v>
      </c>
      <c r="C1012" s="6" t="s">
        <v>183</v>
      </c>
      <c r="D1012" s="6" t="s">
        <v>86</v>
      </c>
      <c r="E1012" s="6" t="s">
        <v>86</v>
      </c>
      <c r="F1012" s="6" t="b">
        <v>0</v>
      </c>
      <c r="G1012" s="6">
        <v>0.002</v>
      </c>
    </row>
    <row r="1013" spans="1:7">
      <c r="A1013" s="6" t="s">
        <v>229</v>
      </c>
      <c r="B1013" s="6" t="s">
        <v>53</v>
      </c>
      <c r="C1013" s="6" t="s">
        <v>183</v>
      </c>
      <c r="D1013" s="6" t="s">
        <v>88</v>
      </c>
      <c r="E1013" s="6" t="s">
        <v>88</v>
      </c>
      <c r="F1013" s="6" t="b">
        <v>0</v>
      </c>
      <c r="G1013" s="6">
        <v>0.6266666666666667</v>
      </c>
    </row>
    <row r="1014" spans="1:7">
      <c r="A1014" s="6" t="s">
        <v>229</v>
      </c>
      <c r="B1014" s="6" t="s">
        <v>53</v>
      </c>
      <c r="C1014" s="6" t="s">
        <v>183</v>
      </c>
      <c r="D1014" s="6" t="s">
        <v>90</v>
      </c>
      <c r="E1014" s="6" t="s">
        <v>86</v>
      </c>
      <c r="F1014" s="6" t="b">
        <v>0</v>
      </c>
      <c r="G1014" s="6">
        <v>0.1986666666666667</v>
      </c>
    </row>
    <row r="1015" spans="1:7">
      <c r="A1015" s="6" t="s">
        <v>229</v>
      </c>
      <c r="B1015" s="6" t="s">
        <v>53</v>
      </c>
      <c r="C1015" s="6" t="s">
        <v>183</v>
      </c>
      <c r="D1015" s="6" t="s">
        <v>90</v>
      </c>
      <c r="E1015" s="6" t="s">
        <v>90</v>
      </c>
      <c r="F1015" s="6" t="b">
        <v>0</v>
      </c>
      <c r="G1015" s="6">
        <v>0.0065</v>
      </c>
    </row>
    <row r="1016" spans="1:7">
      <c r="A1016" s="6" t="s">
        <v>229</v>
      </c>
      <c r="B1016" s="6" t="s">
        <v>53</v>
      </c>
      <c r="C1016" s="6" t="s">
        <v>183</v>
      </c>
      <c r="D1016" s="6" t="s">
        <v>177</v>
      </c>
      <c r="E1016" s="6" t="s">
        <v>86</v>
      </c>
      <c r="F1016" s="6" t="b">
        <v>0</v>
      </c>
      <c r="G1016" s="6">
        <v>0.04666666666666667</v>
      </c>
    </row>
    <row r="1017" spans="1:7">
      <c r="A1017" s="6" t="s">
        <v>229</v>
      </c>
      <c r="B1017" s="6" t="s">
        <v>53</v>
      </c>
      <c r="C1017" s="6" t="s">
        <v>183</v>
      </c>
      <c r="D1017" s="6" t="s">
        <v>177</v>
      </c>
      <c r="E1017" s="6" t="s">
        <v>685</v>
      </c>
      <c r="F1017" s="6" t="b">
        <v>1</v>
      </c>
      <c r="G1017" s="6">
        <v>0.0215</v>
      </c>
    </row>
    <row r="1018" spans="1:7">
      <c r="A1018" s="6" t="s">
        <v>229</v>
      </c>
      <c r="B1018" s="6" t="s">
        <v>53</v>
      </c>
      <c r="C1018" s="6" t="s">
        <v>184</v>
      </c>
      <c r="D1018" s="6" t="s">
        <v>44</v>
      </c>
      <c r="E1018" s="6" t="s">
        <v>44</v>
      </c>
      <c r="F1018" s="6" t="b">
        <v>0</v>
      </c>
      <c r="G1018" s="6">
        <v>104.1783333333333</v>
      </c>
    </row>
    <row r="1019" spans="1:7">
      <c r="A1019" s="6" t="s">
        <v>229</v>
      </c>
      <c r="B1019" s="6" t="s">
        <v>53</v>
      </c>
      <c r="C1019" s="6" t="s">
        <v>184</v>
      </c>
      <c r="D1019" s="6" t="s">
        <v>86</v>
      </c>
      <c r="E1019" s="6" t="s">
        <v>86</v>
      </c>
      <c r="F1019" s="6" t="b">
        <v>0</v>
      </c>
      <c r="G1019" s="6">
        <v>0.8333333333333334</v>
      </c>
    </row>
    <row r="1020" spans="1:7">
      <c r="A1020" s="6" t="s">
        <v>229</v>
      </c>
      <c r="B1020" s="6" t="s">
        <v>53</v>
      </c>
      <c r="C1020" s="6" t="s">
        <v>184</v>
      </c>
      <c r="D1020" s="6" t="s">
        <v>88</v>
      </c>
      <c r="E1020" s="6" t="s">
        <v>88</v>
      </c>
      <c r="F1020" s="6" t="b">
        <v>0</v>
      </c>
      <c r="G1020" s="6">
        <v>0.09575</v>
      </c>
    </row>
    <row r="1021" spans="1:7">
      <c r="A1021" s="6" t="s">
        <v>229</v>
      </c>
      <c r="B1021" s="6" t="s">
        <v>53</v>
      </c>
      <c r="C1021" s="6" t="s">
        <v>184</v>
      </c>
      <c r="D1021" s="6" t="s">
        <v>90</v>
      </c>
      <c r="E1021" s="6" t="s">
        <v>90</v>
      </c>
      <c r="F1021" s="6" t="b">
        <v>0</v>
      </c>
      <c r="G1021" s="6">
        <v>0.7726666666666667</v>
      </c>
    </row>
    <row r="1022" spans="1:7">
      <c r="A1022" s="6" t="s">
        <v>229</v>
      </c>
      <c r="B1022" s="6" t="s">
        <v>53</v>
      </c>
      <c r="C1022" s="6" t="s">
        <v>184</v>
      </c>
      <c r="D1022" s="6" t="s">
        <v>90</v>
      </c>
      <c r="E1022" s="6" t="s">
        <v>685</v>
      </c>
      <c r="F1022" s="6" t="b">
        <v>1</v>
      </c>
      <c r="G1022" s="6">
        <v>0.24275</v>
      </c>
    </row>
    <row r="1023" spans="1:7">
      <c r="A1023" s="6" t="s">
        <v>229</v>
      </c>
      <c r="B1023" s="6" t="s">
        <v>53</v>
      </c>
      <c r="C1023" s="6" t="s">
        <v>184</v>
      </c>
      <c r="D1023" s="6" t="s">
        <v>177</v>
      </c>
      <c r="E1023" s="6" t="s">
        <v>44</v>
      </c>
      <c r="F1023" s="6" t="b">
        <v>0</v>
      </c>
      <c r="G1023" s="6">
        <v>171.7523333333333</v>
      </c>
    </row>
    <row r="1024" spans="1:7">
      <c r="A1024" s="6" t="s">
        <v>229</v>
      </c>
      <c r="B1024" s="6" t="s">
        <v>53</v>
      </c>
      <c r="C1024" s="6" t="s">
        <v>184</v>
      </c>
      <c r="D1024" s="6" t="s">
        <v>177</v>
      </c>
      <c r="E1024" s="6" t="s">
        <v>86</v>
      </c>
      <c r="F1024" s="6" t="b">
        <v>0</v>
      </c>
      <c r="G1024" s="6">
        <v>0.07124999999999999</v>
      </c>
    </row>
    <row r="1025" spans="1:7">
      <c r="A1025" s="6" t="s">
        <v>229</v>
      </c>
      <c r="B1025" s="6" t="s">
        <v>53</v>
      </c>
      <c r="C1025" s="6" t="s">
        <v>184</v>
      </c>
      <c r="D1025" s="6" t="s">
        <v>177</v>
      </c>
      <c r="E1025" s="6" t="s">
        <v>685</v>
      </c>
      <c r="F1025" s="6" t="b">
        <v>1</v>
      </c>
      <c r="G1025" s="6">
        <v>1.333166666666667</v>
      </c>
    </row>
    <row r="1026" spans="1:7">
      <c r="A1026" s="6" t="s">
        <v>229</v>
      </c>
      <c r="B1026" s="6" t="s">
        <v>53</v>
      </c>
      <c r="C1026" s="6" t="s">
        <v>186</v>
      </c>
      <c r="D1026" s="6" t="s">
        <v>86</v>
      </c>
      <c r="E1026" s="6" t="s">
        <v>86</v>
      </c>
      <c r="F1026" s="6" t="b">
        <v>0</v>
      </c>
      <c r="G1026" s="6">
        <v>41.226</v>
      </c>
    </row>
    <row r="1027" spans="1:7">
      <c r="A1027" s="6" t="s">
        <v>229</v>
      </c>
      <c r="B1027" s="6" t="s">
        <v>53</v>
      </c>
      <c r="C1027" s="6" t="s">
        <v>186</v>
      </c>
      <c r="D1027" s="6" t="s">
        <v>88</v>
      </c>
      <c r="E1027" s="6" t="s">
        <v>88</v>
      </c>
      <c r="F1027" s="6" t="b">
        <v>0</v>
      </c>
      <c r="G1027" s="6">
        <v>3.596666666666666</v>
      </c>
    </row>
    <row r="1028" spans="1:7">
      <c r="A1028" s="6" t="s">
        <v>229</v>
      </c>
      <c r="B1028" s="6" t="s">
        <v>53</v>
      </c>
      <c r="C1028" s="6" t="s">
        <v>186</v>
      </c>
      <c r="D1028" s="6" t="s">
        <v>90</v>
      </c>
      <c r="E1028" s="6" t="s">
        <v>86</v>
      </c>
      <c r="F1028" s="6" t="b">
        <v>0</v>
      </c>
      <c r="G1028" s="6">
        <v>0.03541666666666667</v>
      </c>
    </row>
    <row r="1029" spans="1:7">
      <c r="A1029" s="6" t="s">
        <v>229</v>
      </c>
      <c r="B1029" s="6" t="s">
        <v>53</v>
      </c>
      <c r="C1029" s="6" t="s">
        <v>186</v>
      </c>
      <c r="D1029" s="6" t="s">
        <v>90</v>
      </c>
      <c r="E1029" s="6" t="s">
        <v>90</v>
      </c>
      <c r="F1029" s="6" t="b">
        <v>0</v>
      </c>
      <c r="G1029" s="6">
        <v>8.856583333333333</v>
      </c>
    </row>
    <row r="1030" spans="1:7">
      <c r="A1030" s="6" t="s">
        <v>229</v>
      </c>
      <c r="B1030" s="6" t="s">
        <v>53</v>
      </c>
      <c r="C1030" s="6" t="s">
        <v>186</v>
      </c>
      <c r="D1030" s="6" t="s">
        <v>177</v>
      </c>
      <c r="E1030" s="6" t="s">
        <v>86</v>
      </c>
      <c r="F1030" s="6" t="b">
        <v>0</v>
      </c>
      <c r="G1030" s="6">
        <v>0.4111666666666667</v>
      </c>
    </row>
    <row r="1031" spans="1:7">
      <c r="A1031" s="6" t="s">
        <v>229</v>
      </c>
      <c r="B1031" s="6" t="s">
        <v>53</v>
      </c>
      <c r="C1031" s="6" t="s">
        <v>189</v>
      </c>
      <c r="D1031" s="6" t="s">
        <v>86</v>
      </c>
      <c r="E1031" s="6" t="s">
        <v>86</v>
      </c>
      <c r="F1031" s="6" t="b">
        <v>0</v>
      </c>
      <c r="G1031" s="6">
        <v>2.039583333333333</v>
      </c>
    </row>
    <row r="1032" spans="1:7">
      <c r="A1032" s="6" t="s">
        <v>229</v>
      </c>
      <c r="B1032" s="6" t="s">
        <v>53</v>
      </c>
      <c r="C1032" s="6" t="s">
        <v>189</v>
      </c>
      <c r="D1032" s="6" t="s">
        <v>88</v>
      </c>
      <c r="E1032" s="6" t="s">
        <v>88</v>
      </c>
      <c r="F1032" s="6" t="b">
        <v>0</v>
      </c>
      <c r="G1032" s="6">
        <v>4.448833333333334</v>
      </c>
    </row>
    <row r="1033" spans="1:7">
      <c r="A1033" s="6" t="s">
        <v>229</v>
      </c>
      <c r="B1033" s="6" t="s">
        <v>53</v>
      </c>
      <c r="C1033" s="6" t="s">
        <v>189</v>
      </c>
      <c r="D1033" s="6" t="s">
        <v>90</v>
      </c>
      <c r="E1033" s="6" t="s">
        <v>90</v>
      </c>
      <c r="F1033" s="6" t="b">
        <v>0</v>
      </c>
      <c r="G1033" s="6">
        <v>1.278916666666667</v>
      </c>
    </row>
    <row r="1034" spans="1:7">
      <c r="A1034" s="6" t="s">
        <v>229</v>
      </c>
      <c r="B1034" s="6" t="s">
        <v>53</v>
      </c>
      <c r="C1034" s="6" t="s">
        <v>190</v>
      </c>
      <c r="D1034" s="6" t="s">
        <v>44</v>
      </c>
      <c r="E1034" s="6" t="s">
        <v>44</v>
      </c>
      <c r="F1034" s="6" t="b">
        <v>0</v>
      </c>
      <c r="G1034" s="6">
        <v>7.247583333333334</v>
      </c>
    </row>
    <row r="1035" spans="1:7">
      <c r="A1035" s="6" t="s">
        <v>229</v>
      </c>
      <c r="B1035" s="6" t="s">
        <v>53</v>
      </c>
      <c r="C1035" s="6" t="s">
        <v>190</v>
      </c>
      <c r="D1035" s="6" t="s">
        <v>86</v>
      </c>
      <c r="E1035" s="6" t="s">
        <v>44</v>
      </c>
      <c r="F1035" s="6" t="b">
        <v>0</v>
      </c>
      <c r="G1035" s="6">
        <v>1.452083333333333</v>
      </c>
    </row>
    <row r="1036" spans="1:7">
      <c r="A1036" s="6" t="s">
        <v>229</v>
      </c>
      <c r="B1036" s="6" t="s">
        <v>53</v>
      </c>
      <c r="C1036" s="6" t="s">
        <v>190</v>
      </c>
      <c r="D1036" s="6" t="s">
        <v>90</v>
      </c>
      <c r="E1036" s="6" t="s">
        <v>44</v>
      </c>
      <c r="F1036" s="6" t="b">
        <v>0</v>
      </c>
      <c r="G1036" s="6">
        <v>1.366666666666666</v>
      </c>
    </row>
    <row r="1037" spans="1:7">
      <c r="A1037" s="6" t="s">
        <v>229</v>
      </c>
      <c r="B1037" s="6" t="s">
        <v>53</v>
      </c>
      <c r="C1037" s="6" t="s">
        <v>190</v>
      </c>
      <c r="D1037" s="6" t="s">
        <v>90</v>
      </c>
      <c r="E1037" s="6" t="s">
        <v>90</v>
      </c>
      <c r="F1037" s="6" t="b">
        <v>0</v>
      </c>
      <c r="G1037" s="6">
        <v>1.07575</v>
      </c>
    </row>
    <row r="1038" spans="1:7">
      <c r="A1038" s="6" t="s">
        <v>229</v>
      </c>
      <c r="B1038" s="6" t="s">
        <v>53</v>
      </c>
      <c r="C1038" s="6" t="s">
        <v>190</v>
      </c>
      <c r="D1038" s="6" t="s">
        <v>177</v>
      </c>
      <c r="E1038" s="6" t="s">
        <v>44</v>
      </c>
      <c r="F1038" s="6" t="b">
        <v>0</v>
      </c>
      <c r="G1038" s="6">
        <v>6.702083333333333</v>
      </c>
    </row>
    <row r="1039" spans="1:7">
      <c r="A1039" s="6" t="s">
        <v>229</v>
      </c>
      <c r="B1039" s="6" t="s">
        <v>53</v>
      </c>
      <c r="C1039" s="6" t="s">
        <v>190</v>
      </c>
      <c r="D1039" s="6" t="s">
        <v>177</v>
      </c>
      <c r="E1039" s="6" t="s">
        <v>86</v>
      </c>
      <c r="F1039" s="6" t="b">
        <v>0</v>
      </c>
      <c r="G1039" s="6">
        <v>0.017</v>
      </c>
    </row>
    <row r="1040" spans="1:7">
      <c r="A1040" s="6" t="s">
        <v>229</v>
      </c>
      <c r="B1040" s="6" t="s">
        <v>53</v>
      </c>
      <c r="C1040" s="6" t="s">
        <v>190</v>
      </c>
      <c r="D1040" s="6" t="s">
        <v>92</v>
      </c>
      <c r="E1040" s="6" t="s">
        <v>92</v>
      </c>
      <c r="F1040" s="6" t="b">
        <v>0</v>
      </c>
      <c r="G1040" s="6">
        <v>0.08266666666666667</v>
      </c>
    </row>
    <row r="1041" spans="1:7">
      <c r="A1041" s="6" t="s">
        <v>367</v>
      </c>
      <c r="B1041" s="6" t="s">
        <v>55</v>
      </c>
      <c r="C1041" s="6" t="s">
        <v>181</v>
      </c>
      <c r="D1041" s="6" t="s">
        <v>88</v>
      </c>
      <c r="E1041" s="6" t="s">
        <v>88</v>
      </c>
      <c r="F1041" s="6" t="b">
        <v>0</v>
      </c>
      <c r="G1041" s="6">
        <v>0.8234166666666667</v>
      </c>
    </row>
    <row r="1042" spans="1:7">
      <c r="A1042" s="6" t="s">
        <v>367</v>
      </c>
      <c r="B1042" s="6" t="s">
        <v>55</v>
      </c>
      <c r="C1042" s="6" t="s">
        <v>183</v>
      </c>
      <c r="D1042" s="6" t="s">
        <v>88</v>
      </c>
      <c r="E1042" s="6" t="s">
        <v>88</v>
      </c>
      <c r="F1042" s="6" t="b">
        <v>0</v>
      </c>
      <c r="G1042" s="6">
        <v>0.009333333333333334</v>
      </c>
    </row>
    <row r="1043" spans="1:7">
      <c r="A1043" s="6" t="s">
        <v>367</v>
      </c>
      <c r="B1043" s="6" t="s">
        <v>55</v>
      </c>
      <c r="C1043" s="6" t="s">
        <v>183</v>
      </c>
      <c r="D1043" s="6" t="s">
        <v>90</v>
      </c>
      <c r="E1043" s="6" t="s">
        <v>86</v>
      </c>
      <c r="F1043" s="6" t="b">
        <v>0</v>
      </c>
      <c r="G1043" s="6">
        <v>0.006416666666666667</v>
      </c>
    </row>
    <row r="1044" spans="1:7">
      <c r="A1044" s="6" t="s">
        <v>367</v>
      </c>
      <c r="B1044" s="6" t="s">
        <v>55</v>
      </c>
      <c r="C1044" s="6" t="s">
        <v>183</v>
      </c>
      <c r="D1044" s="6" t="s">
        <v>90</v>
      </c>
      <c r="E1044" s="6" t="s">
        <v>90</v>
      </c>
      <c r="F1044" s="6" t="b">
        <v>0</v>
      </c>
      <c r="G1044" s="6">
        <v>0.0185</v>
      </c>
    </row>
    <row r="1045" spans="1:7">
      <c r="A1045" s="6" t="s">
        <v>367</v>
      </c>
      <c r="B1045" s="6" t="s">
        <v>55</v>
      </c>
      <c r="C1045" s="6" t="s">
        <v>184</v>
      </c>
      <c r="D1045" s="6" t="s">
        <v>44</v>
      </c>
      <c r="E1045" s="6" t="s">
        <v>44</v>
      </c>
      <c r="F1045" s="6" t="b">
        <v>0</v>
      </c>
      <c r="G1045" s="6">
        <v>3.60125</v>
      </c>
    </row>
    <row r="1046" spans="1:7">
      <c r="A1046" s="6" t="s">
        <v>367</v>
      </c>
      <c r="B1046" s="6" t="s">
        <v>55</v>
      </c>
      <c r="C1046" s="6" t="s">
        <v>184</v>
      </c>
      <c r="D1046" s="6" t="s">
        <v>88</v>
      </c>
      <c r="E1046" s="6" t="s">
        <v>88</v>
      </c>
      <c r="F1046" s="6" t="b">
        <v>0</v>
      </c>
      <c r="G1046" s="6">
        <v>0.001</v>
      </c>
    </row>
    <row r="1047" spans="1:7">
      <c r="A1047" s="6" t="s">
        <v>367</v>
      </c>
      <c r="B1047" s="6" t="s">
        <v>55</v>
      </c>
      <c r="C1047" s="6" t="s">
        <v>184</v>
      </c>
      <c r="D1047" s="6" t="s">
        <v>177</v>
      </c>
      <c r="E1047" s="6" t="s">
        <v>44</v>
      </c>
      <c r="F1047" s="6" t="b">
        <v>0</v>
      </c>
      <c r="G1047" s="6">
        <v>7.05525</v>
      </c>
    </row>
    <row r="1048" spans="1:7">
      <c r="A1048" s="6" t="s">
        <v>367</v>
      </c>
      <c r="B1048" s="6" t="s">
        <v>55</v>
      </c>
      <c r="C1048" s="6" t="s">
        <v>184</v>
      </c>
      <c r="D1048" s="6" t="s">
        <v>177</v>
      </c>
      <c r="E1048" s="6" t="s">
        <v>86</v>
      </c>
      <c r="F1048" s="6" t="b">
        <v>0</v>
      </c>
      <c r="G1048" s="6">
        <v>0.01225</v>
      </c>
    </row>
    <row r="1049" spans="1:7">
      <c r="A1049" s="6" t="s">
        <v>367</v>
      </c>
      <c r="B1049" s="6" t="s">
        <v>55</v>
      </c>
      <c r="C1049" s="6" t="s">
        <v>184</v>
      </c>
      <c r="D1049" s="6" t="s">
        <v>177</v>
      </c>
      <c r="E1049" s="6" t="s">
        <v>685</v>
      </c>
      <c r="F1049" s="6" t="b">
        <v>1</v>
      </c>
      <c r="G1049" s="6">
        <v>0.04658333333333333</v>
      </c>
    </row>
    <row r="1050" spans="1:7">
      <c r="A1050" s="6" t="s">
        <v>367</v>
      </c>
      <c r="B1050" s="6" t="s">
        <v>55</v>
      </c>
      <c r="C1050" s="6" t="s">
        <v>186</v>
      </c>
      <c r="D1050" s="6" t="s">
        <v>86</v>
      </c>
      <c r="E1050" s="6" t="s">
        <v>86</v>
      </c>
      <c r="F1050" s="6" t="b">
        <v>0</v>
      </c>
      <c r="G1050" s="6">
        <v>2.183083333333333</v>
      </c>
    </row>
    <row r="1051" spans="1:7">
      <c r="A1051" s="6" t="s">
        <v>367</v>
      </c>
      <c r="B1051" s="6" t="s">
        <v>55</v>
      </c>
      <c r="C1051" s="6" t="s">
        <v>186</v>
      </c>
      <c r="D1051" s="6" t="s">
        <v>88</v>
      </c>
      <c r="E1051" s="6" t="s">
        <v>88</v>
      </c>
      <c r="F1051" s="6" t="b">
        <v>0</v>
      </c>
      <c r="G1051" s="6">
        <v>0.08008333333333334</v>
      </c>
    </row>
    <row r="1052" spans="1:7">
      <c r="A1052" s="6" t="s">
        <v>367</v>
      </c>
      <c r="B1052" s="6" t="s">
        <v>55</v>
      </c>
      <c r="C1052" s="6" t="s">
        <v>186</v>
      </c>
      <c r="D1052" s="6" t="s">
        <v>90</v>
      </c>
      <c r="E1052" s="6" t="s">
        <v>90</v>
      </c>
      <c r="F1052" s="6" t="b">
        <v>0</v>
      </c>
      <c r="G1052" s="6">
        <v>1.3665</v>
      </c>
    </row>
    <row r="1053" spans="1:7">
      <c r="A1053" s="6" t="s">
        <v>367</v>
      </c>
      <c r="B1053" s="6" t="s">
        <v>55</v>
      </c>
      <c r="C1053" s="6" t="s">
        <v>186</v>
      </c>
      <c r="D1053" s="6" t="s">
        <v>177</v>
      </c>
      <c r="E1053" s="6" t="s">
        <v>86</v>
      </c>
      <c r="F1053" s="6" t="b">
        <v>0</v>
      </c>
      <c r="G1053" s="6">
        <v>0.04</v>
      </c>
    </row>
    <row r="1054" spans="1:7">
      <c r="A1054" s="6" t="s">
        <v>367</v>
      </c>
      <c r="B1054" s="6" t="s">
        <v>55</v>
      </c>
      <c r="C1054" s="6" t="s">
        <v>189</v>
      </c>
      <c r="D1054" s="6" t="s">
        <v>86</v>
      </c>
      <c r="E1054" s="6" t="s">
        <v>86</v>
      </c>
      <c r="F1054" s="6" t="b">
        <v>0</v>
      </c>
      <c r="G1054" s="6">
        <v>0.3530833333333334</v>
      </c>
    </row>
    <row r="1055" spans="1:7">
      <c r="A1055" s="6" t="s">
        <v>367</v>
      </c>
      <c r="B1055" s="6" t="s">
        <v>55</v>
      </c>
      <c r="C1055" s="6" t="s">
        <v>189</v>
      </c>
      <c r="D1055" s="6" t="s">
        <v>88</v>
      </c>
      <c r="E1055" s="6" t="s">
        <v>88</v>
      </c>
      <c r="F1055" s="6" t="b">
        <v>0</v>
      </c>
      <c r="G1055" s="6">
        <v>0.025</v>
      </c>
    </row>
    <row r="1056" spans="1:7">
      <c r="A1056" s="6" t="s">
        <v>367</v>
      </c>
      <c r="B1056" s="6" t="s">
        <v>55</v>
      </c>
      <c r="C1056" s="6" t="s">
        <v>189</v>
      </c>
      <c r="D1056" s="6" t="s">
        <v>90</v>
      </c>
      <c r="E1056" s="6" t="s">
        <v>90</v>
      </c>
      <c r="F1056" s="6" t="b">
        <v>0</v>
      </c>
      <c r="G1056" s="6">
        <v>0.01708333333333334</v>
      </c>
    </row>
    <row r="1057" spans="1:7">
      <c r="A1057" s="6" t="s">
        <v>230</v>
      </c>
      <c r="B1057" s="6" t="s">
        <v>53</v>
      </c>
      <c r="C1057" s="6" t="s">
        <v>181</v>
      </c>
      <c r="D1057" s="6" t="s">
        <v>88</v>
      </c>
      <c r="E1057" s="6" t="s">
        <v>88</v>
      </c>
      <c r="F1057" s="6" t="b">
        <v>0</v>
      </c>
      <c r="G1057" s="6">
        <v>42.27225</v>
      </c>
    </row>
    <row r="1058" spans="1:7">
      <c r="A1058" s="6" t="s">
        <v>230</v>
      </c>
      <c r="B1058" s="6" t="s">
        <v>53</v>
      </c>
      <c r="C1058" s="6" t="s">
        <v>181</v>
      </c>
      <c r="D1058" s="6" t="s">
        <v>90</v>
      </c>
      <c r="E1058" s="6" t="s">
        <v>90</v>
      </c>
      <c r="F1058" s="6" t="b">
        <v>0</v>
      </c>
      <c r="G1058" s="6">
        <v>0.43275</v>
      </c>
    </row>
    <row r="1059" spans="1:7">
      <c r="A1059" s="6" t="s">
        <v>230</v>
      </c>
      <c r="B1059" s="6" t="s">
        <v>53</v>
      </c>
      <c r="C1059" s="6" t="s">
        <v>183</v>
      </c>
      <c r="D1059" s="6" t="s">
        <v>86</v>
      </c>
      <c r="E1059" s="6" t="s">
        <v>86</v>
      </c>
      <c r="F1059" s="6" t="b">
        <v>0</v>
      </c>
      <c r="G1059" s="6">
        <v>0.1049166666666667</v>
      </c>
    </row>
    <row r="1060" spans="1:7">
      <c r="A1060" s="6" t="s">
        <v>230</v>
      </c>
      <c r="B1060" s="6" t="s">
        <v>53</v>
      </c>
      <c r="C1060" s="6" t="s">
        <v>183</v>
      </c>
      <c r="D1060" s="6" t="s">
        <v>88</v>
      </c>
      <c r="E1060" s="6" t="s">
        <v>88</v>
      </c>
      <c r="F1060" s="6" t="b">
        <v>0</v>
      </c>
      <c r="G1060" s="6">
        <v>0.6796666666666668</v>
      </c>
    </row>
    <row r="1061" spans="1:7">
      <c r="A1061" s="6" t="s">
        <v>230</v>
      </c>
      <c r="B1061" s="6" t="s">
        <v>53</v>
      </c>
      <c r="C1061" s="6" t="s">
        <v>183</v>
      </c>
      <c r="D1061" s="6" t="s">
        <v>90</v>
      </c>
      <c r="E1061" s="6" t="s">
        <v>86</v>
      </c>
      <c r="F1061" s="6" t="b">
        <v>0</v>
      </c>
      <c r="G1061" s="6">
        <v>0.8036666666666666</v>
      </c>
    </row>
    <row r="1062" spans="1:7">
      <c r="A1062" s="6" t="s">
        <v>230</v>
      </c>
      <c r="B1062" s="6" t="s">
        <v>53</v>
      </c>
      <c r="C1062" s="6" t="s">
        <v>183</v>
      </c>
      <c r="D1062" s="6" t="s">
        <v>90</v>
      </c>
      <c r="E1062" s="6" t="s">
        <v>90</v>
      </c>
      <c r="F1062" s="6" t="b">
        <v>0</v>
      </c>
      <c r="G1062" s="6">
        <v>0.4453333333333334</v>
      </c>
    </row>
    <row r="1063" spans="1:7">
      <c r="A1063" s="6" t="s">
        <v>230</v>
      </c>
      <c r="B1063" s="6" t="s">
        <v>53</v>
      </c>
      <c r="C1063" s="6" t="s">
        <v>183</v>
      </c>
      <c r="D1063" s="6" t="s">
        <v>177</v>
      </c>
      <c r="E1063" s="6" t="s">
        <v>86</v>
      </c>
      <c r="F1063" s="6" t="b">
        <v>0</v>
      </c>
      <c r="G1063" s="6">
        <v>0.08716666666666667</v>
      </c>
    </row>
    <row r="1064" spans="1:7">
      <c r="A1064" s="6" t="s">
        <v>230</v>
      </c>
      <c r="B1064" s="6" t="s">
        <v>53</v>
      </c>
      <c r="C1064" s="6" t="s">
        <v>183</v>
      </c>
      <c r="D1064" s="6" t="s">
        <v>177</v>
      </c>
      <c r="E1064" s="6" t="s">
        <v>685</v>
      </c>
      <c r="F1064" s="6" t="b">
        <v>1</v>
      </c>
      <c r="G1064" s="6">
        <v>0.028</v>
      </c>
    </row>
    <row r="1065" spans="1:7">
      <c r="A1065" s="6" t="s">
        <v>230</v>
      </c>
      <c r="B1065" s="6" t="s">
        <v>53</v>
      </c>
      <c r="C1065" s="6" t="s">
        <v>184</v>
      </c>
      <c r="D1065" s="6" t="s">
        <v>44</v>
      </c>
      <c r="E1065" s="6" t="s">
        <v>44</v>
      </c>
      <c r="F1065" s="6" t="b">
        <v>0</v>
      </c>
      <c r="G1065" s="6">
        <v>92.08716666666668</v>
      </c>
    </row>
    <row r="1066" spans="1:7">
      <c r="A1066" s="6" t="s">
        <v>230</v>
      </c>
      <c r="B1066" s="6" t="s">
        <v>53</v>
      </c>
      <c r="C1066" s="6" t="s">
        <v>184</v>
      </c>
      <c r="D1066" s="6" t="s">
        <v>88</v>
      </c>
      <c r="E1066" s="6" t="s">
        <v>88</v>
      </c>
      <c r="F1066" s="6" t="b">
        <v>0</v>
      </c>
      <c r="G1066" s="6">
        <v>1.178833333333333</v>
      </c>
    </row>
    <row r="1067" spans="1:7">
      <c r="A1067" s="6" t="s">
        <v>230</v>
      </c>
      <c r="B1067" s="6" t="s">
        <v>53</v>
      </c>
      <c r="C1067" s="6" t="s">
        <v>184</v>
      </c>
      <c r="D1067" s="6" t="s">
        <v>90</v>
      </c>
      <c r="E1067" s="6" t="s">
        <v>90</v>
      </c>
      <c r="F1067" s="6" t="b">
        <v>0</v>
      </c>
      <c r="G1067" s="6">
        <v>1.617333333333334</v>
      </c>
    </row>
    <row r="1068" spans="1:7">
      <c r="A1068" s="6" t="s">
        <v>230</v>
      </c>
      <c r="B1068" s="6" t="s">
        <v>53</v>
      </c>
      <c r="C1068" s="6" t="s">
        <v>184</v>
      </c>
      <c r="D1068" s="6" t="s">
        <v>90</v>
      </c>
      <c r="E1068" s="6" t="s">
        <v>685</v>
      </c>
      <c r="F1068" s="6" t="b">
        <v>1</v>
      </c>
      <c r="G1068" s="6">
        <v>2.142666666666666</v>
      </c>
    </row>
    <row r="1069" spans="1:7">
      <c r="A1069" s="6" t="s">
        <v>230</v>
      </c>
      <c r="B1069" s="6" t="s">
        <v>53</v>
      </c>
      <c r="C1069" s="6" t="s">
        <v>184</v>
      </c>
      <c r="D1069" s="6" t="s">
        <v>177</v>
      </c>
      <c r="E1069" s="6" t="s">
        <v>44</v>
      </c>
      <c r="F1069" s="6" t="b">
        <v>0</v>
      </c>
      <c r="G1069" s="6">
        <v>104.3045</v>
      </c>
    </row>
    <row r="1070" spans="1:7">
      <c r="A1070" s="6" t="s">
        <v>230</v>
      </c>
      <c r="B1070" s="6" t="s">
        <v>53</v>
      </c>
      <c r="C1070" s="6" t="s">
        <v>184</v>
      </c>
      <c r="D1070" s="6" t="s">
        <v>177</v>
      </c>
      <c r="E1070" s="6" t="s">
        <v>86</v>
      </c>
      <c r="F1070" s="6" t="b">
        <v>0</v>
      </c>
      <c r="G1070" s="6">
        <v>1.034</v>
      </c>
    </row>
    <row r="1071" spans="1:7">
      <c r="A1071" s="6" t="s">
        <v>230</v>
      </c>
      <c r="B1071" s="6" t="s">
        <v>53</v>
      </c>
      <c r="C1071" s="6" t="s">
        <v>184</v>
      </c>
      <c r="D1071" s="6" t="s">
        <v>177</v>
      </c>
      <c r="E1071" s="6" t="s">
        <v>685</v>
      </c>
      <c r="F1071" s="6" t="b">
        <v>1</v>
      </c>
      <c r="G1071" s="6">
        <v>15.95141666666667</v>
      </c>
    </row>
    <row r="1072" spans="1:7">
      <c r="A1072" s="6" t="s">
        <v>230</v>
      </c>
      <c r="B1072" s="6" t="s">
        <v>53</v>
      </c>
      <c r="C1072" s="6" t="s">
        <v>186</v>
      </c>
      <c r="D1072" s="6" t="s">
        <v>86</v>
      </c>
      <c r="E1072" s="6" t="s">
        <v>86</v>
      </c>
      <c r="F1072" s="6" t="b">
        <v>0</v>
      </c>
      <c r="G1072" s="6">
        <v>31.48775</v>
      </c>
    </row>
    <row r="1073" spans="1:7">
      <c r="A1073" s="6" t="s">
        <v>230</v>
      </c>
      <c r="B1073" s="6" t="s">
        <v>53</v>
      </c>
      <c r="C1073" s="6" t="s">
        <v>186</v>
      </c>
      <c r="D1073" s="6" t="s">
        <v>88</v>
      </c>
      <c r="E1073" s="6" t="s">
        <v>88</v>
      </c>
      <c r="F1073" s="6" t="b">
        <v>0</v>
      </c>
      <c r="G1073" s="6">
        <v>1.99175</v>
      </c>
    </row>
    <row r="1074" spans="1:7">
      <c r="A1074" s="6" t="s">
        <v>230</v>
      </c>
      <c r="B1074" s="6" t="s">
        <v>53</v>
      </c>
      <c r="C1074" s="6" t="s">
        <v>186</v>
      </c>
      <c r="D1074" s="6" t="s">
        <v>90</v>
      </c>
      <c r="E1074" s="6" t="s">
        <v>86</v>
      </c>
      <c r="F1074" s="6" t="b">
        <v>0</v>
      </c>
      <c r="G1074" s="6">
        <v>0.005666666666666667</v>
      </c>
    </row>
    <row r="1075" spans="1:7">
      <c r="A1075" s="6" t="s">
        <v>230</v>
      </c>
      <c r="B1075" s="6" t="s">
        <v>53</v>
      </c>
      <c r="C1075" s="6" t="s">
        <v>186</v>
      </c>
      <c r="D1075" s="6" t="s">
        <v>90</v>
      </c>
      <c r="E1075" s="6" t="s">
        <v>90</v>
      </c>
      <c r="F1075" s="6" t="b">
        <v>0</v>
      </c>
      <c r="G1075" s="6">
        <v>16.39</v>
      </c>
    </row>
    <row r="1076" spans="1:7">
      <c r="A1076" s="6" t="s">
        <v>230</v>
      </c>
      <c r="B1076" s="6" t="s">
        <v>53</v>
      </c>
      <c r="C1076" s="6" t="s">
        <v>186</v>
      </c>
      <c r="D1076" s="6" t="s">
        <v>177</v>
      </c>
      <c r="E1076" s="6" t="s">
        <v>86</v>
      </c>
      <c r="F1076" s="6" t="b">
        <v>0</v>
      </c>
      <c r="G1076" s="6">
        <v>0.5598333333333333</v>
      </c>
    </row>
    <row r="1077" spans="1:7">
      <c r="A1077" s="6" t="s">
        <v>230</v>
      </c>
      <c r="B1077" s="6" t="s">
        <v>53</v>
      </c>
      <c r="C1077" s="6" t="s">
        <v>189</v>
      </c>
      <c r="D1077" s="6" t="s">
        <v>86</v>
      </c>
      <c r="E1077" s="6" t="s">
        <v>86</v>
      </c>
      <c r="F1077" s="6" t="b">
        <v>0</v>
      </c>
      <c r="G1077" s="6">
        <v>28.96308333333333</v>
      </c>
    </row>
    <row r="1078" spans="1:7">
      <c r="A1078" s="6" t="s">
        <v>230</v>
      </c>
      <c r="B1078" s="6" t="s">
        <v>53</v>
      </c>
      <c r="C1078" s="6" t="s">
        <v>189</v>
      </c>
      <c r="D1078" s="6" t="s">
        <v>88</v>
      </c>
      <c r="E1078" s="6" t="s">
        <v>88</v>
      </c>
      <c r="F1078" s="6" t="b">
        <v>0</v>
      </c>
      <c r="G1078" s="6">
        <v>44.34800000000001</v>
      </c>
    </row>
    <row r="1079" spans="1:7">
      <c r="A1079" s="6" t="s">
        <v>230</v>
      </c>
      <c r="B1079" s="6" t="s">
        <v>53</v>
      </c>
      <c r="C1079" s="6" t="s">
        <v>189</v>
      </c>
      <c r="D1079" s="6" t="s">
        <v>90</v>
      </c>
      <c r="E1079" s="6" t="s">
        <v>90</v>
      </c>
      <c r="F1079" s="6" t="b">
        <v>0</v>
      </c>
      <c r="G1079" s="6">
        <v>6.760083333333333</v>
      </c>
    </row>
    <row r="1080" spans="1:7">
      <c r="A1080" s="6" t="s">
        <v>230</v>
      </c>
      <c r="B1080" s="6" t="s">
        <v>53</v>
      </c>
      <c r="C1080" s="6" t="s">
        <v>190</v>
      </c>
      <c r="D1080" s="6" t="s">
        <v>44</v>
      </c>
      <c r="E1080" s="6" t="s">
        <v>44</v>
      </c>
      <c r="F1080" s="6" t="b">
        <v>0</v>
      </c>
      <c r="G1080" s="6">
        <v>40.77716666666667</v>
      </c>
    </row>
    <row r="1081" spans="1:7">
      <c r="A1081" s="6" t="s">
        <v>230</v>
      </c>
      <c r="B1081" s="6" t="s">
        <v>53</v>
      </c>
      <c r="C1081" s="6" t="s">
        <v>190</v>
      </c>
      <c r="D1081" s="6" t="s">
        <v>86</v>
      </c>
      <c r="E1081" s="6" t="s">
        <v>44</v>
      </c>
      <c r="F1081" s="6" t="b">
        <v>0</v>
      </c>
      <c r="G1081" s="6">
        <v>2.7675</v>
      </c>
    </row>
    <row r="1082" spans="1:7">
      <c r="A1082" s="6" t="s">
        <v>230</v>
      </c>
      <c r="B1082" s="6" t="s">
        <v>53</v>
      </c>
      <c r="C1082" s="6" t="s">
        <v>190</v>
      </c>
      <c r="D1082" s="6" t="s">
        <v>86</v>
      </c>
      <c r="E1082" s="6" t="s">
        <v>86</v>
      </c>
      <c r="F1082" s="6" t="b">
        <v>0</v>
      </c>
      <c r="G1082" s="6">
        <v>0.09099999999999998</v>
      </c>
    </row>
    <row r="1083" spans="1:7">
      <c r="A1083" s="6" t="s">
        <v>230</v>
      </c>
      <c r="B1083" s="6" t="s">
        <v>53</v>
      </c>
      <c r="C1083" s="6" t="s">
        <v>190</v>
      </c>
      <c r="D1083" s="6" t="s">
        <v>90</v>
      </c>
      <c r="E1083" s="6" t="s">
        <v>44</v>
      </c>
      <c r="F1083" s="6" t="b">
        <v>0</v>
      </c>
      <c r="G1083" s="6">
        <v>0.05125</v>
      </c>
    </row>
    <row r="1084" spans="1:7">
      <c r="A1084" s="6" t="s">
        <v>230</v>
      </c>
      <c r="B1084" s="6" t="s">
        <v>53</v>
      </c>
      <c r="C1084" s="6" t="s">
        <v>190</v>
      </c>
      <c r="D1084" s="6" t="s">
        <v>90</v>
      </c>
      <c r="E1084" s="6" t="s">
        <v>90</v>
      </c>
      <c r="F1084" s="6" t="b">
        <v>0</v>
      </c>
      <c r="G1084" s="6">
        <v>2.07925</v>
      </c>
    </row>
    <row r="1085" spans="1:7">
      <c r="A1085" s="6" t="s">
        <v>230</v>
      </c>
      <c r="B1085" s="6" t="s">
        <v>53</v>
      </c>
      <c r="C1085" s="6" t="s">
        <v>190</v>
      </c>
      <c r="D1085" s="6" t="s">
        <v>177</v>
      </c>
      <c r="E1085" s="6" t="s">
        <v>44</v>
      </c>
      <c r="F1085" s="6" t="b">
        <v>0</v>
      </c>
      <c r="G1085" s="6">
        <v>68.834</v>
      </c>
    </row>
    <row r="1086" spans="1:7">
      <c r="A1086" s="6" t="s">
        <v>230</v>
      </c>
      <c r="B1086" s="6" t="s">
        <v>53</v>
      </c>
      <c r="C1086" s="6" t="s">
        <v>190</v>
      </c>
      <c r="D1086" s="6" t="s">
        <v>177</v>
      </c>
      <c r="E1086" s="6" t="s">
        <v>86</v>
      </c>
      <c r="F1086" s="6" t="b">
        <v>0</v>
      </c>
      <c r="G1086" s="6">
        <v>0.2745</v>
      </c>
    </row>
    <row r="1087" spans="1:7">
      <c r="A1087" s="6" t="s">
        <v>230</v>
      </c>
      <c r="B1087" s="6" t="s">
        <v>53</v>
      </c>
      <c r="C1087" s="6" t="s">
        <v>190</v>
      </c>
      <c r="D1087" s="6" t="s">
        <v>92</v>
      </c>
      <c r="E1087" s="6" t="s">
        <v>92</v>
      </c>
      <c r="F1087" s="6" t="b">
        <v>0</v>
      </c>
      <c r="G1087" s="6">
        <v>0.003</v>
      </c>
    </row>
    <row r="1088" spans="1:7">
      <c r="A1088" s="6" t="s">
        <v>378</v>
      </c>
      <c r="B1088" s="6" t="s">
        <v>51</v>
      </c>
      <c r="C1088" s="6" t="s">
        <v>181</v>
      </c>
      <c r="D1088" s="6" t="s">
        <v>88</v>
      </c>
      <c r="E1088" s="6" t="s">
        <v>88</v>
      </c>
      <c r="F1088" s="6" t="b">
        <v>0</v>
      </c>
      <c r="G1088" s="6">
        <v>2.331166666666667</v>
      </c>
    </row>
    <row r="1089" spans="1:7">
      <c r="A1089" s="6" t="s">
        <v>378</v>
      </c>
      <c r="B1089" s="6" t="s">
        <v>51</v>
      </c>
      <c r="C1089" s="6" t="s">
        <v>183</v>
      </c>
      <c r="D1089" s="6" t="s">
        <v>88</v>
      </c>
      <c r="E1089" s="6" t="s">
        <v>88</v>
      </c>
      <c r="F1089" s="6" t="b">
        <v>0</v>
      </c>
      <c r="G1089" s="6">
        <v>0.06133333333333333</v>
      </c>
    </row>
    <row r="1090" spans="1:7">
      <c r="A1090" s="6" t="s">
        <v>378</v>
      </c>
      <c r="B1090" s="6" t="s">
        <v>51</v>
      </c>
      <c r="C1090" s="6" t="s">
        <v>183</v>
      </c>
      <c r="D1090" s="6" t="s">
        <v>90</v>
      </c>
      <c r="E1090" s="6" t="s">
        <v>86</v>
      </c>
      <c r="F1090" s="6" t="b">
        <v>0</v>
      </c>
      <c r="G1090" s="6">
        <v>0.01375</v>
      </c>
    </row>
    <row r="1091" spans="1:7">
      <c r="A1091" s="6" t="s">
        <v>378</v>
      </c>
      <c r="B1091" s="6" t="s">
        <v>51</v>
      </c>
      <c r="C1091" s="6" t="s">
        <v>183</v>
      </c>
      <c r="D1091" s="6" t="s">
        <v>90</v>
      </c>
      <c r="E1091" s="6" t="s">
        <v>90</v>
      </c>
      <c r="F1091" s="6" t="b">
        <v>0</v>
      </c>
      <c r="G1091" s="6">
        <v>0.03416666666666666</v>
      </c>
    </row>
    <row r="1092" spans="1:7">
      <c r="A1092" s="6" t="s">
        <v>378</v>
      </c>
      <c r="B1092" s="6" t="s">
        <v>51</v>
      </c>
      <c r="C1092" s="6" t="s">
        <v>184</v>
      </c>
      <c r="D1092" s="6" t="s">
        <v>44</v>
      </c>
      <c r="E1092" s="6" t="s">
        <v>44</v>
      </c>
      <c r="F1092" s="6" t="b">
        <v>0</v>
      </c>
      <c r="G1092" s="6">
        <v>9.616249999999999</v>
      </c>
    </row>
    <row r="1093" spans="1:7">
      <c r="A1093" s="6" t="s">
        <v>378</v>
      </c>
      <c r="B1093" s="6" t="s">
        <v>51</v>
      </c>
      <c r="C1093" s="6" t="s">
        <v>184</v>
      </c>
      <c r="D1093" s="6" t="s">
        <v>88</v>
      </c>
      <c r="E1093" s="6" t="s">
        <v>88</v>
      </c>
      <c r="F1093" s="6" t="b">
        <v>0</v>
      </c>
      <c r="G1093" s="6">
        <v>0.03058333333333333</v>
      </c>
    </row>
    <row r="1094" spans="1:7">
      <c r="A1094" s="6" t="s">
        <v>378</v>
      </c>
      <c r="B1094" s="6" t="s">
        <v>51</v>
      </c>
      <c r="C1094" s="6" t="s">
        <v>184</v>
      </c>
      <c r="D1094" s="6" t="s">
        <v>90</v>
      </c>
      <c r="E1094" s="6" t="s">
        <v>90</v>
      </c>
      <c r="F1094" s="6" t="b">
        <v>0</v>
      </c>
      <c r="G1094" s="6">
        <v>0.01158333333333333</v>
      </c>
    </row>
    <row r="1095" spans="1:7">
      <c r="A1095" s="6" t="s">
        <v>378</v>
      </c>
      <c r="B1095" s="6" t="s">
        <v>51</v>
      </c>
      <c r="C1095" s="6" t="s">
        <v>184</v>
      </c>
      <c r="D1095" s="6" t="s">
        <v>90</v>
      </c>
      <c r="E1095" s="6" t="s">
        <v>685</v>
      </c>
      <c r="F1095" s="6" t="b">
        <v>1</v>
      </c>
      <c r="G1095" s="6">
        <v>0.006083333333333334</v>
      </c>
    </row>
    <row r="1096" spans="1:7">
      <c r="A1096" s="6" t="s">
        <v>378</v>
      </c>
      <c r="B1096" s="6" t="s">
        <v>51</v>
      </c>
      <c r="C1096" s="6" t="s">
        <v>184</v>
      </c>
      <c r="D1096" s="6" t="s">
        <v>177</v>
      </c>
      <c r="E1096" s="6" t="s">
        <v>44</v>
      </c>
      <c r="F1096" s="6" t="b">
        <v>0</v>
      </c>
      <c r="G1096" s="6">
        <v>11.20116666666667</v>
      </c>
    </row>
    <row r="1097" spans="1:7">
      <c r="A1097" s="6" t="s">
        <v>378</v>
      </c>
      <c r="B1097" s="6" t="s">
        <v>51</v>
      </c>
      <c r="C1097" s="6" t="s">
        <v>184</v>
      </c>
      <c r="D1097" s="6" t="s">
        <v>177</v>
      </c>
      <c r="E1097" s="6" t="s">
        <v>86</v>
      </c>
      <c r="F1097" s="6" t="b">
        <v>0</v>
      </c>
      <c r="G1097" s="6">
        <v>0.01575</v>
      </c>
    </row>
    <row r="1098" spans="1:7">
      <c r="A1098" s="6" t="s">
        <v>378</v>
      </c>
      <c r="B1098" s="6" t="s">
        <v>51</v>
      </c>
      <c r="C1098" s="6" t="s">
        <v>184</v>
      </c>
      <c r="D1098" s="6" t="s">
        <v>177</v>
      </c>
      <c r="E1098" s="6" t="s">
        <v>685</v>
      </c>
      <c r="F1098" s="6" t="b">
        <v>1</v>
      </c>
      <c r="G1098" s="6">
        <v>0.04266666666666667</v>
      </c>
    </row>
    <row r="1099" spans="1:7">
      <c r="A1099" s="6" t="s">
        <v>378</v>
      </c>
      <c r="B1099" s="6" t="s">
        <v>51</v>
      </c>
      <c r="C1099" s="6" t="s">
        <v>186</v>
      </c>
      <c r="D1099" s="6" t="s">
        <v>86</v>
      </c>
      <c r="E1099" s="6" t="s">
        <v>86</v>
      </c>
      <c r="F1099" s="6" t="b">
        <v>0</v>
      </c>
      <c r="G1099" s="6">
        <v>3.8795</v>
      </c>
    </row>
    <row r="1100" spans="1:7">
      <c r="A1100" s="6" t="s">
        <v>378</v>
      </c>
      <c r="B1100" s="6" t="s">
        <v>51</v>
      </c>
      <c r="C1100" s="6" t="s">
        <v>186</v>
      </c>
      <c r="D1100" s="6" t="s">
        <v>88</v>
      </c>
      <c r="E1100" s="6" t="s">
        <v>88</v>
      </c>
      <c r="F1100" s="6" t="b">
        <v>0</v>
      </c>
      <c r="G1100" s="6">
        <v>0.1519166666666667</v>
      </c>
    </row>
    <row r="1101" spans="1:7">
      <c r="A1101" s="6" t="s">
        <v>378</v>
      </c>
      <c r="B1101" s="6" t="s">
        <v>51</v>
      </c>
      <c r="C1101" s="6" t="s">
        <v>186</v>
      </c>
      <c r="D1101" s="6" t="s">
        <v>90</v>
      </c>
      <c r="E1101" s="6" t="s">
        <v>90</v>
      </c>
      <c r="F1101" s="6" t="b">
        <v>0</v>
      </c>
      <c r="G1101" s="6">
        <v>2.388083333333333</v>
      </c>
    </row>
    <row r="1102" spans="1:7">
      <c r="A1102" s="6" t="s">
        <v>378</v>
      </c>
      <c r="B1102" s="6" t="s">
        <v>51</v>
      </c>
      <c r="C1102" s="6" t="s">
        <v>186</v>
      </c>
      <c r="D1102" s="6" t="s">
        <v>177</v>
      </c>
      <c r="E1102" s="6" t="s">
        <v>86</v>
      </c>
      <c r="F1102" s="6" t="b">
        <v>0</v>
      </c>
      <c r="G1102" s="6">
        <v>0.1103333333333333</v>
      </c>
    </row>
    <row r="1103" spans="1:7">
      <c r="A1103" s="6" t="s">
        <v>378</v>
      </c>
      <c r="B1103" s="6" t="s">
        <v>51</v>
      </c>
      <c r="C1103" s="6" t="s">
        <v>189</v>
      </c>
      <c r="D1103" s="6" t="s">
        <v>86</v>
      </c>
      <c r="E1103" s="6" t="s">
        <v>86</v>
      </c>
      <c r="F1103" s="6" t="b">
        <v>0</v>
      </c>
      <c r="G1103" s="6">
        <v>0.6711666666666667</v>
      </c>
    </row>
    <row r="1104" spans="1:7">
      <c r="A1104" s="6" t="s">
        <v>378</v>
      </c>
      <c r="B1104" s="6" t="s">
        <v>51</v>
      </c>
      <c r="C1104" s="6" t="s">
        <v>189</v>
      </c>
      <c r="D1104" s="6" t="s">
        <v>88</v>
      </c>
      <c r="E1104" s="6" t="s">
        <v>88</v>
      </c>
      <c r="F1104" s="6" t="b">
        <v>0</v>
      </c>
      <c r="G1104" s="6">
        <v>0.3224166666666667</v>
      </c>
    </row>
    <row r="1105" spans="1:7">
      <c r="A1105" s="6" t="s">
        <v>378</v>
      </c>
      <c r="B1105" s="6" t="s">
        <v>51</v>
      </c>
      <c r="C1105" s="6" t="s">
        <v>189</v>
      </c>
      <c r="D1105" s="6" t="s">
        <v>90</v>
      </c>
      <c r="E1105" s="6" t="s">
        <v>90</v>
      </c>
      <c r="F1105" s="6" t="b">
        <v>0</v>
      </c>
      <c r="G1105" s="6">
        <v>0.0165</v>
      </c>
    </row>
    <row r="1106" spans="1:7">
      <c r="A1106" s="6" t="s">
        <v>231</v>
      </c>
      <c r="B1106" s="6" t="s">
        <v>52</v>
      </c>
      <c r="C1106" s="6" t="s">
        <v>181</v>
      </c>
      <c r="D1106" s="6" t="s">
        <v>88</v>
      </c>
      <c r="E1106" s="6" t="s">
        <v>88</v>
      </c>
      <c r="F1106" s="6" t="b">
        <v>0</v>
      </c>
      <c r="G1106" s="6">
        <v>1.385416666666667</v>
      </c>
    </row>
    <row r="1107" spans="1:7">
      <c r="A1107" s="6" t="s">
        <v>231</v>
      </c>
      <c r="B1107" s="6" t="s">
        <v>52</v>
      </c>
      <c r="C1107" s="6" t="s">
        <v>184</v>
      </c>
      <c r="D1107" s="6" t="s">
        <v>44</v>
      </c>
      <c r="E1107" s="6" t="s">
        <v>44</v>
      </c>
      <c r="F1107" s="6" t="b">
        <v>0</v>
      </c>
      <c r="G1107" s="6">
        <v>11.5035</v>
      </c>
    </row>
    <row r="1108" spans="1:7">
      <c r="A1108" s="6" t="s">
        <v>231</v>
      </c>
      <c r="B1108" s="6" t="s">
        <v>52</v>
      </c>
      <c r="C1108" s="6" t="s">
        <v>184</v>
      </c>
      <c r="D1108" s="6" t="s">
        <v>44</v>
      </c>
      <c r="E1108" s="6" t="s">
        <v>685</v>
      </c>
      <c r="F1108" s="6" t="b">
        <v>1</v>
      </c>
      <c r="G1108" s="6">
        <v>6.337499999999999</v>
      </c>
    </row>
    <row r="1109" spans="1:7">
      <c r="A1109" s="6" t="s">
        <v>231</v>
      </c>
      <c r="B1109" s="6" t="s">
        <v>52</v>
      </c>
      <c r="C1109" s="6" t="s">
        <v>184</v>
      </c>
      <c r="D1109" s="6" t="s">
        <v>177</v>
      </c>
      <c r="E1109" s="6" t="s">
        <v>685</v>
      </c>
      <c r="F1109" s="6" t="b">
        <v>1</v>
      </c>
      <c r="G1109" s="6">
        <v>0.6593333333333333</v>
      </c>
    </row>
    <row r="1110" spans="1:7">
      <c r="A1110" s="6" t="s">
        <v>231</v>
      </c>
      <c r="B1110" s="6" t="s">
        <v>52</v>
      </c>
      <c r="C1110" s="6" t="s">
        <v>186</v>
      </c>
      <c r="D1110" s="6" t="s">
        <v>86</v>
      </c>
      <c r="E1110" s="6" t="s">
        <v>86</v>
      </c>
      <c r="F1110" s="6" t="b">
        <v>0</v>
      </c>
      <c r="G1110" s="6">
        <v>25.24025</v>
      </c>
    </row>
    <row r="1111" spans="1:7">
      <c r="A1111" s="6" t="s">
        <v>231</v>
      </c>
      <c r="B1111" s="6" t="s">
        <v>52</v>
      </c>
      <c r="C1111" s="6" t="s">
        <v>186</v>
      </c>
      <c r="D1111" s="6" t="s">
        <v>88</v>
      </c>
      <c r="E1111" s="6" t="s">
        <v>88</v>
      </c>
      <c r="F1111" s="6" t="b">
        <v>0</v>
      </c>
      <c r="G1111" s="6">
        <v>0.1115</v>
      </c>
    </row>
    <row r="1112" spans="1:7">
      <c r="A1112" s="6" t="s">
        <v>231</v>
      </c>
      <c r="B1112" s="6" t="s">
        <v>52</v>
      </c>
      <c r="C1112" s="6" t="s">
        <v>186</v>
      </c>
      <c r="D1112" s="6" t="s">
        <v>90</v>
      </c>
      <c r="E1112" s="6" t="s">
        <v>90</v>
      </c>
      <c r="F1112" s="6" t="b">
        <v>0</v>
      </c>
      <c r="G1112" s="6">
        <v>0.07516666666666667</v>
      </c>
    </row>
    <row r="1113" spans="1:7">
      <c r="A1113" s="6" t="s">
        <v>231</v>
      </c>
      <c r="B1113" s="6" t="s">
        <v>52</v>
      </c>
      <c r="C1113" s="6" t="s">
        <v>186</v>
      </c>
      <c r="D1113" s="6" t="s">
        <v>177</v>
      </c>
      <c r="E1113" s="6" t="s">
        <v>86</v>
      </c>
      <c r="F1113" s="6" t="b">
        <v>0</v>
      </c>
      <c r="G1113" s="6">
        <v>0.025</v>
      </c>
    </row>
    <row r="1114" spans="1:7">
      <c r="A1114" s="6" t="s">
        <v>231</v>
      </c>
      <c r="B1114" s="6" t="s">
        <v>52</v>
      </c>
      <c r="C1114" s="6" t="s">
        <v>189</v>
      </c>
      <c r="D1114" s="6" t="s">
        <v>86</v>
      </c>
      <c r="E1114" s="6" t="s">
        <v>86</v>
      </c>
      <c r="F1114" s="6" t="b">
        <v>0</v>
      </c>
      <c r="G1114" s="6">
        <v>0.3943333333333334</v>
      </c>
    </row>
    <row r="1115" spans="1:7">
      <c r="A1115" s="6" t="s">
        <v>231</v>
      </c>
      <c r="B1115" s="6" t="s">
        <v>52</v>
      </c>
      <c r="C1115" s="6" t="s">
        <v>189</v>
      </c>
      <c r="D1115" s="6" t="s">
        <v>88</v>
      </c>
      <c r="E1115" s="6" t="s">
        <v>88</v>
      </c>
      <c r="F1115" s="6" t="b">
        <v>0</v>
      </c>
      <c r="G1115" s="6">
        <v>0.44</v>
      </c>
    </row>
    <row r="1116" spans="1:7">
      <c r="A1116" s="6" t="s">
        <v>346</v>
      </c>
      <c r="B1116" s="6" t="s">
        <v>52</v>
      </c>
      <c r="C1116" s="6" t="s">
        <v>181</v>
      </c>
      <c r="D1116" s="6" t="s">
        <v>88</v>
      </c>
      <c r="E1116" s="6" t="s">
        <v>88</v>
      </c>
      <c r="F1116" s="6" t="b">
        <v>0</v>
      </c>
      <c r="G1116" s="6">
        <v>0.3785</v>
      </c>
    </row>
    <row r="1117" spans="1:7">
      <c r="A1117" s="6" t="s">
        <v>346</v>
      </c>
      <c r="B1117" s="6" t="s">
        <v>52</v>
      </c>
      <c r="C1117" s="6" t="s">
        <v>184</v>
      </c>
      <c r="D1117" s="6" t="s">
        <v>44</v>
      </c>
      <c r="E1117" s="6" t="s">
        <v>44</v>
      </c>
      <c r="F1117" s="6" t="b">
        <v>0</v>
      </c>
      <c r="G1117" s="6">
        <v>7.308166666666666</v>
      </c>
    </row>
    <row r="1118" spans="1:7">
      <c r="A1118" s="6" t="s">
        <v>346</v>
      </c>
      <c r="B1118" s="6" t="s">
        <v>52</v>
      </c>
      <c r="C1118" s="6" t="s">
        <v>184</v>
      </c>
      <c r="D1118" s="6" t="s">
        <v>44</v>
      </c>
      <c r="E1118" s="6" t="s">
        <v>685</v>
      </c>
      <c r="F1118" s="6" t="b">
        <v>1</v>
      </c>
      <c r="G1118" s="6">
        <v>3.555</v>
      </c>
    </row>
    <row r="1119" spans="1:7">
      <c r="A1119" s="6" t="s">
        <v>346</v>
      </c>
      <c r="B1119" s="6" t="s">
        <v>52</v>
      </c>
      <c r="C1119" s="6" t="s">
        <v>184</v>
      </c>
      <c r="D1119" s="6" t="s">
        <v>177</v>
      </c>
      <c r="E1119" s="6" t="s">
        <v>685</v>
      </c>
      <c r="F1119" s="6" t="b">
        <v>1</v>
      </c>
      <c r="G1119" s="6">
        <v>0.5267499999999999</v>
      </c>
    </row>
    <row r="1120" spans="1:7">
      <c r="A1120" s="6" t="s">
        <v>346</v>
      </c>
      <c r="B1120" s="6" t="s">
        <v>52</v>
      </c>
      <c r="C1120" s="6" t="s">
        <v>186</v>
      </c>
      <c r="D1120" s="6" t="s">
        <v>86</v>
      </c>
      <c r="E1120" s="6" t="s">
        <v>86</v>
      </c>
      <c r="F1120" s="6" t="b">
        <v>0</v>
      </c>
      <c r="G1120" s="6">
        <v>15.67266666666667</v>
      </c>
    </row>
    <row r="1121" spans="1:7">
      <c r="A1121" s="6" t="s">
        <v>346</v>
      </c>
      <c r="B1121" s="6" t="s">
        <v>52</v>
      </c>
      <c r="C1121" s="6" t="s">
        <v>186</v>
      </c>
      <c r="D1121" s="6" t="s">
        <v>88</v>
      </c>
      <c r="E1121" s="6" t="s">
        <v>88</v>
      </c>
      <c r="F1121" s="6" t="b">
        <v>0</v>
      </c>
      <c r="G1121" s="6">
        <v>0.8185833333333333</v>
      </c>
    </row>
    <row r="1122" spans="1:7">
      <c r="A1122" s="6" t="s">
        <v>346</v>
      </c>
      <c r="B1122" s="6" t="s">
        <v>52</v>
      </c>
      <c r="C1122" s="6" t="s">
        <v>186</v>
      </c>
      <c r="D1122" s="6" t="s">
        <v>90</v>
      </c>
      <c r="E1122" s="6" t="s">
        <v>86</v>
      </c>
      <c r="F1122" s="6" t="b">
        <v>0</v>
      </c>
      <c r="G1122" s="6">
        <v>0.029</v>
      </c>
    </row>
    <row r="1123" spans="1:7">
      <c r="A1123" s="6" t="s">
        <v>346</v>
      </c>
      <c r="B1123" s="6" t="s">
        <v>52</v>
      </c>
      <c r="C1123" s="6" t="s">
        <v>186</v>
      </c>
      <c r="D1123" s="6" t="s">
        <v>90</v>
      </c>
      <c r="E1123" s="6" t="s">
        <v>90</v>
      </c>
      <c r="F1123" s="6" t="b">
        <v>0</v>
      </c>
      <c r="G1123" s="6">
        <v>0.08033333333333333</v>
      </c>
    </row>
    <row r="1124" spans="1:7">
      <c r="A1124" s="6" t="s">
        <v>346</v>
      </c>
      <c r="B1124" s="6" t="s">
        <v>52</v>
      </c>
      <c r="C1124" s="6" t="s">
        <v>186</v>
      </c>
      <c r="D1124" s="6" t="s">
        <v>177</v>
      </c>
      <c r="E1124" s="6" t="s">
        <v>86</v>
      </c>
      <c r="F1124" s="6" t="b">
        <v>0</v>
      </c>
      <c r="G1124" s="6">
        <v>0.076</v>
      </c>
    </row>
    <row r="1125" spans="1:7">
      <c r="A1125" s="6" t="s">
        <v>346</v>
      </c>
      <c r="B1125" s="6" t="s">
        <v>52</v>
      </c>
      <c r="C1125" s="6" t="s">
        <v>189</v>
      </c>
      <c r="D1125" s="6" t="s">
        <v>86</v>
      </c>
      <c r="E1125" s="6" t="s">
        <v>86</v>
      </c>
      <c r="F1125" s="6" t="b">
        <v>0</v>
      </c>
      <c r="G1125" s="6">
        <v>0.12975</v>
      </c>
    </row>
    <row r="1126" spans="1:7">
      <c r="A1126" s="6" t="s">
        <v>346</v>
      </c>
      <c r="B1126" s="6" t="s">
        <v>52</v>
      </c>
      <c r="C1126" s="6" t="s">
        <v>189</v>
      </c>
      <c r="D1126" s="6" t="s">
        <v>88</v>
      </c>
      <c r="E1126" s="6" t="s">
        <v>88</v>
      </c>
      <c r="F1126" s="6" t="b">
        <v>0</v>
      </c>
      <c r="G1126" s="6">
        <v>0.1258333333333333</v>
      </c>
    </row>
    <row r="1127" spans="1:7">
      <c r="A1127" s="6" t="s">
        <v>232</v>
      </c>
      <c r="B1127" s="6" t="s">
        <v>51</v>
      </c>
      <c r="C1127" s="6" t="s">
        <v>181</v>
      </c>
      <c r="D1127" s="6" t="s">
        <v>88</v>
      </c>
      <c r="E1127" s="6" t="s">
        <v>88</v>
      </c>
      <c r="F1127" s="6" t="b">
        <v>0</v>
      </c>
      <c r="G1127" s="6">
        <v>6.30575</v>
      </c>
    </row>
    <row r="1128" spans="1:7">
      <c r="A1128" s="6" t="s">
        <v>232</v>
      </c>
      <c r="B1128" s="6" t="s">
        <v>51</v>
      </c>
      <c r="C1128" s="6" t="s">
        <v>181</v>
      </c>
      <c r="D1128" s="6" t="s">
        <v>90</v>
      </c>
      <c r="E1128" s="6" t="s">
        <v>90</v>
      </c>
      <c r="F1128" s="6" t="b">
        <v>0</v>
      </c>
      <c r="G1128" s="6">
        <v>0.05666666666666667</v>
      </c>
    </row>
    <row r="1129" spans="1:7">
      <c r="A1129" s="6" t="s">
        <v>232</v>
      </c>
      <c r="B1129" s="6" t="s">
        <v>51</v>
      </c>
      <c r="C1129" s="6" t="s">
        <v>183</v>
      </c>
      <c r="D1129" s="6" t="s">
        <v>88</v>
      </c>
      <c r="E1129" s="6" t="s">
        <v>88</v>
      </c>
      <c r="F1129" s="6" t="b">
        <v>0</v>
      </c>
      <c r="G1129" s="6">
        <v>0.07841666666666668</v>
      </c>
    </row>
    <row r="1130" spans="1:7">
      <c r="A1130" s="6" t="s">
        <v>232</v>
      </c>
      <c r="B1130" s="6" t="s">
        <v>51</v>
      </c>
      <c r="C1130" s="6" t="s">
        <v>183</v>
      </c>
      <c r="D1130" s="6" t="s">
        <v>90</v>
      </c>
      <c r="E1130" s="6" t="s">
        <v>86</v>
      </c>
      <c r="F1130" s="6" t="b">
        <v>0</v>
      </c>
      <c r="G1130" s="6">
        <v>0.05241666666666667</v>
      </c>
    </row>
    <row r="1131" spans="1:7">
      <c r="A1131" s="6" t="s">
        <v>232</v>
      </c>
      <c r="B1131" s="6" t="s">
        <v>51</v>
      </c>
      <c r="C1131" s="6" t="s">
        <v>183</v>
      </c>
      <c r="D1131" s="6" t="s">
        <v>90</v>
      </c>
      <c r="E1131" s="6" t="s">
        <v>90</v>
      </c>
      <c r="F1131" s="6" t="b">
        <v>0</v>
      </c>
      <c r="G1131" s="6">
        <v>0.05549999999999999</v>
      </c>
    </row>
    <row r="1132" spans="1:7">
      <c r="A1132" s="6" t="s">
        <v>232</v>
      </c>
      <c r="B1132" s="6" t="s">
        <v>51</v>
      </c>
      <c r="C1132" s="6" t="s">
        <v>183</v>
      </c>
      <c r="D1132" s="6" t="s">
        <v>177</v>
      </c>
      <c r="E1132" s="6" t="s">
        <v>685</v>
      </c>
      <c r="F1132" s="6" t="b">
        <v>1</v>
      </c>
      <c r="G1132" s="6">
        <v>0.0035</v>
      </c>
    </row>
    <row r="1133" spans="1:7">
      <c r="A1133" s="6" t="s">
        <v>232</v>
      </c>
      <c r="B1133" s="6" t="s">
        <v>51</v>
      </c>
      <c r="C1133" s="6" t="s">
        <v>184</v>
      </c>
      <c r="D1133" s="6" t="s">
        <v>44</v>
      </c>
      <c r="E1133" s="6" t="s">
        <v>44</v>
      </c>
      <c r="F1133" s="6" t="b">
        <v>0</v>
      </c>
      <c r="G1133" s="6">
        <v>22.23383333333333</v>
      </c>
    </row>
    <row r="1134" spans="1:7">
      <c r="A1134" s="6" t="s">
        <v>232</v>
      </c>
      <c r="B1134" s="6" t="s">
        <v>51</v>
      </c>
      <c r="C1134" s="6" t="s">
        <v>184</v>
      </c>
      <c r="D1134" s="6" t="s">
        <v>88</v>
      </c>
      <c r="E1134" s="6" t="s">
        <v>88</v>
      </c>
      <c r="F1134" s="6" t="b">
        <v>0</v>
      </c>
      <c r="G1134" s="6">
        <v>0.1990833333333334</v>
      </c>
    </row>
    <row r="1135" spans="1:7">
      <c r="A1135" s="6" t="s">
        <v>232</v>
      </c>
      <c r="B1135" s="6" t="s">
        <v>51</v>
      </c>
      <c r="C1135" s="6" t="s">
        <v>184</v>
      </c>
      <c r="D1135" s="6" t="s">
        <v>90</v>
      </c>
      <c r="E1135" s="6" t="s">
        <v>90</v>
      </c>
      <c r="F1135" s="6" t="b">
        <v>0</v>
      </c>
      <c r="G1135" s="6">
        <v>0.1140833333333333</v>
      </c>
    </row>
    <row r="1136" spans="1:7">
      <c r="A1136" s="6" t="s">
        <v>232</v>
      </c>
      <c r="B1136" s="6" t="s">
        <v>51</v>
      </c>
      <c r="C1136" s="6" t="s">
        <v>184</v>
      </c>
      <c r="D1136" s="6" t="s">
        <v>90</v>
      </c>
      <c r="E1136" s="6" t="s">
        <v>685</v>
      </c>
      <c r="F1136" s="6" t="b">
        <v>1</v>
      </c>
      <c r="G1136" s="6">
        <v>0.1791666666666667</v>
      </c>
    </row>
    <row r="1137" spans="1:7">
      <c r="A1137" s="6" t="s">
        <v>232</v>
      </c>
      <c r="B1137" s="6" t="s">
        <v>51</v>
      </c>
      <c r="C1137" s="6" t="s">
        <v>184</v>
      </c>
      <c r="D1137" s="6" t="s">
        <v>177</v>
      </c>
      <c r="E1137" s="6" t="s">
        <v>44</v>
      </c>
      <c r="F1137" s="6" t="b">
        <v>0</v>
      </c>
      <c r="G1137" s="6">
        <v>15.81466666666667</v>
      </c>
    </row>
    <row r="1138" spans="1:7">
      <c r="A1138" s="6" t="s">
        <v>232</v>
      </c>
      <c r="B1138" s="6" t="s">
        <v>51</v>
      </c>
      <c r="C1138" s="6" t="s">
        <v>184</v>
      </c>
      <c r="D1138" s="6" t="s">
        <v>177</v>
      </c>
      <c r="E1138" s="6" t="s">
        <v>86</v>
      </c>
      <c r="F1138" s="6" t="b">
        <v>0</v>
      </c>
      <c r="G1138" s="6">
        <v>0.19825</v>
      </c>
    </row>
    <row r="1139" spans="1:7">
      <c r="A1139" s="6" t="s">
        <v>232</v>
      </c>
      <c r="B1139" s="6" t="s">
        <v>51</v>
      </c>
      <c r="C1139" s="6" t="s">
        <v>184</v>
      </c>
      <c r="D1139" s="6" t="s">
        <v>177</v>
      </c>
      <c r="E1139" s="6" t="s">
        <v>685</v>
      </c>
      <c r="F1139" s="6" t="b">
        <v>1</v>
      </c>
      <c r="G1139" s="6">
        <v>1.21325</v>
      </c>
    </row>
    <row r="1140" spans="1:7">
      <c r="A1140" s="6" t="s">
        <v>232</v>
      </c>
      <c r="B1140" s="6" t="s">
        <v>51</v>
      </c>
      <c r="C1140" s="6" t="s">
        <v>186</v>
      </c>
      <c r="D1140" s="6" t="s">
        <v>86</v>
      </c>
      <c r="E1140" s="6" t="s">
        <v>86</v>
      </c>
      <c r="F1140" s="6" t="b">
        <v>0</v>
      </c>
      <c r="G1140" s="6">
        <v>8.348916666666666</v>
      </c>
    </row>
    <row r="1141" spans="1:7">
      <c r="A1141" s="6" t="s">
        <v>232</v>
      </c>
      <c r="B1141" s="6" t="s">
        <v>51</v>
      </c>
      <c r="C1141" s="6" t="s">
        <v>186</v>
      </c>
      <c r="D1141" s="6" t="s">
        <v>88</v>
      </c>
      <c r="E1141" s="6" t="s">
        <v>88</v>
      </c>
      <c r="F1141" s="6" t="b">
        <v>0</v>
      </c>
      <c r="G1141" s="6">
        <v>0.3315</v>
      </c>
    </row>
    <row r="1142" spans="1:7">
      <c r="A1142" s="6" t="s">
        <v>232</v>
      </c>
      <c r="B1142" s="6" t="s">
        <v>51</v>
      </c>
      <c r="C1142" s="6" t="s">
        <v>186</v>
      </c>
      <c r="D1142" s="6" t="s">
        <v>90</v>
      </c>
      <c r="E1142" s="6" t="s">
        <v>90</v>
      </c>
      <c r="F1142" s="6" t="b">
        <v>0</v>
      </c>
      <c r="G1142" s="6">
        <v>4.92625</v>
      </c>
    </row>
    <row r="1143" spans="1:7">
      <c r="A1143" s="6" t="s">
        <v>232</v>
      </c>
      <c r="B1143" s="6" t="s">
        <v>51</v>
      </c>
      <c r="C1143" s="6" t="s">
        <v>186</v>
      </c>
      <c r="D1143" s="6" t="s">
        <v>177</v>
      </c>
      <c r="E1143" s="6" t="s">
        <v>86</v>
      </c>
      <c r="F1143" s="6" t="b">
        <v>0</v>
      </c>
      <c r="G1143" s="6">
        <v>0.09450000000000001</v>
      </c>
    </row>
    <row r="1144" spans="1:7">
      <c r="A1144" s="6" t="s">
        <v>232</v>
      </c>
      <c r="B1144" s="6" t="s">
        <v>51</v>
      </c>
      <c r="C1144" s="6" t="s">
        <v>189</v>
      </c>
      <c r="D1144" s="6" t="s">
        <v>86</v>
      </c>
      <c r="E1144" s="6" t="s">
        <v>86</v>
      </c>
      <c r="F1144" s="6" t="b">
        <v>0</v>
      </c>
      <c r="G1144" s="6">
        <v>4.571833333333333</v>
      </c>
    </row>
    <row r="1145" spans="1:7">
      <c r="A1145" s="6" t="s">
        <v>232</v>
      </c>
      <c r="B1145" s="6" t="s">
        <v>51</v>
      </c>
      <c r="C1145" s="6" t="s">
        <v>189</v>
      </c>
      <c r="D1145" s="6" t="s">
        <v>88</v>
      </c>
      <c r="E1145" s="6" t="s">
        <v>88</v>
      </c>
      <c r="F1145" s="6" t="b">
        <v>0</v>
      </c>
      <c r="G1145" s="6">
        <v>5.953833333333333</v>
      </c>
    </row>
    <row r="1146" spans="1:7">
      <c r="A1146" s="6" t="s">
        <v>232</v>
      </c>
      <c r="B1146" s="6" t="s">
        <v>51</v>
      </c>
      <c r="C1146" s="6" t="s">
        <v>189</v>
      </c>
      <c r="D1146" s="6" t="s">
        <v>90</v>
      </c>
      <c r="E1146" s="6" t="s">
        <v>90</v>
      </c>
      <c r="F1146" s="6" t="b">
        <v>0</v>
      </c>
      <c r="G1146" s="6">
        <v>0.7605</v>
      </c>
    </row>
    <row r="1147" spans="1:7">
      <c r="A1147" s="6" t="s">
        <v>232</v>
      </c>
      <c r="B1147" s="6" t="s">
        <v>51</v>
      </c>
      <c r="C1147" s="6" t="s">
        <v>190</v>
      </c>
      <c r="D1147" s="6" t="s">
        <v>44</v>
      </c>
      <c r="E1147" s="6" t="s">
        <v>44</v>
      </c>
      <c r="F1147" s="6" t="b">
        <v>0</v>
      </c>
      <c r="G1147" s="6">
        <v>0.1456666666666667</v>
      </c>
    </row>
    <row r="1148" spans="1:7">
      <c r="A1148" s="6" t="s">
        <v>232</v>
      </c>
      <c r="B1148" s="6" t="s">
        <v>51</v>
      </c>
      <c r="C1148" s="6" t="s">
        <v>190</v>
      </c>
      <c r="D1148" s="6" t="s">
        <v>177</v>
      </c>
      <c r="E1148" s="6" t="s">
        <v>44</v>
      </c>
      <c r="F1148" s="6" t="b">
        <v>0</v>
      </c>
      <c r="G1148" s="6">
        <v>0.09899999999999999</v>
      </c>
    </row>
    <row r="1149" spans="1:7">
      <c r="A1149" s="6" t="s">
        <v>233</v>
      </c>
      <c r="B1149" s="6" t="s">
        <v>59</v>
      </c>
      <c r="C1149" s="6" t="s">
        <v>181</v>
      </c>
      <c r="D1149" s="6" t="s">
        <v>88</v>
      </c>
      <c r="E1149" s="6" t="s">
        <v>88</v>
      </c>
      <c r="F1149" s="6" t="b">
        <v>0</v>
      </c>
      <c r="G1149" s="6">
        <v>22.26958333333333</v>
      </c>
    </row>
    <row r="1150" spans="1:7">
      <c r="A1150" s="6" t="s">
        <v>233</v>
      </c>
      <c r="B1150" s="6" t="s">
        <v>59</v>
      </c>
      <c r="C1150" s="6" t="s">
        <v>181</v>
      </c>
      <c r="D1150" s="6" t="s">
        <v>90</v>
      </c>
      <c r="E1150" s="6" t="s">
        <v>90</v>
      </c>
      <c r="F1150" s="6" t="b">
        <v>0</v>
      </c>
      <c r="G1150" s="6">
        <v>0.01758333333333334</v>
      </c>
    </row>
    <row r="1151" spans="1:7">
      <c r="A1151" s="6" t="s">
        <v>233</v>
      </c>
      <c r="B1151" s="6" t="s">
        <v>59</v>
      </c>
      <c r="C1151" s="6" t="s">
        <v>183</v>
      </c>
      <c r="D1151" s="6" t="s">
        <v>86</v>
      </c>
      <c r="E1151" s="6" t="s">
        <v>86</v>
      </c>
      <c r="F1151" s="6" t="b">
        <v>0</v>
      </c>
      <c r="G1151" s="6">
        <v>0.00425</v>
      </c>
    </row>
    <row r="1152" spans="1:7">
      <c r="A1152" s="6" t="s">
        <v>233</v>
      </c>
      <c r="B1152" s="6" t="s">
        <v>59</v>
      </c>
      <c r="C1152" s="6" t="s">
        <v>183</v>
      </c>
      <c r="D1152" s="6" t="s">
        <v>88</v>
      </c>
      <c r="E1152" s="6" t="s">
        <v>88</v>
      </c>
      <c r="F1152" s="6" t="b">
        <v>0</v>
      </c>
      <c r="G1152" s="6">
        <v>0.4717500000000001</v>
      </c>
    </row>
    <row r="1153" spans="1:7">
      <c r="A1153" s="6" t="s">
        <v>233</v>
      </c>
      <c r="B1153" s="6" t="s">
        <v>59</v>
      </c>
      <c r="C1153" s="6" t="s">
        <v>183</v>
      </c>
      <c r="D1153" s="6" t="s">
        <v>90</v>
      </c>
      <c r="E1153" s="6" t="s">
        <v>86</v>
      </c>
      <c r="F1153" s="6" t="b">
        <v>0</v>
      </c>
      <c r="G1153" s="6">
        <v>0.1908333333333333</v>
      </c>
    </row>
    <row r="1154" spans="1:7">
      <c r="A1154" s="6" t="s">
        <v>233</v>
      </c>
      <c r="B1154" s="6" t="s">
        <v>59</v>
      </c>
      <c r="C1154" s="6" t="s">
        <v>183</v>
      </c>
      <c r="D1154" s="6" t="s">
        <v>90</v>
      </c>
      <c r="E1154" s="6" t="s">
        <v>90</v>
      </c>
      <c r="F1154" s="6" t="b">
        <v>0</v>
      </c>
      <c r="G1154" s="6">
        <v>0.11075</v>
      </c>
    </row>
    <row r="1155" spans="1:7">
      <c r="A1155" s="6" t="s">
        <v>233</v>
      </c>
      <c r="B1155" s="6" t="s">
        <v>59</v>
      </c>
      <c r="C1155" s="6" t="s">
        <v>183</v>
      </c>
      <c r="D1155" s="6" t="s">
        <v>177</v>
      </c>
      <c r="E1155" s="6" t="s">
        <v>86</v>
      </c>
      <c r="F1155" s="6" t="b">
        <v>0</v>
      </c>
      <c r="G1155" s="6">
        <v>0.04325</v>
      </c>
    </row>
    <row r="1156" spans="1:7">
      <c r="A1156" s="6" t="s">
        <v>233</v>
      </c>
      <c r="B1156" s="6" t="s">
        <v>59</v>
      </c>
      <c r="C1156" s="6" t="s">
        <v>183</v>
      </c>
      <c r="D1156" s="6" t="s">
        <v>177</v>
      </c>
      <c r="E1156" s="6" t="s">
        <v>685</v>
      </c>
      <c r="F1156" s="6" t="b">
        <v>1</v>
      </c>
      <c r="G1156" s="6">
        <v>0.008999999999999999</v>
      </c>
    </row>
    <row r="1157" spans="1:7">
      <c r="A1157" s="6" t="s">
        <v>233</v>
      </c>
      <c r="B1157" s="6" t="s">
        <v>59</v>
      </c>
      <c r="C1157" s="6" t="s">
        <v>184</v>
      </c>
      <c r="D1157" s="6" t="s">
        <v>44</v>
      </c>
      <c r="E1157" s="6" t="s">
        <v>44</v>
      </c>
      <c r="F1157" s="6" t="b">
        <v>0</v>
      </c>
      <c r="G1157" s="6">
        <v>266.1396666666666</v>
      </c>
    </row>
    <row r="1158" spans="1:7">
      <c r="A1158" s="6" t="s">
        <v>233</v>
      </c>
      <c r="B1158" s="6" t="s">
        <v>59</v>
      </c>
      <c r="C1158" s="6" t="s">
        <v>184</v>
      </c>
      <c r="D1158" s="6" t="s">
        <v>88</v>
      </c>
      <c r="E1158" s="6" t="s">
        <v>88</v>
      </c>
      <c r="F1158" s="6" t="b">
        <v>0</v>
      </c>
      <c r="G1158" s="6">
        <v>0.05816666666666667</v>
      </c>
    </row>
    <row r="1159" spans="1:7">
      <c r="A1159" s="6" t="s">
        <v>233</v>
      </c>
      <c r="B1159" s="6" t="s">
        <v>59</v>
      </c>
      <c r="C1159" s="6" t="s">
        <v>184</v>
      </c>
      <c r="D1159" s="6" t="s">
        <v>90</v>
      </c>
      <c r="E1159" s="6" t="s">
        <v>90</v>
      </c>
      <c r="F1159" s="6" t="b">
        <v>0</v>
      </c>
      <c r="G1159" s="6">
        <v>0.29125</v>
      </c>
    </row>
    <row r="1160" spans="1:7">
      <c r="A1160" s="6" t="s">
        <v>233</v>
      </c>
      <c r="B1160" s="6" t="s">
        <v>59</v>
      </c>
      <c r="C1160" s="6" t="s">
        <v>184</v>
      </c>
      <c r="D1160" s="6" t="s">
        <v>90</v>
      </c>
      <c r="E1160" s="6" t="s">
        <v>685</v>
      </c>
      <c r="F1160" s="6" t="b">
        <v>1</v>
      </c>
      <c r="G1160" s="6">
        <v>0.2131666666666667</v>
      </c>
    </row>
    <row r="1161" spans="1:7">
      <c r="A1161" s="6" t="s">
        <v>233</v>
      </c>
      <c r="B1161" s="6" t="s">
        <v>59</v>
      </c>
      <c r="C1161" s="6" t="s">
        <v>184</v>
      </c>
      <c r="D1161" s="6" t="s">
        <v>177</v>
      </c>
      <c r="E1161" s="6" t="s">
        <v>44</v>
      </c>
      <c r="F1161" s="6" t="b">
        <v>0</v>
      </c>
      <c r="G1161" s="6">
        <v>249.1859166666667</v>
      </c>
    </row>
    <row r="1162" spans="1:7">
      <c r="A1162" s="6" t="s">
        <v>233</v>
      </c>
      <c r="B1162" s="6" t="s">
        <v>59</v>
      </c>
      <c r="C1162" s="6" t="s">
        <v>184</v>
      </c>
      <c r="D1162" s="6" t="s">
        <v>177</v>
      </c>
      <c r="E1162" s="6" t="s">
        <v>86</v>
      </c>
      <c r="F1162" s="6" t="b">
        <v>0</v>
      </c>
      <c r="G1162" s="6">
        <v>0.10025</v>
      </c>
    </row>
    <row r="1163" spans="1:7">
      <c r="A1163" s="6" t="s">
        <v>233</v>
      </c>
      <c r="B1163" s="6" t="s">
        <v>59</v>
      </c>
      <c r="C1163" s="6" t="s">
        <v>184</v>
      </c>
      <c r="D1163" s="6" t="s">
        <v>177</v>
      </c>
      <c r="E1163" s="6" t="s">
        <v>685</v>
      </c>
      <c r="F1163" s="6" t="b">
        <v>1</v>
      </c>
      <c r="G1163" s="6">
        <v>0.7589166666666666</v>
      </c>
    </row>
    <row r="1164" spans="1:7">
      <c r="A1164" s="6" t="s">
        <v>233</v>
      </c>
      <c r="B1164" s="6" t="s">
        <v>59</v>
      </c>
      <c r="C1164" s="6" t="s">
        <v>186</v>
      </c>
      <c r="D1164" s="6" t="s">
        <v>86</v>
      </c>
      <c r="E1164" s="6" t="s">
        <v>86</v>
      </c>
      <c r="F1164" s="6" t="b">
        <v>0</v>
      </c>
      <c r="G1164" s="6">
        <v>96.33958333333334</v>
      </c>
    </row>
    <row r="1165" spans="1:7">
      <c r="A1165" s="6" t="s">
        <v>233</v>
      </c>
      <c r="B1165" s="6" t="s">
        <v>59</v>
      </c>
      <c r="C1165" s="6" t="s">
        <v>186</v>
      </c>
      <c r="D1165" s="6" t="s">
        <v>88</v>
      </c>
      <c r="E1165" s="6" t="s">
        <v>88</v>
      </c>
      <c r="F1165" s="6" t="b">
        <v>0</v>
      </c>
      <c r="G1165" s="6">
        <v>2.86</v>
      </c>
    </row>
    <row r="1166" spans="1:7">
      <c r="A1166" s="6" t="s">
        <v>233</v>
      </c>
      <c r="B1166" s="6" t="s">
        <v>59</v>
      </c>
      <c r="C1166" s="6" t="s">
        <v>186</v>
      </c>
      <c r="D1166" s="6" t="s">
        <v>90</v>
      </c>
      <c r="E1166" s="6" t="s">
        <v>86</v>
      </c>
      <c r="F1166" s="6" t="b">
        <v>0</v>
      </c>
      <c r="G1166" s="6">
        <v>0.002833333333333334</v>
      </c>
    </row>
    <row r="1167" spans="1:7">
      <c r="A1167" s="6" t="s">
        <v>233</v>
      </c>
      <c r="B1167" s="6" t="s">
        <v>59</v>
      </c>
      <c r="C1167" s="6" t="s">
        <v>186</v>
      </c>
      <c r="D1167" s="6" t="s">
        <v>90</v>
      </c>
      <c r="E1167" s="6" t="s">
        <v>90</v>
      </c>
      <c r="F1167" s="6" t="b">
        <v>0</v>
      </c>
      <c r="G1167" s="6">
        <v>14.05358333333333</v>
      </c>
    </row>
    <row r="1168" spans="1:7">
      <c r="A1168" s="6" t="s">
        <v>233</v>
      </c>
      <c r="B1168" s="6" t="s">
        <v>59</v>
      </c>
      <c r="C1168" s="6" t="s">
        <v>186</v>
      </c>
      <c r="D1168" s="6" t="s">
        <v>177</v>
      </c>
      <c r="E1168" s="6" t="s">
        <v>86</v>
      </c>
      <c r="F1168" s="6" t="b">
        <v>0</v>
      </c>
      <c r="G1168" s="6">
        <v>1.54975</v>
      </c>
    </row>
    <row r="1169" spans="1:7">
      <c r="A1169" s="6" t="s">
        <v>233</v>
      </c>
      <c r="B1169" s="6" t="s">
        <v>59</v>
      </c>
      <c r="C1169" s="6" t="s">
        <v>188</v>
      </c>
      <c r="D1169" s="6" t="s">
        <v>86</v>
      </c>
      <c r="E1169" s="6" t="s">
        <v>86</v>
      </c>
      <c r="F1169" s="6" t="b">
        <v>0</v>
      </c>
      <c r="G1169" s="6">
        <v>0.3223333333333334</v>
      </c>
    </row>
    <row r="1170" spans="1:7">
      <c r="A1170" s="6" t="s">
        <v>233</v>
      </c>
      <c r="B1170" s="6" t="s">
        <v>59</v>
      </c>
      <c r="C1170" s="6" t="s">
        <v>188</v>
      </c>
      <c r="D1170" s="6" t="s">
        <v>88</v>
      </c>
      <c r="E1170" s="6" t="s">
        <v>88</v>
      </c>
      <c r="F1170" s="6" t="b">
        <v>0</v>
      </c>
      <c r="G1170" s="6">
        <v>8.942583333333333</v>
      </c>
    </row>
    <row r="1171" spans="1:7">
      <c r="A1171" s="6" t="s">
        <v>233</v>
      </c>
      <c r="B1171" s="6" t="s">
        <v>59</v>
      </c>
      <c r="C1171" s="6" t="s">
        <v>189</v>
      </c>
      <c r="D1171" s="6" t="s">
        <v>86</v>
      </c>
      <c r="E1171" s="6" t="s">
        <v>86</v>
      </c>
      <c r="F1171" s="6" t="b">
        <v>0</v>
      </c>
      <c r="G1171" s="6">
        <v>4.338583333333333</v>
      </c>
    </row>
    <row r="1172" spans="1:7">
      <c r="A1172" s="6" t="s">
        <v>233</v>
      </c>
      <c r="B1172" s="6" t="s">
        <v>59</v>
      </c>
      <c r="C1172" s="6" t="s">
        <v>189</v>
      </c>
      <c r="D1172" s="6" t="s">
        <v>88</v>
      </c>
      <c r="E1172" s="6" t="s">
        <v>88</v>
      </c>
      <c r="F1172" s="6" t="b">
        <v>0</v>
      </c>
      <c r="G1172" s="6">
        <v>11.556</v>
      </c>
    </row>
    <row r="1173" spans="1:7">
      <c r="A1173" s="6" t="s">
        <v>233</v>
      </c>
      <c r="B1173" s="6" t="s">
        <v>59</v>
      </c>
      <c r="C1173" s="6" t="s">
        <v>189</v>
      </c>
      <c r="D1173" s="6" t="s">
        <v>90</v>
      </c>
      <c r="E1173" s="6" t="s">
        <v>90</v>
      </c>
      <c r="F1173" s="6" t="b">
        <v>0</v>
      </c>
      <c r="G1173" s="6">
        <v>0.5406666666666666</v>
      </c>
    </row>
    <row r="1174" spans="1:7">
      <c r="A1174" s="6" t="s">
        <v>234</v>
      </c>
      <c r="B1174" s="6" t="s">
        <v>56</v>
      </c>
      <c r="C1174" s="6" t="s">
        <v>181</v>
      </c>
      <c r="D1174" s="6" t="s">
        <v>88</v>
      </c>
      <c r="E1174" s="6" t="s">
        <v>88</v>
      </c>
      <c r="F1174" s="6" t="b">
        <v>0</v>
      </c>
      <c r="G1174" s="6">
        <v>24.889</v>
      </c>
    </row>
    <row r="1175" spans="1:7">
      <c r="A1175" s="6" t="s">
        <v>234</v>
      </c>
      <c r="B1175" s="6" t="s">
        <v>56</v>
      </c>
      <c r="C1175" s="6" t="s">
        <v>181</v>
      </c>
      <c r="D1175" s="6" t="s">
        <v>90</v>
      </c>
      <c r="E1175" s="6" t="s">
        <v>90</v>
      </c>
      <c r="F1175" s="6" t="b">
        <v>0</v>
      </c>
      <c r="G1175" s="6">
        <v>0.02866666666666666</v>
      </c>
    </row>
    <row r="1176" spans="1:7">
      <c r="A1176" s="6" t="s">
        <v>234</v>
      </c>
      <c r="B1176" s="6" t="s">
        <v>56</v>
      </c>
      <c r="C1176" s="6" t="s">
        <v>182</v>
      </c>
      <c r="D1176" s="6" t="s">
        <v>88</v>
      </c>
      <c r="E1176" s="6" t="s">
        <v>88</v>
      </c>
      <c r="F1176" s="6" t="b">
        <v>0</v>
      </c>
      <c r="G1176" s="6">
        <v>2.7175</v>
      </c>
    </row>
    <row r="1177" spans="1:7">
      <c r="A1177" s="6" t="s">
        <v>234</v>
      </c>
      <c r="B1177" s="6" t="s">
        <v>56</v>
      </c>
      <c r="C1177" s="6" t="s">
        <v>183</v>
      </c>
      <c r="D1177" s="6" t="s">
        <v>86</v>
      </c>
      <c r="E1177" s="6" t="s">
        <v>86</v>
      </c>
      <c r="F1177" s="6" t="b">
        <v>0</v>
      </c>
      <c r="G1177" s="6">
        <v>0.02616666666666667</v>
      </c>
    </row>
    <row r="1178" spans="1:7">
      <c r="A1178" s="6" t="s">
        <v>234</v>
      </c>
      <c r="B1178" s="6" t="s">
        <v>56</v>
      </c>
      <c r="C1178" s="6" t="s">
        <v>183</v>
      </c>
      <c r="D1178" s="6" t="s">
        <v>88</v>
      </c>
      <c r="E1178" s="6" t="s">
        <v>88</v>
      </c>
      <c r="F1178" s="6" t="b">
        <v>0</v>
      </c>
      <c r="G1178" s="6">
        <v>0.6385</v>
      </c>
    </row>
    <row r="1179" spans="1:7">
      <c r="A1179" s="6" t="s">
        <v>234</v>
      </c>
      <c r="B1179" s="6" t="s">
        <v>56</v>
      </c>
      <c r="C1179" s="6" t="s">
        <v>183</v>
      </c>
      <c r="D1179" s="6" t="s">
        <v>90</v>
      </c>
      <c r="E1179" s="6" t="s">
        <v>86</v>
      </c>
      <c r="F1179" s="6" t="b">
        <v>0</v>
      </c>
      <c r="G1179" s="6">
        <v>0.6687500000000001</v>
      </c>
    </row>
    <row r="1180" spans="1:7">
      <c r="A1180" s="6" t="s">
        <v>234</v>
      </c>
      <c r="B1180" s="6" t="s">
        <v>56</v>
      </c>
      <c r="C1180" s="6" t="s">
        <v>183</v>
      </c>
      <c r="D1180" s="6" t="s">
        <v>90</v>
      </c>
      <c r="E1180" s="6" t="s">
        <v>90</v>
      </c>
      <c r="F1180" s="6" t="b">
        <v>0</v>
      </c>
      <c r="G1180" s="6">
        <v>1.415166666666667</v>
      </c>
    </row>
    <row r="1181" spans="1:7">
      <c r="A1181" s="6" t="s">
        <v>234</v>
      </c>
      <c r="B1181" s="6" t="s">
        <v>56</v>
      </c>
      <c r="C1181" s="6" t="s">
        <v>183</v>
      </c>
      <c r="D1181" s="6" t="s">
        <v>177</v>
      </c>
      <c r="E1181" s="6" t="s">
        <v>86</v>
      </c>
      <c r="F1181" s="6" t="b">
        <v>0</v>
      </c>
      <c r="G1181" s="6">
        <v>0.2378333333333333</v>
      </c>
    </row>
    <row r="1182" spans="1:7">
      <c r="A1182" s="6" t="s">
        <v>234</v>
      </c>
      <c r="B1182" s="6" t="s">
        <v>56</v>
      </c>
      <c r="C1182" s="6" t="s">
        <v>183</v>
      </c>
      <c r="D1182" s="6" t="s">
        <v>177</v>
      </c>
      <c r="E1182" s="6" t="s">
        <v>685</v>
      </c>
      <c r="F1182" s="6" t="b">
        <v>1</v>
      </c>
      <c r="G1182" s="6">
        <v>0.001</v>
      </c>
    </row>
    <row r="1183" spans="1:7">
      <c r="A1183" s="6" t="s">
        <v>234</v>
      </c>
      <c r="B1183" s="6" t="s">
        <v>56</v>
      </c>
      <c r="C1183" s="6" t="s">
        <v>184</v>
      </c>
      <c r="D1183" s="6" t="s">
        <v>44</v>
      </c>
      <c r="E1183" s="6" t="s">
        <v>44</v>
      </c>
      <c r="F1183" s="6" t="b">
        <v>0</v>
      </c>
      <c r="G1183" s="6">
        <v>127.8839166666667</v>
      </c>
    </row>
    <row r="1184" spans="1:7">
      <c r="A1184" s="6" t="s">
        <v>234</v>
      </c>
      <c r="B1184" s="6" t="s">
        <v>56</v>
      </c>
      <c r="C1184" s="6" t="s">
        <v>184</v>
      </c>
      <c r="D1184" s="6" t="s">
        <v>88</v>
      </c>
      <c r="E1184" s="6" t="s">
        <v>88</v>
      </c>
      <c r="F1184" s="6" t="b">
        <v>0</v>
      </c>
      <c r="G1184" s="6">
        <v>0.15875</v>
      </c>
    </row>
    <row r="1185" spans="1:7">
      <c r="A1185" s="6" t="s">
        <v>234</v>
      </c>
      <c r="B1185" s="6" t="s">
        <v>56</v>
      </c>
      <c r="C1185" s="6" t="s">
        <v>184</v>
      </c>
      <c r="D1185" s="6" t="s">
        <v>90</v>
      </c>
      <c r="E1185" s="6" t="s">
        <v>90</v>
      </c>
      <c r="F1185" s="6" t="b">
        <v>0</v>
      </c>
      <c r="G1185" s="6">
        <v>13.61491666666667</v>
      </c>
    </row>
    <row r="1186" spans="1:7">
      <c r="A1186" s="6" t="s">
        <v>234</v>
      </c>
      <c r="B1186" s="6" t="s">
        <v>56</v>
      </c>
      <c r="C1186" s="6" t="s">
        <v>184</v>
      </c>
      <c r="D1186" s="6" t="s">
        <v>90</v>
      </c>
      <c r="E1186" s="6" t="s">
        <v>685</v>
      </c>
      <c r="F1186" s="6" t="b">
        <v>1</v>
      </c>
      <c r="G1186" s="6">
        <v>1.823666666666667</v>
      </c>
    </row>
    <row r="1187" spans="1:7">
      <c r="A1187" s="6" t="s">
        <v>234</v>
      </c>
      <c r="B1187" s="6" t="s">
        <v>56</v>
      </c>
      <c r="C1187" s="6" t="s">
        <v>184</v>
      </c>
      <c r="D1187" s="6" t="s">
        <v>177</v>
      </c>
      <c r="E1187" s="6" t="s">
        <v>44</v>
      </c>
      <c r="F1187" s="6" t="b">
        <v>0</v>
      </c>
      <c r="G1187" s="6">
        <v>55.71083333333333</v>
      </c>
    </row>
    <row r="1188" spans="1:7">
      <c r="A1188" s="6" t="s">
        <v>234</v>
      </c>
      <c r="B1188" s="6" t="s">
        <v>56</v>
      </c>
      <c r="C1188" s="6" t="s">
        <v>184</v>
      </c>
      <c r="D1188" s="6" t="s">
        <v>177</v>
      </c>
      <c r="E1188" s="6" t="s">
        <v>86</v>
      </c>
      <c r="F1188" s="6" t="b">
        <v>0</v>
      </c>
      <c r="G1188" s="6">
        <v>0.1025</v>
      </c>
    </row>
    <row r="1189" spans="1:7">
      <c r="A1189" s="6" t="s">
        <v>234</v>
      </c>
      <c r="B1189" s="6" t="s">
        <v>56</v>
      </c>
      <c r="C1189" s="6" t="s">
        <v>184</v>
      </c>
      <c r="D1189" s="6" t="s">
        <v>177</v>
      </c>
      <c r="E1189" s="6" t="s">
        <v>685</v>
      </c>
      <c r="F1189" s="6" t="b">
        <v>1</v>
      </c>
      <c r="G1189" s="6">
        <v>3.139666666666667</v>
      </c>
    </row>
    <row r="1190" spans="1:7">
      <c r="A1190" s="6" t="s">
        <v>234</v>
      </c>
      <c r="B1190" s="6" t="s">
        <v>56</v>
      </c>
      <c r="C1190" s="6" t="s">
        <v>185</v>
      </c>
      <c r="D1190" s="6" t="s">
        <v>44</v>
      </c>
      <c r="E1190" s="6" t="s">
        <v>685</v>
      </c>
      <c r="F1190" s="6" t="b">
        <v>1</v>
      </c>
      <c r="G1190" s="6">
        <v>8.045833333333333</v>
      </c>
    </row>
    <row r="1191" spans="1:7">
      <c r="A1191" s="6" t="s">
        <v>234</v>
      </c>
      <c r="B1191" s="6" t="s">
        <v>56</v>
      </c>
      <c r="C1191" s="6" t="s">
        <v>186</v>
      </c>
      <c r="D1191" s="6" t="s">
        <v>86</v>
      </c>
      <c r="E1191" s="6" t="s">
        <v>86</v>
      </c>
      <c r="F1191" s="6" t="b">
        <v>0</v>
      </c>
      <c r="G1191" s="6">
        <v>41.82883333333334</v>
      </c>
    </row>
    <row r="1192" spans="1:7">
      <c r="A1192" s="6" t="s">
        <v>234</v>
      </c>
      <c r="B1192" s="6" t="s">
        <v>56</v>
      </c>
      <c r="C1192" s="6" t="s">
        <v>186</v>
      </c>
      <c r="D1192" s="6" t="s">
        <v>88</v>
      </c>
      <c r="E1192" s="6" t="s">
        <v>88</v>
      </c>
      <c r="F1192" s="6" t="b">
        <v>0</v>
      </c>
      <c r="G1192" s="6">
        <v>2.383166666666666</v>
      </c>
    </row>
    <row r="1193" spans="1:7">
      <c r="A1193" s="6" t="s">
        <v>234</v>
      </c>
      <c r="B1193" s="6" t="s">
        <v>56</v>
      </c>
      <c r="C1193" s="6" t="s">
        <v>186</v>
      </c>
      <c r="D1193" s="6" t="s">
        <v>90</v>
      </c>
      <c r="E1193" s="6" t="s">
        <v>90</v>
      </c>
      <c r="F1193" s="6" t="b">
        <v>0</v>
      </c>
      <c r="G1193" s="6">
        <v>34.87375</v>
      </c>
    </row>
    <row r="1194" spans="1:7">
      <c r="A1194" s="6" t="s">
        <v>234</v>
      </c>
      <c r="B1194" s="6" t="s">
        <v>56</v>
      </c>
      <c r="C1194" s="6" t="s">
        <v>186</v>
      </c>
      <c r="D1194" s="6" t="s">
        <v>177</v>
      </c>
      <c r="E1194" s="6" t="s">
        <v>86</v>
      </c>
      <c r="F1194" s="6" t="b">
        <v>0</v>
      </c>
      <c r="G1194" s="6">
        <v>0.664</v>
      </c>
    </row>
    <row r="1195" spans="1:7">
      <c r="A1195" s="6" t="s">
        <v>234</v>
      </c>
      <c r="B1195" s="6" t="s">
        <v>56</v>
      </c>
      <c r="C1195" s="6" t="s">
        <v>189</v>
      </c>
      <c r="D1195" s="6" t="s">
        <v>86</v>
      </c>
      <c r="E1195" s="6" t="s">
        <v>86</v>
      </c>
      <c r="F1195" s="6" t="b">
        <v>0</v>
      </c>
      <c r="G1195" s="6">
        <v>41.60333333333333</v>
      </c>
    </row>
    <row r="1196" spans="1:7">
      <c r="A1196" s="6" t="s">
        <v>234</v>
      </c>
      <c r="B1196" s="6" t="s">
        <v>56</v>
      </c>
      <c r="C1196" s="6" t="s">
        <v>189</v>
      </c>
      <c r="D1196" s="6" t="s">
        <v>88</v>
      </c>
      <c r="E1196" s="6" t="s">
        <v>88</v>
      </c>
      <c r="F1196" s="6" t="b">
        <v>0</v>
      </c>
      <c r="G1196" s="6">
        <v>111.5186666666667</v>
      </c>
    </row>
    <row r="1197" spans="1:7">
      <c r="A1197" s="6" t="s">
        <v>234</v>
      </c>
      <c r="B1197" s="6" t="s">
        <v>56</v>
      </c>
      <c r="C1197" s="6" t="s">
        <v>189</v>
      </c>
      <c r="D1197" s="6" t="s">
        <v>90</v>
      </c>
      <c r="E1197" s="6" t="s">
        <v>90</v>
      </c>
      <c r="F1197" s="6" t="b">
        <v>0</v>
      </c>
      <c r="G1197" s="6">
        <v>14.4445</v>
      </c>
    </row>
    <row r="1198" spans="1:7">
      <c r="A1198" s="6" t="s">
        <v>234</v>
      </c>
      <c r="B1198" s="6" t="s">
        <v>56</v>
      </c>
      <c r="C1198" s="6" t="s">
        <v>190</v>
      </c>
      <c r="D1198" s="6" t="s">
        <v>44</v>
      </c>
      <c r="E1198" s="6" t="s">
        <v>44</v>
      </c>
      <c r="F1198" s="6" t="b">
        <v>0</v>
      </c>
      <c r="G1198" s="6">
        <v>2.05675</v>
      </c>
    </row>
    <row r="1199" spans="1:7">
      <c r="A1199" s="6" t="s">
        <v>234</v>
      </c>
      <c r="B1199" s="6" t="s">
        <v>56</v>
      </c>
      <c r="C1199" s="6" t="s">
        <v>190</v>
      </c>
      <c r="D1199" s="6" t="s">
        <v>86</v>
      </c>
      <c r="E1199" s="6" t="s">
        <v>44</v>
      </c>
      <c r="F1199" s="6" t="b">
        <v>0</v>
      </c>
      <c r="G1199" s="6">
        <v>0.21525</v>
      </c>
    </row>
    <row r="1200" spans="1:7">
      <c r="A1200" s="6" t="s">
        <v>234</v>
      </c>
      <c r="B1200" s="6" t="s">
        <v>56</v>
      </c>
      <c r="C1200" s="6" t="s">
        <v>190</v>
      </c>
      <c r="D1200" s="6" t="s">
        <v>86</v>
      </c>
      <c r="E1200" s="6" t="s">
        <v>86</v>
      </c>
      <c r="F1200" s="6" t="b">
        <v>0</v>
      </c>
      <c r="G1200" s="6">
        <v>0.012</v>
      </c>
    </row>
    <row r="1201" spans="1:7">
      <c r="A1201" s="6" t="s">
        <v>234</v>
      </c>
      <c r="B1201" s="6" t="s">
        <v>56</v>
      </c>
      <c r="C1201" s="6" t="s">
        <v>190</v>
      </c>
      <c r="D1201" s="6" t="s">
        <v>90</v>
      </c>
      <c r="E1201" s="6" t="s">
        <v>44</v>
      </c>
      <c r="F1201" s="6" t="b">
        <v>0</v>
      </c>
      <c r="G1201" s="6">
        <v>0.1025</v>
      </c>
    </row>
    <row r="1202" spans="1:7">
      <c r="A1202" s="6" t="s">
        <v>234</v>
      </c>
      <c r="B1202" s="6" t="s">
        <v>56</v>
      </c>
      <c r="C1202" s="6" t="s">
        <v>190</v>
      </c>
      <c r="D1202" s="6" t="s">
        <v>90</v>
      </c>
      <c r="E1202" s="6" t="s">
        <v>90</v>
      </c>
      <c r="F1202" s="6" t="b">
        <v>0</v>
      </c>
      <c r="G1202" s="6">
        <v>0.1055</v>
      </c>
    </row>
    <row r="1203" spans="1:7">
      <c r="A1203" s="6" t="s">
        <v>234</v>
      </c>
      <c r="B1203" s="6" t="s">
        <v>56</v>
      </c>
      <c r="C1203" s="6" t="s">
        <v>190</v>
      </c>
      <c r="D1203" s="6" t="s">
        <v>177</v>
      </c>
      <c r="E1203" s="6" t="s">
        <v>44</v>
      </c>
      <c r="F1203" s="6" t="b">
        <v>0</v>
      </c>
      <c r="G1203" s="6">
        <v>0.6098333333333333</v>
      </c>
    </row>
    <row r="1204" spans="1:7">
      <c r="A1204" s="6" t="s">
        <v>235</v>
      </c>
      <c r="B1204" s="6" t="s">
        <v>53</v>
      </c>
      <c r="C1204" s="6" t="s">
        <v>181</v>
      </c>
      <c r="D1204" s="6" t="s">
        <v>88</v>
      </c>
      <c r="E1204" s="6" t="s">
        <v>88</v>
      </c>
      <c r="F1204" s="6" t="b">
        <v>0</v>
      </c>
      <c r="G1204" s="6">
        <v>0.06133333333333333</v>
      </c>
    </row>
    <row r="1205" spans="1:7">
      <c r="A1205" s="6" t="s">
        <v>235</v>
      </c>
      <c r="B1205" s="6" t="s">
        <v>53</v>
      </c>
      <c r="C1205" s="6" t="s">
        <v>183</v>
      </c>
      <c r="D1205" s="6" t="s">
        <v>88</v>
      </c>
      <c r="E1205" s="6" t="s">
        <v>88</v>
      </c>
      <c r="F1205" s="6" t="b">
        <v>0</v>
      </c>
      <c r="G1205" s="6">
        <v>0.00175</v>
      </c>
    </row>
    <row r="1206" spans="1:7">
      <c r="A1206" s="6" t="s">
        <v>235</v>
      </c>
      <c r="B1206" s="6" t="s">
        <v>53</v>
      </c>
      <c r="C1206" s="6" t="s">
        <v>183</v>
      </c>
      <c r="D1206" s="6" t="s">
        <v>90</v>
      </c>
      <c r="E1206" s="6" t="s">
        <v>86</v>
      </c>
      <c r="F1206" s="6" t="b">
        <v>0</v>
      </c>
      <c r="G1206" s="6">
        <v>0.0009166666666666666</v>
      </c>
    </row>
    <row r="1207" spans="1:7">
      <c r="A1207" s="6" t="s">
        <v>235</v>
      </c>
      <c r="B1207" s="6" t="s">
        <v>53</v>
      </c>
      <c r="C1207" s="6" t="s">
        <v>184</v>
      </c>
      <c r="D1207" s="6" t="s">
        <v>44</v>
      </c>
      <c r="E1207" s="6" t="s">
        <v>44</v>
      </c>
      <c r="F1207" s="6" t="b">
        <v>0</v>
      </c>
      <c r="G1207" s="6">
        <v>0.8140833333333334</v>
      </c>
    </row>
    <row r="1208" spans="1:7">
      <c r="A1208" s="6" t="s">
        <v>235</v>
      </c>
      <c r="B1208" s="6" t="s">
        <v>53</v>
      </c>
      <c r="C1208" s="6" t="s">
        <v>184</v>
      </c>
      <c r="D1208" s="6" t="s">
        <v>88</v>
      </c>
      <c r="E1208" s="6" t="s">
        <v>88</v>
      </c>
      <c r="F1208" s="6" t="b">
        <v>0</v>
      </c>
      <c r="G1208" s="6">
        <v>0.00025</v>
      </c>
    </row>
    <row r="1209" spans="1:7">
      <c r="A1209" s="6" t="s">
        <v>235</v>
      </c>
      <c r="B1209" s="6" t="s">
        <v>53</v>
      </c>
      <c r="C1209" s="6" t="s">
        <v>184</v>
      </c>
      <c r="D1209" s="6" t="s">
        <v>90</v>
      </c>
      <c r="E1209" s="6" t="s">
        <v>90</v>
      </c>
      <c r="F1209" s="6" t="b">
        <v>0</v>
      </c>
      <c r="G1209" s="6">
        <v>0.005750000000000001</v>
      </c>
    </row>
    <row r="1210" spans="1:7">
      <c r="A1210" s="6" t="s">
        <v>235</v>
      </c>
      <c r="B1210" s="6" t="s">
        <v>53</v>
      </c>
      <c r="C1210" s="6" t="s">
        <v>184</v>
      </c>
      <c r="D1210" s="6" t="s">
        <v>177</v>
      </c>
      <c r="E1210" s="6" t="s">
        <v>44</v>
      </c>
      <c r="F1210" s="6" t="b">
        <v>0</v>
      </c>
      <c r="G1210" s="6">
        <v>0.6475000000000001</v>
      </c>
    </row>
    <row r="1211" spans="1:7">
      <c r="A1211" s="6" t="s">
        <v>235</v>
      </c>
      <c r="B1211" s="6" t="s">
        <v>53</v>
      </c>
      <c r="C1211" s="6" t="s">
        <v>184</v>
      </c>
      <c r="D1211" s="6" t="s">
        <v>177</v>
      </c>
      <c r="E1211" s="6" t="s">
        <v>86</v>
      </c>
      <c r="F1211" s="6" t="b">
        <v>0</v>
      </c>
      <c r="G1211" s="6">
        <v>0.00175</v>
      </c>
    </row>
    <row r="1212" spans="1:7">
      <c r="A1212" s="6" t="s">
        <v>235</v>
      </c>
      <c r="B1212" s="6" t="s">
        <v>53</v>
      </c>
      <c r="C1212" s="6" t="s">
        <v>184</v>
      </c>
      <c r="D1212" s="6" t="s">
        <v>177</v>
      </c>
      <c r="E1212" s="6" t="s">
        <v>685</v>
      </c>
      <c r="F1212" s="6" t="b">
        <v>1</v>
      </c>
      <c r="G1212" s="6">
        <v>0.1028333333333333</v>
      </c>
    </row>
    <row r="1213" spans="1:7">
      <c r="A1213" s="6" t="s">
        <v>235</v>
      </c>
      <c r="B1213" s="6" t="s">
        <v>53</v>
      </c>
      <c r="C1213" s="6" t="s">
        <v>186</v>
      </c>
      <c r="D1213" s="6" t="s">
        <v>86</v>
      </c>
      <c r="E1213" s="6" t="s">
        <v>86</v>
      </c>
      <c r="F1213" s="6" t="b">
        <v>0</v>
      </c>
      <c r="G1213" s="6">
        <v>0.09375</v>
      </c>
    </row>
    <row r="1214" spans="1:7">
      <c r="A1214" s="6" t="s">
        <v>235</v>
      </c>
      <c r="B1214" s="6" t="s">
        <v>53</v>
      </c>
      <c r="C1214" s="6" t="s">
        <v>186</v>
      </c>
      <c r="D1214" s="6" t="s">
        <v>88</v>
      </c>
      <c r="E1214" s="6" t="s">
        <v>88</v>
      </c>
      <c r="F1214" s="6" t="b">
        <v>0</v>
      </c>
      <c r="G1214" s="6">
        <v>0.006083333333333333</v>
      </c>
    </row>
    <row r="1215" spans="1:7">
      <c r="A1215" s="6" t="s">
        <v>235</v>
      </c>
      <c r="B1215" s="6" t="s">
        <v>53</v>
      </c>
      <c r="C1215" s="6" t="s">
        <v>186</v>
      </c>
      <c r="D1215" s="6" t="s">
        <v>90</v>
      </c>
      <c r="E1215" s="6" t="s">
        <v>90</v>
      </c>
      <c r="F1215" s="6" t="b">
        <v>0</v>
      </c>
      <c r="G1215" s="6">
        <v>0.08016666666666668</v>
      </c>
    </row>
    <row r="1216" spans="1:7">
      <c r="A1216" s="6" t="s">
        <v>235</v>
      </c>
      <c r="B1216" s="6" t="s">
        <v>53</v>
      </c>
      <c r="C1216" s="6" t="s">
        <v>186</v>
      </c>
      <c r="D1216" s="6" t="s">
        <v>177</v>
      </c>
      <c r="E1216" s="6" t="s">
        <v>86</v>
      </c>
      <c r="F1216" s="6" t="b">
        <v>0</v>
      </c>
      <c r="G1216" s="6">
        <v>0.001666666666666667</v>
      </c>
    </row>
    <row r="1217" spans="1:7">
      <c r="A1217" s="6" t="s">
        <v>235</v>
      </c>
      <c r="B1217" s="6" t="s">
        <v>53</v>
      </c>
      <c r="C1217" s="6" t="s">
        <v>189</v>
      </c>
      <c r="D1217" s="6" t="s">
        <v>86</v>
      </c>
      <c r="E1217" s="6" t="s">
        <v>86</v>
      </c>
      <c r="F1217" s="6" t="b">
        <v>0</v>
      </c>
      <c r="G1217" s="6">
        <v>0.01766666666666667</v>
      </c>
    </row>
    <row r="1218" spans="1:7">
      <c r="A1218" s="6" t="s">
        <v>235</v>
      </c>
      <c r="B1218" s="6" t="s">
        <v>53</v>
      </c>
      <c r="C1218" s="6" t="s">
        <v>189</v>
      </c>
      <c r="D1218" s="6" t="s">
        <v>88</v>
      </c>
      <c r="E1218" s="6" t="s">
        <v>88</v>
      </c>
      <c r="F1218" s="6" t="b">
        <v>0</v>
      </c>
      <c r="G1218" s="6">
        <v>0.006333333333333333</v>
      </c>
    </row>
    <row r="1219" spans="1:7">
      <c r="A1219" s="6" t="s">
        <v>235</v>
      </c>
      <c r="B1219" s="6" t="s">
        <v>53</v>
      </c>
      <c r="C1219" s="6" t="s">
        <v>189</v>
      </c>
      <c r="D1219" s="6" t="s">
        <v>90</v>
      </c>
      <c r="E1219" s="6" t="s">
        <v>90</v>
      </c>
      <c r="F1219" s="6" t="b">
        <v>0</v>
      </c>
      <c r="G1219" s="6">
        <v>0.00275</v>
      </c>
    </row>
    <row r="1220" spans="1:7">
      <c r="A1220" s="6" t="s">
        <v>236</v>
      </c>
      <c r="B1220" s="6" t="s">
        <v>51</v>
      </c>
      <c r="C1220" s="6" t="s">
        <v>181</v>
      </c>
      <c r="D1220" s="6" t="s">
        <v>88</v>
      </c>
      <c r="E1220" s="6" t="s">
        <v>88</v>
      </c>
      <c r="F1220" s="6" t="b">
        <v>0</v>
      </c>
      <c r="G1220" s="6">
        <v>87.67116666666668</v>
      </c>
    </row>
    <row r="1221" spans="1:7">
      <c r="A1221" s="6" t="s">
        <v>236</v>
      </c>
      <c r="B1221" s="6" t="s">
        <v>51</v>
      </c>
      <c r="C1221" s="6" t="s">
        <v>181</v>
      </c>
      <c r="D1221" s="6" t="s">
        <v>90</v>
      </c>
      <c r="E1221" s="6" t="s">
        <v>90</v>
      </c>
      <c r="F1221" s="6" t="b">
        <v>0</v>
      </c>
      <c r="G1221" s="6">
        <v>0.08158333333333333</v>
      </c>
    </row>
    <row r="1222" spans="1:7">
      <c r="A1222" s="6" t="s">
        <v>236</v>
      </c>
      <c r="B1222" s="6" t="s">
        <v>51</v>
      </c>
      <c r="C1222" s="6" t="s">
        <v>183</v>
      </c>
      <c r="D1222" s="6" t="s">
        <v>86</v>
      </c>
      <c r="E1222" s="6" t="s">
        <v>86</v>
      </c>
      <c r="F1222" s="6" t="b">
        <v>0</v>
      </c>
      <c r="G1222" s="6">
        <v>0.05566666666666667</v>
      </c>
    </row>
    <row r="1223" spans="1:7">
      <c r="A1223" s="6" t="s">
        <v>236</v>
      </c>
      <c r="B1223" s="6" t="s">
        <v>51</v>
      </c>
      <c r="C1223" s="6" t="s">
        <v>183</v>
      </c>
      <c r="D1223" s="6" t="s">
        <v>88</v>
      </c>
      <c r="E1223" s="6" t="s">
        <v>88</v>
      </c>
      <c r="F1223" s="6" t="b">
        <v>0</v>
      </c>
      <c r="G1223" s="6">
        <v>1.831</v>
      </c>
    </row>
    <row r="1224" spans="1:7">
      <c r="A1224" s="6" t="s">
        <v>236</v>
      </c>
      <c r="B1224" s="6" t="s">
        <v>51</v>
      </c>
      <c r="C1224" s="6" t="s">
        <v>183</v>
      </c>
      <c r="D1224" s="6" t="s">
        <v>90</v>
      </c>
      <c r="E1224" s="6" t="s">
        <v>86</v>
      </c>
      <c r="F1224" s="6" t="b">
        <v>0</v>
      </c>
      <c r="G1224" s="6">
        <v>1.10775</v>
      </c>
    </row>
    <row r="1225" spans="1:7">
      <c r="A1225" s="6" t="s">
        <v>236</v>
      </c>
      <c r="B1225" s="6" t="s">
        <v>51</v>
      </c>
      <c r="C1225" s="6" t="s">
        <v>183</v>
      </c>
      <c r="D1225" s="6" t="s">
        <v>90</v>
      </c>
      <c r="E1225" s="6" t="s">
        <v>90</v>
      </c>
      <c r="F1225" s="6" t="b">
        <v>0</v>
      </c>
      <c r="G1225" s="6">
        <v>0.4291666666666667</v>
      </c>
    </row>
    <row r="1226" spans="1:7">
      <c r="A1226" s="6" t="s">
        <v>236</v>
      </c>
      <c r="B1226" s="6" t="s">
        <v>51</v>
      </c>
      <c r="C1226" s="6" t="s">
        <v>183</v>
      </c>
      <c r="D1226" s="6" t="s">
        <v>177</v>
      </c>
      <c r="E1226" s="6" t="s">
        <v>86</v>
      </c>
      <c r="F1226" s="6" t="b">
        <v>0</v>
      </c>
      <c r="G1226" s="6">
        <v>0.1221666666666667</v>
      </c>
    </row>
    <row r="1227" spans="1:7">
      <c r="A1227" s="6" t="s">
        <v>236</v>
      </c>
      <c r="B1227" s="6" t="s">
        <v>51</v>
      </c>
      <c r="C1227" s="6" t="s">
        <v>183</v>
      </c>
      <c r="D1227" s="6" t="s">
        <v>177</v>
      </c>
      <c r="E1227" s="6" t="s">
        <v>685</v>
      </c>
      <c r="F1227" s="6" t="b">
        <v>1</v>
      </c>
      <c r="G1227" s="6">
        <v>0.0315</v>
      </c>
    </row>
    <row r="1228" spans="1:7">
      <c r="A1228" s="6" t="s">
        <v>236</v>
      </c>
      <c r="B1228" s="6" t="s">
        <v>51</v>
      </c>
      <c r="C1228" s="6" t="s">
        <v>184</v>
      </c>
      <c r="D1228" s="6" t="s">
        <v>44</v>
      </c>
      <c r="E1228" s="6" t="s">
        <v>44</v>
      </c>
      <c r="F1228" s="6" t="b">
        <v>0</v>
      </c>
      <c r="G1228" s="6">
        <v>1120.98925</v>
      </c>
    </row>
    <row r="1229" spans="1:7">
      <c r="A1229" s="6" t="s">
        <v>236</v>
      </c>
      <c r="B1229" s="6" t="s">
        <v>51</v>
      </c>
      <c r="C1229" s="6" t="s">
        <v>184</v>
      </c>
      <c r="D1229" s="6" t="s">
        <v>88</v>
      </c>
      <c r="E1229" s="6" t="s">
        <v>88</v>
      </c>
      <c r="F1229" s="6" t="b">
        <v>0</v>
      </c>
      <c r="G1229" s="6">
        <v>0.57875</v>
      </c>
    </row>
    <row r="1230" spans="1:7">
      <c r="A1230" s="6" t="s">
        <v>236</v>
      </c>
      <c r="B1230" s="6" t="s">
        <v>51</v>
      </c>
      <c r="C1230" s="6" t="s">
        <v>184</v>
      </c>
      <c r="D1230" s="6" t="s">
        <v>90</v>
      </c>
      <c r="E1230" s="6" t="s">
        <v>90</v>
      </c>
      <c r="F1230" s="6" t="b">
        <v>0</v>
      </c>
      <c r="G1230" s="6">
        <v>4.3545</v>
      </c>
    </row>
    <row r="1231" spans="1:7">
      <c r="A1231" s="6" t="s">
        <v>236</v>
      </c>
      <c r="B1231" s="6" t="s">
        <v>51</v>
      </c>
      <c r="C1231" s="6" t="s">
        <v>184</v>
      </c>
      <c r="D1231" s="6" t="s">
        <v>90</v>
      </c>
      <c r="E1231" s="6" t="s">
        <v>685</v>
      </c>
      <c r="F1231" s="6" t="b">
        <v>1</v>
      </c>
      <c r="G1231" s="6">
        <v>7.064916666666666</v>
      </c>
    </row>
    <row r="1232" spans="1:7">
      <c r="A1232" s="6" t="s">
        <v>236</v>
      </c>
      <c r="B1232" s="6" t="s">
        <v>51</v>
      </c>
      <c r="C1232" s="6" t="s">
        <v>184</v>
      </c>
      <c r="D1232" s="6" t="s">
        <v>177</v>
      </c>
      <c r="E1232" s="6" t="s">
        <v>44</v>
      </c>
      <c r="F1232" s="6" t="b">
        <v>0</v>
      </c>
      <c r="G1232" s="6">
        <v>753.7904166666667</v>
      </c>
    </row>
    <row r="1233" spans="1:7">
      <c r="A1233" s="6" t="s">
        <v>236</v>
      </c>
      <c r="B1233" s="6" t="s">
        <v>51</v>
      </c>
      <c r="C1233" s="6" t="s">
        <v>184</v>
      </c>
      <c r="D1233" s="6" t="s">
        <v>177</v>
      </c>
      <c r="E1233" s="6" t="s">
        <v>86</v>
      </c>
      <c r="F1233" s="6" t="b">
        <v>0</v>
      </c>
      <c r="G1233" s="6">
        <v>2.7165</v>
      </c>
    </row>
    <row r="1234" spans="1:7">
      <c r="A1234" s="6" t="s">
        <v>236</v>
      </c>
      <c r="B1234" s="6" t="s">
        <v>51</v>
      </c>
      <c r="C1234" s="6" t="s">
        <v>184</v>
      </c>
      <c r="D1234" s="6" t="s">
        <v>177</v>
      </c>
      <c r="E1234" s="6" t="s">
        <v>685</v>
      </c>
      <c r="F1234" s="6" t="b">
        <v>1</v>
      </c>
      <c r="G1234" s="6">
        <v>15.22558333333333</v>
      </c>
    </row>
    <row r="1235" spans="1:7">
      <c r="A1235" s="6" t="s">
        <v>236</v>
      </c>
      <c r="B1235" s="6" t="s">
        <v>51</v>
      </c>
      <c r="C1235" s="6" t="s">
        <v>186</v>
      </c>
      <c r="D1235" s="6" t="s">
        <v>86</v>
      </c>
      <c r="E1235" s="6" t="s">
        <v>86</v>
      </c>
      <c r="F1235" s="6" t="b">
        <v>0</v>
      </c>
      <c r="G1235" s="6">
        <v>426.03775</v>
      </c>
    </row>
    <row r="1236" spans="1:7">
      <c r="A1236" s="6" t="s">
        <v>236</v>
      </c>
      <c r="B1236" s="6" t="s">
        <v>51</v>
      </c>
      <c r="C1236" s="6" t="s">
        <v>186</v>
      </c>
      <c r="D1236" s="6" t="s">
        <v>88</v>
      </c>
      <c r="E1236" s="6" t="s">
        <v>88</v>
      </c>
      <c r="F1236" s="6" t="b">
        <v>0</v>
      </c>
      <c r="G1236" s="6">
        <v>13.57266666666666</v>
      </c>
    </row>
    <row r="1237" spans="1:7">
      <c r="A1237" s="6" t="s">
        <v>236</v>
      </c>
      <c r="B1237" s="6" t="s">
        <v>51</v>
      </c>
      <c r="C1237" s="6" t="s">
        <v>186</v>
      </c>
      <c r="D1237" s="6" t="s">
        <v>90</v>
      </c>
      <c r="E1237" s="6" t="s">
        <v>90</v>
      </c>
      <c r="F1237" s="6" t="b">
        <v>0</v>
      </c>
      <c r="G1237" s="6">
        <v>134.423</v>
      </c>
    </row>
    <row r="1238" spans="1:7">
      <c r="A1238" s="6" t="s">
        <v>236</v>
      </c>
      <c r="B1238" s="6" t="s">
        <v>51</v>
      </c>
      <c r="C1238" s="6" t="s">
        <v>186</v>
      </c>
      <c r="D1238" s="6" t="s">
        <v>177</v>
      </c>
      <c r="E1238" s="6" t="s">
        <v>86</v>
      </c>
      <c r="F1238" s="6" t="b">
        <v>0</v>
      </c>
      <c r="G1238" s="6">
        <v>2.39725</v>
      </c>
    </row>
    <row r="1239" spans="1:7">
      <c r="A1239" s="6" t="s">
        <v>236</v>
      </c>
      <c r="B1239" s="6" t="s">
        <v>51</v>
      </c>
      <c r="C1239" s="6" t="s">
        <v>187</v>
      </c>
      <c r="D1239" s="6" t="s">
        <v>86</v>
      </c>
      <c r="E1239" s="6" t="s">
        <v>86</v>
      </c>
      <c r="F1239" s="6" t="b">
        <v>0</v>
      </c>
      <c r="G1239" s="6">
        <v>83.93191666666667</v>
      </c>
    </row>
    <row r="1240" spans="1:7">
      <c r="A1240" s="6" t="s">
        <v>236</v>
      </c>
      <c r="B1240" s="6" t="s">
        <v>51</v>
      </c>
      <c r="C1240" s="6" t="s">
        <v>187</v>
      </c>
      <c r="D1240" s="6" t="s">
        <v>88</v>
      </c>
      <c r="E1240" s="6" t="s">
        <v>88</v>
      </c>
      <c r="F1240" s="6" t="b">
        <v>0</v>
      </c>
      <c r="G1240" s="6">
        <v>227.818</v>
      </c>
    </row>
    <row r="1241" spans="1:7">
      <c r="A1241" s="6" t="s">
        <v>236</v>
      </c>
      <c r="B1241" s="6" t="s">
        <v>51</v>
      </c>
      <c r="C1241" s="6" t="s">
        <v>188</v>
      </c>
      <c r="D1241" s="6" t="s">
        <v>86</v>
      </c>
      <c r="E1241" s="6" t="s">
        <v>86</v>
      </c>
      <c r="F1241" s="6" t="b">
        <v>0</v>
      </c>
      <c r="G1241" s="6">
        <v>116.8625</v>
      </c>
    </row>
    <row r="1242" spans="1:7">
      <c r="A1242" s="6" t="s">
        <v>236</v>
      </c>
      <c r="B1242" s="6" t="s">
        <v>51</v>
      </c>
      <c r="C1242" s="6" t="s">
        <v>188</v>
      </c>
      <c r="D1242" s="6" t="s">
        <v>88</v>
      </c>
      <c r="E1242" s="6" t="s">
        <v>88</v>
      </c>
      <c r="F1242" s="6" t="b">
        <v>0</v>
      </c>
      <c r="G1242" s="6">
        <v>789.2801666666666</v>
      </c>
    </row>
    <row r="1243" spans="1:7">
      <c r="A1243" s="6" t="s">
        <v>236</v>
      </c>
      <c r="B1243" s="6" t="s">
        <v>51</v>
      </c>
      <c r="C1243" s="6" t="s">
        <v>189</v>
      </c>
      <c r="D1243" s="6" t="s">
        <v>86</v>
      </c>
      <c r="E1243" s="6" t="s">
        <v>86</v>
      </c>
      <c r="F1243" s="6" t="b">
        <v>0</v>
      </c>
      <c r="G1243" s="6">
        <v>59.60216666666667</v>
      </c>
    </row>
    <row r="1244" spans="1:7">
      <c r="A1244" s="6" t="s">
        <v>236</v>
      </c>
      <c r="B1244" s="6" t="s">
        <v>51</v>
      </c>
      <c r="C1244" s="6" t="s">
        <v>189</v>
      </c>
      <c r="D1244" s="6" t="s">
        <v>88</v>
      </c>
      <c r="E1244" s="6" t="s">
        <v>88</v>
      </c>
      <c r="F1244" s="6" t="b">
        <v>0</v>
      </c>
      <c r="G1244" s="6">
        <v>61.63241666666667</v>
      </c>
    </row>
    <row r="1245" spans="1:7">
      <c r="A1245" s="6" t="s">
        <v>236</v>
      </c>
      <c r="B1245" s="6" t="s">
        <v>51</v>
      </c>
      <c r="C1245" s="6" t="s">
        <v>189</v>
      </c>
      <c r="D1245" s="6" t="s">
        <v>90</v>
      </c>
      <c r="E1245" s="6" t="s">
        <v>90</v>
      </c>
      <c r="F1245" s="6" t="b">
        <v>0</v>
      </c>
      <c r="G1245" s="6">
        <v>11.44075</v>
      </c>
    </row>
    <row r="1246" spans="1:7">
      <c r="A1246" s="6" t="s">
        <v>236</v>
      </c>
      <c r="B1246" s="6" t="s">
        <v>51</v>
      </c>
      <c r="C1246" s="6" t="s">
        <v>190</v>
      </c>
      <c r="D1246" s="6" t="s">
        <v>44</v>
      </c>
      <c r="E1246" s="6" t="s">
        <v>44</v>
      </c>
      <c r="F1246" s="6" t="b">
        <v>0</v>
      </c>
      <c r="G1246" s="6">
        <v>301.29825</v>
      </c>
    </row>
    <row r="1247" spans="1:7">
      <c r="A1247" s="6" t="s">
        <v>236</v>
      </c>
      <c r="B1247" s="6" t="s">
        <v>51</v>
      </c>
      <c r="C1247" s="6" t="s">
        <v>190</v>
      </c>
      <c r="D1247" s="6" t="s">
        <v>86</v>
      </c>
      <c r="E1247" s="6" t="s">
        <v>44</v>
      </c>
      <c r="F1247" s="6" t="b">
        <v>0</v>
      </c>
      <c r="G1247" s="6">
        <v>17.41475</v>
      </c>
    </row>
    <row r="1248" spans="1:7">
      <c r="A1248" s="6" t="s">
        <v>236</v>
      </c>
      <c r="B1248" s="6" t="s">
        <v>51</v>
      </c>
      <c r="C1248" s="6" t="s">
        <v>190</v>
      </c>
      <c r="D1248" s="6" t="s">
        <v>86</v>
      </c>
      <c r="E1248" s="6" t="s">
        <v>86</v>
      </c>
      <c r="F1248" s="6" t="b">
        <v>0</v>
      </c>
      <c r="G1248" s="6">
        <v>0.4718333333333334</v>
      </c>
    </row>
    <row r="1249" spans="1:7">
      <c r="A1249" s="6" t="s">
        <v>236</v>
      </c>
      <c r="B1249" s="6" t="s">
        <v>51</v>
      </c>
      <c r="C1249" s="6" t="s">
        <v>190</v>
      </c>
      <c r="D1249" s="6" t="s">
        <v>88</v>
      </c>
      <c r="E1249" s="6" t="s">
        <v>88</v>
      </c>
      <c r="F1249" s="6" t="b">
        <v>0</v>
      </c>
      <c r="G1249" s="6">
        <v>0.01916666666666667</v>
      </c>
    </row>
    <row r="1250" spans="1:7">
      <c r="A1250" s="6" t="s">
        <v>236</v>
      </c>
      <c r="B1250" s="6" t="s">
        <v>51</v>
      </c>
      <c r="C1250" s="6" t="s">
        <v>190</v>
      </c>
      <c r="D1250" s="6" t="s">
        <v>90</v>
      </c>
      <c r="E1250" s="6" t="s">
        <v>44</v>
      </c>
      <c r="F1250" s="6" t="b">
        <v>0</v>
      </c>
      <c r="G1250" s="6">
        <v>9.177166666666666</v>
      </c>
    </row>
    <row r="1251" spans="1:7">
      <c r="A1251" s="6" t="s">
        <v>236</v>
      </c>
      <c r="B1251" s="6" t="s">
        <v>51</v>
      </c>
      <c r="C1251" s="6" t="s">
        <v>190</v>
      </c>
      <c r="D1251" s="6" t="s">
        <v>90</v>
      </c>
      <c r="E1251" s="6" t="s">
        <v>90</v>
      </c>
      <c r="F1251" s="6" t="b">
        <v>0</v>
      </c>
      <c r="G1251" s="6">
        <v>36.60175</v>
      </c>
    </row>
    <row r="1252" spans="1:7">
      <c r="A1252" s="6" t="s">
        <v>236</v>
      </c>
      <c r="B1252" s="6" t="s">
        <v>51</v>
      </c>
      <c r="C1252" s="6" t="s">
        <v>190</v>
      </c>
      <c r="D1252" s="6" t="s">
        <v>177</v>
      </c>
      <c r="E1252" s="6" t="s">
        <v>44</v>
      </c>
      <c r="F1252" s="6" t="b">
        <v>0</v>
      </c>
      <c r="G1252" s="6">
        <v>119.8539166666667</v>
      </c>
    </row>
    <row r="1253" spans="1:7">
      <c r="A1253" s="6" t="s">
        <v>236</v>
      </c>
      <c r="B1253" s="6" t="s">
        <v>51</v>
      </c>
      <c r="C1253" s="6" t="s">
        <v>190</v>
      </c>
      <c r="D1253" s="6" t="s">
        <v>177</v>
      </c>
      <c r="E1253" s="6" t="s">
        <v>86</v>
      </c>
      <c r="F1253" s="6" t="b">
        <v>0</v>
      </c>
      <c r="G1253" s="6">
        <v>3.647916666666667</v>
      </c>
    </row>
    <row r="1254" spans="1:7">
      <c r="A1254" s="6" t="s">
        <v>236</v>
      </c>
      <c r="B1254" s="6" t="s">
        <v>51</v>
      </c>
      <c r="C1254" s="6" t="s">
        <v>190</v>
      </c>
      <c r="D1254" s="6" t="s">
        <v>177</v>
      </c>
      <c r="E1254" s="6" t="s">
        <v>685</v>
      </c>
      <c r="F1254" s="6" t="b">
        <v>1</v>
      </c>
      <c r="G1254" s="6">
        <v>0.01133333333333333</v>
      </c>
    </row>
    <row r="1255" spans="1:7">
      <c r="A1255" s="6" t="s">
        <v>236</v>
      </c>
      <c r="B1255" s="6" t="s">
        <v>51</v>
      </c>
      <c r="C1255" s="6" t="s">
        <v>190</v>
      </c>
      <c r="D1255" s="6" t="s">
        <v>92</v>
      </c>
      <c r="E1255" s="6" t="s">
        <v>92</v>
      </c>
      <c r="F1255" s="6" t="b">
        <v>0</v>
      </c>
      <c r="G1255" s="6">
        <v>2.0955</v>
      </c>
    </row>
    <row r="1256" spans="1:7">
      <c r="A1256" s="6" t="s">
        <v>237</v>
      </c>
      <c r="B1256" s="6" t="s">
        <v>51</v>
      </c>
      <c r="C1256" s="6" t="s">
        <v>181</v>
      </c>
      <c r="D1256" s="6" t="s">
        <v>88</v>
      </c>
      <c r="E1256" s="6" t="s">
        <v>88</v>
      </c>
      <c r="F1256" s="6" t="b">
        <v>0</v>
      </c>
      <c r="G1256" s="6">
        <v>11.99983333333333</v>
      </c>
    </row>
    <row r="1257" spans="1:7">
      <c r="A1257" s="6" t="s">
        <v>237</v>
      </c>
      <c r="B1257" s="6" t="s">
        <v>51</v>
      </c>
      <c r="C1257" s="6" t="s">
        <v>181</v>
      </c>
      <c r="D1257" s="6" t="s">
        <v>90</v>
      </c>
      <c r="E1257" s="6" t="s">
        <v>90</v>
      </c>
      <c r="F1257" s="6" t="b">
        <v>0</v>
      </c>
      <c r="G1257" s="6">
        <v>0.00825</v>
      </c>
    </row>
    <row r="1258" spans="1:7">
      <c r="A1258" s="6" t="s">
        <v>237</v>
      </c>
      <c r="B1258" s="6" t="s">
        <v>51</v>
      </c>
      <c r="C1258" s="6" t="s">
        <v>183</v>
      </c>
      <c r="D1258" s="6" t="s">
        <v>86</v>
      </c>
      <c r="E1258" s="6" t="s">
        <v>86</v>
      </c>
      <c r="F1258" s="6" t="b">
        <v>0</v>
      </c>
      <c r="G1258" s="6">
        <v>0.00325</v>
      </c>
    </row>
    <row r="1259" spans="1:7">
      <c r="A1259" s="6" t="s">
        <v>237</v>
      </c>
      <c r="B1259" s="6" t="s">
        <v>51</v>
      </c>
      <c r="C1259" s="6" t="s">
        <v>183</v>
      </c>
      <c r="D1259" s="6" t="s">
        <v>88</v>
      </c>
      <c r="E1259" s="6" t="s">
        <v>88</v>
      </c>
      <c r="F1259" s="6" t="b">
        <v>0</v>
      </c>
      <c r="G1259" s="6">
        <v>0.09858333333333334</v>
      </c>
    </row>
    <row r="1260" spans="1:7">
      <c r="A1260" s="6" t="s">
        <v>237</v>
      </c>
      <c r="B1260" s="6" t="s">
        <v>51</v>
      </c>
      <c r="C1260" s="6" t="s">
        <v>183</v>
      </c>
      <c r="D1260" s="6" t="s">
        <v>90</v>
      </c>
      <c r="E1260" s="6" t="s">
        <v>86</v>
      </c>
      <c r="F1260" s="6" t="b">
        <v>0</v>
      </c>
      <c r="G1260" s="6">
        <v>0.03333333333333333</v>
      </c>
    </row>
    <row r="1261" spans="1:7">
      <c r="A1261" s="6" t="s">
        <v>237</v>
      </c>
      <c r="B1261" s="6" t="s">
        <v>51</v>
      </c>
      <c r="C1261" s="6" t="s">
        <v>183</v>
      </c>
      <c r="D1261" s="6" t="s">
        <v>90</v>
      </c>
      <c r="E1261" s="6" t="s">
        <v>90</v>
      </c>
      <c r="F1261" s="6" t="b">
        <v>0</v>
      </c>
      <c r="G1261" s="6">
        <v>0.04575000000000001</v>
      </c>
    </row>
    <row r="1262" spans="1:7">
      <c r="A1262" s="6" t="s">
        <v>237</v>
      </c>
      <c r="B1262" s="6" t="s">
        <v>51</v>
      </c>
      <c r="C1262" s="6" t="s">
        <v>183</v>
      </c>
      <c r="D1262" s="6" t="s">
        <v>177</v>
      </c>
      <c r="E1262" s="6" t="s">
        <v>685</v>
      </c>
      <c r="F1262" s="6" t="b">
        <v>1</v>
      </c>
      <c r="G1262" s="6">
        <v>0.0025</v>
      </c>
    </row>
    <row r="1263" spans="1:7">
      <c r="A1263" s="6" t="s">
        <v>237</v>
      </c>
      <c r="B1263" s="6" t="s">
        <v>51</v>
      </c>
      <c r="C1263" s="6" t="s">
        <v>184</v>
      </c>
      <c r="D1263" s="6" t="s">
        <v>44</v>
      </c>
      <c r="E1263" s="6" t="s">
        <v>44</v>
      </c>
      <c r="F1263" s="6" t="b">
        <v>0</v>
      </c>
      <c r="G1263" s="6">
        <v>160.99225</v>
      </c>
    </row>
    <row r="1264" spans="1:7">
      <c r="A1264" s="6" t="s">
        <v>237</v>
      </c>
      <c r="B1264" s="6" t="s">
        <v>51</v>
      </c>
      <c r="C1264" s="6" t="s">
        <v>184</v>
      </c>
      <c r="D1264" s="6" t="s">
        <v>88</v>
      </c>
      <c r="E1264" s="6" t="s">
        <v>88</v>
      </c>
      <c r="F1264" s="6" t="b">
        <v>0</v>
      </c>
      <c r="G1264" s="6">
        <v>0.06874999999999999</v>
      </c>
    </row>
    <row r="1265" spans="1:7">
      <c r="A1265" s="6" t="s">
        <v>237</v>
      </c>
      <c r="B1265" s="6" t="s">
        <v>51</v>
      </c>
      <c r="C1265" s="6" t="s">
        <v>184</v>
      </c>
      <c r="D1265" s="6" t="s">
        <v>90</v>
      </c>
      <c r="E1265" s="6" t="s">
        <v>90</v>
      </c>
      <c r="F1265" s="6" t="b">
        <v>0</v>
      </c>
      <c r="G1265" s="6">
        <v>0.5900833333333334</v>
      </c>
    </row>
    <row r="1266" spans="1:7">
      <c r="A1266" s="6" t="s">
        <v>237</v>
      </c>
      <c r="B1266" s="6" t="s">
        <v>51</v>
      </c>
      <c r="C1266" s="6" t="s">
        <v>184</v>
      </c>
      <c r="D1266" s="6" t="s">
        <v>90</v>
      </c>
      <c r="E1266" s="6" t="s">
        <v>685</v>
      </c>
      <c r="F1266" s="6" t="b">
        <v>1</v>
      </c>
      <c r="G1266" s="6">
        <v>0.5914166666666667</v>
      </c>
    </row>
    <row r="1267" spans="1:7">
      <c r="A1267" s="6" t="s">
        <v>237</v>
      </c>
      <c r="B1267" s="6" t="s">
        <v>51</v>
      </c>
      <c r="C1267" s="6" t="s">
        <v>184</v>
      </c>
      <c r="D1267" s="6" t="s">
        <v>177</v>
      </c>
      <c r="E1267" s="6" t="s">
        <v>44</v>
      </c>
      <c r="F1267" s="6" t="b">
        <v>0</v>
      </c>
      <c r="G1267" s="6">
        <v>60.38958333333333</v>
      </c>
    </row>
    <row r="1268" spans="1:7">
      <c r="A1268" s="6" t="s">
        <v>237</v>
      </c>
      <c r="B1268" s="6" t="s">
        <v>51</v>
      </c>
      <c r="C1268" s="6" t="s">
        <v>184</v>
      </c>
      <c r="D1268" s="6" t="s">
        <v>177</v>
      </c>
      <c r="E1268" s="6" t="s">
        <v>86</v>
      </c>
      <c r="F1268" s="6" t="b">
        <v>0</v>
      </c>
      <c r="G1268" s="6">
        <v>0.132</v>
      </c>
    </row>
    <row r="1269" spans="1:7">
      <c r="A1269" s="6" t="s">
        <v>237</v>
      </c>
      <c r="B1269" s="6" t="s">
        <v>51</v>
      </c>
      <c r="C1269" s="6" t="s">
        <v>184</v>
      </c>
      <c r="D1269" s="6" t="s">
        <v>177</v>
      </c>
      <c r="E1269" s="6" t="s">
        <v>685</v>
      </c>
      <c r="F1269" s="6" t="b">
        <v>1</v>
      </c>
      <c r="G1269" s="6">
        <v>1.792333333333333</v>
      </c>
    </row>
    <row r="1270" spans="1:7">
      <c r="A1270" s="6" t="s">
        <v>237</v>
      </c>
      <c r="B1270" s="6" t="s">
        <v>51</v>
      </c>
      <c r="C1270" s="6" t="s">
        <v>186</v>
      </c>
      <c r="D1270" s="6" t="s">
        <v>86</v>
      </c>
      <c r="E1270" s="6" t="s">
        <v>86</v>
      </c>
      <c r="F1270" s="6" t="b">
        <v>0</v>
      </c>
      <c r="G1270" s="6">
        <v>24.99216666666667</v>
      </c>
    </row>
    <row r="1271" spans="1:7">
      <c r="A1271" s="6" t="s">
        <v>237</v>
      </c>
      <c r="B1271" s="6" t="s">
        <v>51</v>
      </c>
      <c r="C1271" s="6" t="s">
        <v>186</v>
      </c>
      <c r="D1271" s="6" t="s">
        <v>88</v>
      </c>
      <c r="E1271" s="6" t="s">
        <v>88</v>
      </c>
      <c r="F1271" s="6" t="b">
        <v>0</v>
      </c>
      <c r="G1271" s="6">
        <v>2.320666666666666</v>
      </c>
    </row>
    <row r="1272" spans="1:7">
      <c r="A1272" s="6" t="s">
        <v>237</v>
      </c>
      <c r="B1272" s="6" t="s">
        <v>51</v>
      </c>
      <c r="C1272" s="6" t="s">
        <v>186</v>
      </c>
      <c r="D1272" s="6" t="s">
        <v>90</v>
      </c>
      <c r="E1272" s="6" t="s">
        <v>86</v>
      </c>
      <c r="F1272" s="6" t="b">
        <v>0</v>
      </c>
      <c r="G1272" s="6">
        <v>0.01416666666666667</v>
      </c>
    </row>
    <row r="1273" spans="1:7">
      <c r="A1273" s="6" t="s">
        <v>237</v>
      </c>
      <c r="B1273" s="6" t="s">
        <v>51</v>
      </c>
      <c r="C1273" s="6" t="s">
        <v>186</v>
      </c>
      <c r="D1273" s="6" t="s">
        <v>90</v>
      </c>
      <c r="E1273" s="6" t="s">
        <v>90</v>
      </c>
      <c r="F1273" s="6" t="b">
        <v>0</v>
      </c>
      <c r="G1273" s="6">
        <v>8.882</v>
      </c>
    </row>
    <row r="1274" spans="1:7">
      <c r="A1274" s="6" t="s">
        <v>237</v>
      </c>
      <c r="B1274" s="6" t="s">
        <v>51</v>
      </c>
      <c r="C1274" s="6" t="s">
        <v>186</v>
      </c>
      <c r="D1274" s="6" t="s">
        <v>177</v>
      </c>
      <c r="E1274" s="6" t="s">
        <v>86</v>
      </c>
      <c r="F1274" s="6" t="b">
        <v>0</v>
      </c>
      <c r="G1274" s="6">
        <v>0.2465833333333333</v>
      </c>
    </row>
    <row r="1275" spans="1:7">
      <c r="A1275" s="6" t="s">
        <v>237</v>
      </c>
      <c r="B1275" s="6" t="s">
        <v>51</v>
      </c>
      <c r="C1275" s="6" t="s">
        <v>189</v>
      </c>
      <c r="D1275" s="6" t="s">
        <v>86</v>
      </c>
      <c r="E1275" s="6" t="s">
        <v>86</v>
      </c>
      <c r="F1275" s="6" t="b">
        <v>0</v>
      </c>
      <c r="G1275" s="6">
        <v>4.287333333333334</v>
      </c>
    </row>
    <row r="1276" spans="1:7">
      <c r="A1276" s="6" t="s">
        <v>237</v>
      </c>
      <c r="B1276" s="6" t="s">
        <v>51</v>
      </c>
      <c r="C1276" s="6" t="s">
        <v>189</v>
      </c>
      <c r="D1276" s="6" t="s">
        <v>88</v>
      </c>
      <c r="E1276" s="6" t="s">
        <v>88</v>
      </c>
      <c r="F1276" s="6" t="b">
        <v>0</v>
      </c>
      <c r="G1276" s="6">
        <v>4.66375</v>
      </c>
    </row>
    <row r="1277" spans="1:7">
      <c r="A1277" s="6" t="s">
        <v>237</v>
      </c>
      <c r="B1277" s="6" t="s">
        <v>51</v>
      </c>
      <c r="C1277" s="6" t="s">
        <v>189</v>
      </c>
      <c r="D1277" s="6" t="s">
        <v>90</v>
      </c>
      <c r="E1277" s="6" t="s">
        <v>90</v>
      </c>
      <c r="F1277" s="6" t="b">
        <v>0</v>
      </c>
      <c r="G1277" s="6">
        <v>1.310416666666667</v>
      </c>
    </row>
    <row r="1278" spans="1:7">
      <c r="A1278" s="6" t="s">
        <v>237</v>
      </c>
      <c r="B1278" s="6" t="s">
        <v>51</v>
      </c>
      <c r="C1278" s="6" t="s">
        <v>190</v>
      </c>
      <c r="D1278" s="6" t="s">
        <v>44</v>
      </c>
      <c r="E1278" s="6" t="s">
        <v>44</v>
      </c>
      <c r="F1278" s="6" t="b">
        <v>0</v>
      </c>
      <c r="G1278" s="6">
        <v>0.2325</v>
      </c>
    </row>
    <row r="1279" spans="1:7">
      <c r="A1279" s="6" t="s">
        <v>237</v>
      </c>
      <c r="B1279" s="6" t="s">
        <v>51</v>
      </c>
      <c r="C1279" s="6" t="s">
        <v>190</v>
      </c>
      <c r="D1279" s="6" t="s">
        <v>86</v>
      </c>
      <c r="E1279" s="6" t="s">
        <v>44</v>
      </c>
      <c r="F1279" s="6" t="b">
        <v>0</v>
      </c>
      <c r="G1279" s="6">
        <v>0.2904166666666667</v>
      </c>
    </row>
    <row r="1280" spans="1:7">
      <c r="A1280" s="6" t="s">
        <v>237</v>
      </c>
      <c r="B1280" s="6" t="s">
        <v>51</v>
      </c>
      <c r="C1280" s="6" t="s">
        <v>190</v>
      </c>
      <c r="D1280" s="6" t="s">
        <v>90</v>
      </c>
      <c r="E1280" s="6" t="s">
        <v>44</v>
      </c>
      <c r="F1280" s="6" t="b">
        <v>0</v>
      </c>
      <c r="G1280" s="6">
        <v>0.3519166666666667</v>
      </c>
    </row>
    <row r="1281" spans="1:7">
      <c r="A1281" s="6" t="s">
        <v>237</v>
      </c>
      <c r="B1281" s="6" t="s">
        <v>51</v>
      </c>
      <c r="C1281" s="6" t="s">
        <v>190</v>
      </c>
      <c r="D1281" s="6" t="s">
        <v>177</v>
      </c>
      <c r="E1281" s="6" t="s">
        <v>44</v>
      </c>
      <c r="F1281" s="6" t="b">
        <v>0</v>
      </c>
      <c r="G1281" s="6">
        <v>0.8756666666666666</v>
      </c>
    </row>
    <row r="1282" spans="1:7">
      <c r="A1282" s="6" t="s">
        <v>237</v>
      </c>
      <c r="B1282" s="6" t="s">
        <v>51</v>
      </c>
      <c r="C1282" s="6" t="s">
        <v>190</v>
      </c>
      <c r="D1282" s="6" t="s">
        <v>92</v>
      </c>
      <c r="E1282" s="6" t="s">
        <v>92</v>
      </c>
      <c r="F1282" s="6" t="b">
        <v>0</v>
      </c>
      <c r="G1282" s="6">
        <v>0.06</v>
      </c>
    </row>
    <row r="1283" spans="1:7">
      <c r="A1283" s="6" t="s">
        <v>238</v>
      </c>
      <c r="B1283" s="6" t="s">
        <v>51</v>
      </c>
      <c r="C1283" s="6" t="s">
        <v>181</v>
      </c>
      <c r="D1283" s="6" t="s">
        <v>88</v>
      </c>
      <c r="E1283" s="6" t="s">
        <v>88</v>
      </c>
      <c r="F1283" s="6" t="b">
        <v>0</v>
      </c>
      <c r="G1283" s="6">
        <v>65.9405</v>
      </c>
    </row>
    <row r="1284" spans="1:7">
      <c r="A1284" s="6" t="s">
        <v>238</v>
      </c>
      <c r="B1284" s="6" t="s">
        <v>51</v>
      </c>
      <c r="C1284" s="6" t="s">
        <v>183</v>
      </c>
      <c r="D1284" s="6" t="s">
        <v>88</v>
      </c>
      <c r="E1284" s="6" t="s">
        <v>88</v>
      </c>
      <c r="F1284" s="6" t="b">
        <v>0</v>
      </c>
      <c r="G1284" s="6">
        <v>0.00175</v>
      </c>
    </row>
    <row r="1285" spans="1:7">
      <c r="A1285" s="6" t="s">
        <v>238</v>
      </c>
      <c r="B1285" s="6" t="s">
        <v>51</v>
      </c>
      <c r="C1285" s="6" t="s">
        <v>183</v>
      </c>
      <c r="D1285" s="6" t="s">
        <v>90</v>
      </c>
      <c r="E1285" s="6" t="s">
        <v>86</v>
      </c>
      <c r="F1285" s="6" t="b">
        <v>0</v>
      </c>
      <c r="G1285" s="6">
        <v>0.0009166666666666666</v>
      </c>
    </row>
    <row r="1286" spans="1:7">
      <c r="A1286" s="6" t="s">
        <v>238</v>
      </c>
      <c r="B1286" s="6" t="s">
        <v>51</v>
      </c>
      <c r="C1286" s="6" t="s">
        <v>184</v>
      </c>
      <c r="D1286" s="6" t="s">
        <v>44</v>
      </c>
      <c r="E1286" s="6" t="s">
        <v>44</v>
      </c>
      <c r="F1286" s="6" t="b">
        <v>0</v>
      </c>
      <c r="G1286" s="6">
        <v>136.1470833333333</v>
      </c>
    </row>
    <row r="1287" spans="1:7">
      <c r="A1287" s="6" t="s">
        <v>238</v>
      </c>
      <c r="B1287" s="6" t="s">
        <v>51</v>
      </c>
      <c r="C1287" s="6" t="s">
        <v>184</v>
      </c>
      <c r="D1287" s="6" t="s">
        <v>88</v>
      </c>
      <c r="E1287" s="6" t="s">
        <v>88</v>
      </c>
      <c r="F1287" s="6" t="b">
        <v>0</v>
      </c>
      <c r="G1287" s="6">
        <v>0.0005</v>
      </c>
    </row>
    <row r="1288" spans="1:7">
      <c r="A1288" s="6" t="s">
        <v>238</v>
      </c>
      <c r="B1288" s="6" t="s">
        <v>51</v>
      </c>
      <c r="C1288" s="6" t="s">
        <v>184</v>
      </c>
      <c r="D1288" s="6" t="s">
        <v>90</v>
      </c>
      <c r="E1288" s="6" t="s">
        <v>90</v>
      </c>
      <c r="F1288" s="6" t="b">
        <v>0</v>
      </c>
      <c r="G1288" s="6">
        <v>0.004500000000000001</v>
      </c>
    </row>
    <row r="1289" spans="1:7">
      <c r="A1289" s="6" t="s">
        <v>238</v>
      </c>
      <c r="B1289" s="6" t="s">
        <v>51</v>
      </c>
      <c r="C1289" s="6" t="s">
        <v>184</v>
      </c>
      <c r="D1289" s="6" t="s">
        <v>177</v>
      </c>
      <c r="E1289" s="6" t="s">
        <v>44</v>
      </c>
      <c r="F1289" s="6" t="b">
        <v>0</v>
      </c>
      <c r="G1289" s="6">
        <v>74.86516666666667</v>
      </c>
    </row>
    <row r="1290" spans="1:7">
      <c r="A1290" s="6" t="s">
        <v>238</v>
      </c>
      <c r="B1290" s="6" t="s">
        <v>51</v>
      </c>
      <c r="C1290" s="6" t="s">
        <v>184</v>
      </c>
      <c r="D1290" s="6" t="s">
        <v>177</v>
      </c>
      <c r="E1290" s="6" t="s">
        <v>86</v>
      </c>
      <c r="F1290" s="6" t="b">
        <v>0</v>
      </c>
      <c r="G1290" s="6">
        <v>0.0035</v>
      </c>
    </row>
    <row r="1291" spans="1:7">
      <c r="A1291" s="6" t="s">
        <v>238</v>
      </c>
      <c r="B1291" s="6" t="s">
        <v>51</v>
      </c>
      <c r="C1291" s="6" t="s">
        <v>184</v>
      </c>
      <c r="D1291" s="6" t="s">
        <v>177</v>
      </c>
      <c r="E1291" s="6" t="s">
        <v>685</v>
      </c>
      <c r="F1291" s="6" t="b">
        <v>1</v>
      </c>
      <c r="G1291" s="6">
        <v>0.08833333333333333</v>
      </c>
    </row>
    <row r="1292" spans="1:7">
      <c r="A1292" s="6" t="s">
        <v>238</v>
      </c>
      <c r="B1292" s="6" t="s">
        <v>51</v>
      </c>
      <c r="C1292" s="6" t="s">
        <v>185</v>
      </c>
      <c r="D1292" s="6" t="s">
        <v>44</v>
      </c>
      <c r="E1292" s="6" t="s">
        <v>44</v>
      </c>
      <c r="F1292" s="6" t="b">
        <v>0</v>
      </c>
      <c r="G1292" s="6">
        <v>319.5070833333334</v>
      </c>
    </row>
    <row r="1293" spans="1:7">
      <c r="A1293" s="6" t="s">
        <v>238</v>
      </c>
      <c r="B1293" s="6" t="s">
        <v>51</v>
      </c>
      <c r="C1293" s="6" t="s">
        <v>185</v>
      </c>
      <c r="D1293" s="6" t="s">
        <v>44</v>
      </c>
      <c r="E1293" s="6" t="s">
        <v>685</v>
      </c>
      <c r="F1293" s="6" t="b">
        <v>1</v>
      </c>
      <c r="G1293" s="6">
        <v>2155.49025</v>
      </c>
    </row>
    <row r="1294" spans="1:7">
      <c r="A1294" s="6" t="s">
        <v>238</v>
      </c>
      <c r="B1294" s="6" t="s">
        <v>51</v>
      </c>
      <c r="C1294" s="6" t="s">
        <v>186</v>
      </c>
      <c r="D1294" s="6" t="s">
        <v>86</v>
      </c>
      <c r="E1294" s="6" t="s">
        <v>86</v>
      </c>
      <c r="F1294" s="6" t="b">
        <v>0</v>
      </c>
      <c r="G1294" s="6">
        <v>119.5949166666667</v>
      </c>
    </row>
    <row r="1295" spans="1:7">
      <c r="A1295" s="6" t="s">
        <v>238</v>
      </c>
      <c r="B1295" s="6" t="s">
        <v>51</v>
      </c>
      <c r="C1295" s="6" t="s">
        <v>186</v>
      </c>
      <c r="D1295" s="6" t="s">
        <v>88</v>
      </c>
      <c r="E1295" s="6" t="s">
        <v>88</v>
      </c>
      <c r="F1295" s="6" t="b">
        <v>0</v>
      </c>
      <c r="G1295" s="6">
        <v>7.219916666666666</v>
      </c>
    </row>
    <row r="1296" spans="1:7">
      <c r="A1296" s="6" t="s">
        <v>238</v>
      </c>
      <c r="B1296" s="6" t="s">
        <v>51</v>
      </c>
      <c r="C1296" s="6" t="s">
        <v>186</v>
      </c>
      <c r="D1296" s="6" t="s">
        <v>90</v>
      </c>
      <c r="E1296" s="6" t="s">
        <v>90</v>
      </c>
      <c r="F1296" s="6" t="b">
        <v>0</v>
      </c>
      <c r="G1296" s="6">
        <v>10.2635</v>
      </c>
    </row>
    <row r="1297" spans="1:7">
      <c r="A1297" s="6" t="s">
        <v>238</v>
      </c>
      <c r="B1297" s="6" t="s">
        <v>51</v>
      </c>
      <c r="C1297" s="6" t="s">
        <v>186</v>
      </c>
      <c r="D1297" s="6" t="s">
        <v>177</v>
      </c>
      <c r="E1297" s="6" t="s">
        <v>86</v>
      </c>
      <c r="F1297" s="6" t="b">
        <v>0</v>
      </c>
      <c r="G1297" s="6">
        <v>0.3104166666666667</v>
      </c>
    </row>
    <row r="1298" spans="1:7">
      <c r="A1298" s="6" t="s">
        <v>238</v>
      </c>
      <c r="B1298" s="6" t="s">
        <v>51</v>
      </c>
      <c r="C1298" s="6" t="s">
        <v>189</v>
      </c>
      <c r="D1298" s="6" t="s">
        <v>86</v>
      </c>
      <c r="E1298" s="6" t="s">
        <v>86</v>
      </c>
      <c r="F1298" s="6" t="b">
        <v>0</v>
      </c>
      <c r="G1298" s="6">
        <v>0.2973333333333333</v>
      </c>
    </row>
    <row r="1299" spans="1:7">
      <c r="A1299" s="6" t="s">
        <v>238</v>
      </c>
      <c r="B1299" s="6" t="s">
        <v>51</v>
      </c>
      <c r="C1299" s="6" t="s">
        <v>189</v>
      </c>
      <c r="D1299" s="6" t="s">
        <v>88</v>
      </c>
      <c r="E1299" s="6" t="s">
        <v>88</v>
      </c>
      <c r="F1299" s="6" t="b">
        <v>0</v>
      </c>
      <c r="G1299" s="6">
        <v>0.006249999999999999</v>
      </c>
    </row>
    <row r="1300" spans="1:7">
      <c r="A1300" s="6" t="s">
        <v>238</v>
      </c>
      <c r="B1300" s="6" t="s">
        <v>51</v>
      </c>
      <c r="C1300" s="6" t="s">
        <v>189</v>
      </c>
      <c r="D1300" s="6" t="s">
        <v>90</v>
      </c>
      <c r="E1300" s="6" t="s">
        <v>90</v>
      </c>
      <c r="F1300" s="6" t="b">
        <v>0</v>
      </c>
      <c r="G1300" s="6">
        <v>0.005500000000000001</v>
      </c>
    </row>
    <row r="1301" spans="1:7">
      <c r="A1301" s="6" t="s">
        <v>239</v>
      </c>
      <c r="B1301" s="6" t="s">
        <v>54</v>
      </c>
      <c r="C1301" s="6" t="s">
        <v>181</v>
      </c>
      <c r="D1301" s="6" t="s">
        <v>88</v>
      </c>
      <c r="E1301" s="6" t="s">
        <v>88</v>
      </c>
      <c r="F1301" s="6" t="b">
        <v>0</v>
      </c>
      <c r="G1301" s="6">
        <v>94.33883333333334</v>
      </c>
    </row>
    <row r="1302" spans="1:7">
      <c r="A1302" s="6" t="s">
        <v>239</v>
      </c>
      <c r="B1302" s="6" t="s">
        <v>54</v>
      </c>
      <c r="C1302" s="6" t="s">
        <v>182</v>
      </c>
      <c r="D1302" s="6" t="s">
        <v>88</v>
      </c>
      <c r="E1302" s="6" t="s">
        <v>88</v>
      </c>
      <c r="F1302" s="6" t="b">
        <v>0</v>
      </c>
      <c r="G1302" s="6">
        <v>8.76</v>
      </c>
    </row>
    <row r="1303" spans="1:7">
      <c r="A1303" s="6" t="s">
        <v>239</v>
      </c>
      <c r="B1303" s="6" t="s">
        <v>54</v>
      </c>
      <c r="C1303" s="6" t="s">
        <v>183</v>
      </c>
      <c r="D1303" s="6" t="s">
        <v>88</v>
      </c>
      <c r="E1303" s="6" t="s">
        <v>88</v>
      </c>
      <c r="F1303" s="6" t="b">
        <v>0</v>
      </c>
      <c r="G1303" s="6">
        <v>0.3666666666666667</v>
      </c>
    </row>
    <row r="1304" spans="1:7">
      <c r="A1304" s="6" t="s">
        <v>239</v>
      </c>
      <c r="B1304" s="6" t="s">
        <v>54</v>
      </c>
      <c r="C1304" s="6" t="s">
        <v>183</v>
      </c>
      <c r="D1304" s="6" t="s">
        <v>90</v>
      </c>
      <c r="E1304" s="6" t="s">
        <v>86</v>
      </c>
      <c r="F1304" s="6" t="b">
        <v>0</v>
      </c>
      <c r="G1304" s="6">
        <v>0.2080833333333333</v>
      </c>
    </row>
    <row r="1305" spans="1:7">
      <c r="A1305" s="6" t="s">
        <v>239</v>
      </c>
      <c r="B1305" s="6" t="s">
        <v>54</v>
      </c>
      <c r="C1305" s="6" t="s">
        <v>183</v>
      </c>
      <c r="D1305" s="6" t="s">
        <v>90</v>
      </c>
      <c r="E1305" s="6" t="s">
        <v>90</v>
      </c>
      <c r="F1305" s="6" t="b">
        <v>0</v>
      </c>
      <c r="G1305" s="6">
        <v>0.2394166666666666</v>
      </c>
    </row>
    <row r="1306" spans="1:7">
      <c r="A1306" s="6" t="s">
        <v>239</v>
      </c>
      <c r="B1306" s="6" t="s">
        <v>54</v>
      </c>
      <c r="C1306" s="6" t="s">
        <v>183</v>
      </c>
      <c r="D1306" s="6" t="s">
        <v>177</v>
      </c>
      <c r="E1306" s="6" t="s">
        <v>86</v>
      </c>
      <c r="F1306" s="6" t="b">
        <v>0</v>
      </c>
      <c r="G1306" s="6">
        <v>0.044</v>
      </c>
    </row>
    <row r="1307" spans="1:7">
      <c r="A1307" s="6" t="s">
        <v>239</v>
      </c>
      <c r="B1307" s="6" t="s">
        <v>54</v>
      </c>
      <c r="C1307" s="6" t="s">
        <v>183</v>
      </c>
      <c r="D1307" s="6" t="s">
        <v>177</v>
      </c>
      <c r="E1307" s="6" t="s">
        <v>685</v>
      </c>
      <c r="F1307" s="6" t="b">
        <v>1</v>
      </c>
      <c r="G1307" s="6">
        <v>0.0285</v>
      </c>
    </row>
    <row r="1308" spans="1:7">
      <c r="A1308" s="6" t="s">
        <v>239</v>
      </c>
      <c r="B1308" s="6" t="s">
        <v>54</v>
      </c>
      <c r="C1308" s="6" t="s">
        <v>184</v>
      </c>
      <c r="D1308" s="6" t="s">
        <v>44</v>
      </c>
      <c r="E1308" s="6" t="s">
        <v>44</v>
      </c>
      <c r="F1308" s="6" t="b">
        <v>0</v>
      </c>
      <c r="G1308" s="6">
        <v>163.4651666666666</v>
      </c>
    </row>
    <row r="1309" spans="1:7">
      <c r="A1309" s="6" t="s">
        <v>239</v>
      </c>
      <c r="B1309" s="6" t="s">
        <v>54</v>
      </c>
      <c r="C1309" s="6" t="s">
        <v>184</v>
      </c>
      <c r="D1309" s="6" t="s">
        <v>177</v>
      </c>
      <c r="E1309" s="6" t="s">
        <v>44</v>
      </c>
      <c r="F1309" s="6" t="b">
        <v>0</v>
      </c>
      <c r="G1309" s="6">
        <v>142.1114166666667</v>
      </c>
    </row>
    <row r="1310" spans="1:7">
      <c r="A1310" s="6" t="s">
        <v>239</v>
      </c>
      <c r="B1310" s="6" t="s">
        <v>54</v>
      </c>
      <c r="C1310" s="6" t="s">
        <v>184</v>
      </c>
      <c r="D1310" s="6" t="s">
        <v>177</v>
      </c>
      <c r="E1310" s="6" t="s">
        <v>86</v>
      </c>
      <c r="F1310" s="6" t="b">
        <v>0</v>
      </c>
      <c r="G1310" s="6">
        <v>0.335</v>
      </c>
    </row>
    <row r="1311" spans="1:7">
      <c r="A1311" s="6" t="s">
        <v>239</v>
      </c>
      <c r="B1311" s="6" t="s">
        <v>54</v>
      </c>
      <c r="C1311" s="6" t="s">
        <v>184</v>
      </c>
      <c r="D1311" s="6" t="s">
        <v>177</v>
      </c>
      <c r="E1311" s="6" t="s">
        <v>685</v>
      </c>
      <c r="F1311" s="6" t="b">
        <v>1</v>
      </c>
      <c r="G1311" s="6">
        <v>5.21675</v>
      </c>
    </row>
    <row r="1312" spans="1:7">
      <c r="A1312" s="6" t="s">
        <v>239</v>
      </c>
      <c r="B1312" s="6" t="s">
        <v>54</v>
      </c>
      <c r="C1312" s="6" t="s">
        <v>185</v>
      </c>
      <c r="D1312" s="6" t="s">
        <v>44</v>
      </c>
      <c r="E1312" s="6" t="s">
        <v>44</v>
      </c>
      <c r="F1312" s="6" t="b">
        <v>0</v>
      </c>
      <c r="G1312" s="6">
        <v>105.82</v>
      </c>
    </row>
    <row r="1313" spans="1:7">
      <c r="A1313" s="6" t="s">
        <v>239</v>
      </c>
      <c r="B1313" s="6" t="s">
        <v>54</v>
      </c>
      <c r="C1313" s="6" t="s">
        <v>186</v>
      </c>
      <c r="D1313" s="6" t="s">
        <v>86</v>
      </c>
      <c r="E1313" s="6" t="s">
        <v>86</v>
      </c>
      <c r="F1313" s="6" t="b">
        <v>0</v>
      </c>
      <c r="G1313" s="6">
        <v>142.9079166666667</v>
      </c>
    </row>
    <row r="1314" spans="1:7">
      <c r="A1314" s="6" t="s">
        <v>239</v>
      </c>
      <c r="B1314" s="6" t="s">
        <v>54</v>
      </c>
      <c r="C1314" s="6" t="s">
        <v>186</v>
      </c>
      <c r="D1314" s="6" t="s">
        <v>88</v>
      </c>
      <c r="E1314" s="6" t="s">
        <v>88</v>
      </c>
      <c r="F1314" s="6" t="b">
        <v>0</v>
      </c>
      <c r="G1314" s="6">
        <v>12.7595</v>
      </c>
    </row>
    <row r="1315" spans="1:7">
      <c r="A1315" s="6" t="s">
        <v>239</v>
      </c>
      <c r="B1315" s="6" t="s">
        <v>54</v>
      </c>
      <c r="C1315" s="6" t="s">
        <v>186</v>
      </c>
      <c r="D1315" s="6" t="s">
        <v>90</v>
      </c>
      <c r="E1315" s="6" t="s">
        <v>90</v>
      </c>
      <c r="F1315" s="6" t="b">
        <v>0</v>
      </c>
      <c r="G1315" s="6">
        <v>30.39408333333333</v>
      </c>
    </row>
    <row r="1316" spans="1:7">
      <c r="A1316" s="6" t="s">
        <v>239</v>
      </c>
      <c r="B1316" s="6" t="s">
        <v>54</v>
      </c>
      <c r="C1316" s="6" t="s">
        <v>186</v>
      </c>
      <c r="D1316" s="6" t="s">
        <v>177</v>
      </c>
      <c r="E1316" s="6" t="s">
        <v>86</v>
      </c>
      <c r="F1316" s="6" t="b">
        <v>0</v>
      </c>
      <c r="G1316" s="6">
        <v>1.055666666666667</v>
      </c>
    </row>
    <row r="1317" spans="1:7">
      <c r="A1317" s="6" t="s">
        <v>239</v>
      </c>
      <c r="B1317" s="6" t="s">
        <v>54</v>
      </c>
      <c r="C1317" s="6" t="s">
        <v>189</v>
      </c>
      <c r="D1317" s="6" t="s">
        <v>86</v>
      </c>
      <c r="E1317" s="6" t="s">
        <v>86</v>
      </c>
      <c r="F1317" s="6" t="b">
        <v>0</v>
      </c>
      <c r="G1317" s="6">
        <v>2.081583333333333</v>
      </c>
    </row>
    <row r="1318" spans="1:7">
      <c r="A1318" s="6" t="s">
        <v>239</v>
      </c>
      <c r="B1318" s="6" t="s">
        <v>54</v>
      </c>
      <c r="C1318" s="6" t="s">
        <v>189</v>
      </c>
      <c r="D1318" s="6" t="s">
        <v>88</v>
      </c>
      <c r="E1318" s="6" t="s">
        <v>88</v>
      </c>
      <c r="F1318" s="6" t="b">
        <v>0</v>
      </c>
      <c r="G1318" s="6">
        <v>1.485166666666667</v>
      </c>
    </row>
    <row r="1319" spans="1:7">
      <c r="A1319" s="6" t="s">
        <v>239</v>
      </c>
      <c r="B1319" s="6" t="s">
        <v>54</v>
      </c>
      <c r="C1319" s="6" t="s">
        <v>189</v>
      </c>
      <c r="D1319" s="6" t="s">
        <v>90</v>
      </c>
      <c r="E1319" s="6" t="s">
        <v>90</v>
      </c>
      <c r="F1319" s="6" t="b">
        <v>0</v>
      </c>
      <c r="G1319" s="6">
        <v>0.14575</v>
      </c>
    </row>
    <row r="1320" spans="1:7">
      <c r="A1320" s="6" t="s">
        <v>239</v>
      </c>
      <c r="B1320" s="6" t="s">
        <v>54</v>
      </c>
      <c r="C1320" s="6" t="s">
        <v>190</v>
      </c>
      <c r="D1320" s="6" t="s">
        <v>44</v>
      </c>
      <c r="E1320" s="6" t="s">
        <v>44</v>
      </c>
      <c r="F1320" s="6" t="b">
        <v>0</v>
      </c>
      <c r="G1320" s="6">
        <v>73.33</v>
      </c>
    </row>
    <row r="1321" spans="1:7">
      <c r="A1321" s="6" t="s">
        <v>239</v>
      </c>
      <c r="B1321" s="6" t="s">
        <v>54</v>
      </c>
      <c r="C1321" s="6" t="s">
        <v>190</v>
      </c>
      <c r="D1321" s="6" t="s">
        <v>86</v>
      </c>
      <c r="E1321" s="6" t="s">
        <v>44</v>
      </c>
      <c r="F1321" s="6" t="b">
        <v>0</v>
      </c>
      <c r="G1321" s="6">
        <v>0.02391666666666667</v>
      </c>
    </row>
    <row r="1322" spans="1:7">
      <c r="A1322" s="6" t="s">
        <v>239</v>
      </c>
      <c r="B1322" s="6" t="s">
        <v>54</v>
      </c>
      <c r="C1322" s="6" t="s">
        <v>190</v>
      </c>
      <c r="D1322" s="6" t="s">
        <v>86</v>
      </c>
      <c r="E1322" s="6" t="s">
        <v>86</v>
      </c>
      <c r="F1322" s="6" t="b">
        <v>0</v>
      </c>
      <c r="G1322" s="6">
        <v>1.221333333333333</v>
      </c>
    </row>
    <row r="1323" spans="1:7">
      <c r="A1323" s="6" t="s">
        <v>239</v>
      </c>
      <c r="B1323" s="6" t="s">
        <v>54</v>
      </c>
      <c r="C1323" s="6" t="s">
        <v>190</v>
      </c>
      <c r="D1323" s="6" t="s">
        <v>88</v>
      </c>
      <c r="E1323" s="6" t="s">
        <v>88</v>
      </c>
      <c r="F1323" s="6" t="b">
        <v>0</v>
      </c>
      <c r="G1323" s="6">
        <v>0.002666666666666667</v>
      </c>
    </row>
    <row r="1324" spans="1:7">
      <c r="A1324" s="6" t="s">
        <v>239</v>
      </c>
      <c r="B1324" s="6" t="s">
        <v>54</v>
      </c>
      <c r="C1324" s="6" t="s">
        <v>190</v>
      </c>
      <c r="D1324" s="6" t="s">
        <v>90</v>
      </c>
      <c r="E1324" s="6" t="s">
        <v>44</v>
      </c>
      <c r="F1324" s="6" t="b">
        <v>0</v>
      </c>
      <c r="G1324" s="6">
        <v>0.1025</v>
      </c>
    </row>
    <row r="1325" spans="1:7">
      <c r="A1325" s="6" t="s">
        <v>239</v>
      </c>
      <c r="B1325" s="6" t="s">
        <v>54</v>
      </c>
      <c r="C1325" s="6" t="s">
        <v>190</v>
      </c>
      <c r="D1325" s="6" t="s">
        <v>90</v>
      </c>
      <c r="E1325" s="6" t="s">
        <v>90</v>
      </c>
      <c r="F1325" s="6" t="b">
        <v>0</v>
      </c>
      <c r="G1325" s="6">
        <v>0.9044166666666666</v>
      </c>
    </row>
    <row r="1326" spans="1:7">
      <c r="A1326" s="6" t="s">
        <v>239</v>
      </c>
      <c r="B1326" s="6" t="s">
        <v>54</v>
      </c>
      <c r="C1326" s="6" t="s">
        <v>190</v>
      </c>
      <c r="D1326" s="6" t="s">
        <v>177</v>
      </c>
      <c r="E1326" s="6" t="s">
        <v>44</v>
      </c>
      <c r="F1326" s="6" t="b">
        <v>0</v>
      </c>
      <c r="G1326" s="6">
        <v>10.94616666666666</v>
      </c>
    </row>
    <row r="1327" spans="1:7">
      <c r="A1327" s="6" t="s">
        <v>239</v>
      </c>
      <c r="B1327" s="6" t="s">
        <v>54</v>
      </c>
      <c r="C1327" s="6" t="s">
        <v>190</v>
      </c>
      <c r="D1327" s="6" t="s">
        <v>177</v>
      </c>
      <c r="E1327" s="6" t="s">
        <v>86</v>
      </c>
      <c r="F1327" s="6" t="b">
        <v>0</v>
      </c>
      <c r="G1327" s="6">
        <v>0.01983333333333333</v>
      </c>
    </row>
    <row r="1328" spans="1:7">
      <c r="A1328" s="6" t="s">
        <v>379</v>
      </c>
      <c r="B1328" s="6" t="s">
        <v>51</v>
      </c>
      <c r="C1328" s="6" t="s">
        <v>181</v>
      </c>
      <c r="D1328" s="6" t="s">
        <v>88</v>
      </c>
      <c r="E1328" s="6" t="s">
        <v>88</v>
      </c>
      <c r="F1328" s="6" t="b">
        <v>0</v>
      </c>
      <c r="G1328" s="6">
        <v>0.2813333333333333</v>
      </c>
    </row>
    <row r="1329" spans="1:7">
      <c r="A1329" s="6" t="s">
        <v>379</v>
      </c>
      <c r="B1329" s="6" t="s">
        <v>51</v>
      </c>
      <c r="C1329" s="6" t="s">
        <v>183</v>
      </c>
      <c r="D1329" s="6" t="s">
        <v>88</v>
      </c>
      <c r="E1329" s="6" t="s">
        <v>88</v>
      </c>
      <c r="F1329" s="6" t="b">
        <v>0</v>
      </c>
      <c r="G1329" s="6">
        <v>0.036</v>
      </c>
    </row>
    <row r="1330" spans="1:7">
      <c r="A1330" s="6" t="s">
        <v>379</v>
      </c>
      <c r="B1330" s="6" t="s">
        <v>51</v>
      </c>
      <c r="C1330" s="6" t="s">
        <v>183</v>
      </c>
      <c r="D1330" s="6" t="s">
        <v>90</v>
      </c>
      <c r="E1330" s="6" t="s">
        <v>86</v>
      </c>
      <c r="F1330" s="6" t="b">
        <v>0</v>
      </c>
      <c r="G1330" s="6">
        <v>0.01466666666666667</v>
      </c>
    </row>
    <row r="1331" spans="1:7">
      <c r="A1331" s="6" t="s">
        <v>379</v>
      </c>
      <c r="B1331" s="6" t="s">
        <v>51</v>
      </c>
      <c r="C1331" s="6" t="s">
        <v>183</v>
      </c>
      <c r="D1331" s="6" t="s">
        <v>90</v>
      </c>
      <c r="E1331" s="6" t="s">
        <v>90</v>
      </c>
      <c r="F1331" s="6" t="b">
        <v>0</v>
      </c>
      <c r="G1331" s="6">
        <v>0.008583333333333333</v>
      </c>
    </row>
    <row r="1332" spans="1:7">
      <c r="A1332" s="6" t="s">
        <v>379</v>
      </c>
      <c r="B1332" s="6" t="s">
        <v>51</v>
      </c>
      <c r="C1332" s="6" t="s">
        <v>184</v>
      </c>
      <c r="D1332" s="6" t="s">
        <v>44</v>
      </c>
      <c r="E1332" s="6" t="s">
        <v>44</v>
      </c>
      <c r="F1332" s="6" t="b">
        <v>0</v>
      </c>
      <c r="G1332" s="6">
        <v>3.39925</v>
      </c>
    </row>
    <row r="1333" spans="1:7">
      <c r="A1333" s="6" t="s">
        <v>379</v>
      </c>
      <c r="B1333" s="6" t="s">
        <v>51</v>
      </c>
      <c r="C1333" s="6" t="s">
        <v>184</v>
      </c>
      <c r="D1333" s="6" t="s">
        <v>90</v>
      </c>
      <c r="E1333" s="6" t="s">
        <v>90</v>
      </c>
      <c r="F1333" s="6" t="b">
        <v>0</v>
      </c>
      <c r="G1333" s="6">
        <v>0.007</v>
      </c>
    </row>
    <row r="1334" spans="1:7">
      <c r="A1334" s="6" t="s">
        <v>379</v>
      </c>
      <c r="B1334" s="6" t="s">
        <v>51</v>
      </c>
      <c r="C1334" s="6" t="s">
        <v>184</v>
      </c>
      <c r="D1334" s="6" t="s">
        <v>177</v>
      </c>
      <c r="E1334" s="6" t="s">
        <v>44</v>
      </c>
      <c r="F1334" s="6" t="b">
        <v>0</v>
      </c>
      <c r="G1334" s="6">
        <v>4.173</v>
      </c>
    </row>
    <row r="1335" spans="1:7">
      <c r="A1335" s="6" t="s">
        <v>379</v>
      </c>
      <c r="B1335" s="6" t="s">
        <v>51</v>
      </c>
      <c r="C1335" s="6" t="s">
        <v>184</v>
      </c>
      <c r="D1335" s="6" t="s">
        <v>177</v>
      </c>
      <c r="E1335" s="6" t="s">
        <v>685</v>
      </c>
      <c r="F1335" s="6" t="b">
        <v>1</v>
      </c>
      <c r="G1335" s="6">
        <v>0.08774999999999999</v>
      </c>
    </row>
    <row r="1336" spans="1:7">
      <c r="A1336" s="6" t="s">
        <v>379</v>
      </c>
      <c r="B1336" s="6" t="s">
        <v>51</v>
      </c>
      <c r="C1336" s="6" t="s">
        <v>186</v>
      </c>
      <c r="D1336" s="6" t="s">
        <v>86</v>
      </c>
      <c r="E1336" s="6" t="s">
        <v>86</v>
      </c>
      <c r="F1336" s="6" t="b">
        <v>0</v>
      </c>
      <c r="G1336" s="6">
        <v>1.500083333333333</v>
      </c>
    </row>
    <row r="1337" spans="1:7">
      <c r="A1337" s="6" t="s">
        <v>379</v>
      </c>
      <c r="B1337" s="6" t="s">
        <v>51</v>
      </c>
      <c r="C1337" s="6" t="s">
        <v>186</v>
      </c>
      <c r="D1337" s="6" t="s">
        <v>88</v>
      </c>
      <c r="E1337" s="6" t="s">
        <v>88</v>
      </c>
      <c r="F1337" s="6" t="b">
        <v>0</v>
      </c>
      <c r="G1337" s="6">
        <v>0.04041666666666666</v>
      </c>
    </row>
    <row r="1338" spans="1:7">
      <c r="A1338" s="6" t="s">
        <v>379</v>
      </c>
      <c r="B1338" s="6" t="s">
        <v>51</v>
      </c>
      <c r="C1338" s="6" t="s">
        <v>186</v>
      </c>
      <c r="D1338" s="6" t="s">
        <v>90</v>
      </c>
      <c r="E1338" s="6" t="s">
        <v>90</v>
      </c>
      <c r="F1338" s="6" t="b">
        <v>0</v>
      </c>
      <c r="G1338" s="6">
        <v>0.4973333333333333</v>
      </c>
    </row>
    <row r="1339" spans="1:7">
      <c r="A1339" s="6" t="s">
        <v>379</v>
      </c>
      <c r="B1339" s="6" t="s">
        <v>51</v>
      </c>
      <c r="C1339" s="6" t="s">
        <v>186</v>
      </c>
      <c r="D1339" s="6" t="s">
        <v>177</v>
      </c>
      <c r="E1339" s="6" t="s">
        <v>86</v>
      </c>
      <c r="F1339" s="6" t="b">
        <v>0</v>
      </c>
      <c r="G1339" s="6">
        <v>0.03133333333333333</v>
      </c>
    </row>
    <row r="1340" spans="1:7">
      <c r="A1340" s="6" t="s">
        <v>379</v>
      </c>
      <c r="B1340" s="6" t="s">
        <v>51</v>
      </c>
      <c r="C1340" s="6" t="s">
        <v>188</v>
      </c>
      <c r="D1340" s="6" t="s">
        <v>86</v>
      </c>
      <c r="E1340" s="6" t="s">
        <v>86</v>
      </c>
      <c r="F1340" s="6" t="b">
        <v>0</v>
      </c>
      <c r="G1340" s="6">
        <v>1.101</v>
      </c>
    </row>
    <row r="1341" spans="1:7">
      <c r="A1341" s="6" t="s">
        <v>379</v>
      </c>
      <c r="B1341" s="6" t="s">
        <v>51</v>
      </c>
      <c r="C1341" s="6" t="s">
        <v>188</v>
      </c>
      <c r="D1341" s="6" t="s">
        <v>88</v>
      </c>
      <c r="E1341" s="6" t="s">
        <v>88</v>
      </c>
      <c r="F1341" s="6" t="b">
        <v>0</v>
      </c>
      <c r="G1341" s="6">
        <v>9.068666666666667</v>
      </c>
    </row>
    <row r="1342" spans="1:7">
      <c r="A1342" s="6" t="s">
        <v>379</v>
      </c>
      <c r="B1342" s="6" t="s">
        <v>51</v>
      </c>
      <c r="C1342" s="6" t="s">
        <v>189</v>
      </c>
      <c r="D1342" s="6" t="s">
        <v>86</v>
      </c>
      <c r="E1342" s="6" t="s">
        <v>86</v>
      </c>
      <c r="F1342" s="6" t="b">
        <v>0</v>
      </c>
      <c r="G1342" s="6">
        <v>0.165</v>
      </c>
    </row>
    <row r="1343" spans="1:7">
      <c r="A1343" s="6" t="s">
        <v>379</v>
      </c>
      <c r="B1343" s="6" t="s">
        <v>51</v>
      </c>
      <c r="C1343" s="6" t="s">
        <v>189</v>
      </c>
      <c r="D1343" s="6" t="s">
        <v>88</v>
      </c>
      <c r="E1343" s="6" t="s">
        <v>88</v>
      </c>
      <c r="F1343" s="6" t="b">
        <v>0</v>
      </c>
      <c r="G1343" s="6">
        <v>0.01258333333333333</v>
      </c>
    </row>
    <row r="1344" spans="1:7">
      <c r="A1344" s="6" t="s">
        <v>379</v>
      </c>
      <c r="B1344" s="6" t="s">
        <v>51</v>
      </c>
      <c r="C1344" s="6" t="s">
        <v>189</v>
      </c>
      <c r="D1344" s="6" t="s">
        <v>90</v>
      </c>
      <c r="E1344" s="6" t="s">
        <v>90</v>
      </c>
      <c r="F1344" s="6" t="b">
        <v>0</v>
      </c>
      <c r="G1344" s="6">
        <v>0.00275</v>
      </c>
    </row>
    <row r="1345" spans="1:7">
      <c r="A1345" s="6" t="s">
        <v>347</v>
      </c>
      <c r="B1345" s="6" t="s">
        <v>52</v>
      </c>
      <c r="C1345" s="6" t="s">
        <v>184</v>
      </c>
      <c r="D1345" s="6" t="s">
        <v>44</v>
      </c>
      <c r="E1345" s="6" t="s">
        <v>44</v>
      </c>
      <c r="F1345" s="6" t="b">
        <v>0</v>
      </c>
      <c r="G1345" s="6">
        <v>0.3916666666666667</v>
      </c>
    </row>
    <row r="1346" spans="1:7">
      <c r="A1346" s="6" t="s">
        <v>347</v>
      </c>
      <c r="B1346" s="6" t="s">
        <v>52</v>
      </c>
      <c r="C1346" s="6" t="s">
        <v>184</v>
      </c>
      <c r="D1346" s="6" t="s">
        <v>44</v>
      </c>
      <c r="E1346" s="6" t="s">
        <v>685</v>
      </c>
      <c r="F1346" s="6" t="b">
        <v>1</v>
      </c>
      <c r="G1346" s="6">
        <v>2.075</v>
      </c>
    </row>
    <row r="1347" spans="1:7">
      <c r="A1347" s="6" t="s">
        <v>347</v>
      </c>
      <c r="B1347" s="6" t="s">
        <v>52</v>
      </c>
      <c r="C1347" s="6" t="s">
        <v>184</v>
      </c>
      <c r="D1347" s="6" t="s">
        <v>177</v>
      </c>
      <c r="E1347" s="6" t="s">
        <v>44</v>
      </c>
      <c r="F1347" s="6" t="b">
        <v>0</v>
      </c>
      <c r="G1347" s="6">
        <v>1.006666666666667</v>
      </c>
    </row>
    <row r="1348" spans="1:7">
      <c r="A1348" s="6" t="s">
        <v>347</v>
      </c>
      <c r="B1348" s="6" t="s">
        <v>52</v>
      </c>
      <c r="C1348" s="6" t="s">
        <v>186</v>
      </c>
      <c r="D1348" s="6" t="s">
        <v>86</v>
      </c>
      <c r="E1348" s="6" t="s">
        <v>86</v>
      </c>
      <c r="F1348" s="6" t="b">
        <v>0</v>
      </c>
      <c r="G1348" s="6">
        <v>1.9025</v>
      </c>
    </row>
    <row r="1349" spans="1:7">
      <c r="A1349" s="6" t="s">
        <v>368</v>
      </c>
      <c r="B1349" s="6" t="s">
        <v>55</v>
      </c>
      <c r="C1349" s="6" t="s">
        <v>181</v>
      </c>
      <c r="D1349" s="6" t="s">
        <v>88</v>
      </c>
      <c r="E1349" s="6" t="s">
        <v>88</v>
      </c>
      <c r="F1349" s="6" t="b">
        <v>0</v>
      </c>
      <c r="G1349" s="6">
        <v>0.292</v>
      </c>
    </row>
    <row r="1350" spans="1:7">
      <c r="A1350" s="6" t="s">
        <v>368</v>
      </c>
      <c r="B1350" s="6" t="s">
        <v>55</v>
      </c>
      <c r="C1350" s="6" t="s">
        <v>183</v>
      </c>
      <c r="D1350" s="6" t="s">
        <v>88</v>
      </c>
      <c r="E1350" s="6" t="s">
        <v>88</v>
      </c>
      <c r="F1350" s="6" t="b">
        <v>0</v>
      </c>
      <c r="G1350" s="6">
        <v>0.008</v>
      </c>
    </row>
    <row r="1351" spans="1:7">
      <c r="A1351" s="6" t="s">
        <v>368</v>
      </c>
      <c r="B1351" s="6" t="s">
        <v>55</v>
      </c>
      <c r="C1351" s="6" t="s">
        <v>183</v>
      </c>
      <c r="D1351" s="6" t="s">
        <v>90</v>
      </c>
      <c r="E1351" s="6" t="s">
        <v>90</v>
      </c>
      <c r="F1351" s="6" t="b">
        <v>0</v>
      </c>
      <c r="G1351" s="6">
        <v>0.005</v>
      </c>
    </row>
    <row r="1352" spans="1:7">
      <c r="A1352" s="6" t="s">
        <v>368</v>
      </c>
      <c r="B1352" s="6" t="s">
        <v>55</v>
      </c>
      <c r="C1352" s="6" t="s">
        <v>184</v>
      </c>
      <c r="D1352" s="6" t="s">
        <v>44</v>
      </c>
      <c r="E1352" s="6" t="s">
        <v>44</v>
      </c>
      <c r="F1352" s="6" t="b">
        <v>0</v>
      </c>
      <c r="G1352" s="6">
        <v>1.29775</v>
      </c>
    </row>
    <row r="1353" spans="1:7">
      <c r="A1353" s="6" t="s">
        <v>368</v>
      </c>
      <c r="B1353" s="6" t="s">
        <v>55</v>
      </c>
      <c r="C1353" s="6" t="s">
        <v>184</v>
      </c>
      <c r="D1353" s="6" t="s">
        <v>177</v>
      </c>
      <c r="E1353" s="6" t="s">
        <v>44</v>
      </c>
      <c r="F1353" s="6" t="b">
        <v>0</v>
      </c>
      <c r="G1353" s="6">
        <v>3.03075</v>
      </c>
    </row>
    <row r="1354" spans="1:7">
      <c r="A1354" s="6" t="s">
        <v>368</v>
      </c>
      <c r="B1354" s="6" t="s">
        <v>55</v>
      </c>
      <c r="C1354" s="6" t="s">
        <v>184</v>
      </c>
      <c r="D1354" s="6" t="s">
        <v>177</v>
      </c>
      <c r="E1354" s="6" t="s">
        <v>86</v>
      </c>
      <c r="F1354" s="6" t="b">
        <v>0</v>
      </c>
      <c r="G1354" s="6">
        <v>0.00525</v>
      </c>
    </row>
    <row r="1355" spans="1:7">
      <c r="A1355" s="6" t="s">
        <v>368</v>
      </c>
      <c r="B1355" s="6" t="s">
        <v>55</v>
      </c>
      <c r="C1355" s="6" t="s">
        <v>184</v>
      </c>
      <c r="D1355" s="6" t="s">
        <v>177</v>
      </c>
      <c r="E1355" s="6" t="s">
        <v>685</v>
      </c>
      <c r="F1355" s="6" t="b">
        <v>1</v>
      </c>
      <c r="G1355" s="6">
        <v>0.01433333333333333</v>
      </c>
    </row>
    <row r="1356" spans="1:7">
      <c r="A1356" s="6" t="s">
        <v>368</v>
      </c>
      <c r="B1356" s="6" t="s">
        <v>55</v>
      </c>
      <c r="C1356" s="6" t="s">
        <v>186</v>
      </c>
      <c r="D1356" s="6" t="s">
        <v>86</v>
      </c>
      <c r="E1356" s="6" t="s">
        <v>86</v>
      </c>
      <c r="F1356" s="6" t="b">
        <v>0</v>
      </c>
      <c r="G1356" s="6">
        <v>0.5188333333333334</v>
      </c>
    </row>
    <row r="1357" spans="1:7">
      <c r="A1357" s="6" t="s">
        <v>368</v>
      </c>
      <c r="B1357" s="6" t="s">
        <v>55</v>
      </c>
      <c r="C1357" s="6" t="s">
        <v>186</v>
      </c>
      <c r="D1357" s="6" t="s">
        <v>88</v>
      </c>
      <c r="E1357" s="6" t="s">
        <v>88</v>
      </c>
      <c r="F1357" s="6" t="b">
        <v>0</v>
      </c>
      <c r="G1357" s="6">
        <v>0.02616666666666667</v>
      </c>
    </row>
    <row r="1358" spans="1:7">
      <c r="A1358" s="6" t="s">
        <v>368</v>
      </c>
      <c r="B1358" s="6" t="s">
        <v>55</v>
      </c>
      <c r="C1358" s="6" t="s">
        <v>186</v>
      </c>
      <c r="D1358" s="6" t="s">
        <v>90</v>
      </c>
      <c r="E1358" s="6" t="s">
        <v>90</v>
      </c>
      <c r="F1358" s="6" t="b">
        <v>0</v>
      </c>
      <c r="G1358" s="6">
        <v>0.3375833333333333</v>
      </c>
    </row>
    <row r="1359" spans="1:7">
      <c r="A1359" s="6" t="s">
        <v>368</v>
      </c>
      <c r="B1359" s="6" t="s">
        <v>55</v>
      </c>
      <c r="C1359" s="6" t="s">
        <v>186</v>
      </c>
      <c r="D1359" s="6" t="s">
        <v>177</v>
      </c>
      <c r="E1359" s="6" t="s">
        <v>86</v>
      </c>
      <c r="F1359" s="6" t="b">
        <v>0</v>
      </c>
      <c r="G1359" s="6">
        <v>0.015</v>
      </c>
    </row>
    <row r="1360" spans="1:7">
      <c r="A1360" s="6" t="s">
        <v>368</v>
      </c>
      <c r="B1360" s="6" t="s">
        <v>55</v>
      </c>
      <c r="C1360" s="6" t="s">
        <v>189</v>
      </c>
      <c r="D1360" s="6" t="s">
        <v>86</v>
      </c>
      <c r="E1360" s="6" t="s">
        <v>86</v>
      </c>
      <c r="F1360" s="6" t="b">
        <v>0</v>
      </c>
      <c r="G1360" s="6">
        <v>0.1116666666666667</v>
      </c>
    </row>
    <row r="1361" spans="1:7">
      <c r="A1361" s="6" t="s">
        <v>368</v>
      </c>
      <c r="B1361" s="6" t="s">
        <v>55</v>
      </c>
      <c r="C1361" s="6" t="s">
        <v>189</v>
      </c>
      <c r="D1361" s="6" t="s">
        <v>90</v>
      </c>
      <c r="E1361" s="6" t="s">
        <v>90</v>
      </c>
      <c r="F1361" s="6" t="b">
        <v>0</v>
      </c>
      <c r="G1361" s="6">
        <v>0.04966666666666666</v>
      </c>
    </row>
    <row r="1362" spans="1:7">
      <c r="A1362" s="6" t="s">
        <v>240</v>
      </c>
      <c r="B1362" s="6" t="s">
        <v>51</v>
      </c>
      <c r="C1362" s="6" t="s">
        <v>181</v>
      </c>
      <c r="D1362" s="6" t="s">
        <v>88</v>
      </c>
      <c r="E1362" s="6" t="s">
        <v>88</v>
      </c>
      <c r="F1362" s="6" t="b">
        <v>0</v>
      </c>
      <c r="G1362" s="6">
        <v>1.40625</v>
      </c>
    </row>
    <row r="1363" spans="1:7">
      <c r="A1363" s="6" t="s">
        <v>240</v>
      </c>
      <c r="B1363" s="6" t="s">
        <v>51</v>
      </c>
      <c r="C1363" s="6" t="s">
        <v>181</v>
      </c>
      <c r="D1363" s="6" t="s">
        <v>90</v>
      </c>
      <c r="E1363" s="6" t="s">
        <v>90</v>
      </c>
      <c r="F1363" s="6" t="b">
        <v>0</v>
      </c>
      <c r="G1363" s="6">
        <v>0.0165</v>
      </c>
    </row>
    <row r="1364" spans="1:7">
      <c r="A1364" s="6" t="s">
        <v>240</v>
      </c>
      <c r="B1364" s="6" t="s">
        <v>51</v>
      </c>
      <c r="C1364" s="6" t="s">
        <v>183</v>
      </c>
      <c r="D1364" s="6" t="s">
        <v>86</v>
      </c>
      <c r="E1364" s="6" t="s">
        <v>86</v>
      </c>
      <c r="F1364" s="6" t="b">
        <v>0</v>
      </c>
      <c r="G1364" s="6">
        <v>0.008500000000000001</v>
      </c>
    </row>
    <row r="1365" spans="1:7">
      <c r="A1365" s="6" t="s">
        <v>240</v>
      </c>
      <c r="B1365" s="6" t="s">
        <v>51</v>
      </c>
      <c r="C1365" s="6" t="s">
        <v>183</v>
      </c>
      <c r="D1365" s="6" t="s">
        <v>88</v>
      </c>
      <c r="E1365" s="6" t="s">
        <v>88</v>
      </c>
      <c r="F1365" s="6" t="b">
        <v>0</v>
      </c>
      <c r="G1365" s="6">
        <v>0.03183333333333333</v>
      </c>
    </row>
    <row r="1366" spans="1:7">
      <c r="A1366" s="6" t="s">
        <v>240</v>
      </c>
      <c r="B1366" s="6" t="s">
        <v>51</v>
      </c>
      <c r="C1366" s="6" t="s">
        <v>183</v>
      </c>
      <c r="D1366" s="6" t="s">
        <v>90</v>
      </c>
      <c r="E1366" s="6" t="s">
        <v>86</v>
      </c>
      <c r="F1366" s="6" t="b">
        <v>0</v>
      </c>
      <c r="G1366" s="6">
        <v>0.051</v>
      </c>
    </row>
    <row r="1367" spans="1:7">
      <c r="A1367" s="6" t="s">
        <v>240</v>
      </c>
      <c r="B1367" s="6" t="s">
        <v>51</v>
      </c>
      <c r="C1367" s="6" t="s">
        <v>183</v>
      </c>
      <c r="D1367" s="6" t="s">
        <v>90</v>
      </c>
      <c r="E1367" s="6" t="s">
        <v>90</v>
      </c>
      <c r="F1367" s="6" t="b">
        <v>0</v>
      </c>
      <c r="G1367" s="6">
        <v>0.06408333333333334</v>
      </c>
    </row>
    <row r="1368" spans="1:7">
      <c r="A1368" s="6" t="s">
        <v>240</v>
      </c>
      <c r="B1368" s="6" t="s">
        <v>51</v>
      </c>
      <c r="C1368" s="6" t="s">
        <v>183</v>
      </c>
      <c r="D1368" s="6" t="s">
        <v>177</v>
      </c>
      <c r="E1368" s="6" t="s">
        <v>86</v>
      </c>
      <c r="F1368" s="6" t="b">
        <v>0</v>
      </c>
      <c r="G1368" s="6">
        <v>0.007583333333333333</v>
      </c>
    </row>
    <row r="1369" spans="1:7">
      <c r="A1369" s="6" t="s">
        <v>240</v>
      </c>
      <c r="B1369" s="6" t="s">
        <v>51</v>
      </c>
      <c r="C1369" s="6" t="s">
        <v>184</v>
      </c>
      <c r="D1369" s="6" t="s">
        <v>44</v>
      </c>
      <c r="E1369" s="6" t="s">
        <v>44</v>
      </c>
      <c r="F1369" s="6" t="b">
        <v>0</v>
      </c>
      <c r="G1369" s="6">
        <v>16.91683333333333</v>
      </c>
    </row>
    <row r="1370" spans="1:7">
      <c r="A1370" s="6" t="s">
        <v>240</v>
      </c>
      <c r="B1370" s="6" t="s">
        <v>51</v>
      </c>
      <c r="C1370" s="6" t="s">
        <v>184</v>
      </c>
      <c r="D1370" s="6" t="s">
        <v>88</v>
      </c>
      <c r="E1370" s="6" t="s">
        <v>88</v>
      </c>
      <c r="F1370" s="6" t="b">
        <v>0</v>
      </c>
      <c r="G1370" s="6">
        <v>0.1385833333333333</v>
      </c>
    </row>
    <row r="1371" spans="1:7">
      <c r="A1371" s="6" t="s">
        <v>240</v>
      </c>
      <c r="B1371" s="6" t="s">
        <v>51</v>
      </c>
      <c r="C1371" s="6" t="s">
        <v>184</v>
      </c>
      <c r="D1371" s="6" t="s">
        <v>90</v>
      </c>
      <c r="E1371" s="6" t="s">
        <v>90</v>
      </c>
      <c r="F1371" s="6" t="b">
        <v>0</v>
      </c>
      <c r="G1371" s="6">
        <v>0.1585833333333333</v>
      </c>
    </row>
    <row r="1372" spans="1:7">
      <c r="A1372" s="6" t="s">
        <v>240</v>
      </c>
      <c r="B1372" s="6" t="s">
        <v>51</v>
      </c>
      <c r="C1372" s="6" t="s">
        <v>184</v>
      </c>
      <c r="D1372" s="6" t="s">
        <v>90</v>
      </c>
      <c r="E1372" s="6" t="s">
        <v>685</v>
      </c>
      <c r="F1372" s="6" t="b">
        <v>1</v>
      </c>
      <c r="G1372" s="6">
        <v>0.2023333333333333</v>
      </c>
    </row>
    <row r="1373" spans="1:7">
      <c r="A1373" s="6" t="s">
        <v>240</v>
      </c>
      <c r="B1373" s="6" t="s">
        <v>51</v>
      </c>
      <c r="C1373" s="6" t="s">
        <v>184</v>
      </c>
      <c r="D1373" s="6" t="s">
        <v>177</v>
      </c>
      <c r="E1373" s="6" t="s">
        <v>44</v>
      </c>
      <c r="F1373" s="6" t="b">
        <v>0</v>
      </c>
      <c r="G1373" s="6">
        <v>12.94716666666667</v>
      </c>
    </row>
    <row r="1374" spans="1:7">
      <c r="A1374" s="6" t="s">
        <v>240</v>
      </c>
      <c r="B1374" s="6" t="s">
        <v>51</v>
      </c>
      <c r="C1374" s="6" t="s">
        <v>184</v>
      </c>
      <c r="D1374" s="6" t="s">
        <v>177</v>
      </c>
      <c r="E1374" s="6" t="s">
        <v>86</v>
      </c>
      <c r="F1374" s="6" t="b">
        <v>0</v>
      </c>
      <c r="G1374" s="6">
        <v>0.08650000000000001</v>
      </c>
    </row>
    <row r="1375" spans="1:7">
      <c r="A1375" s="6" t="s">
        <v>240</v>
      </c>
      <c r="B1375" s="6" t="s">
        <v>51</v>
      </c>
      <c r="C1375" s="6" t="s">
        <v>184</v>
      </c>
      <c r="D1375" s="6" t="s">
        <v>177</v>
      </c>
      <c r="E1375" s="6" t="s">
        <v>685</v>
      </c>
      <c r="F1375" s="6" t="b">
        <v>1</v>
      </c>
      <c r="G1375" s="6">
        <v>1.459666666666667</v>
      </c>
    </row>
    <row r="1376" spans="1:7">
      <c r="A1376" s="6" t="s">
        <v>240</v>
      </c>
      <c r="B1376" s="6" t="s">
        <v>51</v>
      </c>
      <c r="C1376" s="6" t="s">
        <v>186</v>
      </c>
      <c r="D1376" s="6" t="s">
        <v>86</v>
      </c>
      <c r="E1376" s="6" t="s">
        <v>86</v>
      </c>
      <c r="F1376" s="6" t="b">
        <v>0</v>
      </c>
      <c r="G1376" s="6">
        <v>2.566583333333333</v>
      </c>
    </row>
    <row r="1377" spans="1:7">
      <c r="A1377" s="6" t="s">
        <v>240</v>
      </c>
      <c r="B1377" s="6" t="s">
        <v>51</v>
      </c>
      <c r="C1377" s="6" t="s">
        <v>186</v>
      </c>
      <c r="D1377" s="6" t="s">
        <v>88</v>
      </c>
      <c r="E1377" s="6" t="s">
        <v>88</v>
      </c>
      <c r="F1377" s="6" t="b">
        <v>0</v>
      </c>
      <c r="G1377" s="6">
        <v>0.2448333333333333</v>
      </c>
    </row>
    <row r="1378" spans="1:7">
      <c r="A1378" s="6" t="s">
        <v>240</v>
      </c>
      <c r="B1378" s="6" t="s">
        <v>51</v>
      </c>
      <c r="C1378" s="6" t="s">
        <v>186</v>
      </c>
      <c r="D1378" s="6" t="s">
        <v>90</v>
      </c>
      <c r="E1378" s="6" t="s">
        <v>90</v>
      </c>
      <c r="F1378" s="6" t="b">
        <v>0</v>
      </c>
      <c r="G1378" s="6">
        <v>2.150583333333334</v>
      </c>
    </row>
    <row r="1379" spans="1:7">
      <c r="A1379" s="6" t="s">
        <v>240</v>
      </c>
      <c r="B1379" s="6" t="s">
        <v>51</v>
      </c>
      <c r="C1379" s="6" t="s">
        <v>186</v>
      </c>
      <c r="D1379" s="6" t="s">
        <v>177</v>
      </c>
      <c r="E1379" s="6" t="s">
        <v>86</v>
      </c>
      <c r="F1379" s="6" t="b">
        <v>0</v>
      </c>
      <c r="G1379" s="6">
        <v>0.07416666666666667</v>
      </c>
    </row>
    <row r="1380" spans="1:7">
      <c r="A1380" s="6" t="s">
        <v>240</v>
      </c>
      <c r="B1380" s="6" t="s">
        <v>51</v>
      </c>
      <c r="C1380" s="6" t="s">
        <v>189</v>
      </c>
      <c r="D1380" s="6" t="s">
        <v>86</v>
      </c>
      <c r="E1380" s="6" t="s">
        <v>86</v>
      </c>
      <c r="F1380" s="6" t="b">
        <v>0</v>
      </c>
      <c r="G1380" s="6">
        <v>1.875666666666667</v>
      </c>
    </row>
    <row r="1381" spans="1:7">
      <c r="A1381" s="6" t="s">
        <v>240</v>
      </c>
      <c r="B1381" s="6" t="s">
        <v>51</v>
      </c>
      <c r="C1381" s="6" t="s">
        <v>189</v>
      </c>
      <c r="D1381" s="6" t="s">
        <v>88</v>
      </c>
      <c r="E1381" s="6" t="s">
        <v>88</v>
      </c>
      <c r="F1381" s="6" t="b">
        <v>0</v>
      </c>
      <c r="G1381" s="6">
        <v>0.81075</v>
      </c>
    </row>
    <row r="1382" spans="1:7">
      <c r="A1382" s="6" t="s">
        <v>240</v>
      </c>
      <c r="B1382" s="6" t="s">
        <v>51</v>
      </c>
      <c r="C1382" s="6" t="s">
        <v>189</v>
      </c>
      <c r="D1382" s="6" t="s">
        <v>90</v>
      </c>
      <c r="E1382" s="6" t="s">
        <v>90</v>
      </c>
      <c r="F1382" s="6" t="b">
        <v>0</v>
      </c>
      <c r="G1382" s="6">
        <v>0.2629166666666666</v>
      </c>
    </row>
    <row r="1383" spans="1:7">
      <c r="A1383" s="6" t="s">
        <v>240</v>
      </c>
      <c r="B1383" s="6" t="s">
        <v>51</v>
      </c>
      <c r="C1383" s="6" t="s">
        <v>190</v>
      </c>
      <c r="D1383" s="6" t="s">
        <v>44</v>
      </c>
      <c r="E1383" s="6" t="s">
        <v>44</v>
      </c>
      <c r="F1383" s="6" t="b">
        <v>0</v>
      </c>
      <c r="G1383" s="6">
        <v>0.6086666666666667</v>
      </c>
    </row>
    <row r="1384" spans="1:7">
      <c r="A1384" s="6" t="s">
        <v>240</v>
      </c>
      <c r="B1384" s="6" t="s">
        <v>51</v>
      </c>
      <c r="C1384" s="6" t="s">
        <v>190</v>
      </c>
      <c r="D1384" s="6" t="s">
        <v>86</v>
      </c>
      <c r="E1384" s="6" t="s">
        <v>44</v>
      </c>
      <c r="F1384" s="6" t="b">
        <v>0</v>
      </c>
      <c r="G1384" s="6">
        <v>0.02391666666666667</v>
      </c>
    </row>
    <row r="1385" spans="1:7">
      <c r="A1385" s="6" t="s">
        <v>240</v>
      </c>
      <c r="B1385" s="6" t="s">
        <v>51</v>
      </c>
      <c r="C1385" s="6" t="s">
        <v>190</v>
      </c>
      <c r="D1385" s="6" t="s">
        <v>86</v>
      </c>
      <c r="E1385" s="6" t="s">
        <v>86</v>
      </c>
      <c r="F1385" s="6" t="b">
        <v>0</v>
      </c>
      <c r="G1385" s="6">
        <v>0.005999999999999999</v>
      </c>
    </row>
    <row r="1386" spans="1:7">
      <c r="A1386" s="6" t="s">
        <v>240</v>
      </c>
      <c r="B1386" s="6" t="s">
        <v>51</v>
      </c>
      <c r="C1386" s="6" t="s">
        <v>190</v>
      </c>
      <c r="D1386" s="6" t="s">
        <v>90</v>
      </c>
      <c r="E1386" s="6" t="s">
        <v>44</v>
      </c>
      <c r="F1386" s="6" t="b">
        <v>0</v>
      </c>
      <c r="G1386" s="6">
        <v>0.0205</v>
      </c>
    </row>
    <row r="1387" spans="1:7">
      <c r="A1387" s="6" t="s">
        <v>240</v>
      </c>
      <c r="B1387" s="6" t="s">
        <v>51</v>
      </c>
      <c r="C1387" s="6" t="s">
        <v>190</v>
      </c>
      <c r="D1387" s="6" t="s">
        <v>90</v>
      </c>
      <c r="E1387" s="6" t="s">
        <v>90</v>
      </c>
      <c r="F1387" s="6" t="b">
        <v>0</v>
      </c>
      <c r="G1387" s="6">
        <v>0.1405</v>
      </c>
    </row>
    <row r="1388" spans="1:7">
      <c r="A1388" s="6" t="s">
        <v>240</v>
      </c>
      <c r="B1388" s="6" t="s">
        <v>51</v>
      </c>
      <c r="C1388" s="6" t="s">
        <v>190</v>
      </c>
      <c r="D1388" s="6" t="s">
        <v>177</v>
      </c>
      <c r="E1388" s="6" t="s">
        <v>44</v>
      </c>
      <c r="F1388" s="6" t="b">
        <v>0</v>
      </c>
      <c r="G1388" s="6">
        <v>0.3019166666666667</v>
      </c>
    </row>
    <row r="1389" spans="1:7">
      <c r="A1389" s="6" t="s">
        <v>240</v>
      </c>
      <c r="B1389" s="6" t="s">
        <v>51</v>
      </c>
      <c r="C1389" s="6" t="s">
        <v>190</v>
      </c>
      <c r="D1389" s="6" t="s">
        <v>177</v>
      </c>
      <c r="E1389" s="6" t="s">
        <v>86</v>
      </c>
      <c r="F1389" s="6" t="b">
        <v>0</v>
      </c>
      <c r="G1389" s="6">
        <v>0.017</v>
      </c>
    </row>
    <row r="1390" spans="1:7">
      <c r="A1390" s="6" t="s">
        <v>241</v>
      </c>
      <c r="B1390" s="6" t="s">
        <v>53</v>
      </c>
      <c r="C1390" s="6" t="s">
        <v>181</v>
      </c>
      <c r="D1390" s="6" t="s">
        <v>88</v>
      </c>
      <c r="E1390" s="6" t="s">
        <v>88</v>
      </c>
      <c r="F1390" s="6" t="b">
        <v>0</v>
      </c>
      <c r="G1390" s="6">
        <v>28.11733333333333</v>
      </c>
    </row>
    <row r="1391" spans="1:7">
      <c r="A1391" s="6" t="s">
        <v>241</v>
      </c>
      <c r="B1391" s="6" t="s">
        <v>53</v>
      </c>
      <c r="C1391" s="6" t="s">
        <v>181</v>
      </c>
      <c r="D1391" s="6" t="s">
        <v>90</v>
      </c>
      <c r="E1391" s="6" t="s">
        <v>90</v>
      </c>
      <c r="F1391" s="6" t="b">
        <v>0</v>
      </c>
      <c r="G1391" s="6">
        <v>0.03016666666666666</v>
      </c>
    </row>
    <row r="1392" spans="1:7">
      <c r="A1392" s="6" t="s">
        <v>241</v>
      </c>
      <c r="B1392" s="6" t="s">
        <v>53</v>
      </c>
      <c r="C1392" s="6" t="s">
        <v>183</v>
      </c>
      <c r="D1392" s="6" t="s">
        <v>86</v>
      </c>
      <c r="E1392" s="6" t="s">
        <v>86</v>
      </c>
      <c r="F1392" s="6" t="b">
        <v>0</v>
      </c>
      <c r="G1392" s="6">
        <v>0.00425</v>
      </c>
    </row>
    <row r="1393" spans="1:7">
      <c r="A1393" s="6" t="s">
        <v>241</v>
      </c>
      <c r="B1393" s="6" t="s">
        <v>53</v>
      </c>
      <c r="C1393" s="6" t="s">
        <v>183</v>
      </c>
      <c r="D1393" s="6" t="s">
        <v>88</v>
      </c>
      <c r="E1393" s="6" t="s">
        <v>88</v>
      </c>
      <c r="F1393" s="6" t="b">
        <v>0</v>
      </c>
      <c r="G1393" s="6">
        <v>0.009416666666666667</v>
      </c>
    </row>
    <row r="1394" spans="1:7">
      <c r="A1394" s="6" t="s">
        <v>241</v>
      </c>
      <c r="B1394" s="6" t="s">
        <v>53</v>
      </c>
      <c r="C1394" s="6" t="s">
        <v>183</v>
      </c>
      <c r="D1394" s="6" t="s">
        <v>90</v>
      </c>
      <c r="E1394" s="6" t="s">
        <v>86</v>
      </c>
      <c r="F1394" s="6" t="b">
        <v>0</v>
      </c>
      <c r="G1394" s="6">
        <v>0.0065</v>
      </c>
    </row>
    <row r="1395" spans="1:7">
      <c r="A1395" s="6" t="s">
        <v>241</v>
      </c>
      <c r="B1395" s="6" t="s">
        <v>53</v>
      </c>
      <c r="C1395" s="6" t="s">
        <v>183</v>
      </c>
      <c r="D1395" s="6" t="s">
        <v>90</v>
      </c>
      <c r="E1395" s="6" t="s">
        <v>90</v>
      </c>
      <c r="F1395" s="6" t="b">
        <v>0</v>
      </c>
      <c r="G1395" s="6">
        <v>0.06108333333333333</v>
      </c>
    </row>
    <row r="1396" spans="1:7">
      <c r="A1396" s="6" t="s">
        <v>241</v>
      </c>
      <c r="B1396" s="6" t="s">
        <v>53</v>
      </c>
      <c r="C1396" s="6" t="s">
        <v>183</v>
      </c>
      <c r="D1396" s="6" t="s">
        <v>177</v>
      </c>
      <c r="E1396" s="6" t="s">
        <v>86</v>
      </c>
      <c r="F1396" s="6" t="b">
        <v>0</v>
      </c>
      <c r="G1396" s="6">
        <v>0.001083333333333333</v>
      </c>
    </row>
    <row r="1397" spans="1:7">
      <c r="A1397" s="6" t="s">
        <v>241</v>
      </c>
      <c r="B1397" s="6" t="s">
        <v>53</v>
      </c>
      <c r="C1397" s="6" t="s">
        <v>184</v>
      </c>
      <c r="D1397" s="6" t="s">
        <v>44</v>
      </c>
      <c r="E1397" s="6" t="s">
        <v>44</v>
      </c>
      <c r="F1397" s="6" t="b">
        <v>0</v>
      </c>
      <c r="G1397" s="6">
        <v>53.45825</v>
      </c>
    </row>
    <row r="1398" spans="1:7">
      <c r="A1398" s="6" t="s">
        <v>241</v>
      </c>
      <c r="B1398" s="6" t="s">
        <v>53</v>
      </c>
      <c r="C1398" s="6" t="s">
        <v>184</v>
      </c>
      <c r="D1398" s="6" t="s">
        <v>88</v>
      </c>
      <c r="E1398" s="6" t="s">
        <v>88</v>
      </c>
      <c r="F1398" s="6" t="b">
        <v>0</v>
      </c>
      <c r="G1398" s="6">
        <v>0.09516666666666668</v>
      </c>
    </row>
    <row r="1399" spans="1:7">
      <c r="A1399" s="6" t="s">
        <v>241</v>
      </c>
      <c r="B1399" s="6" t="s">
        <v>53</v>
      </c>
      <c r="C1399" s="6" t="s">
        <v>184</v>
      </c>
      <c r="D1399" s="6" t="s">
        <v>90</v>
      </c>
      <c r="E1399" s="6" t="s">
        <v>90</v>
      </c>
      <c r="F1399" s="6" t="b">
        <v>0</v>
      </c>
      <c r="G1399" s="6">
        <v>0.021</v>
      </c>
    </row>
    <row r="1400" spans="1:7">
      <c r="A1400" s="6" t="s">
        <v>241</v>
      </c>
      <c r="B1400" s="6" t="s">
        <v>53</v>
      </c>
      <c r="C1400" s="6" t="s">
        <v>184</v>
      </c>
      <c r="D1400" s="6" t="s">
        <v>90</v>
      </c>
      <c r="E1400" s="6" t="s">
        <v>685</v>
      </c>
      <c r="F1400" s="6" t="b">
        <v>1</v>
      </c>
      <c r="G1400" s="6">
        <v>0.09425</v>
      </c>
    </row>
    <row r="1401" spans="1:7">
      <c r="A1401" s="6" t="s">
        <v>241</v>
      </c>
      <c r="B1401" s="6" t="s">
        <v>53</v>
      </c>
      <c r="C1401" s="6" t="s">
        <v>184</v>
      </c>
      <c r="D1401" s="6" t="s">
        <v>177</v>
      </c>
      <c r="E1401" s="6" t="s">
        <v>44</v>
      </c>
      <c r="F1401" s="6" t="b">
        <v>0</v>
      </c>
      <c r="G1401" s="6">
        <v>40.54225</v>
      </c>
    </row>
    <row r="1402" spans="1:7">
      <c r="A1402" s="6" t="s">
        <v>241</v>
      </c>
      <c r="B1402" s="6" t="s">
        <v>53</v>
      </c>
      <c r="C1402" s="6" t="s">
        <v>184</v>
      </c>
      <c r="D1402" s="6" t="s">
        <v>177</v>
      </c>
      <c r="E1402" s="6" t="s">
        <v>86</v>
      </c>
      <c r="F1402" s="6" t="b">
        <v>0</v>
      </c>
      <c r="G1402" s="6">
        <v>0.00175</v>
      </c>
    </row>
    <row r="1403" spans="1:7">
      <c r="A1403" s="6" t="s">
        <v>241</v>
      </c>
      <c r="B1403" s="6" t="s">
        <v>53</v>
      </c>
      <c r="C1403" s="6" t="s">
        <v>184</v>
      </c>
      <c r="D1403" s="6" t="s">
        <v>177</v>
      </c>
      <c r="E1403" s="6" t="s">
        <v>685</v>
      </c>
      <c r="F1403" s="6" t="b">
        <v>1</v>
      </c>
      <c r="G1403" s="6">
        <v>0.8618333333333333</v>
      </c>
    </row>
    <row r="1404" spans="1:7">
      <c r="A1404" s="6" t="s">
        <v>241</v>
      </c>
      <c r="B1404" s="6" t="s">
        <v>53</v>
      </c>
      <c r="C1404" s="6" t="s">
        <v>185</v>
      </c>
      <c r="D1404" s="6" t="s">
        <v>44</v>
      </c>
      <c r="E1404" s="6" t="s">
        <v>44</v>
      </c>
      <c r="F1404" s="6" t="b">
        <v>0</v>
      </c>
      <c r="G1404" s="6">
        <v>26.871</v>
      </c>
    </row>
    <row r="1405" spans="1:7">
      <c r="A1405" s="6" t="s">
        <v>241</v>
      </c>
      <c r="B1405" s="6" t="s">
        <v>53</v>
      </c>
      <c r="C1405" s="6" t="s">
        <v>185</v>
      </c>
      <c r="D1405" s="6" t="s">
        <v>44</v>
      </c>
      <c r="E1405" s="6" t="s">
        <v>685</v>
      </c>
      <c r="F1405" s="6" t="b">
        <v>1</v>
      </c>
      <c r="G1405" s="6">
        <v>95.78625</v>
      </c>
    </row>
    <row r="1406" spans="1:7">
      <c r="A1406" s="6" t="s">
        <v>241</v>
      </c>
      <c r="B1406" s="6" t="s">
        <v>53</v>
      </c>
      <c r="C1406" s="6" t="s">
        <v>186</v>
      </c>
      <c r="D1406" s="6" t="s">
        <v>86</v>
      </c>
      <c r="E1406" s="6" t="s">
        <v>86</v>
      </c>
      <c r="F1406" s="6" t="b">
        <v>0</v>
      </c>
      <c r="G1406" s="6">
        <v>38.94566666666667</v>
      </c>
    </row>
    <row r="1407" spans="1:7">
      <c r="A1407" s="6" t="s">
        <v>241</v>
      </c>
      <c r="B1407" s="6" t="s">
        <v>53</v>
      </c>
      <c r="C1407" s="6" t="s">
        <v>186</v>
      </c>
      <c r="D1407" s="6" t="s">
        <v>88</v>
      </c>
      <c r="E1407" s="6" t="s">
        <v>88</v>
      </c>
      <c r="F1407" s="6" t="b">
        <v>0</v>
      </c>
      <c r="G1407" s="6">
        <v>2.714416666666667</v>
      </c>
    </row>
    <row r="1408" spans="1:7">
      <c r="A1408" s="6" t="s">
        <v>241</v>
      </c>
      <c r="B1408" s="6" t="s">
        <v>53</v>
      </c>
      <c r="C1408" s="6" t="s">
        <v>186</v>
      </c>
      <c r="D1408" s="6" t="s">
        <v>90</v>
      </c>
      <c r="E1408" s="6" t="s">
        <v>90</v>
      </c>
      <c r="F1408" s="6" t="b">
        <v>0</v>
      </c>
      <c r="G1408" s="6">
        <v>3.911333333333333</v>
      </c>
    </row>
    <row r="1409" spans="1:7">
      <c r="A1409" s="6" t="s">
        <v>241</v>
      </c>
      <c r="B1409" s="6" t="s">
        <v>53</v>
      </c>
      <c r="C1409" s="6" t="s">
        <v>186</v>
      </c>
      <c r="D1409" s="6" t="s">
        <v>177</v>
      </c>
      <c r="E1409" s="6" t="s">
        <v>86</v>
      </c>
      <c r="F1409" s="6" t="b">
        <v>0</v>
      </c>
      <c r="G1409" s="6">
        <v>0.2838333333333333</v>
      </c>
    </row>
    <row r="1410" spans="1:7">
      <c r="A1410" s="6" t="s">
        <v>241</v>
      </c>
      <c r="B1410" s="6" t="s">
        <v>53</v>
      </c>
      <c r="C1410" s="6" t="s">
        <v>189</v>
      </c>
      <c r="D1410" s="6" t="s">
        <v>86</v>
      </c>
      <c r="E1410" s="6" t="s">
        <v>86</v>
      </c>
      <c r="F1410" s="6" t="b">
        <v>0</v>
      </c>
      <c r="G1410" s="6">
        <v>0.4064166666666666</v>
      </c>
    </row>
    <row r="1411" spans="1:7">
      <c r="A1411" s="6" t="s">
        <v>241</v>
      </c>
      <c r="B1411" s="6" t="s">
        <v>53</v>
      </c>
      <c r="C1411" s="6" t="s">
        <v>189</v>
      </c>
      <c r="D1411" s="6" t="s">
        <v>88</v>
      </c>
      <c r="E1411" s="6" t="s">
        <v>88</v>
      </c>
      <c r="F1411" s="6" t="b">
        <v>0</v>
      </c>
      <c r="G1411" s="6">
        <v>0.71475</v>
      </c>
    </row>
    <row r="1412" spans="1:7">
      <c r="A1412" s="6" t="s">
        <v>241</v>
      </c>
      <c r="B1412" s="6" t="s">
        <v>53</v>
      </c>
      <c r="C1412" s="6" t="s">
        <v>189</v>
      </c>
      <c r="D1412" s="6" t="s">
        <v>90</v>
      </c>
      <c r="E1412" s="6" t="s">
        <v>90</v>
      </c>
      <c r="F1412" s="6" t="b">
        <v>0</v>
      </c>
      <c r="G1412" s="6">
        <v>0.0255</v>
      </c>
    </row>
    <row r="1413" spans="1:7">
      <c r="A1413" s="6" t="s">
        <v>241</v>
      </c>
      <c r="B1413" s="6" t="s">
        <v>53</v>
      </c>
      <c r="C1413" s="6" t="s">
        <v>190</v>
      </c>
      <c r="D1413" s="6" t="s">
        <v>44</v>
      </c>
      <c r="E1413" s="6" t="s">
        <v>44</v>
      </c>
      <c r="F1413" s="6" t="b">
        <v>0</v>
      </c>
      <c r="G1413" s="6">
        <v>94.807</v>
      </c>
    </row>
    <row r="1414" spans="1:7">
      <c r="A1414" s="6" t="s">
        <v>241</v>
      </c>
      <c r="B1414" s="6" t="s">
        <v>53</v>
      </c>
      <c r="C1414" s="6" t="s">
        <v>190</v>
      </c>
      <c r="D1414" s="6" t="s">
        <v>86</v>
      </c>
      <c r="E1414" s="6" t="s">
        <v>44</v>
      </c>
      <c r="F1414" s="6" t="b">
        <v>0</v>
      </c>
      <c r="G1414" s="6">
        <v>0.2220833333333333</v>
      </c>
    </row>
    <row r="1415" spans="1:7">
      <c r="A1415" s="6" t="s">
        <v>241</v>
      </c>
      <c r="B1415" s="6" t="s">
        <v>53</v>
      </c>
      <c r="C1415" s="6" t="s">
        <v>190</v>
      </c>
      <c r="D1415" s="6" t="s">
        <v>86</v>
      </c>
      <c r="E1415" s="6" t="s">
        <v>86</v>
      </c>
      <c r="F1415" s="6" t="b">
        <v>0</v>
      </c>
      <c r="G1415" s="6">
        <v>0.4339166666666667</v>
      </c>
    </row>
    <row r="1416" spans="1:7">
      <c r="A1416" s="6" t="s">
        <v>241</v>
      </c>
      <c r="B1416" s="6" t="s">
        <v>53</v>
      </c>
      <c r="C1416" s="6" t="s">
        <v>190</v>
      </c>
      <c r="D1416" s="6" t="s">
        <v>90</v>
      </c>
      <c r="E1416" s="6" t="s">
        <v>44</v>
      </c>
      <c r="F1416" s="6" t="b">
        <v>0</v>
      </c>
      <c r="G1416" s="6">
        <v>0.06491666666666666</v>
      </c>
    </row>
    <row r="1417" spans="1:7">
      <c r="A1417" s="6" t="s">
        <v>241</v>
      </c>
      <c r="B1417" s="6" t="s">
        <v>53</v>
      </c>
      <c r="C1417" s="6" t="s">
        <v>190</v>
      </c>
      <c r="D1417" s="6" t="s">
        <v>90</v>
      </c>
      <c r="E1417" s="6" t="s">
        <v>90</v>
      </c>
      <c r="F1417" s="6" t="b">
        <v>0</v>
      </c>
      <c r="G1417" s="6">
        <v>4.281666666666667</v>
      </c>
    </row>
    <row r="1418" spans="1:7">
      <c r="A1418" s="6" t="s">
        <v>241</v>
      </c>
      <c r="B1418" s="6" t="s">
        <v>53</v>
      </c>
      <c r="C1418" s="6" t="s">
        <v>190</v>
      </c>
      <c r="D1418" s="6" t="s">
        <v>177</v>
      </c>
      <c r="E1418" s="6" t="s">
        <v>44</v>
      </c>
      <c r="F1418" s="6" t="b">
        <v>0</v>
      </c>
      <c r="G1418" s="6">
        <v>22.2505</v>
      </c>
    </row>
    <row r="1419" spans="1:7">
      <c r="A1419" s="6" t="s">
        <v>241</v>
      </c>
      <c r="B1419" s="6" t="s">
        <v>53</v>
      </c>
      <c r="C1419" s="6" t="s">
        <v>190</v>
      </c>
      <c r="D1419" s="6" t="s">
        <v>177</v>
      </c>
      <c r="E1419" s="6" t="s">
        <v>86</v>
      </c>
      <c r="F1419" s="6" t="b">
        <v>0</v>
      </c>
      <c r="G1419" s="6">
        <v>0.006666666666666667</v>
      </c>
    </row>
    <row r="1420" spans="1:7">
      <c r="A1420" s="6" t="s">
        <v>242</v>
      </c>
      <c r="B1420" s="6" t="s">
        <v>56</v>
      </c>
      <c r="C1420" s="6" t="s">
        <v>181</v>
      </c>
      <c r="D1420" s="6" t="s">
        <v>88</v>
      </c>
      <c r="E1420" s="6" t="s">
        <v>88</v>
      </c>
      <c r="F1420" s="6" t="b">
        <v>0</v>
      </c>
      <c r="G1420" s="6">
        <v>66.41733333333333</v>
      </c>
    </row>
    <row r="1421" spans="1:7">
      <c r="A1421" s="6" t="s">
        <v>242</v>
      </c>
      <c r="B1421" s="6" t="s">
        <v>56</v>
      </c>
      <c r="C1421" s="6" t="s">
        <v>181</v>
      </c>
      <c r="D1421" s="6" t="s">
        <v>90</v>
      </c>
      <c r="E1421" s="6" t="s">
        <v>90</v>
      </c>
      <c r="F1421" s="6" t="b">
        <v>0</v>
      </c>
      <c r="G1421" s="6">
        <v>0.1355</v>
      </c>
    </row>
    <row r="1422" spans="1:7">
      <c r="A1422" s="6" t="s">
        <v>242</v>
      </c>
      <c r="B1422" s="6" t="s">
        <v>56</v>
      </c>
      <c r="C1422" s="6" t="s">
        <v>183</v>
      </c>
      <c r="D1422" s="6" t="s">
        <v>86</v>
      </c>
      <c r="E1422" s="6" t="s">
        <v>86</v>
      </c>
      <c r="F1422" s="6" t="b">
        <v>0</v>
      </c>
      <c r="G1422" s="6">
        <v>0.04108333333333334</v>
      </c>
    </row>
    <row r="1423" spans="1:7">
      <c r="A1423" s="6" t="s">
        <v>242</v>
      </c>
      <c r="B1423" s="6" t="s">
        <v>56</v>
      </c>
      <c r="C1423" s="6" t="s">
        <v>183</v>
      </c>
      <c r="D1423" s="6" t="s">
        <v>88</v>
      </c>
      <c r="E1423" s="6" t="s">
        <v>88</v>
      </c>
      <c r="F1423" s="6" t="b">
        <v>0</v>
      </c>
      <c r="G1423" s="6">
        <v>1.026833333333333</v>
      </c>
    </row>
    <row r="1424" spans="1:7">
      <c r="A1424" s="6" t="s">
        <v>242</v>
      </c>
      <c r="B1424" s="6" t="s">
        <v>56</v>
      </c>
      <c r="C1424" s="6" t="s">
        <v>183</v>
      </c>
      <c r="D1424" s="6" t="s">
        <v>90</v>
      </c>
      <c r="E1424" s="6" t="s">
        <v>86</v>
      </c>
      <c r="F1424" s="6" t="b">
        <v>0</v>
      </c>
      <c r="G1424" s="6">
        <v>0.32775</v>
      </c>
    </row>
    <row r="1425" spans="1:7">
      <c r="A1425" s="6" t="s">
        <v>242</v>
      </c>
      <c r="B1425" s="6" t="s">
        <v>56</v>
      </c>
      <c r="C1425" s="6" t="s">
        <v>183</v>
      </c>
      <c r="D1425" s="6" t="s">
        <v>90</v>
      </c>
      <c r="E1425" s="6" t="s">
        <v>90</v>
      </c>
      <c r="F1425" s="6" t="b">
        <v>0</v>
      </c>
      <c r="G1425" s="6">
        <v>0.1479166666666667</v>
      </c>
    </row>
    <row r="1426" spans="1:7">
      <c r="A1426" s="6" t="s">
        <v>242</v>
      </c>
      <c r="B1426" s="6" t="s">
        <v>56</v>
      </c>
      <c r="C1426" s="6" t="s">
        <v>183</v>
      </c>
      <c r="D1426" s="6" t="s">
        <v>177</v>
      </c>
      <c r="E1426" s="6" t="s">
        <v>86</v>
      </c>
      <c r="F1426" s="6" t="b">
        <v>0</v>
      </c>
      <c r="G1426" s="6">
        <v>0.07825</v>
      </c>
    </row>
    <row r="1427" spans="1:7">
      <c r="A1427" s="6" t="s">
        <v>242</v>
      </c>
      <c r="B1427" s="6" t="s">
        <v>56</v>
      </c>
      <c r="C1427" s="6" t="s">
        <v>183</v>
      </c>
      <c r="D1427" s="6" t="s">
        <v>177</v>
      </c>
      <c r="E1427" s="6" t="s">
        <v>685</v>
      </c>
      <c r="F1427" s="6" t="b">
        <v>1</v>
      </c>
      <c r="G1427" s="6">
        <v>0.05</v>
      </c>
    </row>
    <row r="1428" spans="1:7">
      <c r="A1428" s="6" t="s">
        <v>242</v>
      </c>
      <c r="B1428" s="6" t="s">
        <v>56</v>
      </c>
      <c r="C1428" s="6" t="s">
        <v>184</v>
      </c>
      <c r="D1428" s="6" t="s">
        <v>44</v>
      </c>
      <c r="E1428" s="6" t="s">
        <v>44</v>
      </c>
      <c r="F1428" s="6" t="b">
        <v>0</v>
      </c>
      <c r="G1428" s="6">
        <v>908.7548333333333</v>
      </c>
    </row>
    <row r="1429" spans="1:7">
      <c r="A1429" s="6" t="s">
        <v>242</v>
      </c>
      <c r="B1429" s="6" t="s">
        <v>56</v>
      </c>
      <c r="C1429" s="6" t="s">
        <v>184</v>
      </c>
      <c r="D1429" s="6" t="s">
        <v>86</v>
      </c>
      <c r="E1429" s="6" t="s">
        <v>86</v>
      </c>
      <c r="F1429" s="6" t="b">
        <v>0</v>
      </c>
      <c r="G1429" s="6">
        <v>1.545</v>
      </c>
    </row>
    <row r="1430" spans="1:7">
      <c r="A1430" s="6" t="s">
        <v>242</v>
      </c>
      <c r="B1430" s="6" t="s">
        <v>56</v>
      </c>
      <c r="C1430" s="6" t="s">
        <v>184</v>
      </c>
      <c r="D1430" s="6" t="s">
        <v>88</v>
      </c>
      <c r="E1430" s="6" t="s">
        <v>88</v>
      </c>
      <c r="F1430" s="6" t="b">
        <v>0</v>
      </c>
      <c r="G1430" s="6">
        <v>0.05983333333333333</v>
      </c>
    </row>
    <row r="1431" spans="1:7">
      <c r="A1431" s="6" t="s">
        <v>242</v>
      </c>
      <c r="B1431" s="6" t="s">
        <v>56</v>
      </c>
      <c r="C1431" s="6" t="s">
        <v>184</v>
      </c>
      <c r="D1431" s="6" t="s">
        <v>90</v>
      </c>
      <c r="E1431" s="6" t="s">
        <v>90</v>
      </c>
      <c r="F1431" s="6" t="b">
        <v>0</v>
      </c>
      <c r="G1431" s="6">
        <v>1.356666666666667</v>
      </c>
    </row>
    <row r="1432" spans="1:7">
      <c r="A1432" s="6" t="s">
        <v>242</v>
      </c>
      <c r="B1432" s="6" t="s">
        <v>56</v>
      </c>
      <c r="C1432" s="6" t="s">
        <v>184</v>
      </c>
      <c r="D1432" s="6" t="s">
        <v>90</v>
      </c>
      <c r="E1432" s="6" t="s">
        <v>685</v>
      </c>
      <c r="F1432" s="6" t="b">
        <v>1</v>
      </c>
      <c r="G1432" s="6">
        <v>1.815666666666667</v>
      </c>
    </row>
    <row r="1433" spans="1:7">
      <c r="A1433" s="6" t="s">
        <v>242</v>
      </c>
      <c r="B1433" s="6" t="s">
        <v>56</v>
      </c>
      <c r="C1433" s="6" t="s">
        <v>184</v>
      </c>
      <c r="D1433" s="6" t="s">
        <v>177</v>
      </c>
      <c r="E1433" s="6" t="s">
        <v>44</v>
      </c>
      <c r="F1433" s="6" t="b">
        <v>0</v>
      </c>
      <c r="G1433" s="6">
        <v>414.62325</v>
      </c>
    </row>
    <row r="1434" spans="1:7">
      <c r="A1434" s="6" t="s">
        <v>242</v>
      </c>
      <c r="B1434" s="6" t="s">
        <v>56</v>
      </c>
      <c r="C1434" s="6" t="s">
        <v>184</v>
      </c>
      <c r="D1434" s="6" t="s">
        <v>177</v>
      </c>
      <c r="E1434" s="6" t="s">
        <v>86</v>
      </c>
      <c r="F1434" s="6" t="b">
        <v>0</v>
      </c>
      <c r="G1434" s="6">
        <v>0.224</v>
      </c>
    </row>
    <row r="1435" spans="1:7">
      <c r="A1435" s="6" t="s">
        <v>242</v>
      </c>
      <c r="B1435" s="6" t="s">
        <v>56</v>
      </c>
      <c r="C1435" s="6" t="s">
        <v>184</v>
      </c>
      <c r="D1435" s="6" t="s">
        <v>177</v>
      </c>
      <c r="E1435" s="6" t="s">
        <v>685</v>
      </c>
      <c r="F1435" s="6" t="b">
        <v>1</v>
      </c>
      <c r="G1435" s="6">
        <v>3.23775</v>
      </c>
    </row>
    <row r="1436" spans="1:7">
      <c r="A1436" s="6" t="s">
        <v>242</v>
      </c>
      <c r="B1436" s="6" t="s">
        <v>56</v>
      </c>
      <c r="C1436" s="6" t="s">
        <v>186</v>
      </c>
      <c r="D1436" s="6" t="s">
        <v>86</v>
      </c>
      <c r="E1436" s="6" t="s">
        <v>86</v>
      </c>
      <c r="F1436" s="6" t="b">
        <v>0</v>
      </c>
      <c r="G1436" s="6">
        <v>187.5459166666667</v>
      </c>
    </row>
    <row r="1437" spans="1:7">
      <c r="A1437" s="6" t="s">
        <v>242</v>
      </c>
      <c r="B1437" s="6" t="s">
        <v>56</v>
      </c>
      <c r="C1437" s="6" t="s">
        <v>186</v>
      </c>
      <c r="D1437" s="6" t="s">
        <v>88</v>
      </c>
      <c r="E1437" s="6" t="s">
        <v>88</v>
      </c>
      <c r="F1437" s="6" t="b">
        <v>0</v>
      </c>
      <c r="G1437" s="6">
        <v>8.21025</v>
      </c>
    </row>
    <row r="1438" spans="1:7">
      <c r="A1438" s="6" t="s">
        <v>242</v>
      </c>
      <c r="B1438" s="6" t="s">
        <v>56</v>
      </c>
      <c r="C1438" s="6" t="s">
        <v>186</v>
      </c>
      <c r="D1438" s="6" t="s">
        <v>90</v>
      </c>
      <c r="E1438" s="6" t="s">
        <v>86</v>
      </c>
      <c r="F1438" s="6" t="b">
        <v>0</v>
      </c>
      <c r="G1438" s="6">
        <v>0.06375</v>
      </c>
    </row>
    <row r="1439" spans="1:7">
      <c r="A1439" s="6" t="s">
        <v>242</v>
      </c>
      <c r="B1439" s="6" t="s">
        <v>56</v>
      </c>
      <c r="C1439" s="6" t="s">
        <v>186</v>
      </c>
      <c r="D1439" s="6" t="s">
        <v>90</v>
      </c>
      <c r="E1439" s="6" t="s">
        <v>90</v>
      </c>
      <c r="F1439" s="6" t="b">
        <v>0</v>
      </c>
      <c r="G1439" s="6">
        <v>82.99791666666667</v>
      </c>
    </row>
    <row r="1440" spans="1:7">
      <c r="A1440" s="6" t="s">
        <v>242</v>
      </c>
      <c r="B1440" s="6" t="s">
        <v>56</v>
      </c>
      <c r="C1440" s="6" t="s">
        <v>186</v>
      </c>
      <c r="D1440" s="6" t="s">
        <v>177</v>
      </c>
      <c r="E1440" s="6" t="s">
        <v>86</v>
      </c>
      <c r="F1440" s="6" t="b">
        <v>0</v>
      </c>
      <c r="G1440" s="6">
        <v>1.869083333333333</v>
      </c>
    </row>
    <row r="1441" spans="1:7">
      <c r="A1441" s="6" t="s">
        <v>242</v>
      </c>
      <c r="B1441" s="6" t="s">
        <v>56</v>
      </c>
      <c r="C1441" s="6" t="s">
        <v>189</v>
      </c>
      <c r="D1441" s="6" t="s">
        <v>86</v>
      </c>
      <c r="E1441" s="6" t="s">
        <v>86</v>
      </c>
      <c r="F1441" s="6" t="b">
        <v>0</v>
      </c>
      <c r="G1441" s="6">
        <v>14.66958333333333</v>
      </c>
    </row>
    <row r="1442" spans="1:7">
      <c r="A1442" s="6" t="s">
        <v>242</v>
      </c>
      <c r="B1442" s="6" t="s">
        <v>56</v>
      </c>
      <c r="C1442" s="6" t="s">
        <v>189</v>
      </c>
      <c r="D1442" s="6" t="s">
        <v>88</v>
      </c>
      <c r="E1442" s="6" t="s">
        <v>88</v>
      </c>
      <c r="F1442" s="6" t="b">
        <v>0</v>
      </c>
      <c r="G1442" s="6">
        <v>26.6315</v>
      </c>
    </row>
    <row r="1443" spans="1:7">
      <c r="A1443" s="6" t="s">
        <v>242</v>
      </c>
      <c r="B1443" s="6" t="s">
        <v>56</v>
      </c>
      <c r="C1443" s="6" t="s">
        <v>189</v>
      </c>
      <c r="D1443" s="6" t="s">
        <v>90</v>
      </c>
      <c r="E1443" s="6" t="s">
        <v>90</v>
      </c>
      <c r="F1443" s="6" t="b">
        <v>0</v>
      </c>
      <c r="G1443" s="6">
        <v>4.828</v>
      </c>
    </row>
    <row r="1444" spans="1:7">
      <c r="A1444" s="6" t="s">
        <v>242</v>
      </c>
      <c r="B1444" s="6" t="s">
        <v>56</v>
      </c>
      <c r="C1444" s="6" t="s">
        <v>190</v>
      </c>
      <c r="D1444" s="6" t="s">
        <v>86</v>
      </c>
      <c r="E1444" s="6" t="s">
        <v>44</v>
      </c>
      <c r="F1444" s="6" t="b">
        <v>0</v>
      </c>
      <c r="G1444" s="6">
        <v>0.01366666666666667</v>
      </c>
    </row>
    <row r="1445" spans="1:7">
      <c r="A1445" s="6" t="s">
        <v>243</v>
      </c>
      <c r="B1445" s="6" t="s">
        <v>58</v>
      </c>
      <c r="C1445" s="6" t="s">
        <v>181</v>
      </c>
      <c r="D1445" s="6" t="s">
        <v>88</v>
      </c>
      <c r="E1445" s="6" t="s">
        <v>88</v>
      </c>
      <c r="F1445" s="6" t="b">
        <v>0</v>
      </c>
      <c r="G1445" s="6">
        <v>0.1188333333333333</v>
      </c>
    </row>
    <row r="1446" spans="1:7">
      <c r="A1446" s="6" t="s">
        <v>243</v>
      </c>
      <c r="B1446" s="6" t="s">
        <v>58</v>
      </c>
      <c r="C1446" s="6" t="s">
        <v>183</v>
      </c>
      <c r="D1446" s="6" t="s">
        <v>88</v>
      </c>
      <c r="E1446" s="6" t="s">
        <v>88</v>
      </c>
      <c r="F1446" s="6" t="b">
        <v>0</v>
      </c>
      <c r="G1446" s="6">
        <v>0.002333333333333334</v>
      </c>
    </row>
    <row r="1447" spans="1:7">
      <c r="A1447" s="6" t="s">
        <v>243</v>
      </c>
      <c r="B1447" s="6" t="s">
        <v>58</v>
      </c>
      <c r="C1447" s="6" t="s">
        <v>183</v>
      </c>
      <c r="D1447" s="6" t="s">
        <v>90</v>
      </c>
      <c r="E1447" s="6" t="s">
        <v>86</v>
      </c>
      <c r="F1447" s="6" t="b">
        <v>0</v>
      </c>
      <c r="G1447" s="6">
        <v>0.00275</v>
      </c>
    </row>
    <row r="1448" spans="1:7">
      <c r="A1448" s="6" t="s">
        <v>243</v>
      </c>
      <c r="B1448" s="6" t="s">
        <v>58</v>
      </c>
      <c r="C1448" s="6" t="s">
        <v>183</v>
      </c>
      <c r="D1448" s="6" t="s">
        <v>90</v>
      </c>
      <c r="E1448" s="6" t="s">
        <v>90</v>
      </c>
      <c r="F1448" s="6" t="b">
        <v>0</v>
      </c>
      <c r="G1448" s="6">
        <v>0.007166666666666666</v>
      </c>
    </row>
    <row r="1449" spans="1:7">
      <c r="A1449" s="6" t="s">
        <v>243</v>
      </c>
      <c r="B1449" s="6" t="s">
        <v>58</v>
      </c>
      <c r="C1449" s="6" t="s">
        <v>184</v>
      </c>
      <c r="D1449" s="6" t="s">
        <v>44</v>
      </c>
      <c r="E1449" s="6" t="s">
        <v>44</v>
      </c>
      <c r="F1449" s="6" t="b">
        <v>0</v>
      </c>
      <c r="G1449" s="6">
        <v>1.189916666666667</v>
      </c>
    </row>
    <row r="1450" spans="1:7">
      <c r="A1450" s="6" t="s">
        <v>243</v>
      </c>
      <c r="B1450" s="6" t="s">
        <v>58</v>
      </c>
      <c r="C1450" s="6" t="s">
        <v>184</v>
      </c>
      <c r="D1450" s="6" t="s">
        <v>88</v>
      </c>
      <c r="E1450" s="6" t="s">
        <v>88</v>
      </c>
      <c r="F1450" s="6" t="b">
        <v>0</v>
      </c>
      <c r="G1450" s="6">
        <v>0.004</v>
      </c>
    </row>
    <row r="1451" spans="1:7">
      <c r="A1451" s="6" t="s">
        <v>243</v>
      </c>
      <c r="B1451" s="6" t="s">
        <v>58</v>
      </c>
      <c r="C1451" s="6" t="s">
        <v>184</v>
      </c>
      <c r="D1451" s="6" t="s">
        <v>90</v>
      </c>
      <c r="E1451" s="6" t="s">
        <v>90</v>
      </c>
      <c r="F1451" s="6" t="b">
        <v>0</v>
      </c>
      <c r="G1451" s="6">
        <v>0.007583333333333333</v>
      </c>
    </row>
    <row r="1452" spans="1:7">
      <c r="A1452" s="6" t="s">
        <v>243</v>
      </c>
      <c r="B1452" s="6" t="s">
        <v>58</v>
      </c>
      <c r="C1452" s="6" t="s">
        <v>184</v>
      </c>
      <c r="D1452" s="6" t="s">
        <v>177</v>
      </c>
      <c r="E1452" s="6" t="s">
        <v>44</v>
      </c>
      <c r="F1452" s="6" t="b">
        <v>0</v>
      </c>
      <c r="G1452" s="6">
        <v>0.4029166666666666</v>
      </c>
    </row>
    <row r="1453" spans="1:7">
      <c r="A1453" s="6" t="s">
        <v>243</v>
      </c>
      <c r="B1453" s="6" t="s">
        <v>58</v>
      </c>
      <c r="C1453" s="6" t="s">
        <v>184</v>
      </c>
      <c r="D1453" s="6" t="s">
        <v>177</v>
      </c>
      <c r="E1453" s="6" t="s">
        <v>685</v>
      </c>
      <c r="F1453" s="6" t="b">
        <v>1</v>
      </c>
      <c r="G1453" s="6">
        <v>0.08658333333333333</v>
      </c>
    </row>
    <row r="1454" spans="1:7">
      <c r="A1454" s="6" t="s">
        <v>243</v>
      </c>
      <c r="B1454" s="6" t="s">
        <v>58</v>
      </c>
      <c r="C1454" s="6" t="s">
        <v>186</v>
      </c>
      <c r="D1454" s="6" t="s">
        <v>86</v>
      </c>
      <c r="E1454" s="6" t="s">
        <v>86</v>
      </c>
      <c r="F1454" s="6" t="b">
        <v>0</v>
      </c>
      <c r="G1454" s="6">
        <v>0.1434166666666667</v>
      </c>
    </row>
    <row r="1455" spans="1:7">
      <c r="A1455" s="6" t="s">
        <v>243</v>
      </c>
      <c r="B1455" s="6" t="s">
        <v>58</v>
      </c>
      <c r="C1455" s="6" t="s">
        <v>186</v>
      </c>
      <c r="D1455" s="6" t="s">
        <v>88</v>
      </c>
      <c r="E1455" s="6" t="s">
        <v>88</v>
      </c>
      <c r="F1455" s="6" t="b">
        <v>0</v>
      </c>
      <c r="G1455" s="6">
        <v>0.005333333333333333</v>
      </c>
    </row>
    <row r="1456" spans="1:7">
      <c r="A1456" s="6" t="s">
        <v>243</v>
      </c>
      <c r="B1456" s="6" t="s">
        <v>58</v>
      </c>
      <c r="C1456" s="6" t="s">
        <v>186</v>
      </c>
      <c r="D1456" s="6" t="s">
        <v>90</v>
      </c>
      <c r="E1456" s="6" t="s">
        <v>90</v>
      </c>
      <c r="F1456" s="6" t="b">
        <v>0</v>
      </c>
      <c r="G1456" s="6">
        <v>0.1135</v>
      </c>
    </row>
    <row r="1457" spans="1:7">
      <c r="A1457" s="6" t="s">
        <v>243</v>
      </c>
      <c r="B1457" s="6" t="s">
        <v>58</v>
      </c>
      <c r="C1457" s="6" t="s">
        <v>186</v>
      </c>
      <c r="D1457" s="6" t="s">
        <v>177</v>
      </c>
      <c r="E1457" s="6" t="s">
        <v>86</v>
      </c>
      <c r="F1457" s="6" t="b">
        <v>0</v>
      </c>
      <c r="G1457" s="6">
        <v>0.0115</v>
      </c>
    </row>
    <row r="1458" spans="1:7">
      <c r="A1458" s="6" t="s">
        <v>243</v>
      </c>
      <c r="B1458" s="6" t="s">
        <v>58</v>
      </c>
      <c r="C1458" s="6" t="s">
        <v>189</v>
      </c>
      <c r="D1458" s="6" t="s">
        <v>86</v>
      </c>
      <c r="E1458" s="6" t="s">
        <v>86</v>
      </c>
      <c r="F1458" s="6" t="b">
        <v>0</v>
      </c>
      <c r="G1458" s="6">
        <v>0.02333333333333333</v>
      </c>
    </row>
    <row r="1459" spans="1:7">
      <c r="A1459" s="6" t="s">
        <v>243</v>
      </c>
      <c r="B1459" s="6" t="s">
        <v>58</v>
      </c>
      <c r="C1459" s="6" t="s">
        <v>189</v>
      </c>
      <c r="D1459" s="6" t="s">
        <v>88</v>
      </c>
      <c r="E1459" s="6" t="s">
        <v>88</v>
      </c>
      <c r="F1459" s="6" t="b">
        <v>0</v>
      </c>
      <c r="G1459" s="6">
        <v>0.004</v>
      </c>
    </row>
    <row r="1460" spans="1:7">
      <c r="A1460" s="6" t="s">
        <v>369</v>
      </c>
      <c r="B1460" s="6" t="s">
        <v>55</v>
      </c>
      <c r="C1460" s="6" t="s">
        <v>181</v>
      </c>
      <c r="D1460" s="6" t="s">
        <v>88</v>
      </c>
      <c r="E1460" s="6" t="s">
        <v>88</v>
      </c>
      <c r="F1460" s="6" t="b">
        <v>0</v>
      </c>
      <c r="G1460" s="6">
        <v>0.6569166666666667</v>
      </c>
    </row>
    <row r="1461" spans="1:7">
      <c r="A1461" s="6" t="s">
        <v>369</v>
      </c>
      <c r="B1461" s="6" t="s">
        <v>55</v>
      </c>
      <c r="C1461" s="6" t="s">
        <v>183</v>
      </c>
      <c r="D1461" s="6" t="s">
        <v>88</v>
      </c>
      <c r="E1461" s="6" t="s">
        <v>88</v>
      </c>
      <c r="F1461" s="6" t="b">
        <v>0</v>
      </c>
      <c r="G1461" s="6">
        <v>0.008</v>
      </c>
    </row>
    <row r="1462" spans="1:7">
      <c r="A1462" s="6" t="s">
        <v>369</v>
      </c>
      <c r="B1462" s="6" t="s">
        <v>55</v>
      </c>
      <c r="C1462" s="6" t="s">
        <v>183</v>
      </c>
      <c r="D1462" s="6" t="s">
        <v>90</v>
      </c>
      <c r="E1462" s="6" t="s">
        <v>86</v>
      </c>
      <c r="F1462" s="6" t="b">
        <v>0</v>
      </c>
      <c r="G1462" s="6">
        <v>0.0009166666666666666</v>
      </c>
    </row>
    <row r="1463" spans="1:7">
      <c r="A1463" s="6" t="s">
        <v>369</v>
      </c>
      <c r="B1463" s="6" t="s">
        <v>55</v>
      </c>
      <c r="C1463" s="6" t="s">
        <v>183</v>
      </c>
      <c r="D1463" s="6" t="s">
        <v>90</v>
      </c>
      <c r="E1463" s="6" t="s">
        <v>90</v>
      </c>
      <c r="F1463" s="6" t="b">
        <v>0</v>
      </c>
      <c r="G1463" s="6">
        <v>0.005</v>
      </c>
    </row>
    <row r="1464" spans="1:7">
      <c r="A1464" s="6" t="s">
        <v>369</v>
      </c>
      <c r="B1464" s="6" t="s">
        <v>55</v>
      </c>
      <c r="C1464" s="6" t="s">
        <v>184</v>
      </c>
      <c r="D1464" s="6" t="s">
        <v>44</v>
      </c>
      <c r="E1464" s="6" t="s">
        <v>44</v>
      </c>
      <c r="F1464" s="6" t="b">
        <v>0</v>
      </c>
      <c r="G1464" s="6">
        <v>1.974166666666667</v>
      </c>
    </row>
    <row r="1465" spans="1:7">
      <c r="A1465" s="6" t="s">
        <v>369</v>
      </c>
      <c r="B1465" s="6" t="s">
        <v>55</v>
      </c>
      <c r="C1465" s="6" t="s">
        <v>184</v>
      </c>
      <c r="D1465" s="6" t="s">
        <v>177</v>
      </c>
      <c r="E1465" s="6" t="s">
        <v>44</v>
      </c>
      <c r="F1465" s="6" t="b">
        <v>0</v>
      </c>
      <c r="G1465" s="6">
        <v>3.818416666666666</v>
      </c>
    </row>
    <row r="1466" spans="1:7">
      <c r="A1466" s="6" t="s">
        <v>369</v>
      </c>
      <c r="B1466" s="6" t="s">
        <v>55</v>
      </c>
      <c r="C1466" s="6" t="s">
        <v>186</v>
      </c>
      <c r="D1466" s="6" t="s">
        <v>86</v>
      </c>
      <c r="E1466" s="6" t="s">
        <v>86</v>
      </c>
      <c r="F1466" s="6" t="b">
        <v>0</v>
      </c>
      <c r="G1466" s="6">
        <v>1.086166666666667</v>
      </c>
    </row>
    <row r="1467" spans="1:7">
      <c r="A1467" s="6" t="s">
        <v>369</v>
      </c>
      <c r="B1467" s="6" t="s">
        <v>55</v>
      </c>
      <c r="C1467" s="6" t="s">
        <v>186</v>
      </c>
      <c r="D1467" s="6" t="s">
        <v>88</v>
      </c>
      <c r="E1467" s="6" t="s">
        <v>88</v>
      </c>
      <c r="F1467" s="6" t="b">
        <v>0</v>
      </c>
      <c r="G1467" s="6">
        <v>0.04833333333333334</v>
      </c>
    </row>
    <row r="1468" spans="1:7">
      <c r="A1468" s="6" t="s">
        <v>369</v>
      </c>
      <c r="B1468" s="6" t="s">
        <v>55</v>
      </c>
      <c r="C1468" s="6" t="s">
        <v>186</v>
      </c>
      <c r="D1468" s="6" t="s">
        <v>90</v>
      </c>
      <c r="E1468" s="6" t="s">
        <v>90</v>
      </c>
      <c r="F1468" s="6" t="b">
        <v>0</v>
      </c>
      <c r="G1468" s="6">
        <v>0.8177500000000001</v>
      </c>
    </row>
    <row r="1469" spans="1:7">
      <c r="A1469" s="6" t="s">
        <v>369</v>
      </c>
      <c r="B1469" s="6" t="s">
        <v>55</v>
      </c>
      <c r="C1469" s="6" t="s">
        <v>186</v>
      </c>
      <c r="D1469" s="6" t="s">
        <v>177</v>
      </c>
      <c r="E1469" s="6" t="s">
        <v>86</v>
      </c>
      <c r="F1469" s="6" t="b">
        <v>0</v>
      </c>
      <c r="G1469" s="6">
        <v>0.01666666666666667</v>
      </c>
    </row>
    <row r="1470" spans="1:7">
      <c r="A1470" s="6" t="s">
        <v>369</v>
      </c>
      <c r="B1470" s="6" t="s">
        <v>55</v>
      </c>
      <c r="C1470" s="6" t="s">
        <v>189</v>
      </c>
      <c r="D1470" s="6" t="s">
        <v>86</v>
      </c>
      <c r="E1470" s="6" t="s">
        <v>86</v>
      </c>
      <c r="F1470" s="6" t="b">
        <v>0</v>
      </c>
      <c r="G1470" s="6">
        <v>0.04225</v>
      </c>
    </row>
    <row r="1471" spans="1:7">
      <c r="A1471" s="6" t="s">
        <v>369</v>
      </c>
      <c r="B1471" s="6" t="s">
        <v>55</v>
      </c>
      <c r="C1471" s="6" t="s">
        <v>189</v>
      </c>
      <c r="D1471" s="6" t="s">
        <v>88</v>
      </c>
      <c r="E1471" s="6" t="s">
        <v>88</v>
      </c>
      <c r="F1471" s="6" t="b">
        <v>0</v>
      </c>
      <c r="G1471" s="6">
        <v>0.006249999999999999</v>
      </c>
    </row>
    <row r="1472" spans="1:7">
      <c r="A1472" s="6" t="s">
        <v>369</v>
      </c>
      <c r="B1472" s="6" t="s">
        <v>55</v>
      </c>
      <c r="C1472" s="6" t="s">
        <v>189</v>
      </c>
      <c r="D1472" s="6" t="s">
        <v>90</v>
      </c>
      <c r="E1472" s="6" t="s">
        <v>90</v>
      </c>
      <c r="F1472" s="6" t="b">
        <v>0</v>
      </c>
      <c r="G1472" s="6">
        <v>0.004416666666666667</v>
      </c>
    </row>
    <row r="1473" spans="1:7">
      <c r="A1473" s="6" t="s">
        <v>244</v>
      </c>
      <c r="B1473" s="6" t="s">
        <v>55</v>
      </c>
      <c r="C1473" s="6" t="s">
        <v>181</v>
      </c>
      <c r="D1473" s="6" t="s">
        <v>88</v>
      </c>
      <c r="E1473" s="6" t="s">
        <v>88</v>
      </c>
      <c r="F1473" s="6" t="b">
        <v>0</v>
      </c>
      <c r="G1473" s="6">
        <v>3.148083333333334</v>
      </c>
    </row>
    <row r="1474" spans="1:7">
      <c r="A1474" s="6" t="s">
        <v>244</v>
      </c>
      <c r="B1474" s="6" t="s">
        <v>55</v>
      </c>
      <c r="C1474" s="6" t="s">
        <v>181</v>
      </c>
      <c r="D1474" s="6" t="s">
        <v>90</v>
      </c>
      <c r="E1474" s="6" t="s">
        <v>90</v>
      </c>
      <c r="F1474" s="6" t="b">
        <v>0</v>
      </c>
      <c r="G1474" s="6">
        <v>0.00825</v>
      </c>
    </row>
    <row r="1475" spans="1:7">
      <c r="A1475" s="6" t="s">
        <v>244</v>
      </c>
      <c r="B1475" s="6" t="s">
        <v>55</v>
      </c>
      <c r="C1475" s="6" t="s">
        <v>183</v>
      </c>
      <c r="D1475" s="6" t="s">
        <v>86</v>
      </c>
      <c r="E1475" s="6" t="s">
        <v>86</v>
      </c>
      <c r="F1475" s="6" t="b">
        <v>0</v>
      </c>
      <c r="G1475" s="6">
        <v>0.016</v>
      </c>
    </row>
    <row r="1476" spans="1:7">
      <c r="A1476" s="6" t="s">
        <v>244</v>
      </c>
      <c r="B1476" s="6" t="s">
        <v>55</v>
      </c>
      <c r="C1476" s="6" t="s">
        <v>183</v>
      </c>
      <c r="D1476" s="6" t="s">
        <v>88</v>
      </c>
      <c r="E1476" s="6" t="s">
        <v>88</v>
      </c>
      <c r="F1476" s="6" t="b">
        <v>0</v>
      </c>
      <c r="G1476" s="6">
        <v>0.12525</v>
      </c>
    </row>
    <row r="1477" spans="1:7">
      <c r="A1477" s="6" t="s">
        <v>244</v>
      </c>
      <c r="B1477" s="6" t="s">
        <v>55</v>
      </c>
      <c r="C1477" s="6" t="s">
        <v>183</v>
      </c>
      <c r="D1477" s="6" t="s">
        <v>90</v>
      </c>
      <c r="E1477" s="6" t="s">
        <v>86</v>
      </c>
      <c r="F1477" s="6" t="b">
        <v>0</v>
      </c>
      <c r="G1477" s="6">
        <v>0.0615</v>
      </c>
    </row>
    <row r="1478" spans="1:7">
      <c r="A1478" s="6" t="s">
        <v>244</v>
      </c>
      <c r="B1478" s="6" t="s">
        <v>55</v>
      </c>
      <c r="C1478" s="6" t="s">
        <v>183</v>
      </c>
      <c r="D1478" s="6" t="s">
        <v>90</v>
      </c>
      <c r="E1478" s="6" t="s">
        <v>90</v>
      </c>
      <c r="F1478" s="6" t="b">
        <v>0</v>
      </c>
      <c r="G1478" s="6">
        <v>0.06308333333333334</v>
      </c>
    </row>
    <row r="1479" spans="1:7">
      <c r="A1479" s="6" t="s">
        <v>244</v>
      </c>
      <c r="B1479" s="6" t="s">
        <v>55</v>
      </c>
      <c r="C1479" s="6" t="s">
        <v>183</v>
      </c>
      <c r="D1479" s="6" t="s">
        <v>177</v>
      </c>
      <c r="E1479" s="6" t="s">
        <v>86</v>
      </c>
      <c r="F1479" s="6" t="b">
        <v>0</v>
      </c>
      <c r="G1479" s="6">
        <v>0.006166666666666667</v>
      </c>
    </row>
    <row r="1480" spans="1:7">
      <c r="A1480" s="6" t="s">
        <v>244</v>
      </c>
      <c r="B1480" s="6" t="s">
        <v>55</v>
      </c>
      <c r="C1480" s="6" t="s">
        <v>183</v>
      </c>
      <c r="D1480" s="6" t="s">
        <v>177</v>
      </c>
      <c r="E1480" s="6" t="s">
        <v>685</v>
      </c>
      <c r="F1480" s="6" t="b">
        <v>1</v>
      </c>
      <c r="G1480" s="6">
        <v>0.003</v>
      </c>
    </row>
    <row r="1481" spans="1:7">
      <c r="A1481" s="6" t="s">
        <v>244</v>
      </c>
      <c r="B1481" s="6" t="s">
        <v>55</v>
      </c>
      <c r="C1481" s="6" t="s">
        <v>184</v>
      </c>
      <c r="D1481" s="6" t="s">
        <v>44</v>
      </c>
      <c r="E1481" s="6" t="s">
        <v>44</v>
      </c>
      <c r="F1481" s="6" t="b">
        <v>0</v>
      </c>
      <c r="G1481" s="6">
        <v>13.20366666666667</v>
      </c>
    </row>
    <row r="1482" spans="1:7">
      <c r="A1482" s="6" t="s">
        <v>244</v>
      </c>
      <c r="B1482" s="6" t="s">
        <v>55</v>
      </c>
      <c r="C1482" s="6" t="s">
        <v>184</v>
      </c>
      <c r="D1482" s="6" t="s">
        <v>88</v>
      </c>
      <c r="E1482" s="6" t="s">
        <v>88</v>
      </c>
      <c r="F1482" s="6" t="b">
        <v>0</v>
      </c>
      <c r="G1482" s="6">
        <v>0.07608333333333334</v>
      </c>
    </row>
    <row r="1483" spans="1:7">
      <c r="A1483" s="6" t="s">
        <v>244</v>
      </c>
      <c r="B1483" s="6" t="s">
        <v>55</v>
      </c>
      <c r="C1483" s="6" t="s">
        <v>184</v>
      </c>
      <c r="D1483" s="6" t="s">
        <v>90</v>
      </c>
      <c r="E1483" s="6" t="s">
        <v>90</v>
      </c>
      <c r="F1483" s="6" t="b">
        <v>0</v>
      </c>
      <c r="G1483" s="6">
        <v>0.08825</v>
      </c>
    </row>
    <row r="1484" spans="1:7">
      <c r="A1484" s="6" t="s">
        <v>244</v>
      </c>
      <c r="B1484" s="6" t="s">
        <v>55</v>
      </c>
      <c r="C1484" s="6" t="s">
        <v>184</v>
      </c>
      <c r="D1484" s="6" t="s">
        <v>90</v>
      </c>
      <c r="E1484" s="6" t="s">
        <v>685</v>
      </c>
      <c r="F1484" s="6" t="b">
        <v>1</v>
      </c>
      <c r="G1484" s="6">
        <v>0.1938333333333333</v>
      </c>
    </row>
    <row r="1485" spans="1:7">
      <c r="A1485" s="6" t="s">
        <v>244</v>
      </c>
      <c r="B1485" s="6" t="s">
        <v>55</v>
      </c>
      <c r="C1485" s="6" t="s">
        <v>184</v>
      </c>
      <c r="D1485" s="6" t="s">
        <v>177</v>
      </c>
      <c r="E1485" s="6" t="s">
        <v>44</v>
      </c>
      <c r="F1485" s="6" t="b">
        <v>0</v>
      </c>
      <c r="G1485" s="6">
        <v>34.62408333333333</v>
      </c>
    </row>
    <row r="1486" spans="1:7">
      <c r="A1486" s="6" t="s">
        <v>244</v>
      </c>
      <c r="B1486" s="6" t="s">
        <v>55</v>
      </c>
      <c r="C1486" s="6" t="s">
        <v>184</v>
      </c>
      <c r="D1486" s="6" t="s">
        <v>177</v>
      </c>
      <c r="E1486" s="6" t="s">
        <v>86</v>
      </c>
      <c r="F1486" s="6" t="b">
        <v>0</v>
      </c>
      <c r="G1486" s="6">
        <v>0.0815</v>
      </c>
    </row>
    <row r="1487" spans="1:7">
      <c r="A1487" s="6" t="s">
        <v>244</v>
      </c>
      <c r="B1487" s="6" t="s">
        <v>55</v>
      </c>
      <c r="C1487" s="6" t="s">
        <v>184</v>
      </c>
      <c r="D1487" s="6" t="s">
        <v>177</v>
      </c>
      <c r="E1487" s="6" t="s">
        <v>685</v>
      </c>
      <c r="F1487" s="6" t="b">
        <v>1</v>
      </c>
      <c r="G1487" s="6">
        <v>1.458166666666667</v>
      </c>
    </row>
    <row r="1488" spans="1:7">
      <c r="A1488" s="6" t="s">
        <v>244</v>
      </c>
      <c r="B1488" s="6" t="s">
        <v>55</v>
      </c>
      <c r="C1488" s="6" t="s">
        <v>186</v>
      </c>
      <c r="D1488" s="6" t="s">
        <v>86</v>
      </c>
      <c r="E1488" s="6" t="s">
        <v>86</v>
      </c>
      <c r="F1488" s="6" t="b">
        <v>0</v>
      </c>
      <c r="G1488" s="6">
        <v>7.400916666666666</v>
      </c>
    </row>
    <row r="1489" spans="1:7">
      <c r="A1489" s="6" t="s">
        <v>244</v>
      </c>
      <c r="B1489" s="6" t="s">
        <v>55</v>
      </c>
      <c r="C1489" s="6" t="s">
        <v>186</v>
      </c>
      <c r="D1489" s="6" t="s">
        <v>88</v>
      </c>
      <c r="E1489" s="6" t="s">
        <v>88</v>
      </c>
      <c r="F1489" s="6" t="b">
        <v>0</v>
      </c>
      <c r="G1489" s="6">
        <v>0.254</v>
      </c>
    </row>
    <row r="1490" spans="1:7">
      <c r="A1490" s="6" t="s">
        <v>244</v>
      </c>
      <c r="B1490" s="6" t="s">
        <v>55</v>
      </c>
      <c r="C1490" s="6" t="s">
        <v>186</v>
      </c>
      <c r="D1490" s="6" t="s">
        <v>90</v>
      </c>
      <c r="E1490" s="6" t="s">
        <v>90</v>
      </c>
      <c r="F1490" s="6" t="b">
        <v>0</v>
      </c>
      <c r="G1490" s="6">
        <v>3.71775</v>
      </c>
    </row>
    <row r="1491" spans="1:7">
      <c r="A1491" s="6" t="s">
        <v>244</v>
      </c>
      <c r="B1491" s="6" t="s">
        <v>55</v>
      </c>
      <c r="C1491" s="6" t="s">
        <v>186</v>
      </c>
      <c r="D1491" s="6" t="s">
        <v>177</v>
      </c>
      <c r="E1491" s="6" t="s">
        <v>86</v>
      </c>
      <c r="F1491" s="6" t="b">
        <v>0</v>
      </c>
      <c r="G1491" s="6">
        <v>0.1065</v>
      </c>
    </row>
    <row r="1492" spans="1:7">
      <c r="A1492" s="6" t="s">
        <v>244</v>
      </c>
      <c r="B1492" s="6" t="s">
        <v>55</v>
      </c>
      <c r="C1492" s="6" t="s">
        <v>189</v>
      </c>
      <c r="D1492" s="6" t="s">
        <v>86</v>
      </c>
      <c r="E1492" s="6" t="s">
        <v>86</v>
      </c>
      <c r="F1492" s="6" t="b">
        <v>0</v>
      </c>
      <c r="G1492" s="6">
        <v>2.0355</v>
      </c>
    </row>
    <row r="1493" spans="1:7">
      <c r="A1493" s="6" t="s">
        <v>244</v>
      </c>
      <c r="B1493" s="6" t="s">
        <v>55</v>
      </c>
      <c r="C1493" s="6" t="s">
        <v>189</v>
      </c>
      <c r="D1493" s="6" t="s">
        <v>88</v>
      </c>
      <c r="E1493" s="6" t="s">
        <v>88</v>
      </c>
      <c r="F1493" s="6" t="b">
        <v>0</v>
      </c>
      <c r="G1493" s="6">
        <v>0.5156666666666666</v>
      </c>
    </row>
    <row r="1494" spans="1:7">
      <c r="A1494" s="6" t="s">
        <v>244</v>
      </c>
      <c r="B1494" s="6" t="s">
        <v>55</v>
      </c>
      <c r="C1494" s="6" t="s">
        <v>189</v>
      </c>
      <c r="D1494" s="6" t="s">
        <v>90</v>
      </c>
      <c r="E1494" s="6" t="s">
        <v>90</v>
      </c>
      <c r="F1494" s="6" t="b">
        <v>0</v>
      </c>
      <c r="G1494" s="6">
        <v>0.4784166666666667</v>
      </c>
    </row>
    <row r="1495" spans="1:7">
      <c r="A1495" s="6" t="s">
        <v>244</v>
      </c>
      <c r="B1495" s="6" t="s">
        <v>55</v>
      </c>
      <c r="C1495" s="6" t="s">
        <v>190</v>
      </c>
      <c r="D1495" s="6" t="s">
        <v>44</v>
      </c>
      <c r="E1495" s="6" t="s">
        <v>44</v>
      </c>
      <c r="F1495" s="6" t="b">
        <v>0</v>
      </c>
      <c r="G1495" s="6">
        <v>0.1488333333333333</v>
      </c>
    </row>
    <row r="1496" spans="1:7">
      <c r="A1496" s="6" t="s">
        <v>244</v>
      </c>
      <c r="B1496" s="6" t="s">
        <v>55</v>
      </c>
      <c r="C1496" s="6" t="s">
        <v>190</v>
      </c>
      <c r="D1496" s="6" t="s">
        <v>177</v>
      </c>
      <c r="E1496" s="6" t="s">
        <v>44</v>
      </c>
      <c r="F1496" s="6" t="b">
        <v>0</v>
      </c>
      <c r="G1496" s="6">
        <v>0.06216666666666667</v>
      </c>
    </row>
    <row r="1497" spans="1:7">
      <c r="A1497" s="6" t="s">
        <v>245</v>
      </c>
      <c r="B1497" s="6" t="s">
        <v>53</v>
      </c>
      <c r="C1497" s="6" t="s">
        <v>184</v>
      </c>
      <c r="D1497" s="6" t="s">
        <v>44</v>
      </c>
      <c r="E1497" s="6" t="s">
        <v>44</v>
      </c>
      <c r="F1497" s="6" t="b">
        <v>0</v>
      </c>
      <c r="G1497" s="6">
        <v>46.21991666666667</v>
      </c>
    </row>
    <row r="1498" spans="1:7">
      <c r="A1498" s="6" t="s">
        <v>245</v>
      </c>
      <c r="B1498" s="6" t="s">
        <v>53</v>
      </c>
      <c r="C1498" s="6" t="s">
        <v>184</v>
      </c>
      <c r="D1498" s="6" t="s">
        <v>90</v>
      </c>
      <c r="E1498" s="6" t="s">
        <v>90</v>
      </c>
      <c r="F1498" s="6" t="b">
        <v>0</v>
      </c>
      <c r="G1498" s="6">
        <v>0.0805</v>
      </c>
    </row>
    <row r="1499" spans="1:7">
      <c r="A1499" s="6" t="s">
        <v>245</v>
      </c>
      <c r="B1499" s="6" t="s">
        <v>53</v>
      </c>
      <c r="C1499" s="6" t="s">
        <v>186</v>
      </c>
      <c r="D1499" s="6" t="s">
        <v>86</v>
      </c>
      <c r="E1499" s="6" t="s">
        <v>86</v>
      </c>
      <c r="F1499" s="6" t="b">
        <v>0</v>
      </c>
      <c r="G1499" s="6">
        <v>42.49658333333333</v>
      </c>
    </row>
    <row r="1500" spans="1:7">
      <c r="A1500" s="6" t="s">
        <v>245</v>
      </c>
      <c r="B1500" s="6" t="s">
        <v>53</v>
      </c>
      <c r="C1500" s="6" t="s">
        <v>186</v>
      </c>
      <c r="D1500" s="6" t="s">
        <v>90</v>
      </c>
      <c r="E1500" s="6" t="s">
        <v>90</v>
      </c>
      <c r="F1500" s="6" t="b">
        <v>0</v>
      </c>
      <c r="G1500" s="6">
        <v>0.9791666666666666</v>
      </c>
    </row>
    <row r="1501" spans="1:7">
      <c r="A1501" s="6" t="s">
        <v>245</v>
      </c>
      <c r="B1501" s="6" t="s">
        <v>53</v>
      </c>
      <c r="C1501" s="6" t="s">
        <v>187</v>
      </c>
      <c r="D1501" s="6" t="s">
        <v>86</v>
      </c>
      <c r="E1501" s="6" t="s">
        <v>86</v>
      </c>
      <c r="F1501" s="6" t="b">
        <v>0</v>
      </c>
      <c r="G1501" s="6">
        <v>39.94591666666667</v>
      </c>
    </row>
    <row r="1502" spans="1:7">
      <c r="A1502" s="6" t="s">
        <v>245</v>
      </c>
      <c r="B1502" s="6" t="s">
        <v>53</v>
      </c>
      <c r="C1502" s="6" t="s">
        <v>187</v>
      </c>
      <c r="D1502" s="6" t="s">
        <v>88</v>
      </c>
      <c r="E1502" s="6" t="s">
        <v>88</v>
      </c>
      <c r="F1502" s="6" t="b">
        <v>0</v>
      </c>
      <c r="G1502" s="6">
        <v>109.08575</v>
      </c>
    </row>
    <row r="1503" spans="1:7">
      <c r="A1503" s="6" t="s">
        <v>245</v>
      </c>
      <c r="B1503" s="6" t="s">
        <v>53</v>
      </c>
      <c r="C1503" s="6" t="s">
        <v>190</v>
      </c>
      <c r="D1503" s="6" t="s">
        <v>44</v>
      </c>
      <c r="E1503" s="6" t="s">
        <v>44</v>
      </c>
      <c r="F1503" s="6" t="b">
        <v>0</v>
      </c>
      <c r="G1503" s="6">
        <v>135.7330833333333</v>
      </c>
    </row>
    <row r="1504" spans="1:7">
      <c r="A1504" s="6" t="s">
        <v>245</v>
      </c>
      <c r="B1504" s="6" t="s">
        <v>53</v>
      </c>
      <c r="C1504" s="6" t="s">
        <v>190</v>
      </c>
      <c r="D1504" s="6" t="s">
        <v>86</v>
      </c>
      <c r="E1504" s="6" t="s">
        <v>44</v>
      </c>
      <c r="F1504" s="6" t="b">
        <v>0</v>
      </c>
      <c r="G1504" s="6">
        <v>1.841583333333333</v>
      </c>
    </row>
    <row r="1505" spans="1:7">
      <c r="A1505" s="6" t="s">
        <v>245</v>
      </c>
      <c r="B1505" s="6" t="s">
        <v>53</v>
      </c>
      <c r="C1505" s="6" t="s">
        <v>190</v>
      </c>
      <c r="D1505" s="6" t="s">
        <v>86</v>
      </c>
      <c r="E1505" s="6" t="s">
        <v>86</v>
      </c>
      <c r="F1505" s="6" t="b">
        <v>0</v>
      </c>
      <c r="G1505" s="6">
        <v>2.3655</v>
      </c>
    </row>
    <row r="1506" spans="1:7">
      <c r="A1506" s="6" t="s">
        <v>245</v>
      </c>
      <c r="B1506" s="6" t="s">
        <v>53</v>
      </c>
      <c r="C1506" s="6" t="s">
        <v>190</v>
      </c>
      <c r="D1506" s="6" t="s">
        <v>90</v>
      </c>
      <c r="E1506" s="6" t="s">
        <v>44</v>
      </c>
      <c r="F1506" s="6" t="b">
        <v>0</v>
      </c>
      <c r="G1506" s="6">
        <v>1.85525</v>
      </c>
    </row>
    <row r="1507" spans="1:7">
      <c r="A1507" s="6" t="s">
        <v>245</v>
      </c>
      <c r="B1507" s="6" t="s">
        <v>53</v>
      </c>
      <c r="C1507" s="6" t="s">
        <v>190</v>
      </c>
      <c r="D1507" s="6" t="s">
        <v>90</v>
      </c>
      <c r="E1507" s="6" t="s">
        <v>90</v>
      </c>
      <c r="F1507" s="6" t="b">
        <v>0</v>
      </c>
      <c r="G1507" s="6">
        <v>2.253333333333333</v>
      </c>
    </row>
    <row r="1508" spans="1:7">
      <c r="A1508" s="6" t="s">
        <v>245</v>
      </c>
      <c r="B1508" s="6" t="s">
        <v>53</v>
      </c>
      <c r="C1508" s="6" t="s">
        <v>190</v>
      </c>
      <c r="D1508" s="6" t="s">
        <v>177</v>
      </c>
      <c r="E1508" s="6" t="s">
        <v>44</v>
      </c>
      <c r="F1508" s="6" t="b">
        <v>0</v>
      </c>
      <c r="G1508" s="6">
        <v>31.08675</v>
      </c>
    </row>
    <row r="1509" spans="1:7">
      <c r="A1509" s="6" t="s">
        <v>245</v>
      </c>
      <c r="B1509" s="6" t="s">
        <v>53</v>
      </c>
      <c r="C1509" s="6" t="s">
        <v>190</v>
      </c>
      <c r="D1509" s="6" t="s">
        <v>177</v>
      </c>
      <c r="E1509" s="6" t="s">
        <v>86</v>
      </c>
      <c r="F1509" s="6" t="b">
        <v>0</v>
      </c>
      <c r="G1509" s="6">
        <v>0.2011666666666667</v>
      </c>
    </row>
    <row r="1510" spans="1:7">
      <c r="A1510" s="6" t="s">
        <v>245</v>
      </c>
      <c r="B1510" s="6" t="s">
        <v>53</v>
      </c>
      <c r="C1510" s="6" t="s">
        <v>190</v>
      </c>
      <c r="D1510" s="6" t="s">
        <v>177</v>
      </c>
      <c r="E1510" s="6" t="s">
        <v>685</v>
      </c>
      <c r="F1510" s="6" t="b">
        <v>1</v>
      </c>
      <c r="G1510" s="6">
        <v>0.1756666666666667</v>
      </c>
    </row>
    <row r="1511" spans="1:7">
      <c r="A1511" s="6" t="s">
        <v>245</v>
      </c>
      <c r="B1511" s="6" t="s">
        <v>53</v>
      </c>
      <c r="C1511" s="6" t="s">
        <v>190</v>
      </c>
      <c r="D1511" s="6" t="s">
        <v>92</v>
      </c>
      <c r="E1511" s="6" t="s">
        <v>92</v>
      </c>
      <c r="F1511" s="6" t="b">
        <v>0</v>
      </c>
      <c r="G1511" s="6">
        <v>0.1956666666666667</v>
      </c>
    </row>
    <row r="1512" spans="1:7">
      <c r="A1512" s="6" t="s">
        <v>246</v>
      </c>
      <c r="B1512" s="6" t="s">
        <v>53</v>
      </c>
      <c r="C1512" s="6" t="s">
        <v>181</v>
      </c>
      <c r="D1512" s="6" t="s">
        <v>88</v>
      </c>
      <c r="E1512" s="6" t="s">
        <v>88</v>
      </c>
      <c r="F1512" s="6" t="b">
        <v>0</v>
      </c>
      <c r="G1512" s="6">
        <v>0.05691666666666667</v>
      </c>
    </row>
    <row r="1513" spans="1:7">
      <c r="A1513" s="6" t="s">
        <v>246</v>
      </c>
      <c r="B1513" s="6" t="s">
        <v>53</v>
      </c>
      <c r="C1513" s="6" t="s">
        <v>183</v>
      </c>
      <c r="D1513" s="6" t="s">
        <v>90</v>
      </c>
      <c r="E1513" s="6" t="s">
        <v>86</v>
      </c>
      <c r="F1513" s="6" t="b">
        <v>0</v>
      </c>
      <c r="G1513" s="6">
        <v>0.0009166666666666666</v>
      </c>
    </row>
    <row r="1514" spans="1:7">
      <c r="A1514" s="6" t="s">
        <v>246</v>
      </c>
      <c r="B1514" s="6" t="s">
        <v>53</v>
      </c>
      <c r="C1514" s="6" t="s">
        <v>184</v>
      </c>
      <c r="D1514" s="6" t="s">
        <v>44</v>
      </c>
      <c r="E1514" s="6" t="s">
        <v>44</v>
      </c>
      <c r="F1514" s="6" t="b">
        <v>0</v>
      </c>
      <c r="G1514" s="6">
        <v>0.4736666666666667</v>
      </c>
    </row>
    <row r="1515" spans="1:7">
      <c r="A1515" s="6" t="s">
        <v>246</v>
      </c>
      <c r="B1515" s="6" t="s">
        <v>53</v>
      </c>
      <c r="C1515" s="6" t="s">
        <v>184</v>
      </c>
      <c r="D1515" s="6" t="s">
        <v>88</v>
      </c>
      <c r="E1515" s="6" t="s">
        <v>88</v>
      </c>
      <c r="F1515" s="6" t="b">
        <v>0</v>
      </c>
      <c r="G1515" s="6">
        <v>0.002416666666666667</v>
      </c>
    </row>
    <row r="1516" spans="1:7">
      <c r="A1516" s="6" t="s">
        <v>246</v>
      </c>
      <c r="B1516" s="6" t="s">
        <v>53</v>
      </c>
      <c r="C1516" s="6" t="s">
        <v>184</v>
      </c>
      <c r="D1516" s="6" t="s">
        <v>90</v>
      </c>
      <c r="E1516" s="6" t="s">
        <v>90</v>
      </c>
      <c r="F1516" s="6" t="b">
        <v>0</v>
      </c>
      <c r="G1516" s="6">
        <v>0.005583333333333333</v>
      </c>
    </row>
    <row r="1517" spans="1:7">
      <c r="A1517" s="6" t="s">
        <v>246</v>
      </c>
      <c r="B1517" s="6" t="s">
        <v>53</v>
      </c>
      <c r="C1517" s="6" t="s">
        <v>184</v>
      </c>
      <c r="D1517" s="6" t="s">
        <v>90</v>
      </c>
      <c r="E1517" s="6" t="s">
        <v>685</v>
      </c>
      <c r="F1517" s="6" t="b">
        <v>1</v>
      </c>
      <c r="G1517" s="6">
        <v>0.002666666666666667</v>
      </c>
    </row>
    <row r="1518" spans="1:7">
      <c r="A1518" s="6" t="s">
        <v>246</v>
      </c>
      <c r="B1518" s="6" t="s">
        <v>53</v>
      </c>
      <c r="C1518" s="6" t="s">
        <v>184</v>
      </c>
      <c r="D1518" s="6" t="s">
        <v>177</v>
      </c>
      <c r="E1518" s="6" t="s">
        <v>44</v>
      </c>
      <c r="F1518" s="6" t="b">
        <v>0</v>
      </c>
      <c r="G1518" s="6">
        <v>0.2979166666666667</v>
      </c>
    </row>
    <row r="1519" spans="1:7">
      <c r="A1519" s="6" t="s">
        <v>246</v>
      </c>
      <c r="B1519" s="6" t="s">
        <v>53</v>
      </c>
      <c r="C1519" s="6" t="s">
        <v>184</v>
      </c>
      <c r="D1519" s="6" t="s">
        <v>177</v>
      </c>
      <c r="E1519" s="6" t="s">
        <v>685</v>
      </c>
      <c r="F1519" s="6" t="b">
        <v>1</v>
      </c>
      <c r="G1519" s="6">
        <v>0.01083333333333333</v>
      </c>
    </row>
    <row r="1520" spans="1:7">
      <c r="A1520" s="6" t="s">
        <v>246</v>
      </c>
      <c r="B1520" s="6" t="s">
        <v>53</v>
      </c>
      <c r="C1520" s="6" t="s">
        <v>186</v>
      </c>
      <c r="D1520" s="6" t="s">
        <v>86</v>
      </c>
      <c r="E1520" s="6" t="s">
        <v>86</v>
      </c>
      <c r="F1520" s="6" t="b">
        <v>0</v>
      </c>
      <c r="G1520" s="6">
        <v>0.043</v>
      </c>
    </row>
    <row r="1521" spans="1:7">
      <c r="A1521" s="6" t="s">
        <v>246</v>
      </c>
      <c r="B1521" s="6" t="s">
        <v>53</v>
      </c>
      <c r="C1521" s="6" t="s">
        <v>186</v>
      </c>
      <c r="D1521" s="6" t="s">
        <v>88</v>
      </c>
      <c r="E1521" s="6" t="s">
        <v>88</v>
      </c>
      <c r="F1521" s="6" t="b">
        <v>0</v>
      </c>
      <c r="G1521" s="6">
        <v>0.005583333333333333</v>
      </c>
    </row>
    <row r="1522" spans="1:7">
      <c r="A1522" s="6" t="s">
        <v>246</v>
      </c>
      <c r="B1522" s="6" t="s">
        <v>53</v>
      </c>
      <c r="C1522" s="6" t="s">
        <v>186</v>
      </c>
      <c r="D1522" s="6" t="s">
        <v>90</v>
      </c>
      <c r="E1522" s="6" t="s">
        <v>90</v>
      </c>
      <c r="F1522" s="6" t="b">
        <v>0</v>
      </c>
      <c r="G1522" s="6">
        <v>0.04700000000000001</v>
      </c>
    </row>
    <row r="1523" spans="1:7">
      <c r="A1523" s="6" t="s">
        <v>246</v>
      </c>
      <c r="B1523" s="6" t="s">
        <v>53</v>
      </c>
      <c r="C1523" s="6" t="s">
        <v>186</v>
      </c>
      <c r="D1523" s="6" t="s">
        <v>177</v>
      </c>
      <c r="E1523" s="6" t="s">
        <v>86</v>
      </c>
      <c r="F1523" s="6" t="b">
        <v>0</v>
      </c>
      <c r="G1523" s="6">
        <v>0.001</v>
      </c>
    </row>
    <row r="1524" spans="1:7">
      <c r="A1524" s="6" t="s">
        <v>246</v>
      </c>
      <c r="B1524" s="6" t="s">
        <v>53</v>
      </c>
      <c r="C1524" s="6" t="s">
        <v>189</v>
      </c>
      <c r="D1524" s="6" t="s">
        <v>86</v>
      </c>
      <c r="E1524" s="6" t="s">
        <v>86</v>
      </c>
      <c r="F1524" s="6" t="b">
        <v>0</v>
      </c>
      <c r="G1524" s="6">
        <v>0.00825</v>
      </c>
    </row>
    <row r="1525" spans="1:7">
      <c r="A1525" s="6" t="s">
        <v>348</v>
      </c>
      <c r="B1525" s="6" t="s">
        <v>52</v>
      </c>
      <c r="C1525" s="6" t="s">
        <v>181</v>
      </c>
      <c r="D1525" s="6" t="s">
        <v>88</v>
      </c>
      <c r="E1525" s="6" t="s">
        <v>88</v>
      </c>
      <c r="F1525" s="6" t="b">
        <v>0</v>
      </c>
      <c r="G1525" s="6">
        <v>0.1048333333333333</v>
      </c>
    </row>
    <row r="1526" spans="1:7">
      <c r="A1526" s="6" t="s">
        <v>348</v>
      </c>
      <c r="B1526" s="6" t="s">
        <v>52</v>
      </c>
      <c r="C1526" s="6" t="s">
        <v>184</v>
      </c>
      <c r="D1526" s="6" t="s">
        <v>44</v>
      </c>
      <c r="E1526" s="6" t="s">
        <v>685</v>
      </c>
      <c r="F1526" s="6" t="b">
        <v>1</v>
      </c>
      <c r="G1526" s="6">
        <v>0.66</v>
      </c>
    </row>
    <row r="1527" spans="1:7">
      <c r="A1527" s="6" t="s">
        <v>348</v>
      </c>
      <c r="B1527" s="6" t="s">
        <v>52</v>
      </c>
      <c r="C1527" s="6" t="s">
        <v>184</v>
      </c>
      <c r="D1527" s="6" t="s">
        <v>177</v>
      </c>
      <c r="E1527" s="6" t="s">
        <v>44</v>
      </c>
      <c r="F1527" s="6" t="b">
        <v>0</v>
      </c>
      <c r="G1527" s="6">
        <v>1.603333333333333</v>
      </c>
    </row>
    <row r="1528" spans="1:7">
      <c r="A1528" s="6" t="s">
        <v>348</v>
      </c>
      <c r="B1528" s="6" t="s">
        <v>52</v>
      </c>
      <c r="C1528" s="6" t="s">
        <v>186</v>
      </c>
      <c r="D1528" s="6" t="s">
        <v>86</v>
      </c>
      <c r="E1528" s="6" t="s">
        <v>86</v>
      </c>
      <c r="F1528" s="6" t="b">
        <v>0</v>
      </c>
      <c r="G1528" s="6">
        <v>124.4480833333333</v>
      </c>
    </row>
    <row r="1529" spans="1:7">
      <c r="A1529" s="6" t="s">
        <v>348</v>
      </c>
      <c r="B1529" s="6" t="s">
        <v>52</v>
      </c>
      <c r="C1529" s="6" t="s">
        <v>186</v>
      </c>
      <c r="D1529" s="6" t="s">
        <v>88</v>
      </c>
      <c r="E1529" s="6" t="s">
        <v>88</v>
      </c>
      <c r="F1529" s="6" t="b">
        <v>0</v>
      </c>
      <c r="G1529" s="6">
        <v>4.425083333333333</v>
      </c>
    </row>
    <row r="1530" spans="1:7">
      <c r="A1530" s="6" t="s">
        <v>348</v>
      </c>
      <c r="B1530" s="6" t="s">
        <v>52</v>
      </c>
      <c r="C1530" s="6" t="s">
        <v>186</v>
      </c>
      <c r="D1530" s="6" t="s">
        <v>90</v>
      </c>
      <c r="E1530" s="6" t="s">
        <v>86</v>
      </c>
      <c r="F1530" s="6" t="b">
        <v>0</v>
      </c>
      <c r="G1530" s="6">
        <v>0.09966666666666667</v>
      </c>
    </row>
    <row r="1531" spans="1:7">
      <c r="A1531" s="6" t="s">
        <v>348</v>
      </c>
      <c r="B1531" s="6" t="s">
        <v>52</v>
      </c>
      <c r="C1531" s="6" t="s">
        <v>186</v>
      </c>
      <c r="D1531" s="6" t="s">
        <v>90</v>
      </c>
      <c r="E1531" s="6" t="s">
        <v>90</v>
      </c>
      <c r="F1531" s="6" t="b">
        <v>0</v>
      </c>
      <c r="G1531" s="6">
        <v>10.82483333333333</v>
      </c>
    </row>
    <row r="1532" spans="1:7">
      <c r="A1532" s="6" t="s">
        <v>348</v>
      </c>
      <c r="B1532" s="6" t="s">
        <v>52</v>
      </c>
      <c r="C1532" s="6" t="s">
        <v>186</v>
      </c>
      <c r="D1532" s="6" t="s">
        <v>177</v>
      </c>
      <c r="E1532" s="6" t="s">
        <v>86</v>
      </c>
      <c r="F1532" s="6" t="b">
        <v>0</v>
      </c>
      <c r="G1532" s="6">
        <v>1.954666666666667</v>
      </c>
    </row>
    <row r="1533" spans="1:7">
      <c r="A1533" s="6" t="s">
        <v>348</v>
      </c>
      <c r="B1533" s="6" t="s">
        <v>52</v>
      </c>
      <c r="C1533" s="6" t="s">
        <v>189</v>
      </c>
      <c r="D1533" s="6" t="s">
        <v>86</v>
      </c>
      <c r="E1533" s="6" t="s">
        <v>86</v>
      </c>
      <c r="F1533" s="6" t="b">
        <v>0</v>
      </c>
      <c r="G1533" s="6">
        <v>23.39041666666667</v>
      </c>
    </row>
    <row r="1534" spans="1:7">
      <c r="A1534" s="6" t="s">
        <v>348</v>
      </c>
      <c r="B1534" s="6" t="s">
        <v>52</v>
      </c>
      <c r="C1534" s="6" t="s">
        <v>189</v>
      </c>
      <c r="D1534" s="6" t="s">
        <v>88</v>
      </c>
      <c r="E1534" s="6" t="s">
        <v>88</v>
      </c>
      <c r="F1534" s="6" t="b">
        <v>0</v>
      </c>
      <c r="G1534" s="6">
        <v>42.4305</v>
      </c>
    </row>
    <row r="1535" spans="1:7">
      <c r="A1535" s="6" t="s">
        <v>348</v>
      </c>
      <c r="B1535" s="6" t="s">
        <v>52</v>
      </c>
      <c r="C1535" s="6" t="s">
        <v>189</v>
      </c>
      <c r="D1535" s="6" t="s">
        <v>90</v>
      </c>
      <c r="E1535" s="6" t="s">
        <v>90</v>
      </c>
      <c r="F1535" s="6" t="b">
        <v>0</v>
      </c>
      <c r="G1535" s="6">
        <v>0.9744999999999999</v>
      </c>
    </row>
    <row r="1536" spans="1:7">
      <c r="A1536" s="6" t="s">
        <v>348</v>
      </c>
      <c r="B1536" s="6" t="s">
        <v>52</v>
      </c>
      <c r="C1536" s="6" t="s">
        <v>190</v>
      </c>
      <c r="D1536" s="6" t="s">
        <v>44</v>
      </c>
      <c r="E1536" s="6" t="s">
        <v>44</v>
      </c>
      <c r="F1536" s="6" t="b">
        <v>0</v>
      </c>
      <c r="G1536" s="6">
        <v>0.4583333333333333</v>
      </c>
    </row>
    <row r="1537" spans="1:7">
      <c r="A1537" s="6" t="s">
        <v>348</v>
      </c>
      <c r="B1537" s="6" t="s">
        <v>52</v>
      </c>
      <c r="C1537" s="6" t="s">
        <v>190</v>
      </c>
      <c r="D1537" s="6" t="s">
        <v>177</v>
      </c>
      <c r="E1537" s="6" t="s">
        <v>44</v>
      </c>
      <c r="F1537" s="6" t="b">
        <v>0</v>
      </c>
      <c r="G1537" s="6">
        <v>1.3125</v>
      </c>
    </row>
    <row r="1538" spans="1:7">
      <c r="A1538" s="6" t="s">
        <v>349</v>
      </c>
      <c r="B1538" s="6" t="s">
        <v>52</v>
      </c>
      <c r="C1538" s="6" t="s">
        <v>181</v>
      </c>
      <c r="D1538" s="6" t="s">
        <v>88</v>
      </c>
      <c r="E1538" s="6" t="s">
        <v>88</v>
      </c>
      <c r="F1538" s="6" t="b">
        <v>0</v>
      </c>
      <c r="G1538" s="6">
        <v>1.063</v>
      </c>
    </row>
    <row r="1539" spans="1:7">
      <c r="A1539" s="6" t="s">
        <v>349</v>
      </c>
      <c r="B1539" s="6" t="s">
        <v>52</v>
      </c>
      <c r="C1539" s="6" t="s">
        <v>184</v>
      </c>
      <c r="D1539" s="6" t="s">
        <v>44</v>
      </c>
      <c r="E1539" s="6" t="s">
        <v>44</v>
      </c>
      <c r="F1539" s="6" t="b">
        <v>0</v>
      </c>
      <c r="G1539" s="6">
        <v>7.521666666666666</v>
      </c>
    </row>
    <row r="1540" spans="1:7">
      <c r="A1540" s="6" t="s">
        <v>349</v>
      </c>
      <c r="B1540" s="6" t="s">
        <v>52</v>
      </c>
      <c r="C1540" s="6" t="s">
        <v>184</v>
      </c>
      <c r="D1540" s="6" t="s">
        <v>177</v>
      </c>
      <c r="E1540" s="6" t="s">
        <v>44</v>
      </c>
      <c r="F1540" s="6" t="b">
        <v>0</v>
      </c>
      <c r="G1540" s="6">
        <v>3.674166666666667</v>
      </c>
    </row>
    <row r="1541" spans="1:7">
      <c r="A1541" s="6" t="s">
        <v>349</v>
      </c>
      <c r="B1541" s="6" t="s">
        <v>52</v>
      </c>
      <c r="C1541" s="6" t="s">
        <v>186</v>
      </c>
      <c r="D1541" s="6" t="s">
        <v>86</v>
      </c>
      <c r="E1541" s="6" t="s">
        <v>86</v>
      </c>
      <c r="F1541" s="6" t="b">
        <v>0</v>
      </c>
      <c r="G1541" s="6">
        <v>4.857916666666667</v>
      </c>
    </row>
    <row r="1542" spans="1:7">
      <c r="A1542" s="6" t="s">
        <v>349</v>
      </c>
      <c r="B1542" s="6" t="s">
        <v>52</v>
      </c>
      <c r="C1542" s="6" t="s">
        <v>186</v>
      </c>
      <c r="D1542" s="6" t="s">
        <v>88</v>
      </c>
      <c r="E1542" s="6" t="s">
        <v>88</v>
      </c>
      <c r="F1542" s="6" t="b">
        <v>0</v>
      </c>
      <c r="G1542" s="6">
        <v>0.1833333333333333</v>
      </c>
    </row>
    <row r="1543" spans="1:7">
      <c r="A1543" s="6" t="s">
        <v>350</v>
      </c>
      <c r="B1543" s="6" t="s">
        <v>52</v>
      </c>
      <c r="C1543" s="6" t="s">
        <v>189</v>
      </c>
      <c r="D1543" s="6" t="s">
        <v>86</v>
      </c>
      <c r="E1543" s="6" t="s">
        <v>86</v>
      </c>
      <c r="F1543" s="6" t="b">
        <v>0</v>
      </c>
      <c r="G1543" s="6">
        <v>34.47208333333333</v>
      </c>
    </row>
    <row r="1544" spans="1:7">
      <c r="A1544" s="6" t="s">
        <v>247</v>
      </c>
      <c r="B1544" s="6" t="s">
        <v>51</v>
      </c>
      <c r="C1544" s="6" t="s">
        <v>181</v>
      </c>
      <c r="D1544" s="6" t="s">
        <v>88</v>
      </c>
      <c r="E1544" s="6" t="s">
        <v>88</v>
      </c>
      <c r="F1544" s="6" t="b">
        <v>0</v>
      </c>
      <c r="G1544" s="6">
        <v>70.80125</v>
      </c>
    </row>
    <row r="1545" spans="1:7">
      <c r="A1545" s="6" t="s">
        <v>247</v>
      </c>
      <c r="B1545" s="6" t="s">
        <v>51</v>
      </c>
      <c r="C1545" s="6" t="s">
        <v>181</v>
      </c>
      <c r="D1545" s="6" t="s">
        <v>90</v>
      </c>
      <c r="E1545" s="6" t="s">
        <v>90</v>
      </c>
      <c r="F1545" s="6" t="b">
        <v>0</v>
      </c>
      <c r="G1545" s="6">
        <v>0.09450000000000001</v>
      </c>
    </row>
    <row r="1546" spans="1:7">
      <c r="A1546" s="6" t="s">
        <v>247</v>
      </c>
      <c r="B1546" s="6" t="s">
        <v>51</v>
      </c>
      <c r="C1546" s="6" t="s">
        <v>182</v>
      </c>
      <c r="D1546" s="6" t="s">
        <v>88</v>
      </c>
      <c r="E1546" s="6" t="s">
        <v>88</v>
      </c>
      <c r="F1546" s="6" t="b">
        <v>0</v>
      </c>
      <c r="G1546" s="6">
        <v>0.855</v>
      </c>
    </row>
    <row r="1547" spans="1:7">
      <c r="A1547" s="6" t="s">
        <v>247</v>
      </c>
      <c r="B1547" s="6" t="s">
        <v>51</v>
      </c>
      <c r="C1547" s="6" t="s">
        <v>183</v>
      </c>
      <c r="D1547" s="6" t="s">
        <v>86</v>
      </c>
      <c r="E1547" s="6" t="s">
        <v>86</v>
      </c>
      <c r="F1547" s="6" t="b">
        <v>0</v>
      </c>
      <c r="G1547" s="6">
        <v>0.04366666666666667</v>
      </c>
    </row>
    <row r="1548" spans="1:7">
      <c r="A1548" s="6" t="s">
        <v>247</v>
      </c>
      <c r="B1548" s="6" t="s">
        <v>51</v>
      </c>
      <c r="C1548" s="6" t="s">
        <v>183</v>
      </c>
      <c r="D1548" s="6" t="s">
        <v>88</v>
      </c>
      <c r="E1548" s="6" t="s">
        <v>88</v>
      </c>
      <c r="F1548" s="6" t="b">
        <v>0</v>
      </c>
      <c r="G1548" s="6">
        <v>1.23575</v>
      </c>
    </row>
    <row r="1549" spans="1:7">
      <c r="A1549" s="6" t="s">
        <v>247</v>
      </c>
      <c r="B1549" s="6" t="s">
        <v>51</v>
      </c>
      <c r="C1549" s="6" t="s">
        <v>183</v>
      </c>
      <c r="D1549" s="6" t="s">
        <v>90</v>
      </c>
      <c r="E1549" s="6" t="s">
        <v>86</v>
      </c>
      <c r="F1549" s="6" t="b">
        <v>0</v>
      </c>
      <c r="G1549" s="6">
        <v>0.6516666666666666</v>
      </c>
    </row>
    <row r="1550" spans="1:7">
      <c r="A1550" s="6" t="s">
        <v>247</v>
      </c>
      <c r="B1550" s="6" t="s">
        <v>51</v>
      </c>
      <c r="C1550" s="6" t="s">
        <v>183</v>
      </c>
      <c r="D1550" s="6" t="s">
        <v>90</v>
      </c>
      <c r="E1550" s="6" t="s">
        <v>90</v>
      </c>
      <c r="F1550" s="6" t="b">
        <v>0</v>
      </c>
      <c r="G1550" s="6">
        <v>0.5185833333333333</v>
      </c>
    </row>
    <row r="1551" spans="1:7">
      <c r="A1551" s="6" t="s">
        <v>247</v>
      </c>
      <c r="B1551" s="6" t="s">
        <v>51</v>
      </c>
      <c r="C1551" s="6" t="s">
        <v>183</v>
      </c>
      <c r="D1551" s="6" t="s">
        <v>177</v>
      </c>
      <c r="E1551" s="6" t="s">
        <v>86</v>
      </c>
      <c r="F1551" s="6" t="b">
        <v>0</v>
      </c>
      <c r="G1551" s="6">
        <v>0.1139166666666667</v>
      </c>
    </row>
    <row r="1552" spans="1:7">
      <c r="A1552" s="6" t="s">
        <v>247</v>
      </c>
      <c r="B1552" s="6" t="s">
        <v>51</v>
      </c>
      <c r="C1552" s="6" t="s">
        <v>183</v>
      </c>
      <c r="D1552" s="6" t="s">
        <v>177</v>
      </c>
      <c r="E1552" s="6" t="s">
        <v>685</v>
      </c>
      <c r="F1552" s="6" t="b">
        <v>1</v>
      </c>
      <c r="G1552" s="6">
        <v>0.0235</v>
      </c>
    </row>
    <row r="1553" spans="1:7">
      <c r="A1553" s="6" t="s">
        <v>247</v>
      </c>
      <c r="B1553" s="6" t="s">
        <v>51</v>
      </c>
      <c r="C1553" s="6" t="s">
        <v>184</v>
      </c>
      <c r="D1553" s="6" t="s">
        <v>44</v>
      </c>
      <c r="E1553" s="6" t="s">
        <v>44</v>
      </c>
      <c r="F1553" s="6" t="b">
        <v>0</v>
      </c>
      <c r="G1553" s="6">
        <v>772.2035</v>
      </c>
    </row>
    <row r="1554" spans="1:7">
      <c r="A1554" s="6" t="s">
        <v>247</v>
      </c>
      <c r="B1554" s="6" t="s">
        <v>51</v>
      </c>
      <c r="C1554" s="6" t="s">
        <v>184</v>
      </c>
      <c r="D1554" s="6" t="s">
        <v>86</v>
      </c>
      <c r="E1554" s="6" t="s">
        <v>86</v>
      </c>
      <c r="F1554" s="6" t="b">
        <v>0</v>
      </c>
      <c r="G1554" s="6">
        <v>1.041666666666667</v>
      </c>
    </row>
    <row r="1555" spans="1:7">
      <c r="A1555" s="6" t="s">
        <v>247</v>
      </c>
      <c r="B1555" s="6" t="s">
        <v>51</v>
      </c>
      <c r="C1555" s="6" t="s">
        <v>184</v>
      </c>
      <c r="D1555" s="6" t="s">
        <v>88</v>
      </c>
      <c r="E1555" s="6" t="s">
        <v>88</v>
      </c>
      <c r="F1555" s="6" t="b">
        <v>0</v>
      </c>
      <c r="G1555" s="6">
        <v>0.75575</v>
      </c>
    </row>
    <row r="1556" spans="1:7">
      <c r="A1556" s="6" t="s">
        <v>247</v>
      </c>
      <c r="B1556" s="6" t="s">
        <v>51</v>
      </c>
      <c r="C1556" s="6" t="s">
        <v>184</v>
      </c>
      <c r="D1556" s="6" t="s">
        <v>90</v>
      </c>
      <c r="E1556" s="6" t="s">
        <v>90</v>
      </c>
      <c r="F1556" s="6" t="b">
        <v>0</v>
      </c>
      <c r="G1556" s="6">
        <v>1.407583333333333</v>
      </c>
    </row>
    <row r="1557" spans="1:7">
      <c r="A1557" s="6" t="s">
        <v>247</v>
      </c>
      <c r="B1557" s="6" t="s">
        <v>51</v>
      </c>
      <c r="C1557" s="6" t="s">
        <v>184</v>
      </c>
      <c r="D1557" s="6" t="s">
        <v>90</v>
      </c>
      <c r="E1557" s="6" t="s">
        <v>685</v>
      </c>
      <c r="F1557" s="6" t="b">
        <v>1</v>
      </c>
      <c r="G1557" s="6">
        <v>1.263166666666667</v>
      </c>
    </row>
    <row r="1558" spans="1:7">
      <c r="A1558" s="6" t="s">
        <v>247</v>
      </c>
      <c r="B1558" s="6" t="s">
        <v>51</v>
      </c>
      <c r="C1558" s="6" t="s">
        <v>184</v>
      </c>
      <c r="D1558" s="6" t="s">
        <v>177</v>
      </c>
      <c r="E1558" s="6" t="s">
        <v>44</v>
      </c>
      <c r="F1558" s="6" t="b">
        <v>0</v>
      </c>
      <c r="G1558" s="6">
        <v>431.8822499999999</v>
      </c>
    </row>
    <row r="1559" spans="1:7">
      <c r="A1559" s="6" t="s">
        <v>247</v>
      </c>
      <c r="B1559" s="6" t="s">
        <v>51</v>
      </c>
      <c r="C1559" s="6" t="s">
        <v>184</v>
      </c>
      <c r="D1559" s="6" t="s">
        <v>177</v>
      </c>
      <c r="E1559" s="6" t="s">
        <v>86</v>
      </c>
      <c r="F1559" s="6" t="b">
        <v>0</v>
      </c>
      <c r="G1559" s="6">
        <v>0.58625</v>
      </c>
    </row>
    <row r="1560" spans="1:7">
      <c r="A1560" s="6" t="s">
        <v>247</v>
      </c>
      <c r="B1560" s="6" t="s">
        <v>51</v>
      </c>
      <c r="C1560" s="6" t="s">
        <v>184</v>
      </c>
      <c r="D1560" s="6" t="s">
        <v>177</v>
      </c>
      <c r="E1560" s="6" t="s">
        <v>685</v>
      </c>
      <c r="F1560" s="6" t="b">
        <v>1</v>
      </c>
      <c r="G1560" s="6">
        <v>8.491833333333334</v>
      </c>
    </row>
    <row r="1561" spans="1:7">
      <c r="A1561" s="6" t="s">
        <v>247</v>
      </c>
      <c r="B1561" s="6" t="s">
        <v>51</v>
      </c>
      <c r="C1561" s="6" t="s">
        <v>185</v>
      </c>
      <c r="D1561" s="6" t="s">
        <v>44</v>
      </c>
      <c r="E1561" s="6" t="s">
        <v>685</v>
      </c>
      <c r="F1561" s="6" t="b">
        <v>1</v>
      </c>
      <c r="G1561" s="6">
        <v>11.41783333333333</v>
      </c>
    </row>
    <row r="1562" spans="1:7">
      <c r="A1562" s="6" t="s">
        <v>247</v>
      </c>
      <c r="B1562" s="6" t="s">
        <v>51</v>
      </c>
      <c r="C1562" s="6" t="s">
        <v>186</v>
      </c>
      <c r="D1562" s="6" t="s">
        <v>86</v>
      </c>
      <c r="E1562" s="6" t="s">
        <v>86</v>
      </c>
      <c r="F1562" s="6" t="b">
        <v>0</v>
      </c>
      <c r="G1562" s="6">
        <v>187.2729166666667</v>
      </c>
    </row>
    <row r="1563" spans="1:7">
      <c r="A1563" s="6" t="s">
        <v>247</v>
      </c>
      <c r="B1563" s="6" t="s">
        <v>51</v>
      </c>
      <c r="C1563" s="6" t="s">
        <v>186</v>
      </c>
      <c r="D1563" s="6" t="s">
        <v>88</v>
      </c>
      <c r="E1563" s="6" t="s">
        <v>88</v>
      </c>
      <c r="F1563" s="6" t="b">
        <v>0</v>
      </c>
      <c r="G1563" s="6">
        <v>7.151583333333334</v>
      </c>
    </row>
    <row r="1564" spans="1:7">
      <c r="A1564" s="6" t="s">
        <v>247</v>
      </c>
      <c r="B1564" s="6" t="s">
        <v>51</v>
      </c>
      <c r="C1564" s="6" t="s">
        <v>186</v>
      </c>
      <c r="D1564" s="6" t="s">
        <v>90</v>
      </c>
      <c r="E1564" s="6" t="s">
        <v>86</v>
      </c>
      <c r="F1564" s="6" t="b">
        <v>0</v>
      </c>
      <c r="G1564" s="6">
        <v>0.01983333333333333</v>
      </c>
    </row>
    <row r="1565" spans="1:7">
      <c r="A1565" s="6" t="s">
        <v>247</v>
      </c>
      <c r="B1565" s="6" t="s">
        <v>51</v>
      </c>
      <c r="C1565" s="6" t="s">
        <v>186</v>
      </c>
      <c r="D1565" s="6" t="s">
        <v>90</v>
      </c>
      <c r="E1565" s="6" t="s">
        <v>90</v>
      </c>
      <c r="F1565" s="6" t="b">
        <v>0</v>
      </c>
      <c r="G1565" s="6">
        <v>54.09333333333333</v>
      </c>
    </row>
    <row r="1566" spans="1:7">
      <c r="A1566" s="6" t="s">
        <v>247</v>
      </c>
      <c r="B1566" s="6" t="s">
        <v>51</v>
      </c>
      <c r="C1566" s="6" t="s">
        <v>186</v>
      </c>
      <c r="D1566" s="6" t="s">
        <v>177</v>
      </c>
      <c r="E1566" s="6" t="s">
        <v>86</v>
      </c>
      <c r="F1566" s="6" t="b">
        <v>0</v>
      </c>
      <c r="G1566" s="6">
        <v>2.051833333333333</v>
      </c>
    </row>
    <row r="1567" spans="1:7">
      <c r="A1567" s="6" t="s">
        <v>247</v>
      </c>
      <c r="B1567" s="6" t="s">
        <v>51</v>
      </c>
      <c r="C1567" s="6" t="s">
        <v>187</v>
      </c>
      <c r="D1567" s="6" t="s">
        <v>86</v>
      </c>
      <c r="E1567" s="6" t="s">
        <v>86</v>
      </c>
      <c r="F1567" s="6" t="b">
        <v>0</v>
      </c>
      <c r="G1567" s="6">
        <v>43.21341666666667</v>
      </c>
    </row>
    <row r="1568" spans="1:7">
      <c r="A1568" s="6" t="s">
        <v>247</v>
      </c>
      <c r="B1568" s="6" t="s">
        <v>51</v>
      </c>
      <c r="C1568" s="6" t="s">
        <v>187</v>
      </c>
      <c r="D1568" s="6" t="s">
        <v>88</v>
      </c>
      <c r="E1568" s="6" t="s">
        <v>88</v>
      </c>
      <c r="F1568" s="6" t="b">
        <v>0</v>
      </c>
      <c r="G1568" s="6">
        <v>112.6186666666667</v>
      </c>
    </row>
    <row r="1569" spans="1:7">
      <c r="A1569" s="6" t="s">
        <v>247</v>
      </c>
      <c r="B1569" s="6" t="s">
        <v>51</v>
      </c>
      <c r="C1569" s="6" t="s">
        <v>187</v>
      </c>
      <c r="D1569" s="6" t="s">
        <v>90</v>
      </c>
      <c r="E1569" s="6" t="s">
        <v>90</v>
      </c>
      <c r="F1569" s="6" t="b">
        <v>0</v>
      </c>
      <c r="G1569" s="6">
        <v>0.005166666666666667</v>
      </c>
    </row>
    <row r="1570" spans="1:7">
      <c r="A1570" s="6" t="s">
        <v>247</v>
      </c>
      <c r="B1570" s="6" t="s">
        <v>51</v>
      </c>
      <c r="C1570" s="6" t="s">
        <v>188</v>
      </c>
      <c r="D1570" s="6" t="s">
        <v>86</v>
      </c>
      <c r="E1570" s="6" t="s">
        <v>86</v>
      </c>
      <c r="F1570" s="6" t="b">
        <v>0</v>
      </c>
      <c r="G1570" s="6">
        <v>5.526666666666667</v>
      </c>
    </row>
    <row r="1571" spans="1:7">
      <c r="A1571" s="6" t="s">
        <v>247</v>
      </c>
      <c r="B1571" s="6" t="s">
        <v>51</v>
      </c>
      <c r="C1571" s="6" t="s">
        <v>188</v>
      </c>
      <c r="D1571" s="6" t="s">
        <v>88</v>
      </c>
      <c r="E1571" s="6" t="s">
        <v>88</v>
      </c>
      <c r="F1571" s="6" t="b">
        <v>0</v>
      </c>
      <c r="G1571" s="6">
        <v>23.64675</v>
      </c>
    </row>
    <row r="1572" spans="1:7">
      <c r="A1572" s="6" t="s">
        <v>247</v>
      </c>
      <c r="B1572" s="6" t="s">
        <v>51</v>
      </c>
      <c r="C1572" s="6" t="s">
        <v>189</v>
      </c>
      <c r="D1572" s="6" t="s">
        <v>86</v>
      </c>
      <c r="E1572" s="6" t="s">
        <v>86</v>
      </c>
      <c r="F1572" s="6" t="b">
        <v>0</v>
      </c>
      <c r="G1572" s="6">
        <v>20.35191666666666</v>
      </c>
    </row>
    <row r="1573" spans="1:7">
      <c r="A1573" s="6" t="s">
        <v>247</v>
      </c>
      <c r="B1573" s="6" t="s">
        <v>51</v>
      </c>
      <c r="C1573" s="6" t="s">
        <v>189</v>
      </c>
      <c r="D1573" s="6" t="s">
        <v>88</v>
      </c>
      <c r="E1573" s="6" t="s">
        <v>88</v>
      </c>
      <c r="F1573" s="6" t="b">
        <v>0</v>
      </c>
      <c r="G1573" s="6">
        <v>17.59208333333333</v>
      </c>
    </row>
    <row r="1574" spans="1:7">
      <c r="A1574" s="6" t="s">
        <v>247</v>
      </c>
      <c r="B1574" s="6" t="s">
        <v>51</v>
      </c>
      <c r="C1574" s="6" t="s">
        <v>189</v>
      </c>
      <c r="D1574" s="6" t="s">
        <v>90</v>
      </c>
      <c r="E1574" s="6" t="s">
        <v>90</v>
      </c>
      <c r="F1574" s="6" t="b">
        <v>0</v>
      </c>
      <c r="G1574" s="6">
        <v>6.048416666666667</v>
      </c>
    </row>
    <row r="1575" spans="1:7">
      <c r="A1575" s="6" t="s">
        <v>247</v>
      </c>
      <c r="B1575" s="6" t="s">
        <v>51</v>
      </c>
      <c r="C1575" s="6" t="s">
        <v>190</v>
      </c>
      <c r="D1575" s="6" t="s">
        <v>44</v>
      </c>
      <c r="E1575" s="6" t="s">
        <v>44</v>
      </c>
      <c r="F1575" s="6" t="b">
        <v>0</v>
      </c>
      <c r="G1575" s="6">
        <v>47.76583333333334</v>
      </c>
    </row>
    <row r="1576" spans="1:7">
      <c r="A1576" s="6" t="s">
        <v>247</v>
      </c>
      <c r="B1576" s="6" t="s">
        <v>51</v>
      </c>
      <c r="C1576" s="6" t="s">
        <v>190</v>
      </c>
      <c r="D1576" s="6" t="s">
        <v>86</v>
      </c>
      <c r="E1576" s="6" t="s">
        <v>44</v>
      </c>
      <c r="F1576" s="6" t="b">
        <v>0</v>
      </c>
      <c r="G1576" s="6">
        <v>4.004333333333333</v>
      </c>
    </row>
    <row r="1577" spans="1:7">
      <c r="A1577" s="6" t="s">
        <v>247</v>
      </c>
      <c r="B1577" s="6" t="s">
        <v>51</v>
      </c>
      <c r="C1577" s="6" t="s">
        <v>190</v>
      </c>
      <c r="D1577" s="6" t="s">
        <v>86</v>
      </c>
      <c r="E1577" s="6" t="s">
        <v>86</v>
      </c>
      <c r="F1577" s="6" t="b">
        <v>0</v>
      </c>
      <c r="G1577" s="6">
        <v>0.09899999999999999</v>
      </c>
    </row>
    <row r="1578" spans="1:7">
      <c r="A1578" s="6" t="s">
        <v>247</v>
      </c>
      <c r="B1578" s="6" t="s">
        <v>51</v>
      </c>
      <c r="C1578" s="6" t="s">
        <v>190</v>
      </c>
      <c r="D1578" s="6" t="s">
        <v>90</v>
      </c>
      <c r="E1578" s="6" t="s">
        <v>44</v>
      </c>
      <c r="F1578" s="6" t="b">
        <v>0</v>
      </c>
      <c r="G1578" s="6">
        <v>5.060083333333333</v>
      </c>
    </row>
    <row r="1579" spans="1:7">
      <c r="A1579" s="6" t="s">
        <v>247</v>
      </c>
      <c r="B1579" s="6" t="s">
        <v>51</v>
      </c>
      <c r="C1579" s="6" t="s">
        <v>190</v>
      </c>
      <c r="D1579" s="6" t="s">
        <v>90</v>
      </c>
      <c r="E1579" s="6" t="s">
        <v>90</v>
      </c>
      <c r="F1579" s="6" t="b">
        <v>0</v>
      </c>
      <c r="G1579" s="6">
        <v>3.904083333333334</v>
      </c>
    </row>
    <row r="1580" spans="1:7">
      <c r="A1580" s="6" t="s">
        <v>247</v>
      </c>
      <c r="B1580" s="6" t="s">
        <v>51</v>
      </c>
      <c r="C1580" s="6" t="s">
        <v>190</v>
      </c>
      <c r="D1580" s="6" t="s">
        <v>177</v>
      </c>
      <c r="E1580" s="6" t="s">
        <v>44</v>
      </c>
      <c r="F1580" s="6" t="b">
        <v>0</v>
      </c>
      <c r="G1580" s="6">
        <v>21.46575</v>
      </c>
    </row>
    <row r="1581" spans="1:7">
      <c r="A1581" s="6" t="s">
        <v>247</v>
      </c>
      <c r="B1581" s="6" t="s">
        <v>51</v>
      </c>
      <c r="C1581" s="6" t="s">
        <v>190</v>
      </c>
      <c r="D1581" s="6" t="s">
        <v>177</v>
      </c>
      <c r="E1581" s="6" t="s">
        <v>86</v>
      </c>
      <c r="F1581" s="6" t="b">
        <v>0</v>
      </c>
      <c r="G1581" s="6">
        <v>1.408666666666667</v>
      </c>
    </row>
    <row r="1582" spans="1:7">
      <c r="A1582" s="6" t="s">
        <v>247</v>
      </c>
      <c r="B1582" s="6" t="s">
        <v>51</v>
      </c>
      <c r="C1582" s="6" t="s">
        <v>190</v>
      </c>
      <c r="D1582" s="6" t="s">
        <v>92</v>
      </c>
      <c r="E1582" s="6" t="s">
        <v>92</v>
      </c>
      <c r="F1582" s="6" t="b">
        <v>0</v>
      </c>
      <c r="G1582" s="6">
        <v>0.1738333333333334</v>
      </c>
    </row>
    <row r="1583" spans="1:7">
      <c r="A1583" s="6" t="s">
        <v>248</v>
      </c>
      <c r="B1583" s="6" t="s">
        <v>55</v>
      </c>
      <c r="C1583" s="6" t="s">
        <v>181</v>
      </c>
      <c r="D1583" s="6" t="s">
        <v>88</v>
      </c>
      <c r="E1583" s="6" t="s">
        <v>88</v>
      </c>
      <c r="F1583" s="6" t="b">
        <v>0</v>
      </c>
      <c r="G1583" s="6">
        <v>13.94108333333333</v>
      </c>
    </row>
    <row r="1584" spans="1:7">
      <c r="A1584" s="6" t="s">
        <v>248</v>
      </c>
      <c r="B1584" s="6" t="s">
        <v>55</v>
      </c>
      <c r="C1584" s="6" t="s">
        <v>181</v>
      </c>
      <c r="D1584" s="6" t="s">
        <v>90</v>
      </c>
      <c r="E1584" s="6" t="s">
        <v>90</v>
      </c>
      <c r="F1584" s="6" t="b">
        <v>0</v>
      </c>
      <c r="G1584" s="6">
        <v>0.02475</v>
      </c>
    </row>
    <row r="1585" spans="1:7">
      <c r="A1585" s="6" t="s">
        <v>248</v>
      </c>
      <c r="B1585" s="6" t="s">
        <v>55</v>
      </c>
      <c r="C1585" s="6" t="s">
        <v>183</v>
      </c>
      <c r="D1585" s="6" t="s">
        <v>86</v>
      </c>
      <c r="E1585" s="6" t="s">
        <v>86</v>
      </c>
      <c r="F1585" s="6" t="b">
        <v>0</v>
      </c>
      <c r="G1585" s="6">
        <v>0.00775</v>
      </c>
    </row>
    <row r="1586" spans="1:7">
      <c r="A1586" s="6" t="s">
        <v>248</v>
      </c>
      <c r="B1586" s="6" t="s">
        <v>55</v>
      </c>
      <c r="C1586" s="6" t="s">
        <v>183</v>
      </c>
      <c r="D1586" s="6" t="s">
        <v>88</v>
      </c>
      <c r="E1586" s="6" t="s">
        <v>88</v>
      </c>
      <c r="F1586" s="6" t="b">
        <v>0</v>
      </c>
      <c r="G1586" s="6">
        <v>0.1085833333333333</v>
      </c>
    </row>
    <row r="1587" spans="1:7">
      <c r="A1587" s="6" t="s">
        <v>248</v>
      </c>
      <c r="B1587" s="6" t="s">
        <v>55</v>
      </c>
      <c r="C1587" s="6" t="s">
        <v>183</v>
      </c>
      <c r="D1587" s="6" t="s">
        <v>90</v>
      </c>
      <c r="E1587" s="6" t="s">
        <v>86</v>
      </c>
      <c r="F1587" s="6" t="b">
        <v>0</v>
      </c>
      <c r="G1587" s="6">
        <v>0.3031666666666666</v>
      </c>
    </row>
    <row r="1588" spans="1:7">
      <c r="A1588" s="6" t="s">
        <v>248</v>
      </c>
      <c r="B1588" s="6" t="s">
        <v>55</v>
      </c>
      <c r="C1588" s="6" t="s">
        <v>183</v>
      </c>
      <c r="D1588" s="6" t="s">
        <v>90</v>
      </c>
      <c r="E1588" s="6" t="s">
        <v>90</v>
      </c>
      <c r="F1588" s="6" t="b">
        <v>0</v>
      </c>
      <c r="G1588" s="6">
        <v>0.0205</v>
      </c>
    </row>
    <row r="1589" spans="1:7">
      <c r="A1589" s="6" t="s">
        <v>248</v>
      </c>
      <c r="B1589" s="6" t="s">
        <v>55</v>
      </c>
      <c r="C1589" s="6" t="s">
        <v>183</v>
      </c>
      <c r="D1589" s="6" t="s">
        <v>177</v>
      </c>
      <c r="E1589" s="6" t="s">
        <v>86</v>
      </c>
      <c r="F1589" s="6" t="b">
        <v>0</v>
      </c>
      <c r="G1589" s="6">
        <v>0.01883333333333333</v>
      </c>
    </row>
    <row r="1590" spans="1:7">
      <c r="A1590" s="6" t="s">
        <v>248</v>
      </c>
      <c r="B1590" s="6" t="s">
        <v>55</v>
      </c>
      <c r="C1590" s="6" t="s">
        <v>183</v>
      </c>
      <c r="D1590" s="6" t="s">
        <v>177</v>
      </c>
      <c r="E1590" s="6" t="s">
        <v>685</v>
      </c>
      <c r="F1590" s="6" t="b">
        <v>1</v>
      </c>
      <c r="G1590" s="6">
        <v>0.004</v>
      </c>
    </row>
    <row r="1591" spans="1:7">
      <c r="A1591" s="6" t="s">
        <v>248</v>
      </c>
      <c r="B1591" s="6" t="s">
        <v>55</v>
      </c>
      <c r="C1591" s="6" t="s">
        <v>184</v>
      </c>
      <c r="D1591" s="6" t="s">
        <v>44</v>
      </c>
      <c r="E1591" s="6" t="s">
        <v>44</v>
      </c>
      <c r="F1591" s="6" t="b">
        <v>0</v>
      </c>
      <c r="G1591" s="6">
        <v>77.06775</v>
      </c>
    </row>
    <row r="1592" spans="1:7">
      <c r="A1592" s="6" t="s">
        <v>248</v>
      </c>
      <c r="B1592" s="6" t="s">
        <v>55</v>
      </c>
      <c r="C1592" s="6" t="s">
        <v>184</v>
      </c>
      <c r="D1592" s="6" t="s">
        <v>88</v>
      </c>
      <c r="E1592" s="6" t="s">
        <v>88</v>
      </c>
      <c r="F1592" s="6" t="b">
        <v>0</v>
      </c>
      <c r="G1592" s="6">
        <v>0.1219166666666667</v>
      </c>
    </row>
    <row r="1593" spans="1:7">
      <c r="A1593" s="6" t="s">
        <v>248</v>
      </c>
      <c r="B1593" s="6" t="s">
        <v>55</v>
      </c>
      <c r="C1593" s="6" t="s">
        <v>184</v>
      </c>
      <c r="D1593" s="6" t="s">
        <v>90</v>
      </c>
      <c r="E1593" s="6" t="s">
        <v>90</v>
      </c>
      <c r="F1593" s="6" t="b">
        <v>0</v>
      </c>
      <c r="G1593" s="6">
        <v>0.19025</v>
      </c>
    </row>
    <row r="1594" spans="1:7">
      <c r="A1594" s="6" t="s">
        <v>248</v>
      </c>
      <c r="B1594" s="6" t="s">
        <v>55</v>
      </c>
      <c r="C1594" s="6" t="s">
        <v>184</v>
      </c>
      <c r="D1594" s="6" t="s">
        <v>90</v>
      </c>
      <c r="E1594" s="6" t="s">
        <v>685</v>
      </c>
      <c r="F1594" s="6" t="b">
        <v>1</v>
      </c>
      <c r="G1594" s="6">
        <v>0.5164166666666666</v>
      </c>
    </row>
    <row r="1595" spans="1:7">
      <c r="A1595" s="6" t="s">
        <v>248</v>
      </c>
      <c r="B1595" s="6" t="s">
        <v>55</v>
      </c>
      <c r="C1595" s="6" t="s">
        <v>184</v>
      </c>
      <c r="D1595" s="6" t="s">
        <v>177</v>
      </c>
      <c r="E1595" s="6" t="s">
        <v>44</v>
      </c>
      <c r="F1595" s="6" t="b">
        <v>0</v>
      </c>
      <c r="G1595" s="6">
        <v>96.474</v>
      </c>
    </row>
    <row r="1596" spans="1:7">
      <c r="A1596" s="6" t="s">
        <v>248</v>
      </c>
      <c r="B1596" s="6" t="s">
        <v>55</v>
      </c>
      <c r="C1596" s="6" t="s">
        <v>184</v>
      </c>
      <c r="D1596" s="6" t="s">
        <v>177</v>
      </c>
      <c r="E1596" s="6" t="s">
        <v>86</v>
      </c>
      <c r="F1596" s="6" t="b">
        <v>0</v>
      </c>
      <c r="G1596" s="6">
        <v>0.04825000000000001</v>
      </c>
    </row>
    <row r="1597" spans="1:7">
      <c r="A1597" s="6" t="s">
        <v>248</v>
      </c>
      <c r="B1597" s="6" t="s">
        <v>55</v>
      </c>
      <c r="C1597" s="6" t="s">
        <v>184</v>
      </c>
      <c r="D1597" s="6" t="s">
        <v>177</v>
      </c>
      <c r="E1597" s="6" t="s">
        <v>685</v>
      </c>
      <c r="F1597" s="6" t="b">
        <v>1</v>
      </c>
      <c r="G1597" s="6">
        <v>1.10525</v>
      </c>
    </row>
    <row r="1598" spans="1:7">
      <c r="A1598" s="6" t="s">
        <v>248</v>
      </c>
      <c r="B1598" s="6" t="s">
        <v>55</v>
      </c>
      <c r="C1598" s="6" t="s">
        <v>186</v>
      </c>
      <c r="D1598" s="6" t="s">
        <v>86</v>
      </c>
      <c r="E1598" s="6" t="s">
        <v>86</v>
      </c>
      <c r="F1598" s="6" t="b">
        <v>0</v>
      </c>
      <c r="G1598" s="6">
        <v>21.13925</v>
      </c>
    </row>
    <row r="1599" spans="1:7">
      <c r="A1599" s="6" t="s">
        <v>248</v>
      </c>
      <c r="B1599" s="6" t="s">
        <v>55</v>
      </c>
      <c r="C1599" s="6" t="s">
        <v>186</v>
      </c>
      <c r="D1599" s="6" t="s">
        <v>88</v>
      </c>
      <c r="E1599" s="6" t="s">
        <v>88</v>
      </c>
      <c r="F1599" s="6" t="b">
        <v>0</v>
      </c>
      <c r="G1599" s="6">
        <v>2.65275</v>
      </c>
    </row>
    <row r="1600" spans="1:7">
      <c r="A1600" s="6" t="s">
        <v>248</v>
      </c>
      <c r="B1600" s="6" t="s">
        <v>55</v>
      </c>
      <c r="C1600" s="6" t="s">
        <v>186</v>
      </c>
      <c r="D1600" s="6" t="s">
        <v>90</v>
      </c>
      <c r="E1600" s="6" t="s">
        <v>90</v>
      </c>
      <c r="F1600" s="6" t="b">
        <v>0</v>
      </c>
      <c r="G1600" s="6">
        <v>15.08241666666667</v>
      </c>
    </row>
    <row r="1601" spans="1:7">
      <c r="A1601" s="6" t="s">
        <v>248</v>
      </c>
      <c r="B1601" s="6" t="s">
        <v>55</v>
      </c>
      <c r="C1601" s="6" t="s">
        <v>186</v>
      </c>
      <c r="D1601" s="6" t="s">
        <v>177</v>
      </c>
      <c r="E1601" s="6" t="s">
        <v>86</v>
      </c>
      <c r="F1601" s="6" t="b">
        <v>0</v>
      </c>
      <c r="G1601" s="6">
        <v>0.17325</v>
      </c>
    </row>
    <row r="1602" spans="1:7">
      <c r="A1602" s="6" t="s">
        <v>248</v>
      </c>
      <c r="B1602" s="6" t="s">
        <v>55</v>
      </c>
      <c r="C1602" s="6" t="s">
        <v>189</v>
      </c>
      <c r="D1602" s="6" t="s">
        <v>86</v>
      </c>
      <c r="E1602" s="6" t="s">
        <v>86</v>
      </c>
      <c r="F1602" s="6" t="b">
        <v>0</v>
      </c>
      <c r="G1602" s="6">
        <v>1.030666666666667</v>
      </c>
    </row>
    <row r="1603" spans="1:7">
      <c r="A1603" s="6" t="s">
        <v>248</v>
      </c>
      <c r="B1603" s="6" t="s">
        <v>55</v>
      </c>
      <c r="C1603" s="6" t="s">
        <v>189</v>
      </c>
      <c r="D1603" s="6" t="s">
        <v>88</v>
      </c>
      <c r="E1603" s="6" t="s">
        <v>88</v>
      </c>
      <c r="F1603" s="6" t="b">
        <v>0</v>
      </c>
      <c r="G1603" s="6">
        <v>2.468166666666667</v>
      </c>
    </row>
    <row r="1604" spans="1:7">
      <c r="A1604" s="6" t="s">
        <v>248</v>
      </c>
      <c r="B1604" s="6" t="s">
        <v>55</v>
      </c>
      <c r="C1604" s="6" t="s">
        <v>189</v>
      </c>
      <c r="D1604" s="6" t="s">
        <v>90</v>
      </c>
      <c r="E1604" s="6" t="s">
        <v>90</v>
      </c>
      <c r="F1604" s="6" t="b">
        <v>0</v>
      </c>
      <c r="G1604" s="6">
        <v>0.2155833333333333</v>
      </c>
    </row>
    <row r="1605" spans="1:7">
      <c r="A1605" s="6" t="s">
        <v>249</v>
      </c>
      <c r="B1605" s="6" t="s">
        <v>53</v>
      </c>
      <c r="C1605" s="6" t="s">
        <v>181</v>
      </c>
      <c r="D1605" s="6" t="s">
        <v>88</v>
      </c>
      <c r="E1605" s="6" t="s">
        <v>88</v>
      </c>
      <c r="F1605" s="6" t="b">
        <v>0</v>
      </c>
      <c r="G1605" s="6">
        <v>44.27466666666667</v>
      </c>
    </row>
    <row r="1606" spans="1:7">
      <c r="A1606" s="6" t="s">
        <v>249</v>
      </c>
      <c r="B1606" s="6" t="s">
        <v>53</v>
      </c>
      <c r="C1606" s="6" t="s">
        <v>181</v>
      </c>
      <c r="D1606" s="6" t="s">
        <v>90</v>
      </c>
      <c r="E1606" s="6" t="s">
        <v>90</v>
      </c>
      <c r="F1606" s="6" t="b">
        <v>0</v>
      </c>
      <c r="G1606" s="6">
        <v>0.0435</v>
      </c>
    </row>
    <row r="1607" spans="1:7">
      <c r="A1607" s="6" t="s">
        <v>249</v>
      </c>
      <c r="B1607" s="6" t="s">
        <v>53</v>
      </c>
      <c r="C1607" s="6" t="s">
        <v>183</v>
      </c>
      <c r="D1607" s="6" t="s">
        <v>86</v>
      </c>
      <c r="E1607" s="6" t="s">
        <v>86</v>
      </c>
      <c r="F1607" s="6" t="b">
        <v>0</v>
      </c>
      <c r="G1607" s="6">
        <v>0.06241666666666667</v>
      </c>
    </row>
    <row r="1608" spans="1:7">
      <c r="A1608" s="6" t="s">
        <v>249</v>
      </c>
      <c r="B1608" s="6" t="s">
        <v>53</v>
      </c>
      <c r="C1608" s="6" t="s">
        <v>183</v>
      </c>
      <c r="D1608" s="6" t="s">
        <v>88</v>
      </c>
      <c r="E1608" s="6" t="s">
        <v>88</v>
      </c>
      <c r="F1608" s="6" t="b">
        <v>0</v>
      </c>
      <c r="G1608" s="6">
        <v>0.6926666666666667</v>
      </c>
    </row>
    <row r="1609" spans="1:7">
      <c r="A1609" s="6" t="s">
        <v>249</v>
      </c>
      <c r="B1609" s="6" t="s">
        <v>53</v>
      </c>
      <c r="C1609" s="6" t="s">
        <v>183</v>
      </c>
      <c r="D1609" s="6" t="s">
        <v>90</v>
      </c>
      <c r="E1609" s="6" t="s">
        <v>86</v>
      </c>
      <c r="F1609" s="6" t="b">
        <v>0</v>
      </c>
      <c r="G1609" s="6">
        <v>0.5404166666666667</v>
      </c>
    </row>
    <row r="1610" spans="1:7">
      <c r="A1610" s="6" t="s">
        <v>249</v>
      </c>
      <c r="B1610" s="6" t="s">
        <v>53</v>
      </c>
      <c r="C1610" s="6" t="s">
        <v>183</v>
      </c>
      <c r="D1610" s="6" t="s">
        <v>90</v>
      </c>
      <c r="E1610" s="6" t="s">
        <v>90</v>
      </c>
      <c r="F1610" s="6" t="b">
        <v>0</v>
      </c>
      <c r="G1610" s="6">
        <v>0.616</v>
      </c>
    </row>
    <row r="1611" spans="1:7">
      <c r="A1611" s="6" t="s">
        <v>249</v>
      </c>
      <c r="B1611" s="6" t="s">
        <v>53</v>
      </c>
      <c r="C1611" s="6" t="s">
        <v>183</v>
      </c>
      <c r="D1611" s="6" t="s">
        <v>177</v>
      </c>
      <c r="E1611" s="6" t="s">
        <v>86</v>
      </c>
      <c r="F1611" s="6" t="b">
        <v>0</v>
      </c>
      <c r="G1611" s="6">
        <v>0.04833333333333333</v>
      </c>
    </row>
    <row r="1612" spans="1:7">
      <c r="A1612" s="6" t="s">
        <v>249</v>
      </c>
      <c r="B1612" s="6" t="s">
        <v>53</v>
      </c>
      <c r="C1612" s="6" t="s">
        <v>183</v>
      </c>
      <c r="D1612" s="6" t="s">
        <v>177</v>
      </c>
      <c r="E1612" s="6" t="s">
        <v>685</v>
      </c>
      <c r="F1612" s="6" t="b">
        <v>1</v>
      </c>
      <c r="G1612" s="6">
        <v>0.006000000000000001</v>
      </c>
    </row>
    <row r="1613" spans="1:7">
      <c r="A1613" s="6" t="s">
        <v>249</v>
      </c>
      <c r="B1613" s="6" t="s">
        <v>53</v>
      </c>
      <c r="C1613" s="6" t="s">
        <v>184</v>
      </c>
      <c r="D1613" s="6" t="s">
        <v>44</v>
      </c>
      <c r="E1613" s="6" t="s">
        <v>44</v>
      </c>
      <c r="F1613" s="6" t="b">
        <v>0</v>
      </c>
      <c r="G1613" s="6">
        <v>651.4371666666667</v>
      </c>
    </row>
    <row r="1614" spans="1:7">
      <c r="A1614" s="6" t="s">
        <v>249</v>
      </c>
      <c r="B1614" s="6" t="s">
        <v>53</v>
      </c>
      <c r="C1614" s="6" t="s">
        <v>184</v>
      </c>
      <c r="D1614" s="6" t="s">
        <v>88</v>
      </c>
      <c r="E1614" s="6" t="s">
        <v>88</v>
      </c>
      <c r="F1614" s="6" t="b">
        <v>0</v>
      </c>
      <c r="G1614" s="6">
        <v>0.2493333333333333</v>
      </c>
    </row>
    <row r="1615" spans="1:7">
      <c r="A1615" s="6" t="s">
        <v>249</v>
      </c>
      <c r="B1615" s="6" t="s">
        <v>53</v>
      </c>
      <c r="C1615" s="6" t="s">
        <v>184</v>
      </c>
      <c r="D1615" s="6" t="s">
        <v>90</v>
      </c>
      <c r="E1615" s="6" t="s">
        <v>90</v>
      </c>
      <c r="F1615" s="6" t="b">
        <v>0</v>
      </c>
      <c r="G1615" s="6">
        <v>0.53525</v>
      </c>
    </row>
    <row r="1616" spans="1:7">
      <c r="A1616" s="6" t="s">
        <v>249</v>
      </c>
      <c r="B1616" s="6" t="s">
        <v>53</v>
      </c>
      <c r="C1616" s="6" t="s">
        <v>184</v>
      </c>
      <c r="D1616" s="6" t="s">
        <v>90</v>
      </c>
      <c r="E1616" s="6" t="s">
        <v>685</v>
      </c>
      <c r="F1616" s="6" t="b">
        <v>1</v>
      </c>
      <c r="G1616" s="6">
        <v>0.5690833333333334</v>
      </c>
    </row>
    <row r="1617" spans="1:7">
      <c r="A1617" s="6" t="s">
        <v>249</v>
      </c>
      <c r="B1617" s="6" t="s">
        <v>53</v>
      </c>
      <c r="C1617" s="6" t="s">
        <v>184</v>
      </c>
      <c r="D1617" s="6" t="s">
        <v>177</v>
      </c>
      <c r="E1617" s="6" t="s">
        <v>44</v>
      </c>
      <c r="F1617" s="6" t="b">
        <v>0</v>
      </c>
      <c r="G1617" s="6">
        <v>417.4383333333333</v>
      </c>
    </row>
    <row r="1618" spans="1:7">
      <c r="A1618" s="6" t="s">
        <v>249</v>
      </c>
      <c r="B1618" s="6" t="s">
        <v>53</v>
      </c>
      <c r="C1618" s="6" t="s">
        <v>184</v>
      </c>
      <c r="D1618" s="6" t="s">
        <v>177</v>
      </c>
      <c r="E1618" s="6" t="s">
        <v>86</v>
      </c>
      <c r="F1618" s="6" t="b">
        <v>0</v>
      </c>
      <c r="G1618" s="6">
        <v>1.536</v>
      </c>
    </row>
    <row r="1619" spans="1:7">
      <c r="A1619" s="6" t="s">
        <v>249</v>
      </c>
      <c r="B1619" s="6" t="s">
        <v>53</v>
      </c>
      <c r="C1619" s="6" t="s">
        <v>184</v>
      </c>
      <c r="D1619" s="6" t="s">
        <v>177</v>
      </c>
      <c r="E1619" s="6" t="s">
        <v>685</v>
      </c>
      <c r="F1619" s="6" t="b">
        <v>1</v>
      </c>
      <c r="G1619" s="6">
        <v>6.025833333333334</v>
      </c>
    </row>
    <row r="1620" spans="1:7">
      <c r="A1620" s="6" t="s">
        <v>249</v>
      </c>
      <c r="B1620" s="6" t="s">
        <v>53</v>
      </c>
      <c r="C1620" s="6" t="s">
        <v>186</v>
      </c>
      <c r="D1620" s="6" t="s">
        <v>86</v>
      </c>
      <c r="E1620" s="6" t="s">
        <v>86</v>
      </c>
      <c r="F1620" s="6" t="b">
        <v>0</v>
      </c>
      <c r="G1620" s="6">
        <v>159.0055833333333</v>
      </c>
    </row>
    <row r="1621" spans="1:7">
      <c r="A1621" s="6" t="s">
        <v>249</v>
      </c>
      <c r="B1621" s="6" t="s">
        <v>53</v>
      </c>
      <c r="C1621" s="6" t="s">
        <v>186</v>
      </c>
      <c r="D1621" s="6" t="s">
        <v>88</v>
      </c>
      <c r="E1621" s="6" t="s">
        <v>88</v>
      </c>
      <c r="F1621" s="6" t="b">
        <v>0</v>
      </c>
      <c r="G1621" s="6">
        <v>7.828583333333333</v>
      </c>
    </row>
    <row r="1622" spans="1:7">
      <c r="A1622" s="6" t="s">
        <v>249</v>
      </c>
      <c r="B1622" s="6" t="s">
        <v>53</v>
      </c>
      <c r="C1622" s="6" t="s">
        <v>186</v>
      </c>
      <c r="D1622" s="6" t="s">
        <v>90</v>
      </c>
      <c r="E1622" s="6" t="s">
        <v>86</v>
      </c>
      <c r="F1622" s="6" t="b">
        <v>0</v>
      </c>
      <c r="G1622" s="6">
        <v>0.01416666666666667</v>
      </c>
    </row>
    <row r="1623" spans="1:7">
      <c r="A1623" s="6" t="s">
        <v>249</v>
      </c>
      <c r="B1623" s="6" t="s">
        <v>53</v>
      </c>
      <c r="C1623" s="6" t="s">
        <v>186</v>
      </c>
      <c r="D1623" s="6" t="s">
        <v>90</v>
      </c>
      <c r="E1623" s="6" t="s">
        <v>90</v>
      </c>
      <c r="F1623" s="6" t="b">
        <v>0</v>
      </c>
      <c r="G1623" s="6">
        <v>22.22416666666667</v>
      </c>
    </row>
    <row r="1624" spans="1:7">
      <c r="A1624" s="6" t="s">
        <v>249</v>
      </c>
      <c r="B1624" s="6" t="s">
        <v>53</v>
      </c>
      <c r="C1624" s="6" t="s">
        <v>186</v>
      </c>
      <c r="D1624" s="6" t="s">
        <v>177</v>
      </c>
      <c r="E1624" s="6" t="s">
        <v>86</v>
      </c>
      <c r="F1624" s="6" t="b">
        <v>0</v>
      </c>
      <c r="G1624" s="6">
        <v>0.7998333333333334</v>
      </c>
    </row>
    <row r="1625" spans="1:7">
      <c r="A1625" s="6" t="s">
        <v>249</v>
      </c>
      <c r="B1625" s="6" t="s">
        <v>53</v>
      </c>
      <c r="C1625" s="6" t="s">
        <v>187</v>
      </c>
      <c r="D1625" s="6" t="s">
        <v>86</v>
      </c>
      <c r="E1625" s="6" t="s">
        <v>86</v>
      </c>
      <c r="F1625" s="6" t="b">
        <v>0</v>
      </c>
      <c r="G1625" s="6">
        <v>43.77441666666667</v>
      </c>
    </row>
    <row r="1626" spans="1:7">
      <c r="A1626" s="6" t="s">
        <v>249</v>
      </c>
      <c r="B1626" s="6" t="s">
        <v>53</v>
      </c>
      <c r="C1626" s="6" t="s">
        <v>187</v>
      </c>
      <c r="D1626" s="6" t="s">
        <v>88</v>
      </c>
      <c r="E1626" s="6" t="s">
        <v>88</v>
      </c>
      <c r="F1626" s="6" t="b">
        <v>0</v>
      </c>
      <c r="G1626" s="6">
        <v>116.67525</v>
      </c>
    </row>
    <row r="1627" spans="1:7">
      <c r="A1627" s="6" t="s">
        <v>249</v>
      </c>
      <c r="B1627" s="6" t="s">
        <v>53</v>
      </c>
      <c r="C1627" s="6" t="s">
        <v>189</v>
      </c>
      <c r="D1627" s="6" t="s">
        <v>86</v>
      </c>
      <c r="E1627" s="6" t="s">
        <v>86</v>
      </c>
      <c r="F1627" s="6" t="b">
        <v>0</v>
      </c>
      <c r="G1627" s="6">
        <v>27.941</v>
      </c>
    </row>
    <row r="1628" spans="1:7">
      <c r="A1628" s="6" t="s">
        <v>249</v>
      </c>
      <c r="B1628" s="6" t="s">
        <v>53</v>
      </c>
      <c r="C1628" s="6" t="s">
        <v>189</v>
      </c>
      <c r="D1628" s="6" t="s">
        <v>88</v>
      </c>
      <c r="E1628" s="6" t="s">
        <v>88</v>
      </c>
      <c r="F1628" s="6" t="b">
        <v>0</v>
      </c>
      <c r="G1628" s="6">
        <v>67.80125</v>
      </c>
    </row>
    <row r="1629" spans="1:7">
      <c r="A1629" s="6" t="s">
        <v>249</v>
      </c>
      <c r="B1629" s="6" t="s">
        <v>53</v>
      </c>
      <c r="C1629" s="6" t="s">
        <v>189</v>
      </c>
      <c r="D1629" s="6" t="s">
        <v>90</v>
      </c>
      <c r="E1629" s="6" t="s">
        <v>90</v>
      </c>
      <c r="F1629" s="6" t="b">
        <v>0</v>
      </c>
      <c r="G1629" s="6">
        <v>7.268916666666667</v>
      </c>
    </row>
    <row r="1630" spans="1:7">
      <c r="A1630" s="6" t="s">
        <v>249</v>
      </c>
      <c r="B1630" s="6" t="s">
        <v>53</v>
      </c>
      <c r="C1630" s="6" t="s">
        <v>190</v>
      </c>
      <c r="D1630" s="6" t="s">
        <v>44</v>
      </c>
      <c r="E1630" s="6" t="s">
        <v>44</v>
      </c>
      <c r="F1630" s="6" t="b">
        <v>0</v>
      </c>
      <c r="G1630" s="6">
        <v>188.7465</v>
      </c>
    </row>
    <row r="1631" spans="1:7">
      <c r="A1631" s="6" t="s">
        <v>249</v>
      </c>
      <c r="B1631" s="6" t="s">
        <v>53</v>
      </c>
      <c r="C1631" s="6" t="s">
        <v>190</v>
      </c>
      <c r="D1631" s="6" t="s">
        <v>86</v>
      </c>
      <c r="E1631" s="6" t="s">
        <v>44</v>
      </c>
      <c r="F1631" s="6" t="b">
        <v>0</v>
      </c>
      <c r="G1631" s="6">
        <v>61.61275</v>
      </c>
    </row>
    <row r="1632" spans="1:7">
      <c r="A1632" s="6" t="s">
        <v>249</v>
      </c>
      <c r="B1632" s="6" t="s">
        <v>53</v>
      </c>
      <c r="C1632" s="6" t="s">
        <v>190</v>
      </c>
      <c r="D1632" s="6" t="s">
        <v>86</v>
      </c>
      <c r="E1632" s="6" t="s">
        <v>86</v>
      </c>
      <c r="F1632" s="6" t="b">
        <v>0</v>
      </c>
      <c r="G1632" s="6">
        <v>6.005916666666667</v>
      </c>
    </row>
    <row r="1633" spans="1:7">
      <c r="A1633" s="6" t="s">
        <v>249</v>
      </c>
      <c r="B1633" s="6" t="s">
        <v>53</v>
      </c>
      <c r="C1633" s="6" t="s">
        <v>190</v>
      </c>
      <c r="D1633" s="6" t="s">
        <v>90</v>
      </c>
      <c r="E1633" s="6" t="s">
        <v>44</v>
      </c>
      <c r="F1633" s="6" t="b">
        <v>0</v>
      </c>
      <c r="G1633" s="6">
        <v>35.51625</v>
      </c>
    </row>
    <row r="1634" spans="1:7">
      <c r="A1634" s="6" t="s">
        <v>249</v>
      </c>
      <c r="B1634" s="6" t="s">
        <v>53</v>
      </c>
      <c r="C1634" s="6" t="s">
        <v>190</v>
      </c>
      <c r="D1634" s="6" t="s">
        <v>90</v>
      </c>
      <c r="E1634" s="6" t="s">
        <v>90</v>
      </c>
      <c r="F1634" s="6" t="b">
        <v>0</v>
      </c>
      <c r="G1634" s="6">
        <v>11.51466666666667</v>
      </c>
    </row>
    <row r="1635" spans="1:7">
      <c r="A1635" s="6" t="s">
        <v>249</v>
      </c>
      <c r="B1635" s="6" t="s">
        <v>53</v>
      </c>
      <c r="C1635" s="6" t="s">
        <v>190</v>
      </c>
      <c r="D1635" s="6" t="s">
        <v>177</v>
      </c>
      <c r="E1635" s="6" t="s">
        <v>44</v>
      </c>
      <c r="F1635" s="6" t="b">
        <v>0</v>
      </c>
      <c r="G1635" s="6">
        <v>200.7974166666667</v>
      </c>
    </row>
    <row r="1636" spans="1:7">
      <c r="A1636" s="6" t="s">
        <v>249</v>
      </c>
      <c r="B1636" s="6" t="s">
        <v>53</v>
      </c>
      <c r="C1636" s="6" t="s">
        <v>190</v>
      </c>
      <c r="D1636" s="6" t="s">
        <v>177</v>
      </c>
      <c r="E1636" s="6" t="s">
        <v>86</v>
      </c>
      <c r="F1636" s="6" t="b">
        <v>0</v>
      </c>
      <c r="G1636" s="6">
        <v>4.889833333333333</v>
      </c>
    </row>
    <row r="1637" spans="1:7">
      <c r="A1637" s="6" t="s">
        <v>249</v>
      </c>
      <c r="B1637" s="6" t="s">
        <v>53</v>
      </c>
      <c r="C1637" s="6" t="s">
        <v>190</v>
      </c>
      <c r="D1637" s="6" t="s">
        <v>177</v>
      </c>
      <c r="E1637" s="6" t="s">
        <v>685</v>
      </c>
      <c r="F1637" s="6" t="b">
        <v>1</v>
      </c>
      <c r="G1637" s="6">
        <v>0.2861666666666667</v>
      </c>
    </row>
    <row r="1638" spans="1:7">
      <c r="A1638" s="6" t="s">
        <v>249</v>
      </c>
      <c r="B1638" s="6" t="s">
        <v>53</v>
      </c>
      <c r="C1638" s="6" t="s">
        <v>190</v>
      </c>
      <c r="D1638" s="6" t="s">
        <v>92</v>
      </c>
      <c r="E1638" s="6" t="s">
        <v>92</v>
      </c>
      <c r="F1638" s="6" t="b">
        <v>0</v>
      </c>
      <c r="G1638" s="6">
        <v>1.7325</v>
      </c>
    </row>
    <row r="1639" spans="1:7">
      <c r="A1639" s="6" t="s">
        <v>351</v>
      </c>
      <c r="B1639" s="6" t="s">
        <v>53</v>
      </c>
      <c r="C1639" s="6" t="s">
        <v>190</v>
      </c>
      <c r="D1639" s="6" t="s">
        <v>44</v>
      </c>
      <c r="E1639" s="6" t="s">
        <v>44</v>
      </c>
      <c r="F1639" s="6" t="b">
        <v>0</v>
      </c>
      <c r="G1639" s="6">
        <v>7.031</v>
      </c>
    </row>
    <row r="1640" spans="1:7">
      <c r="A1640" s="6" t="s">
        <v>351</v>
      </c>
      <c r="B1640" s="6" t="s">
        <v>53</v>
      </c>
      <c r="C1640" s="6" t="s">
        <v>190</v>
      </c>
      <c r="D1640" s="6" t="s">
        <v>86</v>
      </c>
      <c r="E1640" s="6" t="s">
        <v>44</v>
      </c>
      <c r="F1640" s="6" t="b">
        <v>0</v>
      </c>
      <c r="G1640" s="6">
        <v>0.287</v>
      </c>
    </row>
    <row r="1641" spans="1:7">
      <c r="A1641" s="6" t="s">
        <v>351</v>
      </c>
      <c r="B1641" s="6" t="s">
        <v>53</v>
      </c>
      <c r="C1641" s="6" t="s">
        <v>190</v>
      </c>
      <c r="D1641" s="6" t="s">
        <v>86</v>
      </c>
      <c r="E1641" s="6" t="s">
        <v>86</v>
      </c>
      <c r="F1641" s="6" t="b">
        <v>0</v>
      </c>
      <c r="G1641" s="6">
        <v>3.166666666666667</v>
      </c>
    </row>
    <row r="1642" spans="1:7">
      <c r="A1642" s="6" t="s">
        <v>351</v>
      </c>
      <c r="B1642" s="6" t="s">
        <v>53</v>
      </c>
      <c r="C1642" s="6" t="s">
        <v>190</v>
      </c>
      <c r="D1642" s="6" t="s">
        <v>90</v>
      </c>
      <c r="E1642" s="6" t="s">
        <v>90</v>
      </c>
      <c r="F1642" s="6" t="b">
        <v>0</v>
      </c>
      <c r="G1642" s="6">
        <v>1.561166666666667</v>
      </c>
    </row>
    <row r="1643" spans="1:7">
      <c r="A1643" s="6" t="s">
        <v>351</v>
      </c>
      <c r="B1643" s="6" t="s">
        <v>53</v>
      </c>
      <c r="C1643" s="6" t="s">
        <v>190</v>
      </c>
      <c r="D1643" s="6" t="s">
        <v>177</v>
      </c>
      <c r="E1643" s="6" t="s">
        <v>44</v>
      </c>
      <c r="F1643" s="6" t="b">
        <v>0</v>
      </c>
      <c r="G1643" s="6">
        <v>1.609666666666667</v>
      </c>
    </row>
    <row r="1644" spans="1:7">
      <c r="A1644" s="6" t="s">
        <v>352</v>
      </c>
      <c r="B1644" s="6" t="s">
        <v>52</v>
      </c>
      <c r="C1644" s="6" t="s">
        <v>186</v>
      </c>
      <c r="D1644" s="6" t="s">
        <v>86</v>
      </c>
      <c r="E1644" s="6" t="s">
        <v>86</v>
      </c>
      <c r="F1644" s="6" t="b">
        <v>0</v>
      </c>
      <c r="G1644" s="6">
        <v>23.37825</v>
      </c>
    </row>
    <row r="1645" spans="1:7">
      <c r="A1645" s="6" t="s">
        <v>352</v>
      </c>
      <c r="B1645" s="6" t="s">
        <v>52</v>
      </c>
      <c r="C1645" s="6" t="s">
        <v>186</v>
      </c>
      <c r="D1645" s="6" t="s">
        <v>90</v>
      </c>
      <c r="E1645" s="6" t="s">
        <v>90</v>
      </c>
      <c r="F1645" s="6" t="b">
        <v>0</v>
      </c>
      <c r="G1645" s="6">
        <v>6.905833333333334</v>
      </c>
    </row>
    <row r="1646" spans="1:7">
      <c r="A1646" s="6" t="s">
        <v>352</v>
      </c>
      <c r="B1646" s="6" t="s">
        <v>52</v>
      </c>
      <c r="C1646" s="6" t="s">
        <v>189</v>
      </c>
      <c r="D1646" s="6" t="s">
        <v>86</v>
      </c>
      <c r="E1646" s="6" t="s">
        <v>86</v>
      </c>
      <c r="F1646" s="6" t="b">
        <v>0</v>
      </c>
      <c r="G1646" s="6">
        <v>22.34891666666667</v>
      </c>
    </row>
    <row r="1647" spans="1:7">
      <c r="A1647" s="6" t="s">
        <v>352</v>
      </c>
      <c r="B1647" s="6" t="s">
        <v>52</v>
      </c>
      <c r="C1647" s="6" t="s">
        <v>189</v>
      </c>
      <c r="D1647" s="6" t="s">
        <v>88</v>
      </c>
      <c r="E1647" s="6" t="s">
        <v>88</v>
      </c>
      <c r="F1647" s="6" t="b">
        <v>0</v>
      </c>
      <c r="G1647" s="6">
        <v>5.249666666666667</v>
      </c>
    </row>
    <row r="1648" spans="1:7">
      <c r="A1648" s="6" t="s">
        <v>250</v>
      </c>
      <c r="B1648" s="6" t="s">
        <v>55</v>
      </c>
      <c r="C1648" s="6" t="s">
        <v>181</v>
      </c>
      <c r="D1648" s="6" t="s">
        <v>88</v>
      </c>
      <c r="E1648" s="6" t="s">
        <v>88</v>
      </c>
      <c r="F1648" s="6" t="b">
        <v>0</v>
      </c>
      <c r="G1648" s="6">
        <v>2.136833333333333</v>
      </c>
    </row>
    <row r="1649" spans="1:7">
      <c r="A1649" s="6" t="s">
        <v>250</v>
      </c>
      <c r="B1649" s="6" t="s">
        <v>55</v>
      </c>
      <c r="C1649" s="6" t="s">
        <v>181</v>
      </c>
      <c r="D1649" s="6" t="s">
        <v>90</v>
      </c>
      <c r="E1649" s="6" t="s">
        <v>90</v>
      </c>
      <c r="F1649" s="6" t="b">
        <v>0</v>
      </c>
      <c r="G1649" s="6">
        <v>0.01375</v>
      </c>
    </row>
    <row r="1650" spans="1:7">
      <c r="A1650" s="6" t="s">
        <v>250</v>
      </c>
      <c r="B1650" s="6" t="s">
        <v>55</v>
      </c>
      <c r="C1650" s="6" t="s">
        <v>183</v>
      </c>
      <c r="D1650" s="6" t="s">
        <v>86</v>
      </c>
      <c r="E1650" s="6" t="s">
        <v>86</v>
      </c>
      <c r="F1650" s="6" t="b">
        <v>0</v>
      </c>
      <c r="G1650" s="6">
        <v>0.002833333333333334</v>
      </c>
    </row>
    <row r="1651" spans="1:7">
      <c r="A1651" s="6" t="s">
        <v>250</v>
      </c>
      <c r="B1651" s="6" t="s">
        <v>55</v>
      </c>
      <c r="C1651" s="6" t="s">
        <v>183</v>
      </c>
      <c r="D1651" s="6" t="s">
        <v>88</v>
      </c>
      <c r="E1651" s="6" t="s">
        <v>88</v>
      </c>
      <c r="F1651" s="6" t="b">
        <v>0</v>
      </c>
      <c r="G1651" s="6">
        <v>0.0565</v>
      </c>
    </row>
    <row r="1652" spans="1:7">
      <c r="A1652" s="6" t="s">
        <v>250</v>
      </c>
      <c r="B1652" s="6" t="s">
        <v>55</v>
      </c>
      <c r="C1652" s="6" t="s">
        <v>183</v>
      </c>
      <c r="D1652" s="6" t="s">
        <v>90</v>
      </c>
      <c r="E1652" s="6" t="s">
        <v>86</v>
      </c>
      <c r="F1652" s="6" t="b">
        <v>0</v>
      </c>
      <c r="G1652" s="6">
        <v>0.01741666666666667</v>
      </c>
    </row>
    <row r="1653" spans="1:7">
      <c r="A1653" s="6" t="s">
        <v>250</v>
      </c>
      <c r="B1653" s="6" t="s">
        <v>55</v>
      </c>
      <c r="C1653" s="6" t="s">
        <v>183</v>
      </c>
      <c r="D1653" s="6" t="s">
        <v>90</v>
      </c>
      <c r="E1653" s="6" t="s">
        <v>90</v>
      </c>
      <c r="F1653" s="6" t="b">
        <v>0</v>
      </c>
      <c r="G1653" s="6">
        <v>0.01783333333333333</v>
      </c>
    </row>
    <row r="1654" spans="1:7">
      <c r="A1654" s="6" t="s">
        <v>250</v>
      </c>
      <c r="B1654" s="6" t="s">
        <v>55</v>
      </c>
      <c r="C1654" s="6" t="s">
        <v>183</v>
      </c>
      <c r="D1654" s="6" t="s">
        <v>177</v>
      </c>
      <c r="E1654" s="6" t="s">
        <v>86</v>
      </c>
      <c r="F1654" s="6" t="b">
        <v>0</v>
      </c>
      <c r="G1654" s="6">
        <v>0.002</v>
      </c>
    </row>
    <row r="1655" spans="1:7">
      <c r="A1655" s="6" t="s">
        <v>250</v>
      </c>
      <c r="B1655" s="6" t="s">
        <v>55</v>
      </c>
      <c r="C1655" s="6" t="s">
        <v>183</v>
      </c>
      <c r="D1655" s="6" t="s">
        <v>177</v>
      </c>
      <c r="E1655" s="6" t="s">
        <v>685</v>
      </c>
      <c r="F1655" s="6" t="b">
        <v>1</v>
      </c>
      <c r="G1655" s="6">
        <v>0.001</v>
      </c>
    </row>
    <row r="1656" spans="1:7">
      <c r="A1656" s="6" t="s">
        <v>250</v>
      </c>
      <c r="B1656" s="6" t="s">
        <v>55</v>
      </c>
      <c r="C1656" s="6" t="s">
        <v>184</v>
      </c>
      <c r="D1656" s="6" t="s">
        <v>44</v>
      </c>
      <c r="E1656" s="6" t="s">
        <v>44</v>
      </c>
      <c r="F1656" s="6" t="b">
        <v>0</v>
      </c>
      <c r="G1656" s="6">
        <v>16.90166666666667</v>
      </c>
    </row>
    <row r="1657" spans="1:7">
      <c r="A1657" s="6" t="s">
        <v>250</v>
      </c>
      <c r="B1657" s="6" t="s">
        <v>55</v>
      </c>
      <c r="C1657" s="6" t="s">
        <v>184</v>
      </c>
      <c r="D1657" s="6" t="s">
        <v>88</v>
      </c>
      <c r="E1657" s="6" t="s">
        <v>88</v>
      </c>
      <c r="F1657" s="6" t="b">
        <v>0</v>
      </c>
      <c r="G1657" s="6">
        <v>0.03616666666666667</v>
      </c>
    </row>
    <row r="1658" spans="1:7">
      <c r="A1658" s="6" t="s">
        <v>250</v>
      </c>
      <c r="B1658" s="6" t="s">
        <v>55</v>
      </c>
      <c r="C1658" s="6" t="s">
        <v>184</v>
      </c>
      <c r="D1658" s="6" t="s">
        <v>90</v>
      </c>
      <c r="E1658" s="6" t="s">
        <v>90</v>
      </c>
      <c r="F1658" s="6" t="b">
        <v>0</v>
      </c>
      <c r="G1658" s="6">
        <v>0.07033333333333334</v>
      </c>
    </row>
    <row r="1659" spans="1:7">
      <c r="A1659" s="6" t="s">
        <v>250</v>
      </c>
      <c r="B1659" s="6" t="s">
        <v>55</v>
      </c>
      <c r="C1659" s="6" t="s">
        <v>184</v>
      </c>
      <c r="D1659" s="6" t="s">
        <v>90</v>
      </c>
      <c r="E1659" s="6" t="s">
        <v>685</v>
      </c>
      <c r="F1659" s="6" t="b">
        <v>1</v>
      </c>
      <c r="G1659" s="6">
        <v>0.05016666666666666</v>
      </c>
    </row>
    <row r="1660" spans="1:7">
      <c r="A1660" s="6" t="s">
        <v>250</v>
      </c>
      <c r="B1660" s="6" t="s">
        <v>55</v>
      </c>
      <c r="C1660" s="6" t="s">
        <v>184</v>
      </c>
      <c r="D1660" s="6" t="s">
        <v>177</v>
      </c>
      <c r="E1660" s="6" t="s">
        <v>44</v>
      </c>
      <c r="F1660" s="6" t="b">
        <v>0</v>
      </c>
      <c r="G1660" s="6">
        <v>28.53208333333333</v>
      </c>
    </row>
    <row r="1661" spans="1:7">
      <c r="A1661" s="6" t="s">
        <v>250</v>
      </c>
      <c r="B1661" s="6" t="s">
        <v>55</v>
      </c>
      <c r="C1661" s="6" t="s">
        <v>184</v>
      </c>
      <c r="D1661" s="6" t="s">
        <v>177</v>
      </c>
      <c r="E1661" s="6" t="s">
        <v>86</v>
      </c>
      <c r="F1661" s="6" t="b">
        <v>0</v>
      </c>
      <c r="G1661" s="6">
        <v>0.02675</v>
      </c>
    </row>
    <row r="1662" spans="1:7">
      <c r="A1662" s="6" t="s">
        <v>250</v>
      </c>
      <c r="B1662" s="6" t="s">
        <v>55</v>
      </c>
      <c r="C1662" s="6" t="s">
        <v>184</v>
      </c>
      <c r="D1662" s="6" t="s">
        <v>177</v>
      </c>
      <c r="E1662" s="6" t="s">
        <v>685</v>
      </c>
      <c r="F1662" s="6" t="b">
        <v>1</v>
      </c>
      <c r="G1662" s="6">
        <v>0.9409166666666667</v>
      </c>
    </row>
    <row r="1663" spans="1:7">
      <c r="A1663" s="6" t="s">
        <v>250</v>
      </c>
      <c r="B1663" s="6" t="s">
        <v>55</v>
      </c>
      <c r="C1663" s="6" t="s">
        <v>186</v>
      </c>
      <c r="D1663" s="6" t="s">
        <v>86</v>
      </c>
      <c r="E1663" s="6" t="s">
        <v>86</v>
      </c>
      <c r="F1663" s="6" t="b">
        <v>0</v>
      </c>
      <c r="G1663" s="6">
        <v>7.145833333333333</v>
      </c>
    </row>
    <row r="1664" spans="1:7">
      <c r="A1664" s="6" t="s">
        <v>250</v>
      </c>
      <c r="B1664" s="6" t="s">
        <v>55</v>
      </c>
      <c r="C1664" s="6" t="s">
        <v>186</v>
      </c>
      <c r="D1664" s="6" t="s">
        <v>88</v>
      </c>
      <c r="E1664" s="6" t="s">
        <v>88</v>
      </c>
      <c r="F1664" s="6" t="b">
        <v>0</v>
      </c>
      <c r="G1664" s="6">
        <v>0.2825</v>
      </c>
    </row>
    <row r="1665" spans="1:7">
      <c r="A1665" s="6" t="s">
        <v>250</v>
      </c>
      <c r="B1665" s="6" t="s">
        <v>55</v>
      </c>
      <c r="C1665" s="6" t="s">
        <v>186</v>
      </c>
      <c r="D1665" s="6" t="s">
        <v>90</v>
      </c>
      <c r="E1665" s="6" t="s">
        <v>90</v>
      </c>
      <c r="F1665" s="6" t="b">
        <v>0</v>
      </c>
      <c r="G1665" s="6">
        <v>2.920083333333333</v>
      </c>
    </row>
    <row r="1666" spans="1:7">
      <c r="A1666" s="6" t="s">
        <v>250</v>
      </c>
      <c r="B1666" s="6" t="s">
        <v>55</v>
      </c>
      <c r="C1666" s="6" t="s">
        <v>186</v>
      </c>
      <c r="D1666" s="6" t="s">
        <v>177</v>
      </c>
      <c r="E1666" s="6" t="s">
        <v>86</v>
      </c>
      <c r="F1666" s="6" t="b">
        <v>0</v>
      </c>
      <c r="G1666" s="6">
        <v>0.09783333333333333</v>
      </c>
    </row>
    <row r="1667" spans="1:7">
      <c r="A1667" s="6" t="s">
        <v>250</v>
      </c>
      <c r="B1667" s="6" t="s">
        <v>55</v>
      </c>
      <c r="C1667" s="6" t="s">
        <v>189</v>
      </c>
      <c r="D1667" s="6" t="s">
        <v>86</v>
      </c>
      <c r="E1667" s="6" t="s">
        <v>86</v>
      </c>
      <c r="F1667" s="6" t="b">
        <v>0</v>
      </c>
      <c r="G1667" s="6">
        <v>0.96125</v>
      </c>
    </row>
    <row r="1668" spans="1:7">
      <c r="A1668" s="6" t="s">
        <v>250</v>
      </c>
      <c r="B1668" s="6" t="s">
        <v>55</v>
      </c>
      <c r="C1668" s="6" t="s">
        <v>189</v>
      </c>
      <c r="D1668" s="6" t="s">
        <v>88</v>
      </c>
      <c r="E1668" s="6" t="s">
        <v>88</v>
      </c>
      <c r="F1668" s="6" t="b">
        <v>0</v>
      </c>
      <c r="G1668" s="6">
        <v>0.1383333333333333</v>
      </c>
    </row>
    <row r="1669" spans="1:7">
      <c r="A1669" s="6" t="s">
        <v>250</v>
      </c>
      <c r="B1669" s="6" t="s">
        <v>55</v>
      </c>
      <c r="C1669" s="6" t="s">
        <v>189</v>
      </c>
      <c r="D1669" s="6" t="s">
        <v>90</v>
      </c>
      <c r="E1669" s="6" t="s">
        <v>90</v>
      </c>
      <c r="F1669" s="6" t="b">
        <v>0</v>
      </c>
      <c r="G1669" s="6">
        <v>0.07933333333333333</v>
      </c>
    </row>
    <row r="1670" spans="1:7">
      <c r="A1670" s="6" t="s">
        <v>251</v>
      </c>
      <c r="B1670" s="6" t="s">
        <v>53</v>
      </c>
      <c r="C1670" s="6" t="s">
        <v>181</v>
      </c>
      <c r="D1670" s="6" t="s">
        <v>88</v>
      </c>
      <c r="E1670" s="6" t="s">
        <v>88</v>
      </c>
      <c r="F1670" s="6" t="b">
        <v>0</v>
      </c>
      <c r="G1670" s="6">
        <v>0.7568333333333334</v>
      </c>
    </row>
    <row r="1671" spans="1:7">
      <c r="A1671" s="6" t="s">
        <v>251</v>
      </c>
      <c r="B1671" s="6" t="s">
        <v>53</v>
      </c>
      <c r="C1671" s="6" t="s">
        <v>181</v>
      </c>
      <c r="D1671" s="6" t="s">
        <v>90</v>
      </c>
      <c r="E1671" s="6" t="s">
        <v>90</v>
      </c>
      <c r="F1671" s="6" t="b">
        <v>0</v>
      </c>
      <c r="G1671" s="6">
        <v>0.0165</v>
      </c>
    </row>
    <row r="1672" spans="1:7">
      <c r="A1672" s="6" t="s">
        <v>251</v>
      </c>
      <c r="B1672" s="6" t="s">
        <v>53</v>
      </c>
      <c r="C1672" s="6" t="s">
        <v>183</v>
      </c>
      <c r="D1672" s="6" t="s">
        <v>86</v>
      </c>
      <c r="E1672" s="6" t="s">
        <v>86</v>
      </c>
      <c r="F1672" s="6" t="b">
        <v>0</v>
      </c>
      <c r="G1672" s="6">
        <v>0.00425</v>
      </c>
    </row>
    <row r="1673" spans="1:7">
      <c r="A1673" s="6" t="s">
        <v>251</v>
      </c>
      <c r="B1673" s="6" t="s">
        <v>53</v>
      </c>
      <c r="C1673" s="6" t="s">
        <v>183</v>
      </c>
      <c r="D1673" s="6" t="s">
        <v>88</v>
      </c>
      <c r="E1673" s="6" t="s">
        <v>88</v>
      </c>
      <c r="F1673" s="6" t="b">
        <v>0</v>
      </c>
      <c r="G1673" s="6">
        <v>0.02116666666666667</v>
      </c>
    </row>
    <row r="1674" spans="1:7">
      <c r="A1674" s="6" t="s">
        <v>251</v>
      </c>
      <c r="B1674" s="6" t="s">
        <v>53</v>
      </c>
      <c r="C1674" s="6" t="s">
        <v>183</v>
      </c>
      <c r="D1674" s="6" t="s">
        <v>90</v>
      </c>
      <c r="E1674" s="6" t="s">
        <v>86</v>
      </c>
      <c r="F1674" s="6" t="b">
        <v>0</v>
      </c>
      <c r="G1674" s="6">
        <v>0.023</v>
      </c>
    </row>
    <row r="1675" spans="1:7">
      <c r="A1675" s="6" t="s">
        <v>251</v>
      </c>
      <c r="B1675" s="6" t="s">
        <v>53</v>
      </c>
      <c r="C1675" s="6" t="s">
        <v>183</v>
      </c>
      <c r="D1675" s="6" t="s">
        <v>90</v>
      </c>
      <c r="E1675" s="6" t="s">
        <v>90</v>
      </c>
      <c r="F1675" s="6" t="b">
        <v>0</v>
      </c>
      <c r="G1675" s="6">
        <v>0.02925</v>
      </c>
    </row>
    <row r="1676" spans="1:7">
      <c r="A1676" s="6" t="s">
        <v>251</v>
      </c>
      <c r="B1676" s="6" t="s">
        <v>53</v>
      </c>
      <c r="C1676" s="6" t="s">
        <v>183</v>
      </c>
      <c r="D1676" s="6" t="s">
        <v>177</v>
      </c>
      <c r="E1676" s="6" t="s">
        <v>86</v>
      </c>
      <c r="F1676" s="6" t="b">
        <v>0</v>
      </c>
      <c r="G1676" s="6">
        <v>0.001083333333333333</v>
      </c>
    </row>
    <row r="1677" spans="1:7">
      <c r="A1677" s="6" t="s">
        <v>251</v>
      </c>
      <c r="B1677" s="6" t="s">
        <v>53</v>
      </c>
      <c r="C1677" s="6" t="s">
        <v>184</v>
      </c>
      <c r="D1677" s="6" t="s">
        <v>44</v>
      </c>
      <c r="E1677" s="6" t="s">
        <v>44</v>
      </c>
      <c r="F1677" s="6" t="b">
        <v>0</v>
      </c>
      <c r="G1677" s="6">
        <v>8.813583333333334</v>
      </c>
    </row>
    <row r="1678" spans="1:7">
      <c r="A1678" s="6" t="s">
        <v>251</v>
      </c>
      <c r="B1678" s="6" t="s">
        <v>53</v>
      </c>
      <c r="C1678" s="6" t="s">
        <v>184</v>
      </c>
      <c r="D1678" s="6" t="s">
        <v>88</v>
      </c>
      <c r="E1678" s="6" t="s">
        <v>88</v>
      </c>
      <c r="F1678" s="6" t="b">
        <v>0</v>
      </c>
      <c r="G1678" s="6">
        <v>0.07041666666666667</v>
      </c>
    </row>
    <row r="1679" spans="1:7">
      <c r="A1679" s="6" t="s">
        <v>251</v>
      </c>
      <c r="B1679" s="6" t="s">
        <v>53</v>
      </c>
      <c r="C1679" s="6" t="s">
        <v>184</v>
      </c>
      <c r="D1679" s="6" t="s">
        <v>90</v>
      </c>
      <c r="E1679" s="6" t="s">
        <v>90</v>
      </c>
      <c r="F1679" s="6" t="b">
        <v>0</v>
      </c>
      <c r="G1679" s="6">
        <v>0.08600000000000001</v>
      </c>
    </row>
    <row r="1680" spans="1:7">
      <c r="A1680" s="6" t="s">
        <v>251</v>
      </c>
      <c r="B1680" s="6" t="s">
        <v>53</v>
      </c>
      <c r="C1680" s="6" t="s">
        <v>184</v>
      </c>
      <c r="D1680" s="6" t="s">
        <v>90</v>
      </c>
      <c r="E1680" s="6" t="s">
        <v>685</v>
      </c>
      <c r="F1680" s="6" t="b">
        <v>1</v>
      </c>
      <c r="G1680" s="6">
        <v>0.105</v>
      </c>
    </row>
    <row r="1681" spans="1:7">
      <c r="A1681" s="6" t="s">
        <v>251</v>
      </c>
      <c r="B1681" s="6" t="s">
        <v>53</v>
      </c>
      <c r="C1681" s="6" t="s">
        <v>184</v>
      </c>
      <c r="D1681" s="6" t="s">
        <v>177</v>
      </c>
      <c r="E1681" s="6" t="s">
        <v>44</v>
      </c>
      <c r="F1681" s="6" t="b">
        <v>0</v>
      </c>
      <c r="G1681" s="6">
        <v>6.2155</v>
      </c>
    </row>
    <row r="1682" spans="1:7">
      <c r="A1682" s="6" t="s">
        <v>251</v>
      </c>
      <c r="B1682" s="6" t="s">
        <v>53</v>
      </c>
      <c r="C1682" s="6" t="s">
        <v>184</v>
      </c>
      <c r="D1682" s="6" t="s">
        <v>177</v>
      </c>
      <c r="E1682" s="6" t="s">
        <v>86</v>
      </c>
      <c r="F1682" s="6" t="b">
        <v>0</v>
      </c>
      <c r="G1682" s="6">
        <v>0.04575000000000001</v>
      </c>
    </row>
    <row r="1683" spans="1:7">
      <c r="A1683" s="6" t="s">
        <v>251</v>
      </c>
      <c r="B1683" s="6" t="s">
        <v>53</v>
      </c>
      <c r="C1683" s="6" t="s">
        <v>184</v>
      </c>
      <c r="D1683" s="6" t="s">
        <v>177</v>
      </c>
      <c r="E1683" s="6" t="s">
        <v>685</v>
      </c>
      <c r="F1683" s="6" t="b">
        <v>1</v>
      </c>
      <c r="G1683" s="6">
        <v>1.516166666666667</v>
      </c>
    </row>
    <row r="1684" spans="1:7">
      <c r="A1684" s="6" t="s">
        <v>251</v>
      </c>
      <c r="B1684" s="6" t="s">
        <v>53</v>
      </c>
      <c r="C1684" s="6" t="s">
        <v>186</v>
      </c>
      <c r="D1684" s="6" t="s">
        <v>86</v>
      </c>
      <c r="E1684" s="6" t="s">
        <v>86</v>
      </c>
      <c r="F1684" s="6" t="b">
        <v>0</v>
      </c>
      <c r="G1684" s="6">
        <v>1.09975</v>
      </c>
    </row>
    <row r="1685" spans="1:7">
      <c r="A1685" s="6" t="s">
        <v>251</v>
      </c>
      <c r="B1685" s="6" t="s">
        <v>53</v>
      </c>
      <c r="C1685" s="6" t="s">
        <v>186</v>
      </c>
      <c r="D1685" s="6" t="s">
        <v>88</v>
      </c>
      <c r="E1685" s="6" t="s">
        <v>88</v>
      </c>
      <c r="F1685" s="6" t="b">
        <v>0</v>
      </c>
      <c r="G1685" s="6">
        <v>0.08783333333333333</v>
      </c>
    </row>
    <row r="1686" spans="1:7">
      <c r="A1686" s="6" t="s">
        <v>251</v>
      </c>
      <c r="B1686" s="6" t="s">
        <v>53</v>
      </c>
      <c r="C1686" s="6" t="s">
        <v>186</v>
      </c>
      <c r="D1686" s="6" t="s">
        <v>90</v>
      </c>
      <c r="E1686" s="6" t="s">
        <v>90</v>
      </c>
      <c r="F1686" s="6" t="b">
        <v>0</v>
      </c>
      <c r="G1686" s="6">
        <v>0.6530833333333333</v>
      </c>
    </row>
    <row r="1687" spans="1:7">
      <c r="A1687" s="6" t="s">
        <v>251</v>
      </c>
      <c r="B1687" s="6" t="s">
        <v>53</v>
      </c>
      <c r="C1687" s="6" t="s">
        <v>186</v>
      </c>
      <c r="D1687" s="6" t="s">
        <v>177</v>
      </c>
      <c r="E1687" s="6" t="s">
        <v>86</v>
      </c>
      <c r="F1687" s="6" t="b">
        <v>0</v>
      </c>
      <c r="G1687" s="6">
        <v>0.0265</v>
      </c>
    </row>
    <row r="1688" spans="1:7">
      <c r="A1688" s="6" t="s">
        <v>251</v>
      </c>
      <c r="B1688" s="6" t="s">
        <v>53</v>
      </c>
      <c r="C1688" s="6" t="s">
        <v>188</v>
      </c>
      <c r="D1688" s="6" t="s">
        <v>88</v>
      </c>
      <c r="E1688" s="6" t="s">
        <v>88</v>
      </c>
      <c r="F1688" s="6" t="b">
        <v>0</v>
      </c>
      <c r="G1688" s="6">
        <v>1.931666666666667</v>
      </c>
    </row>
    <row r="1689" spans="1:7">
      <c r="A1689" s="6" t="s">
        <v>251</v>
      </c>
      <c r="B1689" s="6" t="s">
        <v>53</v>
      </c>
      <c r="C1689" s="6" t="s">
        <v>189</v>
      </c>
      <c r="D1689" s="6" t="s">
        <v>86</v>
      </c>
      <c r="E1689" s="6" t="s">
        <v>86</v>
      </c>
      <c r="F1689" s="6" t="b">
        <v>0</v>
      </c>
      <c r="G1689" s="6">
        <v>0.65425</v>
      </c>
    </row>
    <row r="1690" spans="1:7">
      <c r="A1690" s="6" t="s">
        <v>251</v>
      </c>
      <c r="B1690" s="6" t="s">
        <v>53</v>
      </c>
      <c r="C1690" s="6" t="s">
        <v>189</v>
      </c>
      <c r="D1690" s="6" t="s">
        <v>88</v>
      </c>
      <c r="E1690" s="6" t="s">
        <v>88</v>
      </c>
      <c r="F1690" s="6" t="b">
        <v>0</v>
      </c>
      <c r="G1690" s="6">
        <v>0.2816666666666667</v>
      </c>
    </row>
    <row r="1691" spans="1:7">
      <c r="A1691" s="6" t="s">
        <v>251</v>
      </c>
      <c r="B1691" s="6" t="s">
        <v>53</v>
      </c>
      <c r="C1691" s="6" t="s">
        <v>189</v>
      </c>
      <c r="D1691" s="6" t="s">
        <v>90</v>
      </c>
      <c r="E1691" s="6" t="s">
        <v>90</v>
      </c>
      <c r="F1691" s="6" t="b">
        <v>0</v>
      </c>
      <c r="G1691" s="6">
        <v>0.1753333333333333</v>
      </c>
    </row>
    <row r="1692" spans="1:7">
      <c r="A1692" s="6" t="s">
        <v>251</v>
      </c>
      <c r="B1692" s="6" t="s">
        <v>53</v>
      </c>
      <c r="C1692" s="6" t="s">
        <v>190</v>
      </c>
      <c r="D1692" s="6" t="s">
        <v>44</v>
      </c>
      <c r="E1692" s="6" t="s">
        <v>44</v>
      </c>
      <c r="F1692" s="6" t="b">
        <v>0</v>
      </c>
      <c r="G1692" s="6">
        <v>0.03975</v>
      </c>
    </row>
    <row r="1693" spans="1:7">
      <c r="A1693" s="6" t="s">
        <v>251</v>
      </c>
      <c r="B1693" s="6" t="s">
        <v>53</v>
      </c>
      <c r="C1693" s="6" t="s">
        <v>190</v>
      </c>
      <c r="D1693" s="6" t="s">
        <v>90</v>
      </c>
      <c r="E1693" s="6" t="s">
        <v>90</v>
      </c>
      <c r="F1693" s="6" t="b">
        <v>0</v>
      </c>
      <c r="G1693" s="6">
        <v>0.0425</v>
      </c>
    </row>
    <row r="1694" spans="1:7">
      <c r="A1694" s="6" t="s">
        <v>251</v>
      </c>
      <c r="B1694" s="6" t="s">
        <v>53</v>
      </c>
      <c r="C1694" s="6" t="s">
        <v>190</v>
      </c>
      <c r="D1694" s="6" t="s">
        <v>177</v>
      </c>
      <c r="E1694" s="6" t="s">
        <v>44</v>
      </c>
      <c r="F1694" s="6" t="b">
        <v>0</v>
      </c>
      <c r="G1694" s="6">
        <v>0.763</v>
      </c>
    </row>
    <row r="1695" spans="1:7">
      <c r="A1695" s="6" t="s">
        <v>252</v>
      </c>
      <c r="B1695" s="6" t="s">
        <v>57</v>
      </c>
      <c r="C1695" s="6" t="s">
        <v>181</v>
      </c>
      <c r="D1695" s="6" t="s">
        <v>88</v>
      </c>
      <c r="E1695" s="6" t="s">
        <v>88</v>
      </c>
      <c r="F1695" s="6" t="b">
        <v>0</v>
      </c>
      <c r="G1695" s="6">
        <v>7.473166666666667</v>
      </c>
    </row>
    <row r="1696" spans="1:7">
      <c r="A1696" s="6" t="s">
        <v>252</v>
      </c>
      <c r="B1696" s="6" t="s">
        <v>57</v>
      </c>
      <c r="C1696" s="6" t="s">
        <v>181</v>
      </c>
      <c r="D1696" s="6" t="s">
        <v>90</v>
      </c>
      <c r="E1696" s="6" t="s">
        <v>90</v>
      </c>
      <c r="F1696" s="6" t="b">
        <v>0</v>
      </c>
      <c r="G1696" s="6">
        <v>0.005500000000000001</v>
      </c>
    </row>
    <row r="1697" spans="1:7">
      <c r="A1697" s="6" t="s">
        <v>252</v>
      </c>
      <c r="B1697" s="6" t="s">
        <v>57</v>
      </c>
      <c r="C1697" s="6" t="s">
        <v>183</v>
      </c>
      <c r="D1697" s="6" t="s">
        <v>86</v>
      </c>
      <c r="E1697" s="6" t="s">
        <v>86</v>
      </c>
      <c r="F1697" s="6" t="b">
        <v>0</v>
      </c>
      <c r="G1697" s="6">
        <v>0.004666666666666667</v>
      </c>
    </row>
    <row r="1698" spans="1:7">
      <c r="A1698" s="6" t="s">
        <v>252</v>
      </c>
      <c r="B1698" s="6" t="s">
        <v>57</v>
      </c>
      <c r="C1698" s="6" t="s">
        <v>183</v>
      </c>
      <c r="D1698" s="6" t="s">
        <v>88</v>
      </c>
      <c r="E1698" s="6" t="s">
        <v>88</v>
      </c>
      <c r="F1698" s="6" t="b">
        <v>0</v>
      </c>
      <c r="G1698" s="6">
        <v>0.1174166666666667</v>
      </c>
    </row>
    <row r="1699" spans="1:7">
      <c r="A1699" s="6" t="s">
        <v>252</v>
      </c>
      <c r="B1699" s="6" t="s">
        <v>57</v>
      </c>
      <c r="C1699" s="6" t="s">
        <v>183</v>
      </c>
      <c r="D1699" s="6" t="s">
        <v>90</v>
      </c>
      <c r="E1699" s="6" t="s">
        <v>86</v>
      </c>
      <c r="F1699" s="6" t="b">
        <v>0</v>
      </c>
      <c r="G1699" s="6">
        <v>0.04625000000000001</v>
      </c>
    </row>
    <row r="1700" spans="1:7">
      <c r="A1700" s="6" t="s">
        <v>252</v>
      </c>
      <c r="B1700" s="6" t="s">
        <v>57</v>
      </c>
      <c r="C1700" s="6" t="s">
        <v>183</v>
      </c>
      <c r="D1700" s="6" t="s">
        <v>90</v>
      </c>
      <c r="E1700" s="6" t="s">
        <v>90</v>
      </c>
      <c r="F1700" s="6" t="b">
        <v>0</v>
      </c>
      <c r="G1700" s="6">
        <v>0.05208333333333334</v>
      </c>
    </row>
    <row r="1701" spans="1:7">
      <c r="A1701" s="6" t="s">
        <v>252</v>
      </c>
      <c r="B1701" s="6" t="s">
        <v>57</v>
      </c>
      <c r="C1701" s="6" t="s">
        <v>183</v>
      </c>
      <c r="D1701" s="6" t="s">
        <v>177</v>
      </c>
      <c r="E1701" s="6" t="s">
        <v>86</v>
      </c>
      <c r="F1701" s="6" t="b">
        <v>0</v>
      </c>
      <c r="G1701" s="6">
        <v>0.01558333333333333</v>
      </c>
    </row>
    <row r="1702" spans="1:7">
      <c r="A1702" s="6" t="s">
        <v>252</v>
      </c>
      <c r="B1702" s="6" t="s">
        <v>57</v>
      </c>
      <c r="C1702" s="6" t="s">
        <v>183</v>
      </c>
      <c r="D1702" s="6" t="s">
        <v>177</v>
      </c>
      <c r="E1702" s="6" t="s">
        <v>685</v>
      </c>
      <c r="F1702" s="6" t="b">
        <v>1</v>
      </c>
      <c r="G1702" s="6">
        <v>0.006999999999999999</v>
      </c>
    </row>
    <row r="1703" spans="1:7">
      <c r="A1703" s="6" t="s">
        <v>252</v>
      </c>
      <c r="B1703" s="6" t="s">
        <v>57</v>
      </c>
      <c r="C1703" s="6" t="s">
        <v>184</v>
      </c>
      <c r="D1703" s="6" t="s">
        <v>44</v>
      </c>
      <c r="E1703" s="6" t="s">
        <v>44</v>
      </c>
      <c r="F1703" s="6" t="b">
        <v>0</v>
      </c>
      <c r="G1703" s="6">
        <v>81.4145</v>
      </c>
    </row>
    <row r="1704" spans="1:7">
      <c r="A1704" s="6" t="s">
        <v>252</v>
      </c>
      <c r="B1704" s="6" t="s">
        <v>57</v>
      </c>
      <c r="C1704" s="6" t="s">
        <v>184</v>
      </c>
      <c r="D1704" s="6" t="s">
        <v>86</v>
      </c>
      <c r="E1704" s="6" t="s">
        <v>86</v>
      </c>
      <c r="F1704" s="6" t="b">
        <v>0</v>
      </c>
      <c r="G1704" s="6">
        <v>0.125</v>
      </c>
    </row>
    <row r="1705" spans="1:7">
      <c r="A1705" s="6" t="s">
        <v>252</v>
      </c>
      <c r="B1705" s="6" t="s">
        <v>57</v>
      </c>
      <c r="C1705" s="6" t="s">
        <v>184</v>
      </c>
      <c r="D1705" s="6" t="s">
        <v>88</v>
      </c>
      <c r="E1705" s="6" t="s">
        <v>88</v>
      </c>
      <c r="F1705" s="6" t="b">
        <v>0</v>
      </c>
      <c r="G1705" s="6">
        <v>0.07108333333333335</v>
      </c>
    </row>
    <row r="1706" spans="1:7">
      <c r="A1706" s="6" t="s">
        <v>252</v>
      </c>
      <c r="B1706" s="6" t="s">
        <v>57</v>
      </c>
      <c r="C1706" s="6" t="s">
        <v>184</v>
      </c>
      <c r="D1706" s="6" t="s">
        <v>90</v>
      </c>
      <c r="E1706" s="6" t="s">
        <v>90</v>
      </c>
      <c r="F1706" s="6" t="b">
        <v>0</v>
      </c>
      <c r="G1706" s="6">
        <v>0.2610833333333333</v>
      </c>
    </row>
    <row r="1707" spans="1:7">
      <c r="A1707" s="6" t="s">
        <v>252</v>
      </c>
      <c r="B1707" s="6" t="s">
        <v>57</v>
      </c>
      <c r="C1707" s="6" t="s">
        <v>184</v>
      </c>
      <c r="D1707" s="6" t="s">
        <v>90</v>
      </c>
      <c r="E1707" s="6" t="s">
        <v>685</v>
      </c>
      <c r="F1707" s="6" t="b">
        <v>1</v>
      </c>
      <c r="G1707" s="6">
        <v>0.06741666666666667</v>
      </c>
    </row>
    <row r="1708" spans="1:7">
      <c r="A1708" s="6" t="s">
        <v>252</v>
      </c>
      <c r="B1708" s="6" t="s">
        <v>57</v>
      </c>
      <c r="C1708" s="6" t="s">
        <v>184</v>
      </c>
      <c r="D1708" s="6" t="s">
        <v>177</v>
      </c>
      <c r="E1708" s="6" t="s">
        <v>44</v>
      </c>
      <c r="F1708" s="6" t="b">
        <v>0</v>
      </c>
      <c r="G1708" s="6">
        <v>95.84974999999999</v>
      </c>
    </row>
    <row r="1709" spans="1:7">
      <c r="A1709" s="6" t="s">
        <v>252</v>
      </c>
      <c r="B1709" s="6" t="s">
        <v>57</v>
      </c>
      <c r="C1709" s="6" t="s">
        <v>184</v>
      </c>
      <c r="D1709" s="6" t="s">
        <v>177</v>
      </c>
      <c r="E1709" s="6" t="s">
        <v>86</v>
      </c>
      <c r="F1709" s="6" t="b">
        <v>0</v>
      </c>
      <c r="G1709" s="6">
        <v>0.08475000000000001</v>
      </c>
    </row>
    <row r="1710" spans="1:7">
      <c r="A1710" s="6" t="s">
        <v>252</v>
      </c>
      <c r="B1710" s="6" t="s">
        <v>57</v>
      </c>
      <c r="C1710" s="6" t="s">
        <v>184</v>
      </c>
      <c r="D1710" s="6" t="s">
        <v>177</v>
      </c>
      <c r="E1710" s="6" t="s">
        <v>685</v>
      </c>
      <c r="F1710" s="6" t="b">
        <v>1</v>
      </c>
      <c r="G1710" s="6">
        <v>1.422666666666667</v>
      </c>
    </row>
    <row r="1711" spans="1:7">
      <c r="A1711" s="6" t="s">
        <v>252</v>
      </c>
      <c r="B1711" s="6" t="s">
        <v>57</v>
      </c>
      <c r="C1711" s="6" t="s">
        <v>186</v>
      </c>
      <c r="D1711" s="6" t="s">
        <v>86</v>
      </c>
      <c r="E1711" s="6" t="s">
        <v>86</v>
      </c>
      <c r="F1711" s="6" t="b">
        <v>0</v>
      </c>
      <c r="G1711" s="6">
        <v>30.4925</v>
      </c>
    </row>
    <row r="1712" spans="1:7">
      <c r="A1712" s="6" t="s">
        <v>252</v>
      </c>
      <c r="B1712" s="6" t="s">
        <v>57</v>
      </c>
      <c r="C1712" s="6" t="s">
        <v>186</v>
      </c>
      <c r="D1712" s="6" t="s">
        <v>88</v>
      </c>
      <c r="E1712" s="6" t="s">
        <v>88</v>
      </c>
      <c r="F1712" s="6" t="b">
        <v>0</v>
      </c>
      <c r="G1712" s="6">
        <v>0.8749166666666667</v>
      </c>
    </row>
    <row r="1713" spans="1:7">
      <c r="A1713" s="6" t="s">
        <v>252</v>
      </c>
      <c r="B1713" s="6" t="s">
        <v>57</v>
      </c>
      <c r="C1713" s="6" t="s">
        <v>186</v>
      </c>
      <c r="D1713" s="6" t="s">
        <v>90</v>
      </c>
      <c r="E1713" s="6" t="s">
        <v>90</v>
      </c>
      <c r="F1713" s="6" t="b">
        <v>0</v>
      </c>
      <c r="G1713" s="6">
        <v>7.4715</v>
      </c>
    </row>
    <row r="1714" spans="1:7">
      <c r="A1714" s="6" t="s">
        <v>252</v>
      </c>
      <c r="B1714" s="6" t="s">
        <v>57</v>
      </c>
      <c r="C1714" s="6" t="s">
        <v>186</v>
      </c>
      <c r="D1714" s="6" t="s">
        <v>177</v>
      </c>
      <c r="E1714" s="6" t="s">
        <v>86</v>
      </c>
      <c r="F1714" s="6" t="b">
        <v>0</v>
      </c>
      <c r="G1714" s="6">
        <v>0.3864166666666667</v>
      </c>
    </row>
    <row r="1715" spans="1:7">
      <c r="A1715" s="6" t="s">
        <v>252</v>
      </c>
      <c r="B1715" s="6" t="s">
        <v>57</v>
      </c>
      <c r="C1715" s="6" t="s">
        <v>188</v>
      </c>
      <c r="D1715" s="6" t="s">
        <v>86</v>
      </c>
      <c r="E1715" s="6" t="s">
        <v>86</v>
      </c>
      <c r="F1715" s="6" t="b">
        <v>0</v>
      </c>
      <c r="G1715" s="6">
        <v>1.835666666666667</v>
      </c>
    </row>
    <row r="1716" spans="1:7">
      <c r="A1716" s="6" t="s">
        <v>252</v>
      </c>
      <c r="B1716" s="6" t="s">
        <v>57</v>
      </c>
      <c r="C1716" s="6" t="s">
        <v>188</v>
      </c>
      <c r="D1716" s="6" t="s">
        <v>88</v>
      </c>
      <c r="E1716" s="6" t="s">
        <v>88</v>
      </c>
      <c r="F1716" s="6" t="b">
        <v>0</v>
      </c>
      <c r="G1716" s="6">
        <v>9.248583333333334</v>
      </c>
    </row>
    <row r="1717" spans="1:7">
      <c r="A1717" s="6" t="s">
        <v>252</v>
      </c>
      <c r="B1717" s="6" t="s">
        <v>57</v>
      </c>
      <c r="C1717" s="6" t="s">
        <v>189</v>
      </c>
      <c r="D1717" s="6" t="s">
        <v>86</v>
      </c>
      <c r="E1717" s="6" t="s">
        <v>86</v>
      </c>
      <c r="F1717" s="6" t="b">
        <v>0</v>
      </c>
      <c r="G1717" s="6">
        <v>2.599666666666667</v>
      </c>
    </row>
    <row r="1718" spans="1:7">
      <c r="A1718" s="6" t="s">
        <v>252</v>
      </c>
      <c r="B1718" s="6" t="s">
        <v>57</v>
      </c>
      <c r="C1718" s="6" t="s">
        <v>189</v>
      </c>
      <c r="D1718" s="6" t="s">
        <v>88</v>
      </c>
      <c r="E1718" s="6" t="s">
        <v>88</v>
      </c>
      <c r="F1718" s="6" t="b">
        <v>0</v>
      </c>
      <c r="G1718" s="6">
        <v>2.66875</v>
      </c>
    </row>
    <row r="1719" spans="1:7">
      <c r="A1719" s="6" t="s">
        <v>252</v>
      </c>
      <c r="B1719" s="6" t="s">
        <v>57</v>
      </c>
      <c r="C1719" s="6" t="s">
        <v>189</v>
      </c>
      <c r="D1719" s="6" t="s">
        <v>90</v>
      </c>
      <c r="E1719" s="6" t="s">
        <v>90</v>
      </c>
      <c r="F1719" s="6" t="b">
        <v>0</v>
      </c>
      <c r="G1719" s="6">
        <v>0.6673333333333334</v>
      </c>
    </row>
    <row r="1720" spans="1:7">
      <c r="A1720" s="6" t="s">
        <v>253</v>
      </c>
      <c r="B1720" s="6" t="s">
        <v>53</v>
      </c>
      <c r="C1720" s="6" t="s">
        <v>181</v>
      </c>
      <c r="D1720" s="6" t="s">
        <v>88</v>
      </c>
      <c r="E1720" s="6" t="s">
        <v>88</v>
      </c>
      <c r="F1720" s="6" t="b">
        <v>0</v>
      </c>
      <c r="G1720" s="6">
        <v>15.31325</v>
      </c>
    </row>
    <row r="1721" spans="1:7">
      <c r="A1721" s="6" t="s">
        <v>253</v>
      </c>
      <c r="B1721" s="6" t="s">
        <v>53</v>
      </c>
      <c r="C1721" s="6" t="s">
        <v>181</v>
      </c>
      <c r="D1721" s="6" t="s">
        <v>90</v>
      </c>
      <c r="E1721" s="6" t="s">
        <v>90</v>
      </c>
      <c r="F1721" s="6" t="b">
        <v>0</v>
      </c>
      <c r="G1721" s="6">
        <v>0.01375</v>
      </c>
    </row>
    <row r="1722" spans="1:7">
      <c r="A1722" s="6" t="s">
        <v>253</v>
      </c>
      <c r="B1722" s="6" t="s">
        <v>53</v>
      </c>
      <c r="C1722" s="6" t="s">
        <v>182</v>
      </c>
      <c r="D1722" s="6" t="s">
        <v>88</v>
      </c>
      <c r="E1722" s="6" t="s">
        <v>88</v>
      </c>
      <c r="F1722" s="6" t="b">
        <v>0</v>
      </c>
      <c r="G1722" s="6">
        <v>1.08</v>
      </c>
    </row>
    <row r="1723" spans="1:7">
      <c r="A1723" s="6" t="s">
        <v>253</v>
      </c>
      <c r="B1723" s="6" t="s">
        <v>53</v>
      </c>
      <c r="C1723" s="6" t="s">
        <v>183</v>
      </c>
      <c r="D1723" s="6" t="s">
        <v>88</v>
      </c>
      <c r="E1723" s="6" t="s">
        <v>88</v>
      </c>
      <c r="F1723" s="6" t="b">
        <v>0</v>
      </c>
      <c r="G1723" s="6">
        <v>0.00525</v>
      </c>
    </row>
    <row r="1724" spans="1:7">
      <c r="A1724" s="6" t="s">
        <v>253</v>
      </c>
      <c r="B1724" s="6" t="s">
        <v>53</v>
      </c>
      <c r="C1724" s="6" t="s">
        <v>183</v>
      </c>
      <c r="D1724" s="6" t="s">
        <v>90</v>
      </c>
      <c r="E1724" s="6" t="s">
        <v>90</v>
      </c>
      <c r="F1724" s="6" t="b">
        <v>0</v>
      </c>
      <c r="G1724" s="6">
        <v>0.01658333333333334</v>
      </c>
    </row>
    <row r="1725" spans="1:7">
      <c r="A1725" s="6" t="s">
        <v>253</v>
      </c>
      <c r="B1725" s="6" t="s">
        <v>53</v>
      </c>
      <c r="C1725" s="6" t="s">
        <v>184</v>
      </c>
      <c r="D1725" s="6" t="s">
        <v>44</v>
      </c>
      <c r="E1725" s="6" t="s">
        <v>44</v>
      </c>
      <c r="F1725" s="6" t="b">
        <v>0</v>
      </c>
      <c r="G1725" s="6">
        <v>34.44391666666667</v>
      </c>
    </row>
    <row r="1726" spans="1:7">
      <c r="A1726" s="6" t="s">
        <v>253</v>
      </c>
      <c r="B1726" s="6" t="s">
        <v>53</v>
      </c>
      <c r="C1726" s="6" t="s">
        <v>184</v>
      </c>
      <c r="D1726" s="6" t="s">
        <v>88</v>
      </c>
      <c r="E1726" s="6" t="s">
        <v>88</v>
      </c>
      <c r="F1726" s="6" t="b">
        <v>0</v>
      </c>
      <c r="G1726" s="6">
        <v>0.04433333333333334</v>
      </c>
    </row>
    <row r="1727" spans="1:7">
      <c r="A1727" s="6" t="s">
        <v>253</v>
      </c>
      <c r="B1727" s="6" t="s">
        <v>53</v>
      </c>
      <c r="C1727" s="6" t="s">
        <v>184</v>
      </c>
      <c r="D1727" s="6" t="s">
        <v>90</v>
      </c>
      <c r="E1727" s="6" t="s">
        <v>90</v>
      </c>
      <c r="F1727" s="6" t="b">
        <v>0</v>
      </c>
      <c r="G1727" s="6">
        <v>0.01475</v>
      </c>
    </row>
    <row r="1728" spans="1:7">
      <c r="A1728" s="6" t="s">
        <v>253</v>
      </c>
      <c r="B1728" s="6" t="s">
        <v>53</v>
      </c>
      <c r="C1728" s="6" t="s">
        <v>184</v>
      </c>
      <c r="D1728" s="6" t="s">
        <v>90</v>
      </c>
      <c r="E1728" s="6" t="s">
        <v>685</v>
      </c>
      <c r="F1728" s="6" t="b">
        <v>1</v>
      </c>
      <c r="G1728" s="6">
        <v>0.03041666666666666</v>
      </c>
    </row>
    <row r="1729" spans="1:7">
      <c r="A1729" s="6" t="s">
        <v>253</v>
      </c>
      <c r="B1729" s="6" t="s">
        <v>53</v>
      </c>
      <c r="C1729" s="6" t="s">
        <v>184</v>
      </c>
      <c r="D1729" s="6" t="s">
        <v>177</v>
      </c>
      <c r="E1729" s="6" t="s">
        <v>44</v>
      </c>
      <c r="F1729" s="6" t="b">
        <v>0</v>
      </c>
      <c r="G1729" s="6">
        <v>21.54833333333333</v>
      </c>
    </row>
    <row r="1730" spans="1:7">
      <c r="A1730" s="6" t="s">
        <v>253</v>
      </c>
      <c r="B1730" s="6" t="s">
        <v>53</v>
      </c>
      <c r="C1730" s="6" t="s">
        <v>184</v>
      </c>
      <c r="D1730" s="6" t="s">
        <v>177</v>
      </c>
      <c r="E1730" s="6" t="s">
        <v>86</v>
      </c>
      <c r="F1730" s="6" t="b">
        <v>0</v>
      </c>
      <c r="G1730" s="6">
        <v>0.0205</v>
      </c>
    </row>
    <row r="1731" spans="1:7">
      <c r="A1731" s="6" t="s">
        <v>253</v>
      </c>
      <c r="B1731" s="6" t="s">
        <v>53</v>
      </c>
      <c r="C1731" s="6" t="s">
        <v>184</v>
      </c>
      <c r="D1731" s="6" t="s">
        <v>177</v>
      </c>
      <c r="E1731" s="6" t="s">
        <v>685</v>
      </c>
      <c r="F1731" s="6" t="b">
        <v>1</v>
      </c>
      <c r="G1731" s="6">
        <v>0.4849166666666667</v>
      </c>
    </row>
    <row r="1732" spans="1:7">
      <c r="A1732" s="6" t="s">
        <v>253</v>
      </c>
      <c r="B1732" s="6" t="s">
        <v>53</v>
      </c>
      <c r="C1732" s="6" t="s">
        <v>185</v>
      </c>
      <c r="D1732" s="6" t="s">
        <v>44</v>
      </c>
      <c r="E1732" s="6" t="s">
        <v>44</v>
      </c>
      <c r="F1732" s="6" t="b">
        <v>0</v>
      </c>
      <c r="G1732" s="6">
        <v>14.976</v>
      </c>
    </row>
    <row r="1733" spans="1:7">
      <c r="A1733" s="6" t="s">
        <v>253</v>
      </c>
      <c r="B1733" s="6" t="s">
        <v>53</v>
      </c>
      <c r="C1733" s="6" t="s">
        <v>185</v>
      </c>
      <c r="D1733" s="6" t="s">
        <v>44</v>
      </c>
      <c r="E1733" s="6" t="s">
        <v>685</v>
      </c>
      <c r="F1733" s="6" t="b">
        <v>1</v>
      </c>
      <c r="G1733" s="6">
        <v>175.2385</v>
      </c>
    </row>
    <row r="1734" spans="1:7">
      <c r="A1734" s="6" t="s">
        <v>253</v>
      </c>
      <c r="B1734" s="6" t="s">
        <v>53</v>
      </c>
      <c r="C1734" s="6" t="s">
        <v>186</v>
      </c>
      <c r="D1734" s="6" t="s">
        <v>86</v>
      </c>
      <c r="E1734" s="6" t="s">
        <v>86</v>
      </c>
      <c r="F1734" s="6" t="b">
        <v>0</v>
      </c>
      <c r="G1734" s="6">
        <v>21.90158333333333</v>
      </c>
    </row>
    <row r="1735" spans="1:7">
      <c r="A1735" s="6" t="s">
        <v>253</v>
      </c>
      <c r="B1735" s="6" t="s">
        <v>53</v>
      </c>
      <c r="C1735" s="6" t="s">
        <v>186</v>
      </c>
      <c r="D1735" s="6" t="s">
        <v>88</v>
      </c>
      <c r="E1735" s="6" t="s">
        <v>88</v>
      </c>
      <c r="F1735" s="6" t="b">
        <v>0</v>
      </c>
      <c r="G1735" s="6">
        <v>1.523083333333333</v>
      </c>
    </row>
    <row r="1736" spans="1:7">
      <c r="A1736" s="6" t="s">
        <v>253</v>
      </c>
      <c r="B1736" s="6" t="s">
        <v>53</v>
      </c>
      <c r="C1736" s="6" t="s">
        <v>186</v>
      </c>
      <c r="D1736" s="6" t="s">
        <v>90</v>
      </c>
      <c r="E1736" s="6" t="s">
        <v>90</v>
      </c>
      <c r="F1736" s="6" t="b">
        <v>0</v>
      </c>
      <c r="G1736" s="6">
        <v>2.558666666666667</v>
      </c>
    </row>
    <row r="1737" spans="1:7">
      <c r="A1737" s="6" t="s">
        <v>253</v>
      </c>
      <c r="B1737" s="6" t="s">
        <v>53</v>
      </c>
      <c r="C1737" s="6" t="s">
        <v>186</v>
      </c>
      <c r="D1737" s="6" t="s">
        <v>177</v>
      </c>
      <c r="E1737" s="6" t="s">
        <v>86</v>
      </c>
      <c r="F1737" s="6" t="b">
        <v>0</v>
      </c>
      <c r="G1737" s="6">
        <v>0.1498333333333333</v>
      </c>
    </row>
    <row r="1738" spans="1:7">
      <c r="A1738" s="6" t="s">
        <v>253</v>
      </c>
      <c r="B1738" s="6" t="s">
        <v>53</v>
      </c>
      <c r="C1738" s="6" t="s">
        <v>189</v>
      </c>
      <c r="D1738" s="6" t="s">
        <v>86</v>
      </c>
      <c r="E1738" s="6" t="s">
        <v>86</v>
      </c>
      <c r="F1738" s="6" t="b">
        <v>0</v>
      </c>
      <c r="G1738" s="6">
        <v>0.2416666666666667</v>
      </c>
    </row>
    <row r="1739" spans="1:7">
      <c r="A1739" s="6" t="s">
        <v>253</v>
      </c>
      <c r="B1739" s="6" t="s">
        <v>53</v>
      </c>
      <c r="C1739" s="6" t="s">
        <v>189</v>
      </c>
      <c r="D1739" s="6" t="s">
        <v>88</v>
      </c>
      <c r="E1739" s="6" t="s">
        <v>88</v>
      </c>
      <c r="F1739" s="6" t="b">
        <v>0</v>
      </c>
      <c r="G1739" s="6">
        <v>0.04925</v>
      </c>
    </row>
    <row r="1740" spans="1:7">
      <c r="A1740" s="6" t="s">
        <v>253</v>
      </c>
      <c r="B1740" s="6" t="s">
        <v>53</v>
      </c>
      <c r="C1740" s="6" t="s">
        <v>189</v>
      </c>
      <c r="D1740" s="6" t="s">
        <v>90</v>
      </c>
      <c r="E1740" s="6" t="s">
        <v>90</v>
      </c>
      <c r="F1740" s="6" t="b">
        <v>0</v>
      </c>
      <c r="G1740" s="6">
        <v>0.01408333333333333</v>
      </c>
    </row>
    <row r="1741" spans="1:7">
      <c r="A1741" s="6" t="s">
        <v>253</v>
      </c>
      <c r="B1741" s="6" t="s">
        <v>53</v>
      </c>
      <c r="C1741" s="6" t="s">
        <v>190</v>
      </c>
      <c r="D1741" s="6" t="s">
        <v>44</v>
      </c>
      <c r="E1741" s="6" t="s">
        <v>44</v>
      </c>
      <c r="F1741" s="6" t="b">
        <v>0</v>
      </c>
      <c r="G1741" s="6">
        <v>238.846</v>
      </c>
    </row>
    <row r="1742" spans="1:7">
      <c r="A1742" s="6" t="s">
        <v>253</v>
      </c>
      <c r="B1742" s="6" t="s">
        <v>53</v>
      </c>
      <c r="C1742" s="6" t="s">
        <v>190</v>
      </c>
      <c r="D1742" s="6" t="s">
        <v>86</v>
      </c>
      <c r="E1742" s="6" t="s">
        <v>44</v>
      </c>
      <c r="F1742" s="6" t="b">
        <v>0</v>
      </c>
      <c r="G1742" s="6">
        <v>3.047666666666666</v>
      </c>
    </row>
    <row r="1743" spans="1:7">
      <c r="A1743" s="6" t="s">
        <v>253</v>
      </c>
      <c r="B1743" s="6" t="s">
        <v>53</v>
      </c>
      <c r="C1743" s="6" t="s">
        <v>190</v>
      </c>
      <c r="D1743" s="6" t="s">
        <v>86</v>
      </c>
      <c r="E1743" s="6" t="s">
        <v>86</v>
      </c>
      <c r="F1743" s="6" t="b">
        <v>0</v>
      </c>
      <c r="G1743" s="6">
        <v>12.53683333333333</v>
      </c>
    </row>
    <row r="1744" spans="1:7">
      <c r="A1744" s="6" t="s">
        <v>253</v>
      </c>
      <c r="B1744" s="6" t="s">
        <v>53</v>
      </c>
      <c r="C1744" s="6" t="s">
        <v>190</v>
      </c>
      <c r="D1744" s="6" t="s">
        <v>90</v>
      </c>
      <c r="E1744" s="6" t="s">
        <v>44</v>
      </c>
      <c r="F1744" s="6" t="b">
        <v>0</v>
      </c>
      <c r="G1744" s="6">
        <v>1.581916666666667</v>
      </c>
    </row>
    <row r="1745" spans="1:7">
      <c r="A1745" s="6" t="s">
        <v>253</v>
      </c>
      <c r="B1745" s="6" t="s">
        <v>53</v>
      </c>
      <c r="C1745" s="6" t="s">
        <v>190</v>
      </c>
      <c r="D1745" s="6" t="s">
        <v>90</v>
      </c>
      <c r="E1745" s="6" t="s">
        <v>90</v>
      </c>
      <c r="F1745" s="6" t="b">
        <v>0</v>
      </c>
      <c r="G1745" s="6">
        <v>14.2275</v>
      </c>
    </row>
    <row r="1746" spans="1:7">
      <c r="A1746" s="6" t="s">
        <v>253</v>
      </c>
      <c r="B1746" s="6" t="s">
        <v>53</v>
      </c>
      <c r="C1746" s="6" t="s">
        <v>190</v>
      </c>
      <c r="D1746" s="6" t="s">
        <v>177</v>
      </c>
      <c r="E1746" s="6" t="s">
        <v>44</v>
      </c>
      <c r="F1746" s="6" t="b">
        <v>0</v>
      </c>
      <c r="G1746" s="6">
        <v>96.05766666666666</v>
      </c>
    </row>
    <row r="1747" spans="1:7">
      <c r="A1747" s="6" t="s">
        <v>253</v>
      </c>
      <c r="B1747" s="6" t="s">
        <v>53</v>
      </c>
      <c r="C1747" s="6" t="s">
        <v>190</v>
      </c>
      <c r="D1747" s="6" t="s">
        <v>177</v>
      </c>
      <c r="E1747" s="6" t="s">
        <v>86</v>
      </c>
      <c r="F1747" s="6" t="b">
        <v>0</v>
      </c>
      <c r="G1747" s="6">
        <v>0.1778333333333333</v>
      </c>
    </row>
    <row r="1748" spans="1:7">
      <c r="A1748" s="6" t="s">
        <v>253</v>
      </c>
      <c r="B1748" s="6" t="s">
        <v>53</v>
      </c>
      <c r="C1748" s="6" t="s">
        <v>190</v>
      </c>
      <c r="D1748" s="6" t="s">
        <v>92</v>
      </c>
      <c r="E1748" s="6" t="s">
        <v>92</v>
      </c>
      <c r="F1748" s="6" t="b">
        <v>0</v>
      </c>
      <c r="G1748" s="6">
        <v>0.04266666666666667</v>
      </c>
    </row>
    <row r="1749" spans="1:7">
      <c r="A1749" s="6" t="s">
        <v>353</v>
      </c>
      <c r="B1749" s="6" t="s">
        <v>62</v>
      </c>
      <c r="C1749" s="6" t="s">
        <v>181</v>
      </c>
      <c r="D1749" s="6" t="s">
        <v>88</v>
      </c>
      <c r="E1749" s="6" t="s">
        <v>88</v>
      </c>
      <c r="F1749" s="6" t="b">
        <v>0</v>
      </c>
      <c r="G1749" s="6">
        <v>1.500416666666667</v>
      </c>
    </row>
    <row r="1750" spans="1:7">
      <c r="A1750" s="6" t="s">
        <v>353</v>
      </c>
      <c r="B1750" s="6" t="s">
        <v>62</v>
      </c>
      <c r="C1750" s="6" t="s">
        <v>184</v>
      </c>
      <c r="D1750" s="6" t="s">
        <v>44</v>
      </c>
      <c r="E1750" s="6" t="s">
        <v>44</v>
      </c>
      <c r="F1750" s="6" t="b">
        <v>0</v>
      </c>
      <c r="G1750" s="6">
        <v>3.799166666666667</v>
      </c>
    </row>
    <row r="1751" spans="1:7">
      <c r="A1751" s="6" t="s">
        <v>353</v>
      </c>
      <c r="B1751" s="6" t="s">
        <v>62</v>
      </c>
      <c r="C1751" s="6" t="s">
        <v>184</v>
      </c>
      <c r="D1751" s="6" t="s">
        <v>177</v>
      </c>
      <c r="E1751" s="6" t="s">
        <v>44</v>
      </c>
      <c r="F1751" s="6" t="b">
        <v>0</v>
      </c>
      <c r="G1751" s="6">
        <v>4.191</v>
      </c>
    </row>
    <row r="1752" spans="1:7">
      <c r="A1752" s="6" t="s">
        <v>353</v>
      </c>
      <c r="B1752" s="6" t="s">
        <v>62</v>
      </c>
      <c r="C1752" s="6" t="s">
        <v>186</v>
      </c>
      <c r="D1752" s="6" t="s">
        <v>86</v>
      </c>
      <c r="E1752" s="6" t="s">
        <v>86</v>
      </c>
      <c r="F1752" s="6" t="b">
        <v>0</v>
      </c>
      <c r="G1752" s="6">
        <v>1.870833333333333</v>
      </c>
    </row>
    <row r="1753" spans="1:7">
      <c r="A1753" s="6" t="s">
        <v>353</v>
      </c>
      <c r="B1753" s="6" t="s">
        <v>62</v>
      </c>
      <c r="C1753" s="6" t="s">
        <v>186</v>
      </c>
      <c r="D1753" s="6" t="s">
        <v>88</v>
      </c>
      <c r="E1753" s="6" t="s">
        <v>88</v>
      </c>
      <c r="F1753" s="6" t="b">
        <v>0</v>
      </c>
      <c r="G1753" s="6">
        <v>0.1525</v>
      </c>
    </row>
    <row r="1754" spans="1:7">
      <c r="A1754" s="6" t="s">
        <v>353</v>
      </c>
      <c r="B1754" s="6" t="s">
        <v>62</v>
      </c>
      <c r="C1754" s="6" t="s">
        <v>189</v>
      </c>
      <c r="D1754" s="6" t="s">
        <v>86</v>
      </c>
      <c r="E1754" s="6" t="s">
        <v>86</v>
      </c>
      <c r="F1754" s="6" t="b">
        <v>0</v>
      </c>
      <c r="G1754" s="6">
        <v>0.156</v>
      </c>
    </row>
    <row r="1755" spans="1:7">
      <c r="A1755" s="6" t="s">
        <v>353</v>
      </c>
      <c r="B1755" s="6" t="s">
        <v>62</v>
      </c>
      <c r="C1755" s="6" t="s">
        <v>189</v>
      </c>
      <c r="D1755" s="6" t="s">
        <v>90</v>
      </c>
      <c r="E1755" s="6" t="s">
        <v>90</v>
      </c>
      <c r="F1755" s="6" t="b">
        <v>0</v>
      </c>
      <c r="G1755" s="6">
        <v>0.0495</v>
      </c>
    </row>
    <row r="1756" spans="1:7">
      <c r="A1756" s="6" t="s">
        <v>254</v>
      </c>
      <c r="B1756" s="6" t="s">
        <v>51</v>
      </c>
      <c r="C1756" s="6" t="s">
        <v>181</v>
      </c>
      <c r="D1756" s="6" t="s">
        <v>88</v>
      </c>
      <c r="E1756" s="6" t="s">
        <v>88</v>
      </c>
      <c r="F1756" s="6" t="b">
        <v>0</v>
      </c>
      <c r="G1756" s="6">
        <v>0.21925</v>
      </c>
    </row>
    <row r="1757" spans="1:7">
      <c r="A1757" s="6" t="s">
        <v>254</v>
      </c>
      <c r="B1757" s="6" t="s">
        <v>51</v>
      </c>
      <c r="C1757" s="6" t="s">
        <v>181</v>
      </c>
      <c r="D1757" s="6" t="s">
        <v>90</v>
      </c>
      <c r="E1757" s="6" t="s">
        <v>90</v>
      </c>
      <c r="F1757" s="6" t="b">
        <v>0</v>
      </c>
      <c r="G1757" s="6">
        <v>0.00275</v>
      </c>
    </row>
    <row r="1758" spans="1:7">
      <c r="A1758" s="6" t="s">
        <v>254</v>
      </c>
      <c r="B1758" s="6" t="s">
        <v>51</v>
      </c>
      <c r="C1758" s="6" t="s">
        <v>183</v>
      </c>
      <c r="D1758" s="6" t="s">
        <v>88</v>
      </c>
      <c r="E1758" s="6" t="s">
        <v>88</v>
      </c>
      <c r="F1758" s="6" t="b">
        <v>0</v>
      </c>
      <c r="G1758" s="6">
        <v>0.006416666666666667</v>
      </c>
    </row>
    <row r="1759" spans="1:7">
      <c r="A1759" s="6" t="s">
        <v>254</v>
      </c>
      <c r="B1759" s="6" t="s">
        <v>51</v>
      </c>
      <c r="C1759" s="6" t="s">
        <v>183</v>
      </c>
      <c r="D1759" s="6" t="s">
        <v>90</v>
      </c>
      <c r="E1759" s="6" t="s">
        <v>86</v>
      </c>
      <c r="F1759" s="6" t="b">
        <v>0</v>
      </c>
      <c r="G1759" s="6">
        <v>0.01725</v>
      </c>
    </row>
    <row r="1760" spans="1:7">
      <c r="A1760" s="6" t="s">
        <v>254</v>
      </c>
      <c r="B1760" s="6" t="s">
        <v>51</v>
      </c>
      <c r="C1760" s="6" t="s">
        <v>183</v>
      </c>
      <c r="D1760" s="6" t="s">
        <v>90</v>
      </c>
      <c r="E1760" s="6" t="s">
        <v>90</v>
      </c>
      <c r="F1760" s="6" t="b">
        <v>0</v>
      </c>
      <c r="G1760" s="6">
        <v>0.029</v>
      </c>
    </row>
    <row r="1761" spans="1:7">
      <c r="A1761" s="6" t="s">
        <v>254</v>
      </c>
      <c r="B1761" s="6" t="s">
        <v>51</v>
      </c>
      <c r="C1761" s="6" t="s">
        <v>183</v>
      </c>
      <c r="D1761" s="6" t="s">
        <v>177</v>
      </c>
      <c r="E1761" s="6" t="s">
        <v>86</v>
      </c>
      <c r="F1761" s="6" t="b">
        <v>0</v>
      </c>
      <c r="G1761" s="6">
        <v>0.001083333333333333</v>
      </c>
    </row>
    <row r="1762" spans="1:7">
      <c r="A1762" s="6" t="s">
        <v>254</v>
      </c>
      <c r="B1762" s="6" t="s">
        <v>51</v>
      </c>
      <c r="C1762" s="6" t="s">
        <v>184</v>
      </c>
      <c r="D1762" s="6" t="s">
        <v>44</v>
      </c>
      <c r="E1762" s="6" t="s">
        <v>44</v>
      </c>
      <c r="F1762" s="6" t="b">
        <v>0</v>
      </c>
      <c r="G1762" s="6">
        <v>3.87825</v>
      </c>
    </row>
    <row r="1763" spans="1:7">
      <c r="A1763" s="6" t="s">
        <v>254</v>
      </c>
      <c r="B1763" s="6" t="s">
        <v>51</v>
      </c>
      <c r="C1763" s="6" t="s">
        <v>184</v>
      </c>
      <c r="D1763" s="6" t="s">
        <v>88</v>
      </c>
      <c r="E1763" s="6" t="s">
        <v>88</v>
      </c>
      <c r="F1763" s="6" t="b">
        <v>0</v>
      </c>
      <c r="G1763" s="6">
        <v>0.03816666666666667</v>
      </c>
    </row>
    <row r="1764" spans="1:7">
      <c r="A1764" s="6" t="s">
        <v>254</v>
      </c>
      <c r="B1764" s="6" t="s">
        <v>51</v>
      </c>
      <c r="C1764" s="6" t="s">
        <v>184</v>
      </c>
      <c r="D1764" s="6" t="s">
        <v>90</v>
      </c>
      <c r="E1764" s="6" t="s">
        <v>90</v>
      </c>
      <c r="F1764" s="6" t="b">
        <v>0</v>
      </c>
      <c r="G1764" s="6">
        <v>0.03266666666666667</v>
      </c>
    </row>
    <row r="1765" spans="1:7">
      <c r="A1765" s="6" t="s">
        <v>254</v>
      </c>
      <c r="B1765" s="6" t="s">
        <v>51</v>
      </c>
      <c r="C1765" s="6" t="s">
        <v>184</v>
      </c>
      <c r="D1765" s="6" t="s">
        <v>90</v>
      </c>
      <c r="E1765" s="6" t="s">
        <v>685</v>
      </c>
      <c r="F1765" s="6" t="b">
        <v>1</v>
      </c>
      <c r="G1765" s="6">
        <v>0.02625</v>
      </c>
    </row>
    <row r="1766" spans="1:7">
      <c r="A1766" s="6" t="s">
        <v>254</v>
      </c>
      <c r="B1766" s="6" t="s">
        <v>51</v>
      </c>
      <c r="C1766" s="6" t="s">
        <v>184</v>
      </c>
      <c r="D1766" s="6" t="s">
        <v>177</v>
      </c>
      <c r="E1766" s="6" t="s">
        <v>44</v>
      </c>
      <c r="F1766" s="6" t="b">
        <v>0</v>
      </c>
      <c r="G1766" s="6">
        <v>2.480083333333333</v>
      </c>
    </row>
    <row r="1767" spans="1:7">
      <c r="A1767" s="6" t="s">
        <v>254</v>
      </c>
      <c r="B1767" s="6" t="s">
        <v>51</v>
      </c>
      <c r="C1767" s="6" t="s">
        <v>184</v>
      </c>
      <c r="D1767" s="6" t="s">
        <v>177</v>
      </c>
      <c r="E1767" s="6" t="s">
        <v>86</v>
      </c>
      <c r="F1767" s="6" t="b">
        <v>0</v>
      </c>
      <c r="G1767" s="6">
        <v>0.0355</v>
      </c>
    </row>
    <row r="1768" spans="1:7">
      <c r="A1768" s="6" t="s">
        <v>254</v>
      </c>
      <c r="B1768" s="6" t="s">
        <v>51</v>
      </c>
      <c r="C1768" s="6" t="s">
        <v>184</v>
      </c>
      <c r="D1768" s="6" t="s">
        <v>177</v>
      </c>
      <c r="E1768" s="6" t="s">
        <v>685</v>
      </c>
      <c r="F1768" s="6" t="b">
        <v>1</v>
      </c>
      <c r="G1768" s="6">
        <v>0.5448333333333334</v>
      </c>
    </row>
    <row r="1769" spans="1:7">
      <c r="A1769" s="6" t="s">
        <v>254</v>
      </c>
      <c r="B1769" s="6" t="s">
        <v>51</v>
      </c>
      <c r="C1769" s="6" t="s">
        <v>186</v>
      </c>
      <c r="D1769" s="6" t="s">
        <v>86</v>
      </c>
      <c r="E1769" s="6" t="s">
        <v>86</v>
      </c>
      <c r="F1769" s="6" t="b">
        <v>0</v>
      </c>
      <c r="G1769" s="6">
        <v>0.5281666666666667</v>
      </c>
    </row>
    <row r="1770" spans="1:7">
      <c r="A1770" s="6" t="s">
        <v>254</v>
      </c>
      <c r="B1770" s="6" t="s">
        <v>51</v>
      </c>
      <c r="C1770" s="6" t="s">
        <v>186</v>
      </c>
      <c r="D1770" s="6" t="s">
        <v>88</v>
      </c>
      <c r="E1770" s="6" t="s">
        <v>88</v>
      </c>
      <c r="F1770" s="6" t="b">
        <v>0</v>
      </c>
      <c r="G1770" s="6">
        <v>0.03858333333333334</v>
      </c>
    </row>
    <row r="1771" spans="1:7">
      <c r="A1771" s="6" t="s">
        <v>254</v>
      </c>
      <c r="B1771" s="6" t="s">
        <v>51</v>
      </c>
      <c r="C1771" s="6" t="s">
        <v>186</v>
      </c>
      <c r="D1771" s="6" t="s">
        <v>90</v>
      </c>
      <c r="E1771" s="6" t="s">
        <v>90</v>
      </c>
      <c r="F1771" s="6" t="b">
        <v>0</v>
      </c>
      <c r="G1771" s="6">
        <v>0.3470833333333334</v>
      </c>
    </row>
    <row r="1772" spans="1:7">
      <c r="A1772" s="6" t="s">
        <v>254</v>
      </c>
      <c r="B1772" s="6" t="s">
        <v>51</v>
      </c>
      <c r="C1772" s="6" t="s">
        <v>186</v>
      </c>
      <c r="D1772" s="6" t="s">
        <v>177</v>
      </c>
      <c r="E1772" s="6" t="s">
        <v>86</v>
      </c>
      <c r="F1772" s="6" t="b">
        <v>0</v>
      </c>
      <c r="G1772" s="6">
        <v>0.016</v>
      </c>
    </row>
    <row r="1773" spans="1:7">
      <c r="A1773" s="6" t="s">
        <v>254</v>
      </c>
      <c r="B1773" s="6" t="s">
        <v>51</v>
      </c>
      <c r="C1773" s="6" t="s">
        <v>189</v>
      </c>
      <c r="D1773" s="6" t="s">
        <v>86</v>
      </c>
      <c r="E1773" s="6" t="s">
        <v>86</v>
      </c>
      <c r="F1773" s="6" t="b">
        <v>0</v>
      </c>
      <c r="G1773" s="6">
        <v>0.4638333333333333</v>
      </c>
    </row>
    <row r="1774" spans="1:7">
      <c r="A1774" s="6" t="s">
        <v>254</v>
      </c>
      <c r="B1774" s="6" t="s">
        <v>51</v>
      </c>
      <c r="C1774" s="6" t="s">
        <v>189</v>
      </c>
      <c r="D1774" s="6" t="s">
        <v>88</v>
      </c>
      <c r="E1774" s="6" t="s">
        <v>88</v>
      </c>
      <c r="F1774" s="6" t="b">
        <v>0</v>
      </c>
      <c r="G1774" s="6">
        <v>0.18275</v>
      </c>
    </row>
    <row r="1775" spans="1:7">
      <c r="A1775" s="6" t="s">
        <v>254</v>
      </c>
      <c r="B1775" s="6" t="s">
        <v>51</v>
      </c>
      <c r="C1775" s="6" t="s">
        <v>189</v>
      </c>
      <c r="D1775" s="6" t="s">
        <v>90</v>
      </c>
      <c r="E1775" s="6" t="s">
        <v>90</v>
      </c>
      <c r="F1775" s="6" t="b">
        <v>0</v>
      </c>
      <c r="G1775" s="6">
        <v>0.03658333333333334</v>
      </c>
    </row>
    <row r="1776" spans="1:7">
      <c r="A1776" s="6" t="s">
        <v>254</v>
      </c>
      <c r="B1776" s="6" t="s">
        <v>51</v>
      </c>
      <c r="C1776" s="6" t="s">
        <v>190</v>
      </c>
      <c r="D1776" s="6" t="s">
        <v>44</v>
      </c>
      <c r="E1776" s="6" t="s">
        <v>44</v>
      </c>
      <c r="F1776" s="6" t="b">
        <v>0</v>
      </c>
      <c r="G1776" s="6">
        <v>0.05383333333333334</v>
      </c>
    </row>
    <row r="1777" spans="1:7">
      <c r="A1777" s="6" t="s">
        <v>254</v>
      </c>
      <c r="B1777" s="6" t="s">
        <v>51</v>
      </c>
      <c r="C1777" s="6" t="s">
        <v>190</v>
      </c>
      <c r="D1777" s="6" t="s">
        <v>177</v>
      </c>
      <c r="E1777" s="6" t="s">
        <v>44</v>
      </c>
      <c r="F1777" s="6" t="b">
        <v>0</v>
      </c>
      <c r="G1777" s="6">
        <v>0.01925</v>
      </c>
    </row>
    <row r="1778" spans="1:7">
      <c r="A1778" s="6" t="s">
        <v>255</v>
      </c>
      <c r="B1778" s="6" t="s">
        <v>51</v>
      </c>
      <c r="C1778" s="6" t="s">
        <v>181</v>
      </c>
      <c r="D1778" s="6" t="s">
        <v>88</v>
      </c>
      <c r="E1778" s="6" t="s">
        <v>88</v>
      </c>
      <c r="F1778" s="6" t="b">
        <v>0</v>
      </c>
      <c r="G1778" s="6">
        <v>1.98725</v>
      </c>
    </row>
    <row r="1779" spans="1:7">
      <c r="A1779" s="6" t="s">
        <v>255</v>
      </c>
      <c r="B1779" s="6" t="s">
        <v>51</v>
      </c>
      <c r="C1779" s="6" t="s">
        <v>183</v>
      </c>
      <c r="D1779" s="6" t="s">
        <v>88</v>
      </c>
      <c r="E1779" s="6" t="s">
        <v>88</v>
      </c>
      <c r="F1779" s="6" t="b">
        <v>0</v>
      </c>
      <c r="G1779" s="6">
        <v>0.01066666666666667</v>
      </c>
    </row>
    <row r="1780" spans="1:7">
      <c r="A1780" s="6" t="s">
        <v>255</v>
      </c>
      <c r="B1780" s="6" t="s">
        <v>51</v>
      </c>
      <c r="C1780" s="6" t="s">
        <v>183</v>
      </c>
      <c r="D1780" s="6" t="s">
        <v>90</v>
      </c>
      <c r="E1780" s="6" t="s">
        <v>86</v>
      </c>
      <c r="F1780" s="6" t="b">
        <v>0</v>
      </c>
      <c r="G1780" s="6">
        <v>0.008249999999999999</v>
      </c>
    </row>
    <row r="1781" spans="1:7">
      <c r="A1781" s="6" t="s">
        <v>255</v>
      </c>
      <c r="B1781" s="6" t="s">
        <v>51</v>
      </c>
      <c r="C1781" s="6" t="s">
        <v>183</v>
      </c>
      <c r="D1781" s="6" t="s">
        <v>177</v>
      </c>
      <c r="E1781" s="6" t="s">
        <v>685</v>
      </c>
      <c r="F1781" s="6" t="b">
        <v>1</v>
      </c>
      <c r="G1781" s="6">
        <v>0.002</v>
      </c>
    </row>
    <row r="1782" spans="1:7">
      <c r="A1782" s="6" t="s">
        <v>255</v>
      </c>
      <c r="B1782" s="6" t="s">
        <v>51</v>
      </c>
      <c r="C1782" s="6" t="s">
        <v>184</v>
      </c>
      <c r="D1782" s="6" t="s">
        <v>44</v>
      </c>
      <c r="E1782" s="6" t="s">
        <v>44</v>
      </c>
      <c r="F1782" s="6" t="b">
        <v>0</v>
      </c>
      <c r="G1782" s="6">
        <v>47.29499999999999</v>
      </c>
    </row>
    <row r="1783" spans="1:7">
      <c r="A1783" s="6" t="s">
        <v>255</v>
      </c>
      <c r="B1783" s="6" t="s">
        <v>51</v>
      </c>
      <c r="C1783" s="6" t="s">
        <v>184</v>
      </c>
      <c r="D1783" s="6" t="s">
        <v>90</v>
      </c>
      <c r="E1783" s="6" t="s">
        <v>90</v>
      </c>
      <c r="F1783" s="6" t="b">
        <v>0</v>
      </c>
      <c r="G1783" s="6">
        <v>0.04258333333333333</v>
      </c>
    </row>
    <row r="1784" spans="1:7">
      <c r="A1784" s="6" t="s">
        <v>255</v>
      </c>
      <c r="B1784" s="6" t="s">
        <v>51</v>
      </c>
      <c r="C1784" s="6" t="s">
        <v>184</v>
      </c>
      <c r="D1784" s="6" t="s">
        <v>90</v>
      </c>
      <c r="E1784" s="6" t="s">
        <v>685</v>
      </c>
      <c r="F1784" s="6" t="b">
        <v>1</v>
      </c>
      <c r="G1784" s="6">
        <v>0.01633333333333334</v>
      </c>
    </row>
    <row r="1785" spans="1:7">
      <c r="A1785" s="6" t="s">
        <v>255</v>
      </c>
      <c r="B1785" s="6" t="s">
        <v>51</v>
      </c>
      <c r="C1785" s="6" t="s">
        <v>184</v>
      </c>
      <c r="D1785" s="6" t="s">
        <v>177</v>
      </c>
      <c r="E1785" s="6" t="s">
        <v>44</v>
      </c>
      <c r="F1785" s="6" t="b">
        <v>0</v>
      </c>
      <c r="G1785" s="6">
        <v>38.74983333333333</v>
      </c>
    </row>
    <row r="1786" spans="1:7">
      <c r="A1786" s="6" t="s">
        <v>255</v>
      </c>
      <c r="B1786" s="6" t="s">
        <v>51</v>
      </c>
      <c r="C1786" s="6" t="s">
        <v>186</v>
      </c>
      <c r="D1786" s="6" t="s">
        <v>86</v>
      </c>
      <c r="E1786" s="6" t="s">
        <v>86</v>
      </c>
      <c r="F1786" s="6" t="b">
        <v>0</v>
      </c>
      <c r="G1786" s="6">
        <v>8.163833333333333</v>
      </c>
    </row>
    <row r="1787" spans="1:7">
      <c r="A1787" s="6" t="s">
        <v>255</v>
      </c>
      <c r="B1787" s="6" t="s">
        <v>51</v>
      </c>
      <c r="C1787" s="6" t="s">
        <v>186</v>
      </c>
      <c r="D1787" s="6" t="s">
        <v>88</v>
      </c>
      <c r="E1787" s="6" t="s">
        <v>88</v>
      </c>
      <c r="F1787" s="6" t="b">
        <v>0</v>
      </c>
      <c r="G1787" s="6">
        <v>0.6965833333333333</v>
      </c>
    </row>
    <row r="1788" spans="1:7">
      <c r="A1788" s="6" t="s">
        <v>255</v>
      </c>
      <c r="B1788" s="6" t="s">
        <v>51</v>
      </c>
      <c r="C1788" s="6" t="s">
        <v>186</v>
      </c>
      <c r="D1788" s="6" t="s">
        <v>90</v>
      </c>
      <c r="E1788" s="6" t="s">
        <v>90</v>
      </c>
      <c r="F1788" s="6" t="b">
        <v>0</v>
      </c>
      <c r="G1788" s="6">
        <v>1.723083333333333</v>
      </c>
    </row>
    <row r="1789" spans="1:7">
      <c r="A1789" s="6" t="s">
        <v>255</v>
      </c>
      <c r="B1789" s="6" t="s">
        <v>51</v>
      </c>
      <c r="C1789" s="6" t="s">
        <v>186</v>
      </c>
      <c r="D1789" s="6" t="s">
        <v>177</v>
      </c>
      <c r="E1789" s="6" t="s">
        <v>86</v>
      </c>
      <c r="F1789" s="6" t="b">
        <v>0</v>
      </c>
      <c r="G1789" s="6">
        <v>0.0205</v>
      </c>
    </row>
    <row r="1790" spans="1:7">
      <c r="A1790" s="6" t="s">
        <v>255</v>
      </c>
      <c r="B1790" s="6" t="s">
        <v>51</v>
      </c>
      <c r="C1790" s="6" t="s">
        <v>188</v>
      </c>
      <c r="D1790" s="6" t="s">
        <v>86</v>
      </c>
      <c r="E1790" s="6" t="s">
        <v>86</v>
      </c>
      <c r="F1790" s="6" t="b">
        <v>0</v>
      </c>
      <c r="G1790" s="6">
        <v>0.3656666666666666</v>
      </c>
    </row>
    <row r="1791" spans="1:7">
      <c r="A1791" s="6" t="s">
        <v>255</v>
      </c>
      <c r="B1791" s="6" t="s">
        <v>51</v>
      </c>
      <c r="C1791" s="6" t="s">
        <v>188</v>
      </c>
      <c r="D1791" s="6" t="s">
        <v>88</v>
      </c>
      <c r="E1791" s="6" t="s">
        <v>88</v>
      </c>
      <c r="F1791" s="6" t="b">
        <v>0</v>
      </c>
      <c r="G1791" s="6">
        <v>6.880916666666667</v>
      </c>
    </row>
    <row r="1792" spans="1:7">
      <c r="A1792" s="6" t="s">
        <v>255</v>
      </c>
      <c r="B1792" s="6" t="s">
        <v>51</v>
      </c>
      <c r="C1792" s="6" t="s">
        <v>189</v>
      </c>
      <c r="D1792" s="6" t="s">
        <v>86</v>
      </c>
      <c r="E1792" s="6" t="s">
        <v>86</v>
      </c>
      <c r="F1792" s="6" t="b">
        <v>0</v>
      </c>
      <c r="G1792" s="6">
        <v>0.08366666666666667</v>
      </c>
    </row>
    <row r="1793" spans="1:7">
      <c r="A1793" s="6" t="s">
        <v>255</v>
      </c>
      <c r="B1793" s="6" t="s">
        <v>51</v>
      </c>
      <c r="C1793" s="6" t="s">
        <v>189</v>
      </c>
      <c r="D1793" s="6" t="s">
        <v>88</v>
      </c>
      <c r="E1793" s="6" t="s">
        <v>88</v>
      </c>
      <c r="F1793" s="6" t="b">
        <v>0</v>
      </c>
      <c r="G1793" s="6">
        <v>0.333</v>
      </c>
    </row>
    <row r="1794" spans="1:7">
      <c r="A1794" s="6" t="s">
        <v>255</v>
      </c>
      <c r="B1794" s="6" t="s">
        <v>51</v>
      </c>
      <c r="C1794" s="6" t="s">
        <v>189</v>
      </c>
      <c r="D1794" s="6" t="s">
        <v>90</v>
      </c>
      <c r="E1794" s="6" t="s">
        <v>90</v>
      </c>
      <c r="F1794" s="6" t="b">
        <v>0</v>
      </c>
      <c r="G1794" s="6">
        <v>0.02025</v>
      </c>
    </row>
    <row r="1795" spans="1:7">
      <c r="A1795" s="6" t="s">
        <v>256</v>
      </c>
      <c r="B1795" s="6" t="s">
        <v>57</v>
      </c>
      <c r="C1795" s="6" t="s">
        <v>181</v>
      </c>
      <c r="D1795" s="6" t="s">
        <v>88</v>
      </c>
      <c r="E1795" s="6" t="s">
        <v>88</v>
      </c>
      <c r="F1795" s="6" t="b">
        <v>0</v>
      </c>
      <c r="G1795" s="6">
        <v>0.1155833333333333</v>
      </c>
    </row>
    <row r="1796" spans="1:7">
      <c r="A1796" s="6" t="s">
        <v>256</v>
      </c>
      <c r="B1796" s="6" t="s">
        <v>57</v>
      </c>
      <c r="C1796" s="6" t="s">
        <v>181</v>
      </c>
      <c r="D1796" s="6" t="s">
        <v>90</v>
      </c>
      <c r="E1796" s="6" t="s">
        <v>90</v>
      </c>
      <c r="F1796" s="6" t="b">
        <v>0</v>
      </c>
      <c r="G1796" s="6">
        <v>0.00825</v>
      </c>
    </row>
    <row r="1797" spans="1:7">
      <c r="A1797" s="6" t="s">
        <v>256</v>
      </c>
      <c r="B1797" s="6" t="s">
        <v>57</v>
      </c>
      <c r="C1797" s="6" t="s">
        <v>183</v>
      </c>
      <c r="D1797" s="6" t="s">
        <v>90</v>
      </c>
      <c r="E1797" s="6" t="s">
        <v>86</v>
      </c>
      <c r="F1797" s="6" t="b">
        <v>0</v>
      </c>
      <c r="G1797" s="6">
        <v>0.0009166666666666666</v>
      </c>
    </row>
    <row r="1798" spans="1:7">
      <c r="A1798" s="6" t="s">
        <v>256</v>
      </c>
      <c r="B1798" s="6" t="s">
        <v>57</v>
      </c>
      <c r="C1798" s="6" t="s">
        <v>183</v>
      </c>
      <c r="D1798" s="6" t="s">
        <v>90</v>
      </c>
      <c r="E1798" s="6" t="s">
        <v>90</v>
      </c>
      <c r="F1798" s="6" t="b">
        <v>0</v>
      </c>
      <c r="G1798" s="6">
        <v>0.00325</v>
      </c>
    </row>
    <row r="1799" spans="1:7">
      <c r="A1799" s="6" t="s">
        <v>256</v>
      </c>
      <c r="B1799" s="6" t="s">
        <v>57</v>
      </c>
      <c r="C1799" s="6" t="s">
        <v>184</v>
      </c>
      <c r="D1799" s="6" t="s">
        <v>44</v>
      </c>
      <c r="E1799" s="6" t="s">
        <v>44</v>
      </c>
      <c r="F1799" s="6" t="b">
        <v>0</v>
      </c>
      <c r="G1799" s="6">
        <v>1.44975</v>
      </c>
    </row>
    <row r="1800" spans="1:7">
      <c r="A1800" s="6" t="s">
        <v>256</v>
      </c>
      <c r="B1800" s="6" t="s">
        <v>57</v>
      </c>
      <c r="C1800" s="6" t="s">
        <v>184</v>
      </c>
      <c r="D1800" s="6" t="s">
        <v>88</v>
      </c>
      <c r="E1800" s="6" t="s">
        <v>88</v>
      </c>
      <c r="F1800" s="6" t="b">
        <v>0</v>
      </c>
      <c r="G1800" s="6">
        <v>0.00375</v>
      </c>
    </row>
    <row r="1801" spans="1:7">
      <c r="A1801" s="6" t="s">
        <v>256</v>
      </c>
      <c r="B1801" s="6" t="s">
        <v>57</v>
      </c>
      <c r="C1801" s="6" t="s">
        <v>184</v>
      </c>
      <c r="D1801" s="6" t="s">
        <v>90</v>
      </c>
      <c r="E1801" s="6" t="s">
        <v>90</v>
      </c>
      <c r="F1801" s="6" t="b">
        <v>0</v>
      </c>
      <c r="G1801" s="6">
        <v>0.008583333333333333</v>
      </c>
    </row>
    <row r="1802" spans="1:7">
      <c r="A1802" s="6" t="s">
        <v>256</v>
      </c>
      <c r="B1802" s="6" t="s">
        <v>57</v>
      </c>
      <c r="C1802" s="6" t="s">
        <v>184</v>
      </c>
      <c r="D1802" s="6" t="s">
        <v>90</v>
      </c>
      <c r="E1802" s="6" t="s">
        <v>685</v>
      </c>
      <c r="F1802" s="6" t="b">
        <v>1</v>
      </c>
      <c r="G1802" s="6">
        <v>0.002666666666666667</v>
      </c>
    </row>
    <row r="1803" spans="1:7">
      <c r="A1803" s="6" t="s">
        <v>256</v>
      </c>
      <c r="B1803" s="6" t="s">
        <v>57</v>
      </c>
      <c r="C1803" s="6" t="s">
        <v>184</v>
      </c>
      <c r="D1803" s="6" t="s">
        <v>177</v>
      </c>
      <c r="E1803" s="6" t="s">
        <v>44</v>
      </c>
      <c r="F1803" s="6" t="b">
        <v>0</v>
      </c>
      <c r="G1803" s="6">
        <v>0.7225</v>
      </c>
    </row>
    <row r="1804" spans="1:7">
      <c r="A1804" s="6" t="s">
        <v>256</v>
      </c>
      <c r="B1804" s="6" t="s">
        <v>57</v>
      </c>
      <c r="C1804" s="6" t="s">
        <v>184</v>
      </c>
      <c r="D1804" s="6" t="s">
        <v>177</v>
      </c>
      <c r="E1804" s="6" t="s">
        <v>86</v>
      </c>
      <c r="F1804" s="6" t="b">
        <v>0</v>
      </c>
      <c r="G1804" s="6">
        <v>0.006250000000000001</v>
      </c>
    </row>
    <row r="1805" spans="1:7">
      <c r="A1805" s="6" t="s">
        <v>256</v>
      </c>
      <c r="B1805" s="6" t="s">
        <v>57</v>
      </c>
      <c r="C1805" s="6" t="s">
        <v>184</v>
      </c>
      <c r="D1805" s="6" t="s">
        <v>177</v>
      </c>
      <c r="E1805" s="6" t="s">
        <v>685</v>
      </c>
      <c r="F1805" s="6" t="b">
        <v>1</v>
      </c>
      <c r="G1805" s="6">
        <v>0.1171666666666667</v>
      </c>
    </row>
    <row r="1806" spans="1:7">
      <c r="A1806" s="6" t="s">
        <v>256</v>
      </c>
      <c r="B1806" s="6" t="s">
        <v>57</v>
      </c>
      <c r="C1806" s="6" t="s">
        <v>186</v>
      </c>
      <c r="D1806" s="6" t="s">
        <v>86</v>
      </c>
      <c r="E1806" s="6" t="s">
        <v>86</v>
      </c>
      <c r="F1806" s="6" t="b">
        <v>0</v>
      </c>
      <c r="G1806" s="6">
        <v>0.18175</v>
      </c>
    </row>
    <row r="1807" spans="1:7">
      <c r="A1807" s="6" t="s">
        <v>256</v>
      </c>
      <c r="B1807" s="6" t="s">
        <v>57</v>
      </c>
      <c r="C1807" s="6" t="s">
        <v>186</v>
      </c>
      <c r="D1807" s="6" t="s">
        <v>88</v>
      </c>
      <c r="E1807" s="6" t="s">
        <v>88</v>
      </c>
      <c r="F1807" s="6" t="b">
        <v>0</v>
      </c>
      <c r="G1807" s="6">
        <v>0.01216666666666667</v>
      </c>
    </row>
    <row r="1808" spans="1:7">
      <c r="A1808" s="6" t="s">
        <v>256</v>
      </c>
      <c r="B1808" s="6" t="s">
        <v>57</v>
      </c>
      <c r="C1808" s="6" t="s">
        <v>186</v>
      </c>
      <c r="D1808" s="6" t="s">
        <v>90</v>
      </c>
      <c r="E1808" s="6" t="s">
        <v>90</v>
      </c>
      <c r="F1808" s="6" t="b">
        <v>0</v>
      </c>
      <c r="G1808" s="6">
        <v>0.10575</v>
      </c>
    </row>
    <row r="1809" spans="1:7">
      <c r="A1809" s="6" t="s">
        <v>256</v>
      </c>
      <c r="B1809" s="6" t="s">
        <v>57</v>
      </c>
      <c r="C1809" s="6" t="s">
        <v>186</v>
      </c>
      <c r="D1809" s="6" t="s">
        <v>177</v>
      </c>
      <c r="E1809" s="6" t="s">
        <v>86</v>
      </c>
      <c r="F1809" s="6" t="b">
        <v>0</v>
      </c>
      <c r="G1809" s="6">
        <v>0.0095</v>
      </c>
    </row>
    <row r="1810" spans="1:7">
      <c r="A1810" s="6" t="s">
        <v>256</v>
      </c>
      <c r="B1810" s="6" t="s">
        <v>57</v>
      </c>
      <c r="C1810" s="6" t="s">
        <v>189</v>
      </c>
      <c r="D1810" s="6" t="s">
        <v>86</v>
      </c>
      <c r="E1810" s="6" t="s">
        <v>86</v>
      </c>
      <c r="F1810" s="6" t="b">
        <v>0</v>
      </c>
      <c r="G1810" s="6">
        <v>0.06724999999999999</v>
      </c>
    </row>
    <row r="1811" spans="1:7">
      <c r="A1811" s="6" t="s">
        <v>256</v>
      </c>
      <c r="B1811" s="6" t="s">
        <v>57</v>
      </c>
      <c r="C1811" s="6" t="s">
        <v>189</v>
      </c>
      <c r="D1811" s="6" t="s">
        <v>88</v>
      </c>
      <c r="E1811" s="6" t="s">
        <v>88</v>
      </c>
      <c r="F1811" s="6" t="b">
        <v>0</v>
      </c>
      <c r="G1811" s="6">
        <v>0.022</v>
      </c>
    </row>
    <row r="1812" spans="1:7">
      <c r="A1812" s="6" t="s">
        <v>256</v>
      </c>
      <c r="B1812" s="6" t="s">
        <v>57</v>
      </c>
      <c r="C1812" s="6" t="s">
        <v>189</v>
      </c>
      <c r="D1812" s="6" t="s">
        <v>90</v>
      </c>
      <c r="E1812" s="6" t="s">
        <v>90</v>
      </c>
      <c r="F1812" s="6" t="b">
        <v>0</v>
      </c>
      <c r="G1812" s="6">
        <v>0.007583333333333333</v>
      </c>
    </row>
    <row r="1813" spans="1:7">
      <c r="A1813" s="6" t="s">
        <v>257</v>
      </c>
      <c r="B1813" s="6" t="s">
        <v>52</v>
      </c>
      <c r="C1813" s="6" t="s">
        <v>181</v>
      </c>
      <c r="D1813" s="6" t="s">
        <v>88</v>
      </c>
      <c r="E1813" s="6" t="s">
        <v>88</v>
      </c>
      <c r="F1813" s="6" t="b">
        <v>0</v>
      </c>
      <c r="G1813" s="6">
        <v>2.083</v>
      </c>
    </row>
    <row r="1814" spans="1:7">
      <c r="A1814" s="6" t="s">
        <v>257</v>
      </c>
      <c r="B1814" s="6" t="s">
        <v>52</v>
      </c>
      <c r="C1814" s="6" t="s">
        <v>184</v>
      </c>
      <c r="D1814" s="6" t="s">
        <v>44</v>
      </c>
      <c r="E1814" s="6" t="s">
        <v>44</v>
      </c>
      <c r="F1814" s="6" t="b">
        <v>0</v>
      </c>
      <c r="G1814" s="6">
        <v>15.38883333333333</v>
      </c>
    </row>
    <row r="1815" spans="1:7">
      <c r="A1815" s="6" t="s">
        <v>257</v>
      </c>
      <c r="B1815" s="6" t="s">
        <v>52</v>
      </c>
      <c r="C1815" s="6" t="s">
        <v>184</v>
      </c>
      <c r="D1815" s="6" t="s">
        <v>44</v>
      </c>
      <c r="E1815" s="6" t="s">
        <v>685</v>
      </c>
      <c r="F1815" s="6" t="b">
        <v>1</v>
      </c>
      <c r="G1815" s="6">
        <v>5.1225</v>
      </c>
    </row>
    <row r="1816" spans="1:7">
      <c r="A1816" s="6" t="s">
        <v>257</v>
      </c>
      <c r="B1816" s="6" t="s">
        <v>52</v>
      </c>
      <c r="C1816" s="6" t="s">
        <v>184</v>
      </c>
      <c r="D1816" s="6" t="s">
        <v>177</v>
      </c>
      <c r="E1816" s="6" t="s">
        <v>685</v>
      </c>
      <c r="F1816" s="6" t="b">
        <v>1</v>
      </c>
      <c r="G1816" s="6">
        <v>0.7166666666666667</v>
      </c>
    </row>
    <row r="1817" spans="1:7">
      <c r="A1817" s="6" t="s">
        <v>257</v>
      </c>
      <c r="B1817" s="6" t="s">
        <v>52</v>
      </c>
      <c r="C1817" s="6" t="s">
        <v>186</v>
      </c>
      <c r="D1817" s="6" t="s">
        <v>86</v>
      </c>
      <c r="E1817" s="6" t="s">
        <v>86</v>
      </c>
      <c r="F1817" s="6" t="b">
        <v>0</v>
      </c>
      <c r="G1817" s="6">
        <v>31.8835</v>
      </c>
    </row>
    <row r="1818" spans="1:7">
      <c r="A1818" s="6" t="s">
        <v>257</v>
      </c>
      <c r="B1818" s="6" t="s">
        <v>52</v>
      </c>
      <c r="C1818" s="6" t="s">
        <v>186</v>
      </c>
      <c r="D1818" s="6" t="s">
        <v>88</v>
      </c>
      <c r="E1818" s="6" t="s">
        <v>88</v>
      </c>
      <c r="F1818" s="6" t="b">
        <v>0</v>
      </c>
      <c r="G1818" s="6">
        <v>0.7108333333333333</v>
      </c>
    </row>
    <row r="1819" spans="1:7">
      <c r="A1819" s="6" t="s">
        <v>257</v>
      </c>
      <c r="B1819" s="6" t="s">
        <v>52</v>
      </c>
      <c r="C1819" s="6" t="s">
        <v>186</v>
      </c>
      <c r="D1819" s="6" t="s">
        <v>90</v>
      </c>
      <c r="E1819" s="6" t="s">
        <v>86</v>
      </c>
      <c r="F1819" s="6" t="b">
        <v>0</v>
      </c>
      <c r="G1819" s="6">
        <v>0.02566666666666667</v>
      </c>
    </row>
    <row r="1820" spans="1:7">
      <c r="A1820" s="6" t="s">
        <v>257</v>
      </c>
      <c r="B1820" s="6" t="s">
        <v>52</v>
      </c>
      <c r="C1820" s="6" t="s">
        <v>186</v>
      </c>
      <c r="D1820" s="6" t="s">
        <v>90</v>
      </c>
      <c r="E1820" s="6" t="s">
        <v>90</v>
      </c>
      <c r="F1820" s="6" t="b">
        <v>0</v>
      </c>
      <c r="G1820" s="6">
        <v>0.1805833333333333</v>
      </c>
    </row>
    <row r="1821" spans="1:7">
      <c r="A1821" s="6" t="s">
        <v>257</v>
      </c>
      <c r="B1821" s="6" t="s">
        <v>52</v>
      </c>
      <c r="C1821" s="6" t="s">
        <v>186</v>
      </c>
      <c r="D1821" s="6" t="s">
        <v>177</v>
      </c>
      <c r="E1821" s="6" t="s">
        <v>86</v>
      </c>
      <c r="F1821" s="6" t="b">
        <v>0</v>
      </c>
      <c r="G1821" s="6">
        <v>0.09833333333333333</v>
      </c>
    </row>
    <row r="1822" spans="1:7">
      <c r="A1822" s="6" t="s">
        <v>257</v>
      </c>
      <c r="B1822" s="6" t="s">
        <v>52</v>
      </c>
      <c r="C1822" s="6" t="s">
        <v>189</v>
      </c>
      <c r="D1822" s="6" t="s">
        <v>86</v>
      </c>
      <c r="E1822" s="6" t="s">
        <v>86</v>
      </c>
      <c r="F1822" s="6" t="b">
        <v>0</v>
      </c>
      <c r="G1822" s="6">
        <v>0.6804166666666668</v>
      </c>
    </row>
    <row r="1823" spans="1:7">
      <c r="A1823" s="6" t="s">
        <v>257</v>
      </c>
      <c r="B1823" s="6" t="s">
        <v>52</v>
      </c>
      <c r="C1823" s="6" t="s">
        <v>189</v>
      </c>
      <c r="D1823" s="6" t="s">
        <v>88</v>
      </c>
      <c r="E1823" s="6" t="s">
        <v>88</v>
      </c>
      <c r="F1823" s="6" t="b">
        <v>0</v>
      </c>
      <c r="G1823" s="6">
        <v>0.7120833333333333</v>
      </c>
    </row>
    <row r="1824" spans="1:7">
      <c r="A1824" s="6" t="s">
        <v>258</v>
      </c>
      <c r="B1824" s="6" t="s">
        <v>52</v>
      </c>
      <c r="C1824" s="6" t="s">
        <v>181</v>
      </c>
      <c r="D1824" s="6" t="s">
        <v>88</v>
      </c>
      <c r="E1824" s="6" t="s">
        <v>88</v>
      </c>
      <c r="F1824" s="6" t="b">
        <v>0</v>
      </c>
      <c r="G1824" s="6">
        <v>0.991</v>
      </c>
    </row>
    <row r="1825" spans="1:7">
      <c r="A1825" s="6" t="s">
        <v>258</v>
      </c>
      <c r="B1825" s="6" t="s">
        <v>52</v>
      </c>
      <c r="C1825" s="6" t="s">
        <v>184</v>
      </c>
      <c r="D1825" s="6" t="s">
        <v>44</v>
      </c>
      <c r="E1825" s="6" t="s">
        <v>44</v>
      </c>
      <c r="F1825" s="6" t="b">
        <v>0</v>
      </c>
      <c r="G1825" s="6">
        <v>10.9775</v>
      </c>
    </row>
    <row r="1826" spans="1:7">
      <c r="A1826" s="6" t="s">
        <v>258</v>
      </c>
      <c r="B1826" s="6" t="s">
        <v>52</v>
      </c>
      <c r="C1826" s="6" t="s">
        <v>184</v>
      </c>
      <c r="D1826" s="6" t="s">
        <v>44</v>
      </c>
      <c r="E1826" s="6" t="s">
        <v>685</v>
      </c>
      <c r="F1826" s="6" t="b">
        <v>1</v>
      </c>
      <c r="G1826" s="6">
        <v>1.51125</v>
      </c>
    </row>
    <row r="1827" spans="1:7">
      <c r="A1827" s="6" t="s">
        <v>258</v>
      </c>
      <c r="B1827" s="6" t="s">
        <v>52</v>
      </c>
      <c r="C1827" s="6" t="s">
        <v>184</v>
      </c>
      <c r="D1827" s="6" t="s">
        <v>177</v>
      </c>
      <c r="E1827" s="6" t="s">
        <v>685</v>
      </c>
      <c r="F1827" s="6" t="b">
        <v>1</v>
      </c>
      <c r="G1827" s="6">
        <v>0.215</v>
      </c>
    </row>
    <row r="1828" spans="1:7">
      <c r="A1828" s="6" t="s">
        <v>258</v>
      </c>
      <c r="B1828" s="6" t="s">
        <v>52</v>
      </c>
      <c r="C1828" s="6" t="s">
        <v>186</v>
      </c>
      <c r="D1828" s="6" t="s">
        <v>86</v>
      </c>
      <c r="E1828" s="6" t="s">
        <v>86</v>
      </c>
      <c r="F1828" s="6" t="b">
        <v>0</v>
      </c>
      <c r="G1828" s="6">
        <v>14.64233333333333</v>
      </c>
    </row>
    <row r="1829" spans="1:7">
      <c r="A1829" s="6" t="s">
        <v>258</v>
      </c>
      <c r="B1829" s="6" t="s">
        <v>52</v>
      </c>
      <c r="C1829" s="6" t="s">
        <v>186</v>
      </c>
      <c r="D1829" s="6" t="s">
        <v>88</v>
      </c>
      <c r="E1829" s="6" t="s">
        <v>88</v>
      </c>
      <c r="F1829" s="6" t="b">
        <v>0</v>
      </c>
      <c r="G1829" s="6">
        <v>0.03583333333333334</v>
      </c>
    </row>
    <row r="1830" spans="1:7">
      <c r="A1830" s="6" t="s">
        <v>258</v>
      </c>
      <c r="B1830" s="6" t="s">
        <v>52</v>
      </c>
      <c r="C1830" s="6" t="s">
        <v>186</v>
      </c>
      <c r="D1830" s="6" t="s">
        <v>90</v>
      </c>
      <c r="E1830" s="6" t="s">
        <v>90</v>
      </c>
      <c r="F1830" s="6" t="b">
        <v>0</v>
      </c>
      <c r="G1830" s="6">
        <v>0.08266666666666667</v>
      </c>
    </row>
    <row r="1831" spans="1:7">
      <c r="A1831" s="6" t="s">
        <v>258</v>
      </c>
      <c r="B1831" s="6" t="s">
        <v>52</v>
      </c>
      <c r="C1831" s="6" t="s">
        <v>186</v>
      </c>
      <c r="D1831" s="6" t="s">
        <v>177</v>
      </c>
      <c r="E1831" s="6" t="s">
        <v>86</v>
      </c>
      <c r="F1831" s="6" t="b">
        <v>0</v>
      </c>
      <c r="G1831" s="6">
        <v>0.05833333333333333</v>
      </c>
    </row>
    <row r="1832" spans="1:7">
      <c r="A1832" s="6" t="s">
        <v>258</v>
      </c>
      <c r="B1832" s="6" t="s">
        <v>52</v>
      </c>
      <c r="C1832" s="6" t="s">
        <v>189</v>
      </c>
      <c r="D1832" s="6" t="s">
        <v>86</v>
      </c>
      <c r="E1832" s="6" t="s">
        <v>86</v>
      </c>
      <c r="F1832" s="6" t="b">
        <v>0</v>
      </c>
      <c r="G1832" s="6">
        <v>0.1479166666666667</v>
      </c>
    </row>
    <row r="1833" spans="1:7">
      <c r="A1833" s="6" t="s">
        <v>258</v>
      </c>
      <c r="B1833" s="6" t="s">
        <v>52</v>
      </c>
      <c r="C1833" s="6" t="s">
        <v>189</v>
      </c>
      <c r="D1833" s="6" t="s">
        <v>88</v>
      </c>
      <c r="E1833" s="6" t="s">
        <v>88</v>
      </c>
      <c r="F1833" s="6" t="b">
        <v>0</v>
      </c>
      <c r="G1833" s="6">
        <v>0.06291666666666666</v>
      </c>
    </row>
    <row r="1834" spans="1:7">
      <c r="A1834" s="6" t="s">
        <v>259</v>
      </c>
      <c r="B1834" s="6" t="s">
        <v>56</v>
      </c>
      <c r="C1834" s="6" t="s">
        <v>184</v>
      </c>
      <c r="D1834" s="6" t="s">
        <v>44</v>
      </c>
      <c r="E1834" s="6" t="s">
        <v>44</v>
      </c>
      <c r="F1834" s="6" t="b">
        <v>0</v>
      </c>
      <c r="G1834" s="6">
        <v>56.19524999999999</v>
      </c>
    </row>
    <row r="1835" spans="1:7">
      <c r="A1835" s="6" t="s">
        <v>259</v>
      </c>
      <c r="B1835" s="6" t="s">
        <v>56</v>
      </c>
      <c r="C1835" s="6" t="s">
        <v>185</v>
      </c>
      <c r="D1835" s="6" t="s">
        <v>44</v>
      </c>
      <c r="E1835" s="6" t="s">
        <v>44</v>
      </c>
      <c r="F1835" s="6" t="b">
        <v>0</v>
      </c>
      <c r="G1835" s="6">
        <v>72.96008333333333</v>
      </c>
    </row>
    <row r="1836" spans="1:7">
      <c r="A1836" s="6" t="s">
        <v>259</v>
      </c>
      <c r="B1836" s="6" t="s">
        <v>56</v>
      </c>
      <c r="C1836" s="6" t="s">
        <v>185</v>
      </c>
      <c r="D1836" s="6" t="s">
        <v>44</v>
      </c>
      <c r="E1836" s="6" t="s">
        <v>685</v>
      </c>
      <c r="F1836" s="6" t="b">
        <v>1</v>
      </c>
      <c r="G1836" s="6">
        <v>61.10716666666666</v>
      </c>
    </row>
    <row r="1837" spans="1:7">
      <c r="A1837" s="6" t="s">
        <v>259</v>
      </c>
      <c r="B1837" s="6" t="s">
        <v>56</v>
      </c>
      <c r="C1837" s="6" t="s">
        <v>186</v>
      </c>
      <c r="D1837" s="6" t="s">
        <v>86</v>
      </c>
      <c r="E1837" s="6" t="s">
        <v>86</v>
      </c>
      <c r="F1837" s="6" t="b">
        <v>0</v>
      </c>
      <c r="G1837" s="6">
        <v>43.42850000000001</v>
      </c>
    </row>
    <row r="1838" spans="1:7">
      <c r="A1838" s="6" t="s">
        <v>259</v>
      </c>
      <c r="B1838" s="6" t="s">
        <v>56</v>
      </c>
      <c r="C1838" s="6" t="s">
        <v>186</v>
      </c>
      <c r="D1838" s="6" t="s">
        <v>90</v>
      </c>
      <c r="E1838" s="6" t="s">
        <v>90</v>
      </c>
      <c r="F1838" s="6" t="b">
        <v>0</v>
      </c>
      <c r="G1838" s="6">
        <v>0.8616666666666667</v>
      </c>
    </row>
    <row r="1839" spans="1:7">
      <c r="A1839" s="6" t="s">
        <v>259</v>
      </c>
      <c r="B1839" s="6" t="s">
        <v>56</v>
      </c>
      <c r="C1839" s="6" t="s">
        <v>187</v>
      </c>
      <c r="D1839" s="6" t="s">
        <v>86</v>
      </c>
      <c r="E1839" s="6" t="s">
        <v>86</v>
      </c>
      <c r="F1839" s="6" t="b">
        <v>0</v>
      </c>
      <c r="G1839" s="6">
        <v>46.14391666666666</v>
      </c>
    </row>
    <row r="1840" spans="1:7">
      <c r="A1840" s="6" t="s">
        <v>259</v>
      </c>
      <c r="B1840" s="6" t="s">
        <v>56</v>
      </c>
      <c r="C1840" s="6" t="s">
        <v>187</v>
      </c>
      <c r="D1840" s="6" t="s">
        <v>88</v>
      </c>
      <c r="E1840" s="6" t="s">
        <v>88</v>
      </c>
      <c r="F1840" s="6" t="b">
        <v>0</v>
      </c>
      <c r="G1840" s="6">
        <v>112.1245</v>
      </c>
    </row>
    <row r="1841" spans="1:7">
      <c r="A1841" s="6" t="s">
        <v>260</v>
      </c>
      <c r="B1841" s="6" t="s">
        <v>52</v>
      </c>
      <c r="C1841" s="6" t="s">
        <v>181</v>
      </c>
      <c r="D1841" s="6" t="s">
        <v>88</v>
      </c>
      <c r="E1841" s="6" t="s">
        <v>88</v>
      </c>
      <c r="F1841" s="6" t="b">
        <v>0</v>
      </c>
      <c r="G1841" s="6">
        <v>1.2205</v>
      </c>
    </row>
    <row r="1842" spans="1:7">
      <c r="A1842" s="6" t="s">
        <v>260</v>
      </c>
      <c r="B1842" s="6" t="s">
        <v>52</v>
      </c>
      <c r="C1842" s="6" t="s">
        <v>186</v>
      </c>
      <c r="D1842" s="6" t="s">
        <v>86</v>
      </c>
      <c r="E1842" s="6" t="s">
        <v>86</v>
      </c>
      <c r="F1842" s="6" t="b">
        <v>0</v>
      </c>
      <c r="G1842" s="6">
        <v>4711.543500000001</v>
      </c>
    </row>
    <row r="1843" spans="1:7">
      <c r="A1843" s="6" t="s">
        <v>260</v>
      </c>
      <c r="B1843" s="6" t="s">
        <v>52</v>
      </c>
      <c r="C1843" s="6" t="s">
        <v>186</v>
      </c>
      <c r="D1843" s="6" t="s">
        <v>88</v>
      </c>
      <c r="E1843" s="6" t="s">
        <v>88</v>
      </c>
      <c r="F1843" s="6" t="b">
        <v>0</v>
      </c>
      <c r="G1843" s="6">
        <v>1265.668333333333</v>
      </c>
    </row>
    <row r="1844" spans="1:7">
      <c r="A1844" s="6" t="s">
        <v>260</v>
      </c>
      <c r="B1844" s="6" t="s">
        <v>52</v>
      </c>
      <c r="C1844" s="6" t="s">
        <v>186</v>
      </c>
      <c r="D1844" s="6" t="s">
        <v>90</v>
      </c>
      <c r="E1844" s="6" t="s">
        <v>90</v>
      </c>
      <c r="F1844" s="6" t="b">
        <v>0</v>
      </c>
      <c r="G1844" s="6">
        <v>335.98475</v>
      </c>
    </row>
    <row r="1845" spans="1:7">
      <c r="A1845" s="6" t="s">
        <v>260</v>
      </c>
      <c r="B1845" s="6" t="s">
        <v>52</v>
      </c>
      <c r="C1845" s="6" t="s">
        <v>186</v>
      </c>
      <c r="D1845" s="6" t="s">
        <v>177</v>
      </c>
      <c r="E1845" s="6" t="s">
        <v>86</v>
      </c>
      <c r="F1845" s="6" t="b">
        <v>0</v>
      </c>
      <c r="G1845" s="6">
        <v>22.523</v>
      </c>
    </row>
    <row r="1846" spans="1:7">
      <c r="A1846" s="6" t="s">
        <v>260</v>
      </c>
      <c r="B1846" s="6" t="s">
        <v>52</v>
      </c>
      <c r="C1846" s="6" t="s">
        <v>189</v>
      </c>
      <c r="D1846" s="6" t="s">
        <v>86</v>
      </c>
      <c r="E1846" s="6" t="s">
        <v>86</v>
      </c>
      <c r="F1846" s="6" t="b">
        <v>0</v>
      </c>
      <c r="G1846" s="6">
        <v>209.92175</v>
      </c>
    </row>
    <row r="1847" spans="1:7">
      <c r="A1847" s="6" t="s">
        <v>260</v>
      </c>
      <c r="B1847" s="6" t="s">
        <v>52</v>
      </c>
      <c r="C1847" s="6" t="s">
        <v>189</v>
      </c>
      <c r="D1847" s="6" t="s">
        <v>88</v>
      </c>
      <c r="E1847" s="6" t="s">
        <v>88</v>
      </c>
      <c r="F1847" s="6" t="b">
        <v>0</v>
      </c>
      <c r="G1847" s="6">
        <v>792.3504166666667</v>
      </c>
    </row>
    <row r="1848" spans="1:7">
      <c r="A1848" s="6" t="s">
        <v>260</v>
      </c>
      <c r="B1848" s="6" t="s">
        <v>52</v>
      </c>
      <c r="C1848" s="6" t="s">
        <v>189</v>
      </c>
      <c r="D1848" s="6" t="s">
        <v>90</v>
      </c>
      <c r="E1848" s="6" t="s">
        <v>90</v>
      </c>
      <c r="F1848" s="6" t="b">
        <v>0</v>
      </c>
      <c r="G1848" s="6">
        <v>7.726500000000001</v>
      </c>
    </row>
    <row r="1849" spans="1:7">
      <c r="A1849" s="6" t="s">
        <v>260</v>
      </c>
      <c r="B1849" s="6" t="s">
        <v>52</v>
      </c>
      <c r="C1849" s="6" t="s">
        <v>190</v>
      </c>
      <c r="D1849" s="6" t="s">
        <v>44</v>
      </c>
      <c r="E1849" s="6" t="s">
        <v>44</v>
      </c>
      <c r="F1849" s="6" t="b">
        <v>0</v>
      </c>
      <c r="G1849" s="6">
        <v>756.3085833333333</v>
      </c>
    </row>
    <row r="1850" spans="1:7">
      <c r="A1850" s="6" t="s">
        <v>260</v>
      </c>
      <c r="B1850" s="6" t="s">
        <v>52</v>
      </c>
      <c r="C1850" s="6" t="s">
        <v>190</v>
      </c>
      <c r="D1850" s="6" t="s">
        <v>86</v>
      </c>
      <c r="E1850" s="6" t="s">
        <v>44</v>
      </c>
      <c r="F1850" s="6" t="b">
        <v>0</v>
      </c>
      <c r="G1850" s="6">
        <v>24.98608333333333</v>
      </c>
    </row>
    <row r="1851" spans="1:7">
      <c r="A1851" s="6" t="s">
        <v>260</v>
      </c>
      <c r="B1851" s="6" t="s">
        <v>52</v>
      </c>
      <c r="C1851" s="6" t="s">
        <v>190</v>
      </c>
      <c r="D1851" s="6" t="s">
        <v>90</v>
      </c>
      <c r="E1851" s="6" t="s">
        <v>44</v>
      </c>
      <c r="F1851" s="6" t="b">
        <v>0</v>
      </c>
      <c r="G1851" s="6">
        <v>28.67608333333333</v>
      </c>
    </row>
    <row r="1852" spans="1:7">
      <c r="A1852" s="6" t="s">
        <v>260</v>
      </c>
      <c r="B1852" s="6" t="s">
        <v>52</v>
      </c>
      <c r="C1852" s="6" t="s">
        <v>190</v>
      </c>
      <c r="D1852" s="6" t="s">
        <v>90</v>
      </c>
      <c r="E1852" s="6" t="s">
        <v>90</v>
      </c>
      <c r="F1852" s="6" t="b">
        <v>0</v>
      </c>
      <c r="G1852" s="6">
        <v>1.149666666666667</v>
      </c>
    </row>
    <row r="1853" spans="1:7">
      <c r="A1853" s="6" t="s">
        <v>260</v>
      </c>
      <c r="B1853" s="6" t="s">
        <v>52</v>
      </c>
      <c r="C1853" s="6" t="s">
        <v>190</v>
      </c>
      <c r="D1853" s="6" t="s">
        <v>177</v>
      </c>
      <c r="E1853" s="6" t="s">
        <v>44</v>
      </c>
      <c r="F1853" s="6" t="b">
        <v>0</v>
      </c>
      <c r="G1853" s="6">
        <v>27.81166666666667</v>
      </c>
    </row>
    <row r="1854" spans="1:7">
      <c r="A1854" s="6" t="s">
        <v>260</v>
      </c>
      <c r="B1854" s="6" t="s">
        <v>52</v>
      </c>
      <c r="C1854" s="6" t="s">
        <v>190</v>
      </c>
      <c r="D1854" s="6" t="s">
        <v>92</v>
      </c>
      <c r="E1854" s="6" t="s">
        <v>92</v>
      </c>
      <c r="F1854" s="6" t="b">
        <v>0</v>
      </c>
      <c r="G1854" s="6">
        <v>7.769833333333334</v>
      </c>
    </row>
    <row r="1855" spans="1:7">
      <c r="A1855" s="6" t="s">
        <v>261</v>
      </c>
      <c r="B1855" s="6" t="s">
        <v>54</v>
      </c>
      <c r="C1855" s="6" t="s">
        <v>181</v>
      </c>
      <c r="D1855" s="6" t="s">
        <v>88</v>
      </c>
      <c r="E1855" s="6" t="s">
        <v>88</v>
      </c>
      <c r="F1855" s="6" t="b">
        <v>0</v>
      </c>
      <c r="G1855" s="6">
        <v>0.21325</v>
      </c>
    </row>
    <row r="1856" spans="1:7">
      <c r="A1856" s="6" t="s">
        <v>261</v>
      </c>
      <c r="B1856" s="6" t="s">
        <v>54</v>
      </c>
      <c r="C1856" s="6" t="s">
        <v>181</v>
      </c>
      <c r="D1856" s="6" t="s">
        <v>90</v>
      </c>
      <c r="E1856" s="6" t="s">
        <v>90</v>
      </c>
      <c r="F1856" s="6" t="b">
        <v>0</v>
      </c>
      <c r="G1856" s="6">
        <v>0.01375</v>
      </c>
    </row>
    <row r="1857" spans="1:7">
      <c r="A1857" s="6" t="s">
        <v>261</v>
      </c>
      <c r="B1857" s="6" t="s">
        <v>54</v>
      </c>
      <c r="C1857" s="6" t="s">
        <v>183</v>
      </c>
      <c r="D1857" s="6" t="s">
        <v>88</v>
      </c>
      <c r="E1857" s="6" t="s">
        <v>88</v>
      </c>
      <c r="F1857" s="6" t="b">
        <v>0</v>
      </c>
      <c r="G1857" s="6">
        <v>0.00525</v>
      </c>
    </row>
    <row r="1858" spans="1:7">
      <c r="A1858" s="6" t="s">
        <v>261</v>
      </c>
      <c r="B1858" s="6" t="s">
        <v>54</v>
      </c>
      <c r="C1858" s="6" t="s">
        <v>183</v>
      </c>
      <c r="D1858" s="6" t="s">
        <v>90</v>
      </c>
      <c r="E1858" s="6" t="s">
        <v>86</v>
      </c>
      <c r="F1858" s="6" t="b">
        <v>0</v>
      </c>
      <c r="G1858" s="6">
        <v>0.001833333333333333</v>
      </c>
    </row>
    <row r="1859" spans="1:7">
      <c r="A1859" s="6" t="s">
        <v>261</v>
      </c>
      <c r="B1859" s="6" t="s">
        <v>54</v>
      </c>
      <c r="C1859" s="6" t="s">
        <v>183</v>
      </c>
      <c r="D1859" s="6" t="s">
        <v>90</v>
      </c>
      <c r="E1859" s="6" t="s">
        <v>90</v>
      </c>
      <c r="F1859" s="6" t="b">
        <v>0</v>
      </c>
      <c r="G1859" s="6">
        <v>0.009666666666666665</v>
      </c>
    </row>
    <row r="1860" spans="1:7">
      <c r="A1860" s="6" t="s">
        <v>261</v>
      </c>
      <c r="B1860" s="6" t="s">
        <v>54</v>
      </c>
      <c r="C1860" s="6" t="s">
        <v>184</v>
      </c>
      <c r="D1860" s="6" t="s">
        <v>44</v>
      </c>
      <c r="E1860" s="6" t="s">
        <v>44</v>
      </c>
      <c r="F1860" s="6" t="b">
        <v>0</v>
      </c>
      <c r="G1860" s="6">
        <v>1.104916666666667</v>
      </c>
    </row>
    <row r="1861" spans="1:7">
      <c r="A1861" s="6" t="s">
        <v>261</v>
      </c>
      <c r="B1861" s="6" t="s">
        <v>54</v>
      </c>
      <c r="C1861" s="6" t="s">
        <v>184</v>
      </c>
      <c r="D1861" s="6" t="s">
        <v>88</v>
      </c>
      <c r="E1861" s="6" t="s">
        <v>88</v>
      </c>
      <c r="F1861" s="6" t="b">
        <v>0</v>
      </c>
      <c r="G1861" s="6">
        <v>0.01208333333333333</v>
      </c>
    </row>
    <row r="1862" spans="1:7">
      <c r="A1862" s="6" t="s">
        <v>261</v>
      </c>
      <c r="B1862" s="6" t="s">
        <v>54</v>
      </c>
      <c r="C1862" s="6" t="s">
        <v>184</v>
      </c>
      <c r="D1862" s="6" t="s">
        <v>90</v>
      </c>
      <c r="E1862" s="6" t="s">
        <v>90</v>
      </c>
      <c r="F1862" s="6" t="b">
        <v>0</v>
      </c>
      <c r="G1862" s="6">
        <v>0.00775</v>
      </c>
    </row>
    <row r="1863" spans="1:7">
      <c r="A1863" s="6" t="s">
        <v>261</v>
      </c>
      <c r="B1863" s="6" t="s">
        <v>54</v>
      </c>
      <c r="C1863" s="6" t="s">
        <v>184</v>
      </c>
      <c r="D1863" s="6" t="s">
        <v>90</v>
      </c>
      <c r="E1863" s="6" t="s">
        <v>685</v>
      </c>
      <c r="F1863" s="6" t="b">
        <v>1</v>
      </c>
      <c r="G1863" s="6">
        <v>0.006083333333333334</v>
      </c>
    </row>
    <row r="1864" spans="1:7">
      <c r="A1864" s="6" t="s">
        <v>261</v>
      </c>
      <c r="B1864" s="6" t="s">
        <v>54</v>
      </c>
      <c r="C1864" s="6" t="s">
        <v>184</v>
      </c>
      <c r="D1864" s="6" t="s">
        <v>177</v>
      </c>
      <c r="E1864" s="6" t="s">
        <v>44</v>
      </c>
      <c r="F1864" s="6" t="b">
        <v>0</v>
      </c>
      <c r="G1864" s="6">
        <v>0.7160000000000001</v>
      </c>
    </row>
    <row r="1865" spans="1:7">
      <c r="A1865" s="6" t="s">
        <v>261</v>
      </c>
      <c r="B1865" s="6" t="s">
        <v>54</v>
      </c>
      <c r="C1865" s="6" t="s">
        <v>184</v>
      </c>
      <c r="D1865" s="6" t="s">
        <v>177</v>
      </c>
      <c r="E1865" s="6" t="s">
        <v>86</v>
      </c>
      <c r="F1865" s="6" t="b">
        <v>0</v>
      </c>
      <c r="G1865" s="6">
        <v>0.008750000000000001</v>
      </c>
    </row>
    <row r="1866" spans="1:7">
      <c r="A1866" s="6" t="s">
        <v>261</v>
      </c>
      <c r="B1866" s="6" t="s">
        <v>54</v>
      </c>
      <c r="C1866" s="6" t="s">
        <v>184</v>
      </c>
      <c r="D1866" s="6" t="s">
        <v>177</v>
      </c>
      <c r="E1866" s="6" t="s">
        <v>685</v>
      </c>
      <c r="F1866" s="6" t="b">
        <v>1</v>
      </c>
      <c r="G1866" s="6">
        <v>0.1045</v>
      </c>
    </row>
    <row r="1867" spans="1:7">
      <c r="A1867" s="6" t="s">
        <v>261</v>
      </c>
      <c r="B1867" s="6" t="s">
        <v>54</v>
      </c>
      <c r="C1867" s="6" t="s">
        <v>186</v>
      </c>
      <c r="D1867" s="6" t="s">
        <v>86</v>
      </c>
      <c r="E1867" s="6" t="s">
        <v>86</v>
      </c>
      <c r="F1867" s="6" t="b">
        <v>0</v>
      </c>
      <c r="G1867" s="6">
        <v>0.2443333333333333</v>
      </c>
    </row>
    <row r="1868" spans="1:7">
      <c r="A1868" s="6" t="s">
        <v>261</v>
      </c>
      <c r="B1868" s="6" t="s">
        <v>54</v>
      </c>
      <c r="C1868" s="6" t="s">
        <v>186</v>
      </c>
      <c r="D1868" s="6" t="s">
        <v>88</v>
      </c>
      <c r="E1868" s="6" t="s">
        <v>88</v>
      </c>
      <c r="F1868" s="6" t="b">
        <v>0</v>
      </c>
      <c r="G1868" s="6">
        <v>0.02608333333333333</v>
      </c>
    </row>
    <row r="1869" spans="1:7">
      <c r="A1869" s="6" t="s">
        <v>261</v>
      </c>
      <c r="B1869" s="6" t="s">
        <v>54</v>
      </c>
      <c r="C1869" s="6" t="s">
        <v>186</v>
      </c>
      <c r="D1869" s="6" t="s">
        <v>90</v>
      </c>
      <c r="E1869" s="6" t="s">
        <v>90</v>
      </c>
      <c r="F1869" s="6" t="b">
        <v>0</v>
      </c>
      <c r="G1869" s="6">
        <v>0.2615833333333333</v>
      </c>
    </row>
    <row r="1870" spans="1:7">
      <c r="A1870" s="6" t="s">
        <v>261</v>
      </c>
      <c r="B1870" s="6" t="s">
        <v>54</v>
      </c>
      <c r="C1870" s="6" t="s">
        <v>186</v>
      </c>
      <c r="D1870" s="6" t="s">
        <v>177</v>
      </c>
      <c r="E1870" s="6" t="s">
        <v>86</v>
      </c>
      <c r="F1870" s="6" t="b">
        <v>0</v>
      </c>
      <c r="G1870" s="6">
        <v>0.01066666666666667</v>
      </c>
    </row>
    <row r="1871" spans="1:7">
      <c r="A1871" s="6" t="s">
        <v>261</v>
      </c>
      <c r="B1871" s="6" t="s">
        <v>54</v>
      </c>
      <c r="C1871" s="6" t="s">
        <v>189</v>
      </c>
      <c r="D1871" s="6" t="s">
        <v>86</v>
      </c>
      <c r="E1871" s="6" t="s">
        <v>86</v>
      </c>
      <c r="F1871" s="6" t="b">
        <v>0</v>
      </c>
      <c r="G1871" s="6">
        <v>0.1248333333333333</v>
      </c>
    </row>
    <row r="1872" spans="1:7">
      <c r="A1872" s="6" t="s">
        <v>261</v>
      </c>
      <c r="B1872" s="6" t="s">
        <v>54</v>
      </c>
      <c r="C1872" s="6" t="s">
        <v>189</v>
      </c>
      <c r="D1872" s="6" t="s">
        <v>88</v>
      </c>
      <c r="E1872" s="6" t="s">
        <v>88</v>
      </c>
      <c r="F1872" s="6" t="b">
        <v>0</v>
      </c>
      <c r="G1872" s="6">
        <v>0.1119166666666667</v>
      </c>
    </row>
    <row r="1873" spans="1:7">
      <c r="A1873" s="6" t="s">
        <v>261</v>
      </c>
      <c r="B1873" s="6" t="s">
        <v>54</v>
      </c>
      <c r="C1873" s="6" t="s">
        <v>189</v>
      </c>
      <c r="D1873" s="6" t="s">
        <v>90</v>
      </c>
      <c r="E1873" s="6" t="s">
        <v>90</v>
      </c>
      <c r="F1873" s="6" t="b">
        <v>0</v>
      </c>
      <c r="G1873" s="6">
        <v>0.01158333333333333</v>
      </c>
    </row>
    <row r="1874" spans="1:7">
      <c r="A1874" s="6" t="s">
        <v>262</v>
      </c>
      <c r="B1874" s="6" t="s">
        <v>51</v>
      </c>
      <c r="C1874" s="6" t="s">
        <v>181</v>
      </c>
      <c r="D1874" s="6" t="s">
        <v>88</v>
      </c>
      <c r="E1874" s="6" t="s">
        <v>88</v>
      </c>
      <c r="F1874" s="6" t="b">
        <v>0</v>
      </c>
      <c r="G1874" s="6">
        <v>32.17125</v>
      </c>
    </row>
    <row r="1875" spans="1:7">
      <c r="A1875" s="6" t="s">
        <v>262</v>
      </c>
      <c r="B1875" s="6" t="s">
        <v>51</v>
      </c>
      <c r="C1875" s="6" t="s">
        <v>181</v>
      </c>
      <c r="D1875" s="6" t="s">
        <v>90</v>
      </c>
      <c r="E1875" s="6" t="s">
        <v>90</v>
      </c>
      <c r="F1875" s="6" t="b">
        <v>0</v>
      </c>
      <c r="G1875" s="6">
        <v>0.026</v>
      </c>
    </row>
    <row r="1876" spans="1:7">
      <c r="A1876" s="6" t="s">
        <v>262</v>
      </c>
      <c r="B1876" s="6" t="s">
        <v>51</v>
      </c>
      <c r="C1876" s="6" t="s">
        <v>183</v>
      </c>
      <c r="D1876" s="6" t="s">
        <v>88</v>
      </c>
      <c r="E1876" s="6" t="s">
        <v>88</v>
      </c>
      <c r="F1876" s="6" t="b">
        <v>0</v>
      </c>
      <c r="G1876" s="6">
        <v>0.2493333333333333</v>
      </c>
    </row>
    <row r="1877" spans="1:7">
      <c r="A1877" s="6" t="s">
        <v>262</v>
      </c>
      <c r="B1877" s="6" t="s">
        <v>51</v>
      </c>
      <c r="C1877" s="6" t="s">
        <v>183</v>
      </c>
      <c r="D1877" s="6" t="s">
        <v>90</v>
      </c>
      <c r="E1877" s="6" t="s">
        <v>86</v>
      </c>
      <c r="F1877" s="6" t="b">
        <v>0</v>
      </c>
      <c r="G1877" s="6">
        <v>0.05499999999999999</v>
      </c>
    </row>
    <row r="1878" spans="1:7">
      <c r="A1878" s="6" t="s">
        <v>262</v>
      </c>
      <c r="B1878" s="6" t="s">
        <v>51</v>
      </c>
      <c r="C1878" s="6" t="s">
        <v>183</v>
      </c>
      <c r="D1878" s="6" t="s">
        <v>90</v>
      </c>
      <c r="E1878" s="6" t="s">
        <v>90</v>
      </c>
      <c r="F1878" s="6" t="b">
        <v>0</v>
      </c>
      <c r="G1878" s="6">
        <v>0.02375</v>
      </c>
    </row>
    <row r="1879" spans="1:7">
      <c r="A1879" s="6" t="s">
        <v>262</v>
      </c>
      <c r="B1879" s="6" t="s">
        <v>51</v>
      </c>
      <c r="C1879" s="6" t="s">
        <v>183</v>
      </c>
      <c r="D1879" s="6" t="s">
        <v>177</v>
      </c>
      <c r="E1879" s="6" t="s">
        <v>86</v>
      </c>
      <c r="F1879" s="6" t="b">
        <v>0</v>
      </c>
      <c r="G1879" s="6">
        <v>0.001833333333333333</v>
      </c>
    </row>
    <row r="1880" spans="1:7">
      <c r="A1880" s="6" t="s">
        <v>262</v>
      </c>
      <c r="B1880" s="6" t="s">
        <v>51</v>
      </c>
      <c r="C1880" s="6" t="s">
        <v>183</v>
      </c>
      <c r="D1880" s="6" t="s">
        <v>177</v>
      </c>
      <c r="E1880" s="6" t="s">
        <v>685</v>
      </c>
      <c r="F1880" s="6" t="b">
        <v>1</v>
      </c>
      <c r="G1880" s="6">
        <v>0.008</v>
      </c>
    </row>
    <row r="1881" spans="1:7">
      <c r="A1881" s="6" t="s">
        <v>262</v>
      </c>
      <c r="B1881" s="6" t="s">
        <v>51</v>
      </c>
      <c r="C1881" s="6" t="s">
        <v>184</v>
      </c>
      <c r="D1881" s="6" t="s">
        <v>44</v>
      </c>
      <c r="E1881" s="6" t="s">
        <v>44</v>
      </c>
      <c r="F1881" s="6" t="b">
        <v>0</v>
      </c>
      <c r="G1881" s="6">
        <v>282.8776666666667</v>
      </c>
    </row>
    <row r="1882" spans="1:7">
      <c r="A1882" s="6" t="s">
        <v>262</v>
      </c>
      <c r="B1882" s="6" t="s">
        <v>51</v>
      </c>
      <c r="C1882" s="6" t="s">
        <v>184</v>
      </c>
      <c r="D1882" s="6" t="s">
        <v>88</v>
      </c>
      <c r="E1882" s="6" t="s">
        <v>88</v>
      </c>
      <c r="F1882" s="6" t="b">
        <v>0</v>
      </c>
      <c r="G1882" s="6">
        <v>0.008999999999999999</v>
      </c>
    </row>
    <row r="1883" spans="1:7">
      <c r="A1883" s="6" t="s">
        <v>262</v>
      </c>
      <c r="B1883" s="6" t="s">
        <v>51</v>
      </c>
      <c r="C1883" s="6" t="s">
        <v>184</v>
      </c>
      <c r="D1883" s="6" t="s">
        <v>90</v>
      </c>
      <c r="E1883" s="6" t="s">
        <v>90</v>
      </c>
      <c r="F1883" s="6" t="b">
        <v>0</v>
      </c>
      <c r="G1883" s="6">
        <v>1.460416666666667</v>
      </c>
    </row>
    <row r="1884" spans="1:7">
      <c r="A1884" s="6" t="s">
        <v>262</v>
      </c>
      <c r="B1884" s="6" t="s">
        <v>51</v>
      </c>
      <c r="C1884" s="6" t="s">
        <v>184</v>
      </c>
      <c r="D1884" s="6" t="s">
        <v>90</v>
      </c>
      <c r="E1884" s="6" t="s">
        <v>685</v>
      </c>
      <c r="F1884" s="6" t="b">
        <v>1</v>
      </c>
      <c r="G1884" s="6">
        <v>1.264583333333333</v>
      </c>
    </row>
    <row r="1885" spans="1:7">
      <c r="A1885" s="6" t="s">
        <v>262</v>
      </c>
      <c r="B1885" s="6" t="s">
        <v>51</v>
      </c>
      <c r="C1885" s="6" t="s">
        <v>184</v>
      </c>
      <c r="D1885" s="6" t="s">
        <v>177</v>
      </c>
      <c r="E1885" s="6" t="s">
        <v>44</v>
      </c>
      <c r="F1885" s="6" t="b">
        <v>0</v>
      </c>
      <c r="G1885" s="6">
        <v>116.41975</v>
      </c>
    </row>
    <row r="1886" spans="1:7">
      <c r="A1886" s="6" t="s">
        <v>262</v>
      </c>
      <c r="B1886" s="6" t="s">
        <v>51</v>
      </c>
      <c r="C1886" s="6" t="s">
        <v>184</v>
      </c>
      <c r="D1886" s="6" t="s">
        <v>177</v>
      </c>
      <c r="E1886" s="6" t="s">
        <v>86</v>
      </c>
      <c r="F1886" s="6" t="b">
        <v>0</v>
      </c>
      <c r="G1886" s="6">
        <v>0.04900000000000001</v>
      </c>
    </row>
    <row r="1887" spans="1:7">
      <c r="A1887" s="6" t="s">
        <v>262</v>
      </c>
      <c r="B1887" s="6" t="s">
        <v>51</v>
      </c>
      <c r="C1887" s="6" t="s">
        <v>184</v>
      </c>
      <c r="D1887" s="6" t="s">
        <v>177</v>
      </c>
      <c r="E1887" s="6" t="s">
        <v>685</v>
      </c>
      <c r="F1887" s="6" t="b">
        <v>1</v>
      </c>
      <c r="G1887" s="6">
        <v>0.8739166666666667</v>
      </c>
    </row>
    <row r="1888" spans="1:7">
      <c r="A1888" s="6" t="s">
        <v>262</v>
      </c>
      <c r="B1888" s="6" t="s">
        <v>51</v>
      </c>
      <c r="C1888" s="6" t="s">
        <v>186</v>
      </c>
      <c r="D1888" s="6" t="s">
        <v>86</v>
      </c>
      <c r="E1888" s="6" t="s">
        <v>86</v>
      </c>
      <c r="F1888" s="6" t="b">
        <v>0</v>
      </c>
      <c r="G1888" s="6">
        <v>64.88358333333333</v>
      </c>
    </row>
    <row r="1889" spans="1:7">
      <c r="A1889" s="6" t="s">
        <v>262</v>
      </c>
      <c r="B1889" s="6" t="s">
        <v>51</v>
      </c>
      <c r="C1889" s="6" t="s">
        <v>186</v>
      </c>
      <c r="D1889" s="6" t="s">
        <v>88</v>
      </c>
      <c r="E1889" s="6" t="s">
        <v>88</v>
      </c>
      <c r="F1889" s="6" t="b">
        <v>0</v>
      </c>
      <c r="G1889" s="6">
        <v>5.562333333333334</v>
      </c>
    </row>
    <row r="1890" spans="1:7">
      <c r="A1890" s="6" t="s">
        <v>262</v>
      </c>
      <c r="B1890" s="6" t="s">
        <v>51</v>
      </c>
      <c r="C1890" s="6" t="s">
        <v>186</v>
      </c>
      <c r="D1890" s="6" t="s">
        <v>90</v>
      </c>
      <c r="E1890" s="6" t="s">
        <v>86</v>
      </c>
      <c r="F1890" s="6" t="b">
        <v>0</v>
      </c>
      <c r="G1890" s="6">
        <v>0.005666666666666667</v>
      </c>
    </row>
    <row r="1891" spans="1:7">
      <c r="A1891" s="6" t="s">
        <v>262</v>
      </c>
      <c r="B1891" s="6" t="s">
        <v>51</v>
      </c>
      <c r="C1891" s="6" t="s">
        <v>186</v>
      </c>
      <c r="D1891" s="6" t="s">
        <v>90</v>
      </c>
      <c r="E1891" s="6" t="s">
        <v>90</v>
      </c>
      <c r="F1891" s="6" t="b">
        <v>0</v>
      </c>
      <c r="G1891" s="6">
        <v>20.76875</v>
      </c>
    </row>
    <row r="1892" spans="1:7">
      <c r="A1892" s="6" t="s">
        <v>262</v>
      </c>
      <c r="B1892" s="6" t="s">
        <v>51</v>
      </c>
      <c r="C1892" s="6" t="s">
        <v>186</v>
      </c>
      <c r="D1892" s="6" t="s">
        <v>177</v>
      </c>
      <c r="E1892" s="6" t="s">
        <v>86</v>
      </c>
      <c r="F1892" s="6" t="b">
        <v>0</v>
      </c>
      <c r="G1892" s="6">
        <v>0.6258333333333334</v>
      </c>
    </row>
    <row r="1893" spans="1:7">
      <c r="A1893" s="6" t="s">
        <v>262</v>
      </c>
      <c r="B1893" s="6" t="s">
        <v>51</v>
      </c>
      <c r="C1893" s="6" t="s">
        <v>189</v>
      </c>
      <c r="D1893" s="6" t="s">
        <v>86</v>
      </c>
      <c r="E1893" s="6" t="s">
        <v>86</v>
      </c>
      <c r="F1893" s="6" t="b">
        <v>0</v>
      </c>
      <c r="G1893" s="6">
        <v>4.945083333333334</v>
      </c>
    </row>
    <row r="1894" spans="1:7">
      <c r="A1894" s="6" t="s">
        <v>262</v>
      </c>
      <c r="B1894" s="6" t="s">
        <v>51</v>
      </c>
      <c r="C1894" s="6" t="s">
        <v>189</v>
      </c>
      <c r="D1894" s="6" t="s">
        <v>88</v>
      </c>
      <c r="E1894" s="6" t="s">
        <v>88</v>
      </c>
      <c r="F1894" s="6" t="b">
        <v>0</v>
      </c>
      <c r="G1894" s="6">
        <v>4.927416666666667</v>
      </c>
    </row>
    <row r="1895" spans="1:7">
      <c r="A1895" s="6" t="s">
        <v>262</v>
      </c>
      <c r="B1895" s="6" t="s">
        <v>51</v>
      </c>
      <c r="C1895" s="6" t="s">
        <v>189</v>
      </c>
      <c r="D1895" s="6" t="s">
        <v>90</v>
      </c>
      <c r="E1895" s="6" t="s">
        <v>90</v>
      </c>
      <c r="F1895" s="6" t="b">
        <v>0</v>
      </c>
      <c r="G1895" s="6">
        <v>1.1615</v>
      </c>
    </row>
    <row r="1896" spans="1:7">
      <c r="A1896" s="6" t="s">
        <v>263</v>
      </c>
      <c r="B1896" s="6" t="s">
        <v>54</v>
      </c>
      <c r="C1896" s="6" t="s">
        <v>181</v>
      </c>
      <c r="D1896" s="6" t="s">
        <v>88</v>
      </c>
      <c r="E1896" s="6" t="s">
        <v>88</v>
      </c>
      <c r="F1896" s="6" t="b">
        <v>0</v>
      </c>
      <c r="G1896" s="6">
        <v>4.4495</v>
      </c>
    </row>
    <row r="1897" spans="1:7">
      <c r="A1897" s="6" t="s">
        <v>263</v>
      </c>
      <c r="B1897" s="6" t="s">
        <v>54</v>
      </c>
      <c r="C1897" s="6" t="s">
        <v>181</v>
      </c>
      <c r="D1897" s="6" t="s">
        <v>90</v>
      </c>
      <c r="E1897" s="6" t="s">
        <v>90</v>
      </c>
      <c r="F1897" s="6" t="b">
        <v>0</v>
      </c>
      <c r="G1897" s="6">
        <v>0.01375</v>
      </c>
    </row>
    <row r="1898" spans="1:7">
      <c r="A1898" s="6" t="s">
        <v>263</v>
      </c>
      <c r="B1898" s="6" t="s">
        <v>54</v>
      </c>
      <c r="C1898" s="6" t="s">
        <v>183</v>
      </c>
      <c r="D1898" s="6" t="s">
        <v>86</v>
      </c>
      <c r="E1898" s="6" t="s">
        <v>86</v>
      </c>
      <c r="F1898" s="6" t="b">
        <v>0</v>
      </c>
      <c r="G1898" s="6">
        <v>0.001416666666666667</v>
      </c>
    </row>
    <row r="1899" spans="1:7">
      <c r="A1899" s="6" t="s">
        <v>263</v>
      </c>
      <c r="B1899" s="6" t="s">
        <v>54</v>
      </c>
      <c r="C1899" s="6" t="s">
        <v>183</v>
      </c>
      <c r="D1899" s="6" t="s">
        <v>88</v>
      </c>
      <c r="E1899" s="6" t="s">
        <v>88</v>
      </c>
      <c r="F1899" s="6" t="b">
        <v>0</v>
      </c>
      <c r="G1899" s="6">
        <v>0.01858333333333333</v>
      </c>
    </row>
    <row r="1900" spans="1:7">
      <c r="A1900" s="6" t="s">
        <v>263</v>
      </c>
      <c r="B1900" s="6" t="s">
        <v>54</v>
      </c>
      <c r="C1900" s="6" t="s">
        <v>183</v>
      </c>
      <c r="D1900" s="6" t="s">
        <v>90</v>
      </c>
      <c r="E1900" s="6" t="s">
        <v>86</v>
      </c>
      <c r="F1900" s="6" t="b">
        <v>0</v>
      </c>
      <c r="G1900" s="6">
        <v>0.01091666666666667</v>
      </c>
    </row>
    <row r="1901" spans="1:7">
      <c r="A1901" s="6" t="s">
        <v>263</v>
      </c>
      <c r="B1901" s="6" t="s">
        <v>54</v>
      </c>
      <c r="C1901" s="6" t="s">
        <v>183</v>
      </c>
      <c r="D1901" s="6" t="s">
        <v>90</v>
      </c>
      <c r="E1901" s="6" t="s">
        <v>90</v>
      </c>
      <c r="F1901" s="6" t="b">
        <v>0</v>
      </c>
      <c r="G1901" s="6">
        <v>0.02341666666666667</v>
      </c>
    </row>
    <row r="1902" spans="1:7">
      <c r="A1902" s="6" t="s">
        <v>263</v>
      </c>
      <c r="B1902" s="6" t="s">
        <v>54</v>
      </c>
      <c r="C1902" s="6" t="s">
        <v>183</v>
      </c>
      <c r="D1902" s="6" t="s">
        <v>177</v>
      </c>
      <c r="E1902" s="6" t="s">
        <v>86</v>
      </c>
      <c r="F1902" s="6" t="b">
        <v>0</v>
      </c>
      <c r="G1902" s="6">
        <v>0.0009166666666666666</v>
      </c>
    </row>
    <row r="1903" spans="1:7">
      <c r="A1903" s="6" t="s">
        <v>263</v>
      </c>
      <c r="B1903" s="6" t="s">
        <v>54</v>
      </c>
      <c r="C1903" s="6" t="s">
        <v>183</v>
      </c>
      <c r="D1903" s="6" t="s">
        <v>177</v>
      </c>
      <c r="E1903" s="6" t="s">
        <v>685</v>
      </c>
      <c r="F1903" s="6" t="b">
        <v>1</v>
      </c>
      <c r="G1903" s="6">
        <v>0.0005</v>
      </c>
    </row>
    <row r="1904" spans="1:7">
      <c r="A1904" s="6" t="s">
        <v>263</v>
      </c>
      <c r="B1904" s="6" t="s">
        <v>54</v>
      </c>
      <c r="C1904" s="6" t="s">
        <v>184</v>
      </c>
      <c r="D1904" s="6" t="s">
        <v>44</v>
      </c>
      <c r="E1904" s="6" t="s">
        <v>44</v>
      </c>
      <c r="F1904" s="6" t="b">
        <v>0</v>
      </c>
      <c r="G1904" s="6">
        <v>115.7004166666667</v>
      </c>
    </row>
    <row r="1905" spans="1:7">
      <c r="A1905" s="6" t="s">
        <v>263</v>
      </c>
      <c r="B1905" s="6" t="s">
        <v>54</v>
      </c>
      <c r="C1905" s="6" t="s">
        <v>184</v>
      </c>
      <c r="D1905" s="6" t="s">
        <v>86</v>
      </c>
      <c r="E1905" s="6" t="s">
        <v>86</v>
      </c>
      <c r="F1905" s="6" t="b">
        <v>0</v>
      </c>
      <c r="G1905" s="6">
        <v>0.625</v>
      </c>
    </row>
    <row r="1906" spans="1:7">
      <c r="A1906" s="6" t="s">
        <v>263</v>
      </c>
      <c r="B1906" s="6" t="s">
        <v>54</v>
      </c>
      <c r="C1906" s="6" t="s">
        <v>184</v>
      </c>
      <c r="D1906" s="6" t="s">
        <v>88</v>
      </c>
      <c r="E1906" s="6" t="s">
        <v>88</v>
      </c>
      <c r="F1906" s="6" t="b">
        <v>0</v>
      </c>
      <c r="G1906" s="6">
        <v>0.01133333333333333</v>
      </c>
    </row>
    <row r="1907" spans="1:7">
      <c r="A1907" s="6" t="s">
        <v>263</v>
      </c>
      <c r="B1907" s="6" t="s">
        <v>54</v>
      </c>
      <c r="C1907" s="6" t="s">
        <v>184</v>
      </c>
      <c r="D1907" s="6" t="s">
        <v>90</v>
      </c>
      <c r="E1907" s="6" t="s">
        <v>90</v>
      </c>
      <c r="F1907" s="6" t="b">
        <v>0</v>
      </c>
      <c r="G1907" s="6">
        <v>0.03483333333333333</v>
      </c>
    </row>
    <row r="1908" spans="1:7">
      <c r="A1908" s="6" t="s">
        <v>263</v>
      </c>
      <c r="B1908" s="6" t="s">
        <v>54</v>
      </c>
      <c r="C1908" s="6" t="s">
        <v>184</v>
      </c>
      <c r="D1908" s="6" t="s">
        <v>90</v>
      </c>
      <c r="E1908" s="6" t="s">
        <v>685</v>
      </c>
      <c r="F1908" s="6" t="b">
        <v>1</v>
      </c>
      <c r="G1908" s="6">
        <v>0.03016666666666666</v>
      </c>
    </row>
    <row r="1909" spans="1:7">
      <c r="A1909" s="6" t="s">
        <v>263</v>
      </c>
      <c r="B1909" s="6" t="s">
        <v>54</v>
      </c>
      <c r="C1909" s="6" t="s">
        <v>184</v>
      </c>
      <c r="D1909" s="6" t="s">
        <v>177</v>
      </c>
      <c r="E1909" s="6" t="s">
        <v>44</v>
      </c>
      <c r="F1909" s="6" t="b">
        <v>0</v>
      </c>
      <c r="G1909" s="6">
        <v>189.1241666666666</v>
      </c>
    </row>
    <row r="1910" spans="1:7">
      <c r="A1910" s="6" t="s">
        <v>263</v>
      </c>
      <c r="B1910" s="6" t="s">
        <v>54</v>
      </c>
      <c r="C1910" s="6" t="s">
        <v>184</v>
      </c>
      <c r="D1910" s="6" t="s">
        <v>177</v>
      </c>
      <c r="E1910" s="6" t="s">
        <v>86</v>
      </c>
      <c r="F1910" s="6" t="b">
        <v>0</v>
      </c>
      <c r="G1910" s="6">
        <v>0.00175</v>
      </c>
    </row>
    <row r="1911" spans="1:7">
      <c r="A1911" s="6" t="s">
        <v>263</v>
      </c>
      <c r="B1911" s="6" t="s">
        <v>54</v>
      </c>
      <c r="C1911" s="6" t="s">
        <v>184</v>
      </c>
      <c r="D1911" s="6" t="s">
        <v>177</v>
      </c>
      <c r="E1911" s="6" t="s">
        <v>685</v>
      </c>
      <c r="F1911" s="6" t="b">
        <v>1</v>
      </c>
      <c r="G1911" s="6">
        <v>0.1153333333333333</v>
      </c>
    </row>
    <row r="1912" spans="1:7">
      <c r="A1912" s="6" t="s">
        <v>263</v>
      </c>
      <c r="B1912" s="6" t="s">
        <v>54</v>
      </c>
      <c r="C1912" s="6" t="s">
        <v>186</v>
      </c>
      <c r="D1912" s="6" t="s">
        <v>86</v>
      </c>
      <c r="E1912" s="6" t="s">
        <v>86</v>
      </c>
      <c r="F1912" s="6" t="b">
        <v>0</v>
      </c>
      <c r="G1912" s="6">
        <v>61.47066666666667</v>
      </c>
    </row>
    <row r="1913" spans="1:7">
      <c r="A1913" s="6" t="s">
        <v>263</v>
      </c>
      <c r="B1913" s="6" t="s">
        <v>54</v>
      </c>
      <c r="C1913" s="6" t="s">
        <v>186</v>
      </c>
      <c r="D1913" s="6" t="s">
        <v>88</v>
      </c>
      <c r="E1913" s="6" t="s">
        <v>88</v>
      </c>
      <c r="F1913" s="6" t="b">
        <v>0</v>
      </c>
      <c r="G1913" s="6">
        <v>0.3799166666666667</v>
      </c>
    </row>
    <row r="1914" spans="1:7">
      <c r="A1914" s="6" t="s">
        <v>263</v>
      </c>
      <c r="B1914" s="6" t="s">
        <v>54</v>
      </c>
      <c r="C1914" s="6" t="s">
        <v>186</v>
      </c>
      <c r="D1914" s="6" t="s">
        <v>90</v>
      </c>
      <c r="E1914" s="6" t="s">
        <v>86</v>
      </c>
      <c r="F1914" s="6" t="b">
        <v>0</v>
      </c>
      <c r="G1914" s="6">
        <v>0.00425</v>
      </c>
    </row>
    <row r="1915" spans="1:7">
      <c r="A1915" s="6" t="s">
        <v>263</v>
      </c>
      <c r="B1915" s="6" t="s">
        <v>54</v>
      </c>
      <c r="C1915" s="6" t="s">
        <v>186</v>
      </c>
      <c r="D1915" s="6" t="s">
        <v>90</v>
      </c>
      <c r="E1915" s="6" t="s">
        <v>90</v>
      </c>
      <c r="F1915" s="6" t="b">
        <v>0</v>
      </c>
      <c r="G1915" s="6">
        <v>14.988</v>
      </c>
    </row>
    <row r="1916" spans="1:7">
      <c r="A1916" s="6" t="s">
        <v>263</v>
      </c>
      <c r="B1916" s="6" t="s">
        <v>54</v>
      </c>
      <c r="C1916" s="6" t="s">
        <v>186</v>
      </c>
      <c r="D1916" s="6" t="s">
        <v>177</v>
      </c>
      <c r="E1916" s="6" t="s">
        <v>86</v>
      </c>
      <c r="F1916" s="6" t="b">
        <v>0</v>
      </c>
      <c r="G1916" s="6">
        <v>0.1086666666666667</v>
      </c>
    </row>
    <row r="1917" spans="1:7">
      <c r="A1917" s="6" t="s">
        <v>263</v>
      </c>
      <c r="B1917" s="6" t="s">
        <v>54</v>
      </c>
      <c r="C1917" s="6" t="s">
        <v>189</v>
      </c>
      <c r="D1917" s="6" t="s">
        <v>86</v>
      </c>
      <c r="E1917" s="6" t="s">
        <v>86</v>
      </c>
      <c r="F1917" s="6" t="b">
        <v>0</v>
      </c>
      <c r="G1917" s="6">
        <v>0.3504166666666667</v>
      </c>
    </row>
    <row r="1918" spans="1:7">
      <c r="A1918" s="6" t="s">
        <v>263</v>
      </c>
      <c r="B1918" s="6" t="s">
        <v>54</v>
      </c>
      <c r="C1918" s="6" t="s">
        <v>189</v>
      </c>
      <c r="D1918" s="6" t="s">
        <v>88</v>
      </c>
      <c r="E1918" s="6" t="s">
        <v>88</v>
      </c>
      <c r="F1918" s="6" t="b">
        <v>0</v>
      </c>
      <c r="G1918" s="6">
        <v>2.06125</v>
      </c>
    </row>
    <row r="1919" spans="1:7">
      <c r="A1919" s="6" t="s">
        <v>263</v>
      </c>
      <c r="B1919" s="6" t="s">
        <v>54</v>
      </c>
      <c r="C1919" s="6" t="s">
        <v>189</v>
      </c>
      <c r="D1919" s="6" t="s">
        <v>90</v>
      </c>
      <c r="E1919" s="6" t="s">
        <v>90</v>
      </c>
      <c r="F1919" s="6" t="b">
        <v>0</v>
      </c>
      <c r="G1919" s="6">
        <v>0.14475</v>
      </c>
    </row>
    <row r="1920" spans="1:7">
      <c r="A1920" s="6" t="s">
        <v>264</v>
      </c>
      <c r="B1920" s="6" t="s">
        <v>54</v>
      </c>
      <c r="C1920" s="6" t="s">
        <v>181</v>
      </c>
      <c r="D1920" s="6" t="s">
        <v>88</v>
      </c>
      <c r="E1920" s="6" t="s">
        <v>88</v>
      </c>
      <c r="F1920" s="6" t="b">
        <v>0</v>
      </c>
      <c r="G1920" s="6">
        <v>3.68075</v>
      </c>
    </row>
    <row r="1921" spans="1:7">
      <c r="A1921" s="6" t="s">
        <v>264</v>
      </c>
      <c r="B1921" s="6" t="s">
        <v>54</v>
      </c>
      <c r="C1921" s="6" t="s">
        <v>183</v>
      </c>
      <c r="D1921" s="6" t="s">
        <v>90</v>
      </c>
      <c r="E1921" s="6" t="s">
        <v>86</v>
      </c>
      <c r="F1921" s="6" t="b">
        <v>0</v>
      </c>
      <c r="G1921" s="6">
        <v>0.01091666666666667</v>
      </c>
    </row>
    <row r="1922" spans="1:7">
      <c r="A1922" s="6" t="s">
        <v>264</v>
      </c>
      <c r="B1922" s="6" t="s">
        <v>54</v>
      </c>
      <c r="C1922" s="6" t="s">
        <v>183</v>
      </c>
      <c r="D1922" s="6" t="s">
        <v>90</v>
      </c>
      <c r="E1922" s="6" t="s">
        <v>90</v>
      </c>
      <c r="F1922" s="6" t="b">
        <v>0</v>
      </c>
      <c r="G1922" s="6">
        <v>0.004666666666666667</v>
      </c>
    </row>
    <row r="1923" spans="1:7">
      <c r="A1923" s="6" t="s">
        <v>264</v>
      </c>
      <c r="B1923" s="6" t="s">
        <v>54</v>
      </c>
      <c r="C1923" s="6" t="s">
        <v>183</v>
      </c>
      <c r="D1923" s="6" t="s">
        <v>177</v>
      </c>
      <c r="E1923" s="6" t="s">
        <v>86</v>
      </c>
      <c r="F1923" s="6" t="b">
        <v>0</v>
      </c>
      <c r="G1923" s="6">
        <v>0.0075</v>
      </c>
    </row>
    <row r="1924" spans="1:7">
      <c r="A1924" s="6" t="s">
        <v>264</v>
      </c>
      <c r="B1924" s="6" t="s">
        <v>54</v>
      </c>
      <c r="C1924" s="6" t="s">
        <v>183</v>
      </c>
      <c r="D1924" s="6" t="s">
        <v>177</v>
      </c>
      <c r="E1924" s="6" t="s">
        <v>685</v>
      </c>
      <c r="F1924" s="6" t="b">
        <v>1</v>
      </c>
      <c r="G1924" s="6">
        <v>0.0005</v>
      </c>
    </row>
    <row r="1925" spans="1:7">
      <c r="A1925" s="6" t="s">
        <v>264</v>
      </c>
      <c r="B1925" s="6" t="s">
        <v>54</v>
      </c>
      <c r="C1925" s="6" t="s">
        <v>184</v>
      </c>
      <c r="D1925" s="6" t="s">
        <v>44</v>
      </c>
      <c r="E1925" s="6" t="s">
        <v>44</v>
      </c>
      <c r="F1925" s="6" t="b">
        <v>0</v>
      </c>
      <c r="G1925" s="6">
        <v>41.19958333333333</v>
      </c>
    </row>
    <row r="1926" spans="1:7">
      <c r="A1926" s="6" t="s">
        <v>264</v>
      </c>
      <c r="B1926" s="6" t="s">
        <v>54</v>
      </c>
      <c r="C1926" s="6" t="s">
        <v>184</v>
      </c>
      <c r="D1926" s="6" t="s">
        <v>90</v>
      </c>
      <c r="E1926" s="6" t="s">
        <v>90</v>
      </c>
      <c r="F1926" s="6" t="b">
        <v>0</v>
      </c>
      <c r="G1926" s="6">
        <v>0.01108333333333333</v>
      </c>
    </row>
    <row r="1927" spans="1:7">
      <c r="A1927" s="6" t="s">
        <v>264</v>
      </c>
      <c r="B1927" s="6" t="s">
        <v>54</v>
      </c>
      <c r="C1927" s="6" t="s">
        <v>184</v>
      </c>
      <c r="D1927" s="6" t="s">
        <v>90</v>
      </c>
      <c r="E1927" s="6" t="s">
        <v>685</v>
      </c>
      <c r="F1927" s="6" t="b">
        <v>1</v>
      </c>
      <c r="G1927" s="6">
        <v>0.01166666666666667</v>
      </c>
    </row>
    <row r="1928" spans="1:7">
      <c r="A1928" s="6" t="s">
        <v>264</v>
      </c>
      <c r="B1928" s="6" t="s">
        <v>54</v>
      </c>
      <c r="C1928" s="6" t="s">
        <v>184</v>
      </c>
      <c r="D1928" s="6" t="s">
        <v>177</v>
      </c>
      <c r="E1928" s="6" t="s">
        <v>44</v>
      </c>
      <c r="F1928" s="6" t="b">
        <v>0</v>
      </c>
      <c r="G1928" s="6">
        <v>113.0271666666667</v>
      </c>
    </row>
    <row r="1929" spans="1:7">
      <c r="A1929" s="6" t="s">
        <v>264</v>
      </c>
      <c r="B1929" s="6" t="s">
        <v>54</v>
      </c>
      <c r="C1929" s="6" t="s">
        <v>184</v>
      </c>
      <c r="D1929" s="6" t="s">
        <v>177</v>
      </c>
      <c r="E1929" s="6" t="s">
        <v>86</v>
      </c>
      <c r="F1929" s="6" t="b">
        <v>0</v>
      </c>
      <c r="G1929" s="6">
        <v>0.01075</v>
      </c>
    </row>
    <row r="1930" spans="1:7">
      <c r="A1930" s="6" t="s">
        <v>264</v>
      </c>
      <c r="B1930" s="6" t="s">
        <v>54</v>
      </c>
      <c r="C1930" s="6" t="s">
        <v>184</v>
      </c>
      <c r="D1930" s="6" t="s">
        <v>177</v>
      </c>
      <c r="E1930" s="6" t="s">
        <v>685</v>
      </c>
      <c r="F1930" s="6" t="b">
        <v>1</v>
      </c>
      <c r="G1930" s="6">
        <v>0.04683333333333334</v>
      </c>
    </row>
    <row r="1931" spans="1:7">
      <c r="A1931" s="6" t="s">
        <v>264</v>
      </c>
      <c r="B1931" s="6" t="s">
        <v>54</v>
      </c>
      <c r="C1931" s="6" t="s">
        <v>186</v>
      </c>
      <c r="D1931" s="6" t="s">
        <v>86</v>
      </c>
      <c r="E1931" s="6" t="s">
        <v>86</v>
      </c>
      <c r="F1931" s="6" t="b">
        <v>0</v>
      </c>
      <c r="G1931" s="6">
        <v>25.55408333333333</v>
      </c>
    </row>
    <row r="1932" spans="1:7">
      <c r="A1932" s="6" t="s">
        <v>264</v>
      </c>
      <c r="B1932" s="6" t="s">
        <v>54</v>
      </c>
      <c r="C1932" s="6" t="s">
        <v>186</v>
      </c>
      <c r="D1932" s="6" t="s">
        <v>88</v>
      </c>
      <c r="E1932" s="6" t="s">
        <v>88</v>
      </c>
      <c r="F1932" s="6" t="b">
        <v>0</v>
      </c>
      <c r="G1932" s="6">
        <v>0.1048333333333333</v>
      </c>
    </row>
    <row r="1933" spans="1:7">
      <c r="A1933" s="6" t="s">
        <v>264</v>
      </c>
      <c r="B1933" s="6" t="s">
        <v>54</v>
      </c>
      <c r="C1933" s="6" t="s">
        <v>186</v>
      </c>
      <c r="D1933" s="6" t="s">
        <v>90</v>
      </c>
      <c r="E1933" s="6" t="s">
        <v>90</v>
      </c>
      <c r="F1933" s="6" t="b">
        <v>0</v>
      </c>
      <c r="G1933" s="6">
        <v>5.31975</v>
      </c>
    </row>
    <row r="1934" spans="1:7">
      <c r="A1934" s="6" t="s">
        <v>264</v>
      </c>
      <c r="B1934" s="6" t="s">
        <v>54</v>
      </c>
      <c r="C1934" s="6" t="s">
        <v>186</v>
      </c>
      <c r="D1934" s="6" t="s">
        <v>177</v>
      </c>
      <c r="E1934" s="6" t="s">
        <v>86</v>
      </c>
      <c r="F1934" s="6" t="b">
        <v>0</v>
      </c>
      <c r="G1934" s="6">
        <v>0.1249166666666667</v>
      </c>
    </row>
    <row r="1935" spans="1:7">
      <c r="A1935" s="6" t="s">
        <v>264</v>
      </c>
      <c r="B1935" s="6" t="s">
        <v>54</v>
      </c>
      <c r="C1935" s="6" t="s">
        <v>189</v>
      </c>
      <c r="D1935" s="6" t="s">
        <v>86</v>
      </c>
      <c r="E1935" s="6" t="s">
        <v>86</v>
      </c>
      <c r="F1935" s="6" t="b">
        <v>0</v>
      </c>
      <c r="G1935" s="6">
        <v>0.8288333333333333</v>
      </c>
    </row>
    <row r="1936" spans="1:7">
      <c r="A1936" s="6" t="s">
        <v>264</v>
      </c>
      <c r="B1936" s="6" t="s">
        <v>54</v>
      </c>
      <c r="C1936" s="6" t="s">
        <v>189</v>
      </c>
      <c r="D1936" s="6" t="s">
        <v>88</v>
      </c>
      <c r="E1936" s="6" t="s">
        <v>88</v>
      </c>
      <c r="F1936" s="6" t="b">
        <v>0</v>
      </c>
      <c r="G1936" s="6">
        <v>8.537750000000001</v>
      </c>
    </row>
    <row r="1937" spans="1:7">
      <c r="A1937" s="6" t="s">
        <v>264</v>
      </c>
      <c r="B1937" s="6" t="s">
        <v>54</v>
      </c>
      <c r="C1937" s="6" t="s">
        <v>189</v>
      </c>
      <c r="D1937" s="6" t="s">
        <v>90</v>
      </c>
      <c r="E1937" s="6" t="s">
        <v>90</v>
      </c>
      <c r="F1937" s="6" t="b">
        <v>0</v>
      </c>
      <c r="G1937" s="6">
        <v>0.189</v>
      </c>
    </row>
    <row r="1938" spans="1:7">
      <c r="A1938" s="6" t="s">
        <v>265</v>
      </c>
      <c r="B1938" s="6" t="s">
        <v>54</v>
      </c>
      <c r="C1938" s="6" t="s">
        <v>181</v>
      </c>
      <c r="D1938" s="6" t="s">
        <v>88</v>
      </c>
      <c r="E1938" s="6" t="s">
        <v>88</v>
      </c>
      <c r="F1938" s="6" t="b">
        <v>0</v>
      </c>
      <c r="G1938" s="6">
        <v>69.14241666666666</v>
      </c>
    </row>
    <row r="1939" spans="1:7">
      <c r="A1939" s="6" t="s">
        <v>265</v>
      </c>
      <c r="B1939" s="6" t="s">
        <v>54</v>
      </c>
      <c r="C1939" s="6" t="s">
        <v>181</v>
      </c>
      <c r="D1939" s="6" t="s">
        <v>90</v>
      </c>
      <c r="E1939" s="6" t="s">
        <v>90</v>
      </c>
      <c r="F1939" s="6" t="b">
        <v>0</v>
      </c>
      <c r="G1939" s="6">
        <v>0.05691666666666667</v>
      </c>
    </row>
    <row r="1940" spans="1:7">
      <c r="A1940" s="6" t="s">
        <v>265</v>
      </c>
      <c r="B1940" s="6" t="s">
        <v>54</v>
      </c>
      <c r="C1940" s="6" t="s">
        <v>183</v>
      </c>
      <c r="D1940" s="6" t="s">
        <v>86</v>
      </c>
      <c r="E1940" s="6" t="s">
        <v>86</v>
      </c>
      <c r="F1940" s="6" t="b">
        <v>0</v>
      </c>
      <c r="G1940" s="6">
        <v>0.2351666666666667</v>
      </c>
    </row>
    <row r="1941" spans="1:7">
      <c r="A1941" s="6" t="s">
        <v>265</v>
      </c>
      <c r="B1941" s="6" t="s">
        <v>54</v>
      </c>
      <c r="C1941" s="6" t="s">
        <v>183</v>
      </c>
      <c r="D1941" s="6" t="s">
        <v>88</v>
      </c>
      <c r="E1941" s="6" t="s">
        <v>88</v>
      </c>
      <c r="F1941" s="6" t="b">
        <v>0</v>
      </c>
      <c r="G1941" s="6">
        <v>0.5951666666666667</v>
      </c>
    </row>
    <row r="1942" spans="1:7">
      <c r="A1942" s="6" t="s">
        <v>265</v>
      </c>
      <c r="B1942" s="6" t="s">
        <v>54</v>
      </c>
      <c r="C1942" s="6" t="s">
        <v>183</v>
      </c>
      <c r="D1942" s="6" t="s">
        <v>90</v>
      </c>
      <c r="E1942" s="6" t="s">
        <v>86</v>
      </c>
      <c r="F1942" s="6" t="b">
        <v>0</v>
      </c>
      <c r="G1942" s="6">
        <v>0.7496666666666667</v>
      </c>
    </row>
    <row r="1943" spans="1:7">
      <c r="A1943" s="6" t="s">
        <v>265</v>
      </c>
      <c r="B1943" s="6" t="s">
        <v>54</v>
      </c>
      <c r="C1943" s="6" t="s">
        <v>183</v>
      </c>
      <c r="D1943" s="6" t="s">
        <v>90</v>
      </c>
      <c r="E1943" s="6" t="s">
        <v>90</v>
      </c>
      <c r="F1943" s="6" t="b">
        <v>0</v>
      </c>
      <c r="G1943" s="6">
        <v>1.125416666666667</v>
      </c>
    </row>
    <row r="1944" spans="1:7">
      <c r="A1944" s="6" t="s">
        <v>265</v>
      </c>
      <c r="B1944" s="6" t="s">
        <v>54</v>
      </c>
      <c r="C1944" s="6" t="s">
        <v>183</v>
      </c>
      <c r="D1944" s="6" t="s">
        <v>177</v>
      </c>
      <c r="E1944" s="6" t="s">
        <v>86</v>
      </c>
      <c r="F1944" s="6" t="b">
        <v>0</v>
      </c>
      <c r="G1944" s="6">
        <v>0.0325</v>
      </c>
    </row>
    <row r="1945" spans="1:7">
      <c r="A1945" s="6" t="s">
        <v>265</v>
      </c>
      <c r="B1945" s="6" t="s">
        <v>54</v>
      </c>
      <c r="C1945" s="6" t="s">
        <v>184</v>
      </c>
      <c r="D1945" s="6" t="s">
        <v>44</v>
      </c>
      <c r="E1945" s="6" t="s">
        <v>44</v>
      </c>
      <c r="F1945" s="6" t="b">
        <v>0</v>
      </c>
      <c r="G1945" s="6">
        <v>240.2091666666667</v>
      </c>
    </row>
    <row r="1946" spans="1:7">
      <c r="A1946" s="6" t="s">
        <v>265</v>
      </c>
      <c r="B1946" s="6" t="s">
        <v>54</v>
      </c>
      <c r="C1946" s="6" t="s">
        <v>184</v>
      </c>
      <c r="D1946" s="6" t="s">
        <v>88</v>
      </c>
      <c r="E1946" s="6" t="s">
        <v>88</v>
      </c>
      <c r="F1946" s="6" t="b">
        <v>0</v>
      </c>
      <c r="G1946" s="6">
        <v>1.976916666666667</v>
      </c>
    </row>
    <row r="1947" spans="1:7">
      <c r="A1947" s="6" t="s">
        <v>265</v>
      </c>
      <c r="B1947" s="6" t="s">
        <v>54</v>
      </c>
      <c r="C1947" s="6" t="s">
        <v>184</v>
      </c>
      <c r="D1947" s="6" t="s">
        <v>90</v>
      </c>
      <c r="E1947" s="6" t="s">
        <v>90</v>
      </c>
      <c r="F1947" s="6" t="b">
        <v>0</v>
      </c>
      <c r="G1947" s="6">
        <v>0.6985833333333334</v>
      </c>
    </row>
    <row r="1948" spans="1:7">
      <c r="A1948" s="6" t="s">
        <v>265</v>
      </c>
      <c r="B1948" s="6" t="s">
        <v>54</v>
      </c>
      <c r="C1948" s="6" t="s">
        <v>184</v>
      </c>
      <c r="D1948" s="6" t="s">
        <v>90</v>
      </c>
      <c r="E1948" s="6" t="s">
        <v>685</v>
      </c>
      <c r="F1948" s="6" t="b">
        <v>1</v>
      </c>
      <c r="G1948" s="6">
        <v>2.213416666666667</v>
      </c>
    </row>
    <row r="1949" spans="1:7">
      <c r="A1949" s="6" t="s">
        <v>265</v>
      </c>
      <c r="B1949" s="6" t="s">
        <v>54</v>
      </c>
      <c r="C1949" s="6" t="s">
        <v>184</v>
      </c>
      <c r="D1949" s="6" t="s">
        <v>177</v>
      </c>
      <c r="E1949" s="6" t="s">
        <v>44</v>
      </c>
      <c r="F1949" s="6" t="b">
        <v>0</v>
      </c>
      <c r="G1949" s="6">
        <v>258.95525</v>
      </c>
    </row>
    <row r="1950" spans="1:7">
      <c r="A1950" s="6" t="s">
        <v>265</v>
      </c>
      <c r="B1950" s="6" t="s">
        <v>54</v>
      </c>
      <c r="C1950" s="6" t="s">
        <v>184</v>
      </c>
      <c r="D1950" s="6" t="s">
        <v>177</v>
      </c>
      <c r="E1950" s="6" t="s">
        <v>86</v>
      </c>
      <c r="F1950" s="6" t="b">
        <v>0</v>
      </c>
      <c r="G1950" s="6">
        <v>0.3885</v>
      </c>
    </row>
    <row r="1951" spans="1:7">
      <c r="A1951" s="6" t="s">
        <v>265</v>
      </c>
      <c r="B1951" s="6" t="s">
        <v>54</v>
      </c>
      <c r="C1951" s="6" t="s">
        <v>184</v>
      </c>
      <c r="D1951" s="6" t="s">
        <v>177</v>
      </c>
      <c r="E1951" s="6" t="s">
        <v>685</v>
      </c>
      <c r="F1951" s="6" t="b">
        <v>1</v>
      </c>
      <c r="G1951" s="6">
        <v>13.91691666666667</v>
      </c>
    </row>
    <row r="1952" spans="1:7">
      <c r="A1952" s="6" t="s">
        <v>265</v>
      </c>
      <c r="B1952" s="6" t="s">
        <v>54</v>
      </c>
      <c r="C1952" s="6" t="s">
        <v>185</v>
      </c>
      <c r="D1952" s="6" t="s">
        <v>44</v>
      </c>
      <c r="E1952" s="6" t="s">
        <v>44</v>
      </c>
      <c r="F1952" s="6" t="b">
        <v>0</v>
      </c>
      <c r="G1952" s="6">
        <v>14.18291666666667</v>
      </c>
    </row>
    <row r="1953" spans="1:7">
      <c r="A1953" s="6" t="s">
        <v>265</v>
      </c>
      <c r="B1953" s="6" t="s">
        <v>54</v>
      </c>
      <c r="C1953" s="6" t="s">
        <v>185</v>
      </c>
      <c r="D1953" s="6" t="s">
        <v>44</v>
      </c>
      <c r="E1953" s="6" t="s">
        <v>685</v>
      </c>
      <c r="F1953" s="6" t="b">
        <v>1</v>
      </c>
      <c r="G1953" s="6">
        <v>18.88108333333333</v>
      </c>
    </row>
    <row r="1954" spans="1:7">
      <c r="A1954" s="6" t="s">
        <v>265</v>
      </c>
      <c r="B1954" s="6" t="s">
        <v>54</v>
      </c>
      <c r="C1954" s="6" t="s">
        <v>186</v>
      </c>
      <c r="D1954" s="6" t="s">
        <v>86</v>
      </c>
      <c r="E1954" s="6" t="s">
        <v>86</v>
      </c>
      <c r="F1954" s="6" t="b">
        <v>0</v>
      </c>
      <c r="G1954" s="6">
        <v>70.11333333333333</v>
      </c>
    </row>
    <row r="1955" spans="1:7">
      <c r="A1955" s="6" t="s">
        <v>265</v>
      </c>
      <c r="B1955" s="6" t="s">
        <v>54</v>
      </c>
      <c r="C1955" s="6" t="s">
        <v>186</v>
      </c>
      <c r="D1955" s="6" t="s">
        <v>88</v>
      </c>
      <c r="E1955" s="6" t="s">
        <v>88</v>
      </c>
      <c r="F1955" s="6" t="b">
        <v>0</v>
      </c>
      <c r="G1955" s="6">
        <v>3.567333333333333</v>
      </c>
    </row>
    <row r="1956" spans="1:7">
      <c r="A1956" s="6" t="s">
        <v>265</v>
      </c>
      <c r="B1956" s="6" t="s">
        <v>54</v>
      </c>
      <c r="C1956" s="6" t="s">
        <v>186</v>
      </c>
      <c r="D1956" s="6" t="s">
        <v>90</v>
      </c>
      <c r="E1956" s="6" t="s">
        <v>90</v>
      </c>
      <c r="F1956" s="6" t="b">
        <v>0</v>
      </c>
      <c r="G1956" s="6">
        <v>46.73875</v>
      </c>
    </row>
    <row r="1957" spans="1:7">
      <c r="A1957" s="6" t="s">
        <v>265</v>
      </c>
      <c r="B1957" s="6" t="s">
        <v>54</v>
      </c>
      <c r="C1957" s="6" t="s">
        <v>186</v>
      </c>
      <c r="D1957" s="6" t="s">
        <v>177</v>
      </c>
      <c r="E1957" s="6" t="s">
        <v>86</v>
      </c>
      <c r="F1957" s="6" t="b">
        <v>0</v>
      </c>
      <c r="G1957" s="6">
        <v>2.406166666666667</v>
      </c>
    </row>
    <row r="1958" spans="1:7">
      <c r="A1958" s="6" t="s">
        <v>265</v>
      </c>
      <c r="B1958" s="6" t="s">
        <v>54</v>
      </c>
      <c r="C1958" s="6" t="s">
        <v>187</v>
      </c>
      <c r="D1958" s="6" t="s">
        <v>86</v>
      </c>
      <c r="E1958" s="6" t="s">
        <v>86</v>
      </c>
      <c r="F1958" s="6" t="b">
        <v>0</v>
      </c>
      <c r="G1958" s="6">
        <v>7.102333333333333</v>
      </c>
    </row>
    <row r="1959" spans="1:7">
      <c r="A1959" s="6" t="s">
        <v>265</v>
      </c>
      <c r="B1959" s="6" t="s">
        <v>54</v>
      </c>
      <c r="C1959" s="6" t="s">
        <v>187</v>
      </c>
      <c r="D1959" s="6" t="s">
        <v>88</v>
      </c>
      <c r="E1959" s="6" t="s">
        <v>88</v>
      </c>
      <c r="F1959" s="6" t="b">
        <v>0</v>
      </c>
      <c r="G1959" s="6">
        <v>8.669416666666667</v>
      </c>
    </row>
    <row r="1960" spans="1:7">
      <c r="A1960" s="6" t="s">
        <v>265</v>
      </c>
      <c r="B1960" s="6" t="s">
        <v>54</v>
      </c>
      <c r="C1960" s="6" t="s">
        <v>187</v>
      </c>
      <c r="D1960" s="6" t="s">
        <v>90</v>
      </c>
      <c r="E1960" s="6" t="s">
        <v>90</v>
      </c>
      <c r="F1960" s="6" t="b">
        <v>0</v>
      </c>
      <c r="G1960" s="6">
        <v>0.01033333333333333</v>
      </c>
    </row>
    <row r="1961" spans="1:7">
      <c r="A1961" s="6" t="s">
        <v>265</v>
      </c>
      <c r="B1961" s="6" t="s">
        <v>54</v>
      </c>
      <c r="C1961" s="6" t="s">
        <v>189</v>
      </c>
      <c r="D1961" s="6" t="s">
        <v>86</v>
      </c>
      <c r="E1961" s="6" t="s">
        <v>86</v>
      </c>
      <c r="F1961" s="6" t="b">
        <v>0</v>
      </c>
      <c r="G1961" s="6">
        <v>17.95475</v>
      </c>
    </row>
    <row r="1962" spans="1:7">
      <c r="A1962" s="6" t="s">
        <v>265</v>
      </c>
      <c r="B1962" s="6" t="s">
        <v>54</v>
      </c>
      <c r="C1962" s="6" t="s">
        <v>189</v>
      </c>
      <c r="D1962" s="6" t="s">
        <v>88</v>
      </c>
      <c r="E1962" s="6" t="s">
        <v>88</v>
      </c>
      <c r="F1962" s="6" t="b">
        <v>0</v>
      </c>
      <c r="G1962" s="6">
        <v>23.3345</v>
      </c>
    </row>
    <row r="1963" spans="1:7">
      <c r="A1963" s="6" t="s">
        <v>265</v>
      </c>
      <c r="B1963" s="6" t="s">
        <v>54</v>
      </c>
      <c r="C1963" s="6" t="s">
        <v>189</v>
      </c>
      <c r="D1963" s="6" t="s">
        <v>90</v>
      </c>
      <c r="E1963" s="6" t="s">
        <v>90</v>
      </c>
      <c r="F1963" s="6" t="b">
        <v>0</v>
      </c>
      <c r="G1963" s="6">
        <v>3.057333333333334</v>
      </c>
    </row>
    <row r="1964" spans="1:7">
      <c r="A1964" s="6" t="s">
        <v>265</v>
      </c>
      <c r="B1964" s="6" t="s">
        <v>54</v>
      </c>
      <c r="C1964" s="6" t="s">
        <v>190</v>
      </c>
      <c r="D1964" s="6" t="s">
        <v>44</v>
      </c>
      <c r="E1964" s="6" t="s">
        <v>44</v>
      </c>
      <c r="F1964" s="6" t="b">
        <v>0</v>
      </c>
      <c r="G1964" s="6">
        <v>14.135</v>
      </c>
    </row>
    <row r="1965" spans="1:7">
      <c r="A1965" s="6" t="s">
        <v>265</v>
      </c>
      <c r="B1965" s="6" t="s">
        <v>54</v>
      </c>
      <c r="C1965" s="6" t="s">
        <v>190</v>
      </c>
      <c r="D1965" s="6" t="s">
        <v>177</v>
      </c>
      <c r="E1965" s="6" t="s">
        <v>44</v>
      </c>
      <c r="F1965" s="6" t="b">
        <v>0</v>
      </c>
      <c r="G1965" s="6">
        <v>27.2005</v>
      </c>
    </row>
    <row r="1966" spans="1:7">
      <c r="A1966" s="6" t="s">
        <v>266</v>
      </c>
      <c r="B1966" s="6" t="s">
        <v>57</v>
      </c>
      <c r="C1966" s="6" t="s">
        <v>181</v>
      </c>
      <c r="D1966" s="6" t="s">
        <v>88</v>
      </c>
      <c r="E1966" s="6" t="s">
        <v>88</v>
      </c>
      <c r="F1966" s="6" t="b">
        <v>0</v>
      </c>
      <c r="G1966" s="6">
        <v>6.026833333333333</v>
      </c>
    </row>
    <row r="1967" spans="1:7">
      <c r="A1967" s="6" t="s">
        <v>266</v>
      </c>
      <c r="B1967" s="6" t="s">
        <v>57</v>
      </c>
      <c r="C1967" s="6" t="s">
        <v>181</v>
      </c>
      <c r="D1967" s="6" t="s">
        <v>90</v>
      </c>
      <c r="E1967" s="6" t="s">
        <v>90</v>
      </c>
      <c r="F1967" s="6" t="b">
        <v>0</v>
      </c>
      <c r="G1967" s="6">
        <v>0.05775</v>
      </c>
    </row>
    <row r="1968" spans="1:7">
      <c r="A1968" s="6" t="s">
        <v>266</v>
      </c>
      <c r="B1968" s="6" t="s">
        <v>57</v>
      </c>
      <c r="C1968" s="6" t="s">
        <v>183</v>
      </c>
      <c r="D1968" s="6" t="s">
        <v>86</v>
      </c>
      <c r="E1968" s="6" t="s">
        <v>86</v>
      </c>
      <c r="F1968" s="6" t="b">
        <v>0</v>
      </c>
      <c r="G1968" s="6">
        <v>0.05308333333333334</v>
      </c>
    </row>
    <row r="1969" spans="1:7">
      <c r="A1969" s="6" t="s">
        <v>266</v>
      </c>
      <c r="B1969" s="6" t="s">
        <v>57</v>
      </c>
      <c r="C1969" s="6" t="s">
        <v>183</v>
      </c>
      <c r="D1969" s="6" t="s">
        <v>88</v>
      </c>
      <c r="E1969" s="6" t="s">
        <v>88</v>
      </c>
      <c r="F1969" s="6" t="b">
        <v>0</v>
      </c>
      <c r="G1969" s="6">
        <v>0.2765</v>
      </c>
    </row>
    <row r="1970" spans="1:7">
      <c r="A1970" s="6" t="s">
        <v>266</v>
      </c>
      <c r="B1970" s="6" t="s">
        <v>57</v>
      </c>
      <c r="C1970" s="6" t="s">
        <v>183</v>
      </c>
      <c r="D1970" s="6" t="s">
        <v>90</v>
      </c>
      <c r="E1970" s="6" t="s">
        <v>86</v>
      </c>
      <c r="F1970" s="6" t="b">
        <v>0</v>
      </c>
      <c r="G1970" s="6">
        <v>0.1344166666666667</v>
      </c>
    </row>
    <row r="1971" spans="1:7">
      <c r="A1971" s="6" t="s">
        <v>266</v>
      </c>
      <c r="B1971" s="6" t="s">
        <v>57</v>
      </c>
      <c r="C1971" s="6" t="s">
        <v>183</v>
      </c>
      <c r="D1971" s="6" t="s">
        <v>90</v>
      </c>
      <c r="E1971" s="6" t="s">
        <v>90</v>
      </c>
      <c r="F1971" s="6" t="b">
        <v>0</v>
      </c>
      <c r="G1971" s="6">
        <v>0.2048333333333333</v>
      </c>
    </row>
    <row r="1972" spans="1:7">
      <c r="A1972" s="6" t="s">
        <v>266</v>
      </c>
      <c r="B1972" s="6" t="s">
        <v>57</v>
      </c>
      <c r="C1972" s="6" t="s">
        <v>183</v>
      </c>
      <c r="D1972" s="6" t="s">
        <v>177</v>
      </c>
      <c r="E1972" s="6" t="s">
        <v>86</v>
      </c>
      <c r="F1972" s="6" t="b">
        <v>0</v>
      </c>
      <c r="G1972" s="6">
        <v>0.03475</v>
      </c>
    </row>
    <row r="1973" spans="1:7">
      <c r="A1973" s="6" t="s">
        <v>266</v>
      </c>
      <c r="B1973" s="6" t="s">
        <v>57</v>
      </c>
      <c r="C1973" s="6" t="s">
        <v>183</v>
      </c>
      <c r="D1973" s="6" t="s">
        <v>177</v>
      </c>
      <c r="E1973" s="6" t="s">
        <v>685</v>
      </c>
      <c r="F1973" s="6" t="b">
        <v>1</v>
      </c>
      <c r="G1973" s="6">
        <v>0.0125</v>
      </c>
    </row>
    <row r="1974" spans="1:7">
      <c r="A1974" s="6" t="s">
        <v>266</v>
      </c>
      <c r="B1974" s="6" t="s">
        <v>57</v>
      </c>
      <c r="C1974" s="6" t="s">
        <v>184</v>
      </c>
      <c r="D1974" s="6" t="s">
        <v>44</v>
      </c>
      <c r="E1974" s="6" t="s">
        <v>44</v>
      </c>
      <c r="F1974" s="6" t="b">
        <v>0</v>
      </c>
      <c r="G1974" s="6">
        <v>51.55616666666666</v>
      </c>
    </row>
    <row r="1975" spans="1:7">
      <c r="A1975" s="6" t="s">
        <v>266</v>
      </c>
      <c r="B1975" s="6" t="s">
        <v>57</v>
      </c>
      <c r="C1975" s="6" t="s">
        <v>184</v>
      </c>
      <c r="D1975" s="6" t="s">
        <v>88</v>
      </c>
      <c r="E1975" s="6" t="s">
        <v>88</v>
      </c>
      <c r="F1975" s="6" t="b">
        <v>0</v>
      </c>
      <c r="G1975" s="6">
        <v>0.5975</v>
      </c>
    </row>
    <row r="1976" spans="1:7">
      <c r="A1976" s="6" t="s">
        <v>266</v>
      </c>
      <c r="B1976" s="6" t="s">
        <v>57</v>
      </c>
      <c r="C1976" s="6" t="s">
        <v>184</v>
      </c>
      <c r="D1976" s="6" t="s">
        <v>90</v>
      </c>
      <c r="E1976" s="6" t="s">
        <v>90</v>
      </c>
      <c r="F1976" s="6" t="b">
        <v>0</v>
      </c>
      <c r="G1976" s="6">
        <v>0.5488333333333334</v>
      </c>
    </row>
    <row r="1977" spans="1:7">
      <c r="A1977" s="6" t="s">
        <v>266</v>
      </c>
      <c r="B1977" s="6" t="s">
        <v>57</v>
      </c>
      <c r="C1977" s="6" t="s">
        <v>184</v>
      </c>
      <c r="D1977" s="6" t="s">
        <v>90</v>
      </c>
      <c r="E1977" s="6" t="s">
        <v>685</v>
      </c>
      <c r="F1977" s="6" t="b">
        <v>1</v>
      </c>
      <c r="G1977" s="6">
        <v>1.220083333333333</v>
      </c>
    </row>
    <row r="1978" spans="1:7">
      <c r="A1978" s="6" t="s">
        <v>266</v>
      </c>
      <c r="B1978" s="6" t="s">
        <v>57</v>
      </c>
      <c r="C1978" s="6" t="s">
        <v>184</v>
      </c>
      <c r="D1978" s="6" t="s">
        <v>177</v>
      </c>
      <c r="E1978" s="6" t="s">
        <v>44</v>
      </c>
      <c r="F1978" s="6" t="b">
        <v>0</v>
      </c>
      <c r="G1978" s="6">
        <v>68.77933333333333</v>
      </c>
    </row>
    <row r="1979" spans="1:7">
      <c r="A1979" s="6" t="s">
        <v>266</v>
      </c>
      <c r="B1979" s="6" t="s">
        <v>57</v>
      </c>
      <c r="C1979" s="6" t="s">
        <v>184</v>
      </c>
      <c r="D1979" s="6" t="s">
        <v>177</v>
      </c>
      <c r="E1979" s="6" t="s">
        <v>86</v>
      </c>
      <c r="F1979" s="6" t="b">
        <v>0</v>
      </c>
      <c r="G1979" s="6">
        <v>0.624</v>
      </c>
    </row>
    <row r="1980" spans="1:7">
      <c r="A1980" s="6" t="s">
        <v>266</v>
      </c>
      <c r="B1980" s="6" t="s">
        <v>57</v>
      </c>
      <c r="C1980" s="6" t="s">
        <v>184</v>
      </c>
      <c r="D1980" s="6" t="s">
        <v>177</v>
      </c>
      <c r="E1980" s="6" t="s">
        <v>685</v>
      </c>
      <c r="F1980" s="6" t="b">
        <v>1</v>
      </c>
      <c r="G1980" s="6">
        <v>11.57983333333333</v>
      </c>
    </row>
    <row r="1981" spans="1:7">
      <c r="A1981" s="6" t="s">
        <v>266</v>
      </c>
      <c r="B1981" s="6" t="s">
        <v>57</v>
      </c>
      <c r="C1981" s="6" t="s">
        <v>186</v>
      </c>
      <c r="D1981" s="6" t="s">
        <v>86</v>
      </c>
      <c r="E1981" s="6" t="s">
        <v>86</v>
      </c>
      <c r="F1981" s="6" t="b">
        <v>0</v>
      </c>
      <c r="G1981" s="6">
        <v>12.50091666666667</v>
      </c>
    </row>
    <row r="1982" spans="1:7">
      <c r="A1982" s="6" t="s">
        <v>266</v>
      </c>
      <c r="B1982" s="6" t="s">
        <v>57</v>
      </c>
      <c r="C1982" s="6" t="s">
        <v>186</v>
      </c>
      <c r="D1982" s="6" t="s">
        <v>88</v>
      </c>
      <c r="E1982" s="6" t="s">
        <v>88</v>
      </c>
      <c r="F1982" s="6" t="b">
        <v>0</v>
      </c>
      <c r="G1982" s="6">
        <v>0.6935833333333333</v>
      </c>
    </row>
    <row r="1983" spans="1:7">
      <c r="A1983" s="6" t="s">
        <v>266</v>
      </c>
      <c r="B1983" s="6" t="s">
        <v>57</v>
      </c>
      <c r="C1983" s="6" t="s">
        <v>186</v>
      </c>
      <c r="D1983" s="6" t="s">
        <v>90</v>
      </c>
      <c r="E1983" s="6" t="s">
        <v>90</v>
      </c>
      <c r="F1983" s="6" t="b">
        <v>0</v>
      </c>
      <c r="G1983" s="6">
        <v>6.033166666666666</v>
      </c>
    </row>
    <row r="1984" spans="1:7">
      <c r="A1984" s="6" t="s">
        <v>266</v>
      </c>
      <c r="B1984" s="6" t="s">
        <v>57</v>
      </c>
      <c r="C1984" s="6" t="s">
        <v>186</v>
      </c>
      <c r="D1984" s="6" t="s">
        <v>177</v>
      </c>
      <c r="E1984" s="6" t="s">
        <v>86</v>
      </c>
      <c r="F1984" s="6" t="b">
        <v>0</v>
      </c>
      <c r="G1984" s="6">
        <v>0.219</v>
      </c>
    </row>
    <row r="1985" spans="1:7">
      <c r="A1985" s="6" t="s">
        <v>266</v>
      </c>
      <c r="B1985" s="6" t="s">
        <v>57</v>
      </c>
      <c r="C1985" s="6" t="s">
        <v>189</v>
      </c>
      <c r="D1985" s="6" t="s">
        <v>86</v>
      </c>
      <c r="E1985" s="6" t="s">
        <v>86</v>
      </c>
      <c r="F1985" s="6" t="b">
        <v>0</v>
      </c>
      <c r="G1985" s="6">
        <v>7.407</v>
      </c>
    </row>
    <row r="1986" spans="1:7">
      <c r="A1986" s="6" t="s">
        <v>266</v>
      </c>
      <c r="B1986" s="6" t="s">
        <v>57</v>
      </c>
      <c r="C1986" s="6" t="s">
        <v>189</v>
      </c>
      <c r="D1986" s="6" t="s">
        <v>88</v>
      </c>
      <c r="E1986" s="6" t="s">
        <v>88</v>
      </c>
      <c r="F1986" s="6" t="b">
        <v>0</v>
      </c>
      <c r="G1986" s="6">
        <v>2.23575</v>
      </c>
    </row>
    <row r="1987" spans="1:7">
      <c r="A1987" s="6" t="s">
        <v>266</v>
      </c>
      <c r="B1987" s="6" t="s">
        <v>57</v>
      </c>
      <c r="C1987" s="6" t="s">
        <v>189</v>
      </c>
      <c r="D1987" s="6" t="s">
        <v>90</v>
      </c>
      <c r="E1987" s="6" t="s">
        <v>90</v>
      </c>
      <c r="F1987" s="6" t="b">
        <v>0</v>
      </c>
      <c r="G1987" s="6">
        <v>1.235333333333333</v>
      </c>
    </row>
    <row r="1988" spans="1:7">
      <c r="A1988" s="6" t="s">
        <v>266</v>
      </c>
      <c r="B1988" s="6" t="s">
        <v>57</v>
      </c>
      <c r="C1988" s="6" t="s">
        <v>190</v>
      </c>
      <c r="D1988" s="6" t="s">
        <v>44</v>
      </c>
      <c r="E1988" s="6" t="s">
        <v>44</v>
      </c>
      <c r="F1988" s="6" t="b">
        <v>0</v>
      </c>
      <c r="G1988" s="6">
        <v>133.31075</v>
      </c>
    </row>
    <row r="1989" spans="1:7">
      <c r="A1989" s="6" t="s">
        <v>266</v>
      </c>
      <c r="B1989" s="6" t="s">
        <v>57</v>
      </c>
      <c r="C1989" s="6" t="s">
        <v>190</v>
      </c>
      <c r="D1989" s="6" t="s">
        <v>86</v>
      </c>
      <c r="E1989" s="6" t="s">
        <v>44</v>
      </c>
      <c r="F1989" s="6" t="b">
        <v>0</v>
      </c>
      <c r="G1989" s="6">
        <v>7.093</v>
      </c>
    </row>
    <row r="1990" spans="1:7">
      <c r="A1990" s="6" t="s">
        <v>266</v>
      </c>
      <c r="B1990" s="6" t="s">
        <v>57</v>
      </c>
      <c r="C1990" s="6" t="s">
        <v>190</v>
      </c>
      <c r="D1990" s="6" t="s">
        <v>86</v>
      </c>
      <c r="E1990" s="6" t="s">
        <v>86</v>
      </c>
      <c r="F1990" s="6" t="b">
        <v>0</v>
      </c>
      <c r="G1990" s="6">
        <v>0.9173333333333332</v>
      </c>
    </row>
    <row r="1991" spans="1:7">
      <c r="A1991" s="6" t="s">
        <v>266</v>
      </c>
      <c r="B1991" s="6" t="s">
        <v>57</v>
      </c>
      <c r="C1991" s="6" t="s">
        <v>190</v>
      </c>
      <c r="D1991" s="6" t="s">
        <v>88</v>
      </c>
      <c r="E1991" s="6" t="s">
        <v>88</v>
      </c>
      <c r="F1991" s="6" t="b">
        <v>0</v>
      </c>
      <c r="G1991" s="6">
        <v>0.005500000000000001</v>
      </c>
    </row>
    <row r="1992" spans="1:7">
      <c r="A1992" s="6" t="s">
        <v>266</v>
      </c>
      <c r="B1992" s="6" t="s">
        <v>57</v>
      </c>
      <c r="C1992" s="6" t="s">
        <v>190</v>
      </c>
      <c r="D1992" s="6" t="s">
        <v>90</v>
      </c>
      <c r="E1992" s="6" t="s">
        <v>44</v>
      </c>
      <c r="F1992" s="6" t="b">
        <v>0</v>
      </c>
      <c r="G1992" s="6">
        <v>2.81875</v>
      </c>
    </row>
    <row r="1993" spans="1:7">
      <c r="A1993" s="6" t="s">
        <v>266</v>
      </c>
      <c r="B1993" s="6" t="s">
        <v>57</v>
      </c>
      <c r="C1993" s="6" t="s">
        <v>190</v>
      </c>
      <c r="D1993" s="6" t="s">
        <v>90</v>
      </c>
      <c r="E1993" s="6" t="s">
        <v>90</v>
      </c>
      <c r="F1993" s="6" t="b">
        <v>0</v>
      </c>
      <c r="G1993" s="6">
        <v>4.001</v>
      </c>
    </row>
    <row r="1994" spans="1:7">
      <c r="A1994" s="6" t="s">
        <v>266</v>
      </c>
      <c r="B1994" s="6" t="s">
        <v>57</v>
      </c>
      <c r="C1994" s="6" t="s">
        <v>190</v>
      </c>
      <c r="D1994" s="6" t="s">
        <v>177</v>
      </c>
      <c r="E1994" s="6" t="s">
        <v>44</v>
      </c>
      <c r="F1994" s="6" t="b">
        <v>0</v>
      </c>
      <c r="G1994" s="6">
        <v>86.89</v>
      </c>
    </row>
    <row r="1995" spans="1:7">
      <c r="A1995" s="6" t="s">
        <v>266</v>
      </c>
      <c r="B1995" s="6" t="s">
        <v>57</v>
      </c>
      <c r="C1995" s="6" t="s">
        <v>190</v>
      </c>
      <c r="D1995" s="6" t="s">
        <v>177</v>
      </c>
      <c r="E1995" s="6" t="s">
        <v>86</v>
      </c>
      <c r="F1995" s="6" t="b">
        <v>0</v>
      </c>
      <c r="G1995" s="6">
        <v>0.9720833333333334</v>
      </c>
    </row>
    <row r="1996" spans="1:7">
      <c r="A1996" s="6" t="s">
        <v>266</v>
      </c>
      <c r="B1996" s="6" t="s">
        <v>57</v>
      </c>
      <c r="C1996" s="6" t="s">
        <v>190</v>
      </c>
      <c r="D1996" s="6" t="s">
        <v>92</v>
      </c>
      <c r="E1996" s="6" t="s">
        <v>92</v>
      </c>
      <c r="F1996" s="6" t="b">
        <v>0</v>
      </c>
      <c r="G1996" s="6">
        <v>0.2189166666666666</v>
      </c>
    </row>
    <row r="1997" spans="1:7">
      <c r="A1997" s="6" t="s">
        <v>354</v>
      </c>
      <c r="B1997" s="6" t="s">
        <v>51</v>
      </c>
      <c r="C1997" s="6" t="s">
        <v>181</v>
      </c>
      <c r="D1997" s="6" t="s">
        <v>88</v>
      </c>
      <c r="E1997" s="6" t="s">
        <v>88</v>
      </c>
      <c r="F1997" s="6" t="b">
        <v>0</v>
      </c>
      <c r="G1997" s="6">
        <v>0.033</v>
      </c>
    </row>
    <row r="1998" spans="1:7">
      <c r="A1998" s="6" t="s">
        <v>354</v>
      </c>
      <c r="B1998" s="6" t="s">
        <v>51</v>
      </c>
      <c r="C1998" s="6" t="s">
        <v>183</v>
      </c>
      <c r="D1998" s="6" t="s">
        <v>177</v>
      </c>
      <c r="E1998" s="6" t="s">
        <v>86</v>
      </c>
      <c r="F1998" s="6" t="b">
        <v>0</v>
      </c>
      <c r="G1998" s="6">
        <v>0.0009166666666666666</v>
      </c>
    </row>
    <row r="1999" spans="1:7">
      <c r="A1999" s="6" t="s">
        <v>354</v>
      </c>
      <c r="B1999" s="6" t="s">
        <v>51</v>
      </c>
      <c r="C1999" s="6" t="s">
        <v>184</v>
      </c>
      <c r="D1999" s="6" t="s">
        <v>44</v>
      </c>
      <c r="E1999" s="6" t="s">
        <v>44</v>
      </c>
      <c r="F1999" s="6" t="b">
        <v>0</v>
      </c>
      <c r="G1999" s="6">
        <v>0.1165</v>
      </c>
    </row>
    <row r="2000" spans="1:7">
      <c r="A2000" s="6" t="s">
        <v>354</v>
      </c>
      <c r="B2000" s="6" t="s">
        <v>51</v>
      </c>
      <c r="C2000" s="6" t="s">
        <v>184</v>
      </c>
      <c r="D2000" s="6" t="s">
        <v>88</v>
      </c>
      <c r="E2000" s="6" t="s">
        <v>88</v>
      </c>
      <c r="F2000" s="6" t="b">
        <v>0</v>
      </c>
      <c r="G2000" s="6">
        <v>0.002333333333333334</v>
      </c>
    </row>
    <row r="2001" spans="1:7">
      <c r="A2001" s="6" t="s">
        <v>354</v>
      </c>
      <c r="B2001" s="6" t="s">
        <v>51</v>
      </c>
      <c r="C2001" s="6" t="s">
        <v>184</v>
      </c>
      <c r="D2001" s="6" t="s">
        <v>90</v>
      </c>
      <c r="E2001" s="6" t="s">
        <v>685</v>
      </c>
      <c r="F2001" s="6" t="b">
        <v>1</v>
      </c>
      <c r="G2001" s="6">
        <v>0.003416666666666667</v>
      </c>
    </row>
    <row r="2002" spans="1:7">
      <c r="A2002" s="6" t="s">
        <v>354</v>
      </c>
      <c r="B2002" s="6" t="s">
        <v>51</v>
      </c>
      <c r="C2002" s="6" t="s">
        <v>184</v>
      </c>
      <c r="D2002" s="6" t="s">
        <v>177</v>
      </c>
      <c r="E2002" s="6" t="s">
        <v>44</v>
      </c>
      <c r="F2002" s="6" t="b">
        <v>0</v>
      </c>
      <c r="G2002" s="6">
        <v>0.0235</v>
      </c>
    </row>
    <row r="2003" spans="1:7">
      <c r="A2003" s="6" t="s">
        <v>354</v>
      </c>
      <c r="B2003" s="6" t="s">
        <v>51</v>
      </c>
      <c r="C2003" s="6" t="s">
        <v>184</v>
      </c>
      <c r="D2003" s="6" t="s">
        <v>177</v>
      </c>
      <c r="E2003" s="6" t="s">
        <v>86</v>
      </c>
      <c r="F2003" s="6" t="b">
        <v>0</v>
      </c>
      <c r="G2003" s="6">
        <v>0.00175</v>
      </c>
    </row>
    <row r="2004" spans="1:7">
      <c r="A2004" s="6" t="s">
        <v>354</v>
      </c>
      <c r="B2004" s="6" t="s">
        <v>51</v>
      </c>
      <c r="C2004" s="6" t="s">
        <v>184</v>
      </c>
      <c r="D2004" s="6" t="s">
        <v>177</v>
      </c>
      <c r="E2004" s="6" t="s">
        <v>685</v>
      </c>
      <c r="F2004" s="6" t="b">
        <v>1</v>
      </c>
      <c r="G2004" s="6">
        <v>0.02691666666666666</v>
      </c>
    </row>
    <row r="2005" spans="1:7">
      <c r="A2005" s="6" t="s">
        <v>354</v>
      </c>
      <c r="B2005" s="6" t="s">
        <v>51</v>
      </c>
      <c r="C2005" s="6" t="s">
        <v>186</v>
      </c>
      <c r="D2005" s="6" t="s">
        <v>86</v>
      </c>
      <c r="E2005" s="6" t="s">
        <v>86</v>
      </c>
      <c r="F2005" s="6" t="b">
        <v>0</v>
      </c>
      <c r="G2005" s="6">
        <v>0.04741666666666666</v>
      </c>
    </row>
    <row r="2006" spans="1:7">
      <c r="A2006" s="6" t="s">
        <v>354</v>
      </c>
      <c r="B2006" s="6" t="s">
        <v>51</v>
      </c>
      <c r="C2006" s="6" t="s">
        <v>186</v>
      </c>
      <c r="D2006" s="6" t="s">
        <v>88</v>
      </c>
      <c r="E2006" s="6" t="s">
        <v>88</v>
      </c>
      <c r="F2006" s="6" t="b">
        <v>0</v>
      </c>
      <c r="G2006" s="6">
        <v>0.0035</v>
      </c>
    </row>
    <row r="2007" spans="1:7">
      <c r="A2007" s="6" t="s">
        <v>354</v>
      </c>
      <c r="B2007" s="6" t="s">
        <v>51</v>
      </c>
      <c r="C2007" s="6" t="s">
        <v>186</v>
      </c>
      <c r="D2007" s="6" t="s">
        <v>90</v>
      </c>
      <c r="E2007" s="6" t="s">
        <v>90</v>
      </c>
      <c r="F2007" s="6" t="b">
        <v>0</v>
      </c>
      <c r="G2007" s="6">
        <v>0.003416666666666666</v>
      </c>
    </row>
    <row r="2008" spans="1:7">
      <c r="A2008" s="6" t="s">
        <v>354</v>
      </c>
      <c r="B2008" s="6" t="s">
        <v>51</v>
      </c>
      <c r="C2008" s="6" t="s">
        <v>189</v>
      </c>
      <c r="D2008" s="6" t="s">
        <v>86</v>
      </c>
      <c r="E2008" s="6" t="s">
        <v>86</v>
      </c>
      <c r="F2008" s="6" t="b">
        <v>0</v>
      </c>
      <c r="G2008" s="6">
        <v>0.02533333333333333</v>
      </c>
    </row>
    <row r="2009" spans="1:7">
      <c r="A2009" s="6" t="s">
        <v>354</v>
      </c>
      <c r="B2009" s="6" t="s">
        <v>51</v>
      </c>
      <c r="C2009" s="6" t="s">
        <v>189</v>
      </c>
      <c r="D2009" s="6" t="s">
        <v>88</v>
      </c>
      <c r="E2009" s="6" t="s">
        <v>88</v>
      </c>
      <c r="F2009" s="6" t="b">
        <v>0</v>
      </c>
      <c r="G2009" s="6">
        <v>0.02</v>
      </c>
    </row>
    <row r="2010" spans="1:7">
      <c r="A2010" s="6" t="s">
        <v>355</v>
      </c>
      <c r="B2010" s="6" t="s">
        <v>52</v>
      </c>
      <c r="C2010" s="6" t="s">
        <v>184</v>
      </c>
      <c r="D2010" s="6" t="s">
        <v>44</v>
      </c>
      <c r="E2010" s="6" t="s">
        <v>44</v>
      </c>
      <c r="F2010" s="6" t="b">
        <v>0</v>
      </c>
      <c r="G2010" s="6">
        <v>2.770833333333333</v>
      </c>
    </row>
    <row r="2011" spans="1:7">
      <c r="A2011" s="6" t="s">
        <v>355</v>
      </c>
      <c r="B2011" s="6" t="s">
        <v>52</v>
      </c>
      <c r="C2011" s="6" t="s">
        <v>184</v>
      </c>
      <c r="D2011" s="6" t="s">
        <v>44</v>
      </c>
      <c r="E2011" s="6" t="s">
        <v>685</v>
      </c>
      <c r="F2011" s="6" t="b">
        <v>1</v>
      </c>
      <c r="G2011" s="6">
        <v>5.100000000000001</v>
      </c>
    </row>
    <row r="2012" spans="1:7">
      <c r="A2012" s="6" t="s">
        <v>355</v>
      </c>
      <c r="B2012" s="6" t="s">
        <v>52</v>
      </c>
      <c r="C2012" s="6" t="s">
        <v>186</v>
      </c>
      <c r="D2012" s="6" t="s">
        <v>86</v>
      </c>
      <c r="E2012" s="6" t="s">
        <v>86</v>
      </c>
      <c r="F2012" s="6" t="b">
        <v>0</v>
      </c>
      <c r="G2012" s="6">
        <v>36.95558333333333</v>
      </c>
    </row>
    <row r="2013" spans="1:7">
      <c r="A2013" s="6" t="s">
        <v>355</v>
      </c>
      <c r="B2013" s="6" t="s">
        <v>52</v>
      </c>
      <c r="C2013" s="6" t="s">
        <v>186</v>
      </c>
      <c r="D2013" s="6" t="s">
        <v>88</v>
      </c>
      <c r="E2013" s="6" t="s">
        <v>88</v>
      </c>
      <c r="F2013" s="6" t="b">
        <v>0</v>
      </c>
      <c r="G2013" s="6">
        <v>1.147333333333333</v>
      </c>
    </row>
    <row r="2014" spans="1:7">
      <c r="A2014" s="6" t="s">
        <v>355</v>
      </c>
      <c r="B2014" s="6" t="s">
        <v>52</v>
      </c>
      <c r="C2014" s="6" t="s">
        <v>186</v>
      </c>
      <c r="D2014" s="6" t="s">
        <v>90</v>
      </c>
      <c r="E2014" s="6" t="s">
        <v>90</v>
      </c>
      <c r="F2014" s="6" t="b">
        <v>0</v>
      </c>
      <c r="G2014" s="6">
        <v>0.0275</v>
      </c>
    </row>
    <row r="2015" spans="1:7">
      <c r="A2015" s="6" t="s">
        <v>267</v>
      </c>
      <c r="B2015" s="6" t="s">
        <v>53</v>
      </c>
      <c r="C2015" s="6" t="s">
        <v>181</v>
      </c>
      <c r="D2015" s="6" t="s">
        <v>88</v>
      </c>
      <c r="E2015" s="6" t="s">
        <v>88</v>
      </c>
      <c r="F2015" s="6" t="b">
        <v>0</v>
      </c>
      <c r="G2015" s="6">
        <v>113.5485833333333</v>
      </c>
    </row>
    <row r="2016" spans="1:7">
      <c r="A2016" s="6" t="s">
        <v>267</v>
      </c>
      <c r="B2016" s="6" t="s">
        <v>53</v>
      </c>
      <c r="C2016" s="6" t="s">
        <v>181</v>
      </c>
      <c r="D2016" s="6" t="s">
        <v>90</v>
      </c>
      <c r="E2016" s="6" t="s">
        <v>90</v>
      </c>
      <c r="F2016" s="6" t="b">
        <v>0</v>
      </c>
      <c r="G2016" s="6">
        <v>0.6685</v>
      </c>
    </row>
    <row r="2017" spans="1:7">
      <c r="A2017" s="6" t="s">
        <v>267</v>
      </c>
      <c r="B2017" s="6" t="s">
        <v>53</v>
      </c>
      <c r="C2017" s="6" t="s">
        <v>182</v>
      </c>
      <c r="D2017" s="6" t="s">
        <v>88</v>
      </c>
      <c r="E2017" s="6" t="s">
        <v>88</v>
      </c>
      <c r="F2017" s="6" t="b">
        <v>0</v>
      </c>
      <c r="G2017" s="6">
        <v>2.229</v>
      </c>
    </row>
    <row r="2018" spans="1:7">
      <c r="A2018" s="6" t="s">
        <v>267</v>
      </c>
      <c r="B2018" s="6" t="s">
        <v>53</v>
      </c>
      <c r="C2018" s="6" t="s">
        <v>183</v>
      </c>
      <c r="D2018" s="6" t="s">
        <v>86</v>
      </c>
      <c r="E2018" s="6" t="s">
        <v>86</v>
      </c>
      <c r="F2018" s="6" t="b">
        <v>0</v>
      </c>
      <c r="G2018" s="6">
        <v>0.6371666666666667</v>
      </c>
    </row>
    <row r="2019" spans="1:7">
      <c r="A2019" s="6" t="s">
        <v>267</v>
      </c>
      <c r="B2019" s="6" t="s">
        <v>53</v>
      </c>
      <c r="C2019" s="6" t="s">
        <v>183</v>
      </c>
      <c r="D2019" s="6" t="s">
        <v>88</v>
      </c>
      <c r="E2019" s="6" t="s">
        <v>88</v>
      </c>
      <c r="F2019" s="6" t="b">
        <v>0</v>
      </c>
      <c r="G2019" s="6">
        <v>3.882333333333333</v>
      </c>
    </row>
    <row r="2020" spans="1:7">
      <c r="A2020" s="6" t="s">
        <v>267</v>
      </c>
      <c r="B2020" s="6" t="s">
        <v>53</v>
      </c>
      <c r="C2020" s="6" t="s">
        <v>183</v>
      </c>
      <c r="D2020" s="6" t="s">
        <v>90</v>
      </c>
      <c r="E2020" s="6" t="s">
        <v>86</v>
      </c>
      <c r="F2020" s="6" t="b">
        <v>0</v>
      </c>
      <c r="G2020" s="6">
        <v>3.23775</v>
      </c>
    </row>
    <row r="2021" spans="1:7">
      <c r="A2021" s="6" t="s">
        <v>267</v>
      </c>
      <c r="B2021" s="6" t="s">
        <v>53</v>
      </c>
      <c r="C2021" s="6" t="s">
        <v>183</v>
      </c>
      <c r="D2021" s="6" t="s">
        <v>90</v>
      </c>
      <c r="E2021" s="6" t="s">
        <v>90</v>
      </c>
      <c r="F2021" s="6" t="b">
        <v>0</v>
      </c>
      <c r="G2021" s="6">
        <v>6.079999999999999</v>
      </c>
    </row>
    <row r="2022" spans="1:7">
      <c r="A2022" s="6" t="s">
        <v>267</v>
      </c>
      <c r="B2022" s="6" t="s">
        <v>53</v>
      </c>
      <c r="C2022" s="6" t="s">
        <v>183</v>
      </c>
      <c r="D2022" s="6" t="s">
        <v>177</v>
      </c>
      <c r="E2022" s="6" t="s">
        <v>86</v>
      </c>
      <c r="F2022" s="6" t="b">
        <v>0</v>
      </c>
      <c r="G2022" s="6">
        <v>0.4293333333333333</v>
      </c>
    </row>
    <row r="2023" spans="1:7">
      <c r="A2023" s="6" t="s">
        <v>267</v>
      </c>
      <c r="B2023" s="6" t="s">
        <v>53</v>
      </c>
      <c r="C2023" s="6" t="s">
        <v>183</v>
      </c>
      <c r="D2023" s="6" t="s">
        <v>177</v>
      </c>
      <c r="E2023" s="6" t="s">
        <v>685</v>
      </c>
      <c r="F2023" s="6" t="b">
        <v>1</v>
      </c>
      <c r="G2023" s="6">
        <v>0.05408333333333334</v>
      </c>
    </row>
    <row r="2024" spans="1:7">
      <c r="A2024" s="6" t="s">
        <v>267</v>
      </c>
      <c r="B2024" s="6" t="s">
        <v>53</v>
      </c>
      <c r="C2024" s="6" t="s">
        <v>184</v>
      </c>
      <c r="D2024" s="6" t="s">
        <v>44</v>
      </c>
      <c r="E2024" s="6" t="s">
        <v>44</v>
      </c>
      <c r="F2024" s="6" t="b">
        <v>0</v>
      </c>
      <c r="G2024" s="6">
        <v>1011.771333333333</v>
      </c>
    </row>
    <row r="2025" spans="1:7">
      <c r="A2025" s="6" t="s">
        <v>267</v>
      </c>
      <c r="B2025" s="6" t="s">
        <v>53</v>
      </c>
      <c r="C2025" s="6" t="s">
        <v>184</v>
      </c>
      <c r="D2025" s="6" t="s">
        <v>86</v>
      </c>
      <c r="E2025" s="6" t="s">
        <v>86</v>
      </c>
      <c r="F2025" s="6" t="b">
        <v>0</v>
      </c>
      <c r="G2025" s="6">
        <v>2.616666666666667</v>
      </c>
    </row>
    <row r="2026" spans="1:7">
      <c r="A2026" s="6" t="s">
        <v>267</v>
      </c>
      <c r="B2026" s="6" t="s">
        <v>53</v>
      </c>
      <c r="C2026" s="6" t="s">
        <v>184</v>
      </c>
      <c r="D2026" s="6" t="s">
        <v>88</v>
      </c>
      <c r="E2026" s="6" t="s">
        <v>88</v>
      </c>
      <c r="F2026" s="6" t="b">
        <v>0</v>
      </c>
      <c r="G2026" s="6">
        <v>5.624666666666666</v>
      </c>
    </row>
    <row r="2027" spans="1:7">
      <c r="A2027" s="6" t="s">
        <v>267</v>
      </c>
      <c r="B2027" s="6" t="s">
        <v>53</v>
      </c>
      <c r="C2027" s="6" t="s">
        <v>184</v>
      </c>
      <c r="D2027" s="6" t="s">
        <v>90</v>
      </c>
      <c r="E2027" s="6" t="s">
        <v>90</v>
      </c>
      <c r="F2027" s="6" t="b">
        <v>0</v>
      </c>
      <c r="G2027" s="6">
        <v>66.80133333333333</v>
      </c>
    </row>
    <row r="2028" spans="1:7">
      <c r="A2028" s="6" t="s">
        <v>267</v>
      </c>
      <c r="B2028" s="6" t="s">
        <v>53</v>
      </c>
      <c r="C2028" s="6" t="s">
        <v>184</v>
      </c>
      <c r="D2028" s="6" t="s">
        <v>90</v>
      </c>
      <c r="E2028" s="6" t="s">
        <v>685</v>
      </c>
      <c r="F2028" s="6" t="b">
        <v>1</v>
      </c>
      <c r="G2028" s="6">
        <v>9.352416666666667</v>
      </c>
    </row>
    <row r="2029" spans="1:7">
      <c r="A2029" s="6" t="s">
        <v>267</v>
      </c>
      <c r="B2029" s="6" t="s">
        <v>53</v>
      </c>
      <c r="C2029" s="6" t="s">
        <v>184</v>
      </c>
      <c r="D2029" s="6" t="s">
        <v>177</v>
      </c>
      <c r="E2029" s="6" t="s">
        <v>44</v>
      </c>
      <c r="F2029" s="6" t="b">
        <v>0</v>
      </c>
      <c r="G2029" s="6">
        <v>767.7818333333333</v>
      </c>
    </row>
    <row r="2030" spans="1:7">
      <c r="A2030" s="6" t="s">
        <v>267</v>
      </c>
      <c r="B2030" s="6" t="s">
        <v>53</v>
      </c>
      <c r="C2030" s="6" t="s">
        <v>184</v>
      </c>
      <c r="D2030" s="6" t="s">
        <v>177</v>
      </c>
      <c r="E2030" s="6" t="s">
        <v>86</v>
      </c>
      <c r="F2030" s="6" t="b">
        <v>0</v>
      </c>
      <c r="G2030" s="6">
        <v>4.0485</v>
      </c>
    </row>
    <row r="2031" spans="1:7">
      <c r="A2031" s="6" t="s">
        <v>267</v>
      </c>
      <c r="B2031" s="6" t="s">
        <v>53</v>
      </c>
      <c r="C2031" s="6" t="s">
        <v>184</v>
      </c>
      <c r="D2031" s="6" t="s">
        <v>177</v>
      </c>
      <c r="E2031" s="6" t="s">
        <v>685</v>
      </c>
      <c r="F2031" s="6" t="b">
        <v>1</v>
      </c>
      <c r="G2031" s="6">
        <v>71.60541666666667</v>
      </c>
    </row>
    <row r="2032" spans="1:7">
      <c r="A2032" s="6" t="s">
        <v>267</v>
      </c>
      <c r="B2032" s="6" t="s">
        <v>53</v>
      </c>
      <c r="C2032" s="6" t="s">
        <v>185</v>
      </c>
      <c r="D2032" s="6" t="s">
        <v>44</v>
      </c>
      <c r="E2032" s="6" t="s">
        <v>685</v>
      </c>
      <c r="F2032" s="6" t="b">
        <v>1</v>
      </c>
      <c r="G2032" s="6">
        <v>48.77066666666667</v>
      </c>
    </row>
    <row r="2033" spans="1:7">
      <c r="A2033" s="6" t="s">
        <v>267</v>
      </c>
      <c r="B2033" s="6" t="s">
        <v>53</v>
      </c>
      <c r="C2033" s="6" t="s">
        <v>186</v>
      </c>
      <c r="D2033" s="6" t="s">
        <v>86</v>
      </c>
      <c r="E2033" s="6" t="s">
        <v>86</v>
      </c>
      <c r="F2033" s="6" t="b">
        <v>0</v>
      </c>
      <c r="G2033" s="6">
        <v>225.5701666666667</v>
      </c>
    </row>
    <row r="2034" spans="1:7">
      <c r="A2034" s="6" t="s">
        <v>267</v>
      </c>
      <c r="B2034" s="6" t="s">
        <v>53</v>
      </c>
      <c r="C2034" s="6" t="s">
        <v>186</v>
      </c>
      <c r="D2034" s="6" t="s">
        <v>88</v>
      </c>
      <c r="E2034" s="6" t="s">
        <v>88</v>
      </c>
      <c r="F2034" s="6" t="b">
        <v>0</v>
      </c>
      <c r="G2034" s="6">
        <v>16.44833333333333</v>
      </c>
    </row>
    <row r="2035" spans="1:7">
      <c r="A2035" s="6" t="s">
        <v>267</v>
      </c>
      <c r="B2035" s="6" t="s">
        <v>53</v>
      </c>
      <c r="C2035" s="6" t="s">
        <v>186</v>
      </c>
      <c r="D2035" s="6" t="s">
        <v>90</v>
      </c>
      <c r="E2035" s="6" t="s">
        <v>86</v>
      </c>
      <c r="F2035" s="6" t="b">
        <v>0</v>
      </c>
      <c r="G2035" s="6">
        <v>0.04533333333333334</v>
      </c>
    </row>
    <row r="2036" spans="1:7">
      <c r="A2036" s="6" t="s">
        <v>267</v>
      </c>
      <c r="B2036" s="6" t="s">
        <v>53</v>
      </c>
      <c r="C2036" s="6" t="s">
        <v>186</v>
      </c>
      <c r="D2036" s="6" t="s">
        <v>90</v>
      </c>
      <c r="E2036" s="6" t="s">
        <v>90</v>
      </c>
      <c r="F2036" s="6" t="b">
        <v>0</v>
      </c>
      <c r="G2036" s="6">
        <v>98.87625000000001</v>
      </c>
    </row>
    <row r="2037" spans="1:7">
      <c r="A2037" s="6" t="s">
        <v>267</v>
      </c>
      <c r="B2037" s="6" t="s">
        <v>53</v>
      </c>
      <c r="C2037" s="6" t="s">
        <v>186</v>
      </c>
      <c r="D2037" s="6" t="s">
        <v>177</v>
      </c>
      <c r="E2037" s="6" t="s">
        <v>86</v>
      </c>
      <c r="F2037" s="6" t="b">
        <v>0</v>
      </c>
      <c r="G2037" s="6">
        <v>4.514583333333333</v>
      </c>
    </row>
    <row r="2038" spans="1:7">
      <c r="A2038" s="6" t="s">
        <v>267</v>
      </c>
      <c r="B2038" s="6" t="s">
        <v>53</v>
      </c>
      <c r="C2038" s="6" t="s">
        <v>188</v>
      </c>
      <c r="D2038" s="6" t="s">
        <v>86</v>
      </c>
      <c r="E2038" s="6" t="s">
        <v>86</v>
      </c>
      <c r="F2038" s="6" t="b">
        <v>0</v>
      </c>
      <c r="G2038" s="6">
        <v>14.25466666666667</v>
      </c>
    </row>
    <row r="2039" spans="1:7">
      <c r="A2039" s="6" t="s">
        <v>267</v>
      </c>
      <c r="B2039" s="6" t="s">
        <v>53</v>
      </c>
      <c r="C2039" s="6" t="s">
        <v>188</v>
      </c>
      <c r="D2039" s="6" t="s">
        <v>88</v>
      </c>
      <c r="E2039" s="6" t="s">
        <v>88</v>
      </c>
      <c r="F2039" s="6" t="b">
        <v>0</v>
      </c>
      <c r="G2039" s="6">
        <v>85</v>
      </c>
    </row>
    <row r="2040" spans="1:7">
      <c r="A2040" s="6" t="s">
        <v>267</v>
      </c>
      <c r="B2040" s="6" t="s">
        <v>53</v>
      </c>
      <c r="C2040" s="6" t="s">
        <v>188</v>
      </c>
      <c r="D2040" s="6" t="s">
        <v>90</v>
      </c>
      <c r="E2040" s="6" t="s">
        <v>90</v>
      </c>
      <c r="F2040" s="6" t="b">
        <v>0</v>
      </c>
      <c r="G2040" s="6">
        <v>0.035</v>
      </c>
    </row>
    <row r="2041" spans="1:7">
      <c r="A2041" s="6" t="s">
        <v>267</v>
      </c>
      <c r="B2041" s="6" t="s">
        <v>53</v>
      </c>
      <c r="C2041" s="6" t="s">
        <v>189</v>
      </c>
      <c r="D2041" s="6" t="s">
        <v>86</v>
      </c>
      <c r="E2041" s="6" t="s">
        <v>86</v>
      </c>
      <c r="F2041" s="6" t="b">
        <v>0</v>
      </c>
      <c r="G2041" s="6">
        <v>97.58708333333334</v>
      </c>
    </row>
    <row r="2042" spans="1:7">
      <c r="A2042" s="6" t="s">
        <v>267</v>
      </c>
      <c r="B2042" s="6" t="s">
        <v>53</v>
      </c>
      <c r="C2042" s="6" t="s">
        <v>189</v>
      </c>
      <c r="D2042" s="6" t="s">
        <v>88</v>
      </c>
      <c r="E2042" s="6" t="s">
        <v>88</v>
      </c>
      <c r="F2042" s="6" t="b">
        <v>0</v>
      </c>
      <c r="G2042" s="6">
        <v>169.4143333333333</v>
      </c>
    </row>
    <row r="2043" spans="1:7">
      <c r="A2043" s="6" t="s">
        <v>267</v>
      </c>
      <c r="B2043" s="6" t="s">
        <v>53</v>
      </c>
      <c r="C2043" s="6" t="s">
        <v>189</v>
      </c>
      <c r="D2043" s="6" t="s">
        <v>90</v>
      </c>
      <c r="E2043" s="6" t="s">
        <v>90</v>
      </c>
      <c r="F2043" s="6" t="b">
        <v>0</v>
      </c>
      <c r="G2043" s="6">
        <v>26.17708333333333</v>
      </c>
    </row>
    <row r="2044" spans="1:7">
      <c r="A2044" s="6" t="s">
        <v>267</v>
      </c>
      <c r="B2044" s="6" t="s">
        <v>53</v>
      </c>
      <c r="C2044" s="6" t="s">
        <v>190</v>
      </c>
      <c r="D2044" s="6" t="s">
        <v>44</v>
      </c>
      <c r="E2044" s="6" t="s">
        <v>44</v>
      </c>
      <c r="F2044" s="6" t="b">
        <v>0</v>
      </c>
      <c r="G2044" s="6">
        <v>552.96425</v>
      </c>
    </row>
    <row r="2045" spans="1:7">
      <c r="A2045" s="6" t="s">
        <v>267</v>
      </c>
      <c r="B2045" s="6" t="s">
        <v>53</v>
      </c>
      <c r="C2045" s="6" t="s">
        <v>190</v>
      </c>
      <c r="D2045" s="6" t="s">
        <v>86</v>
      </c>
      <c r="E2045" s="6" t="s">
        <v>44</v>
      </c>
      <c r="F2045" s="6" t="b">
        <v>0</v>
      </c>
      <c r="G2045" s="6">
        <v>12.86375</v>
      </c>
    </row>
    <row r="2046" spans="1:7">
      <c r="A2046" s="6" t="s">
        <v>267</v>
      </c>
      <c r="B2046" s="6" t="s">
        <v>53</v>
      </c>
      <c r="C2046" s="6" t="s">
        <v>190</v>
      </c>
      <c r="D2046" s="6" t="s">
        <v>86</v>
      </c>
      <c r="E2046" s="6" t="s">
        <v>86</v>
      </c>
      <c r="F2046" s="6" t="b">
        <v>0</v>
      </c>
      <c r="G2046" s="6">
        <v>7.708666666666666</v>
      </c>
    </row>
    <row r="2047" spans="1:7">
      <c r="A2047" s="6" t="s">
        <v>267</v>
      </c>
      <c r="B2047" s="6" t="s">
        <v>53</v>
      </c>
      <c r="C2047" s="6" t="s">
        <v>190</v>
      </c>
      <c r="D2047" s="6" t="s">
        <v>90</v>
      </c>
      <c r="E2047" s="6" t="s">
        <v>44</v>
      </c>
      <c r="F2047" s="6" t="b">
        <v>0</v>
      </c>
      <c r="G2047" s="6">
        <v>6.536083333333333</v>
      </c>
    </row>
    <row r="2048" spans="1:7">
      <c r="A2048" s="6" t="s">
        <v>267</v>
      </c>
      <c r="B2048" s="6" t="s">
        <v>53</v>
      </c>
      <c r="C2048" s="6" t="s">
        <v>190</v>
      </c>
      <c r="D2048" s="6" t="s">
        <v>90</v>
      </c>
      <c r="E2048" s="6" t="s">
        <v>90</v>
      </c>
      <c r="F2048" s="6" t="b">
        <v>0</v>
      </c>
      <c r="G2048" s="6">
        <v>30.772</v>
      </c>
    </row>
    <row r="2049" spans="1:7">
      <c r="A2049" s="6" t="s">
        <v>267</v>
      </c>
      <c r="B2049" s="6" t="s">
        <v>53</v>
      </c>
      <c r="C2049" s="6" t="s">
        <v>190</v>
      </c>
      <c r="D2049" s="6" t="s">
        <v>177</v>
      </c>
      <c r="E2049" s="6" t="s">
        <v>44</v>
      </c>
      <c r="F2049" s="6" t="b">
        <v>0</v>
      </c>
      <c r="G2049" s="6">
        <v>127.7278333333333</v>
      </c>
    </row>
    <row r="2050" spans="1:7">
      <c r="A2050" s="6" t="s">
        <v>267</v>
      </c>
      <c r="B2050" s="6" t="s">
        <v>53</v>
      </c>
      <c r="C2050" s="6" t="s">
        <v>190</v>
      </c>
      <c r="D2050" s="6" t="s">
        <v>177</v>
      </c>
      <c r="E2050" s="6" t="s">
        <v>86</v>
      </c>
      <c r="F2050" s="6" t="b">
        <v>0</v>
      </c>
      <c r="G2050" s="6">
        <v>2.67775</v>
      </c>
    </row>
    <row r="2051" spans="1:7">
      <c r="A2051" s="6" t="s">
        <v>267</v>
      </c>
      <c r="B2051" s="6" t="s">
        <v>53</v>
      </c>
      <c r="C2051" s="6" t="s">
        <v>190</v>
      </c>
      <c r="D2051" s="6" t="s">
        <v>177</v>
      </c>
      <c r="E2051" s="6" t="s">
        <v>685</v>
      </c>
      <c r="F2051" s="6" t="b">
        <v>1</v>
      </c>
      <c r="G2051" s="6">
        <v>3.0175</v>
      </c>
    </row>
    <row r="2052" spans="1:7">
      <c r="A2052" s="6" t="s">
        <v>267</v>
      </c>
      <c r="B2052" s="6" t="s">
        <v>53</v>
      </c>
      <c r="C2052" s="6" t="s">
        <v>190</v>
      </c>
      <c r="D2052" s="6" t="s">
        <v>92</v>
      </c>
      <c r="E2052" s="6" t="s">
        <v>92</v>
      </c>
      <c r="F2052" s="6" t="b">
        <v>0</v>
      </c>
      <c r="G2052" s="6">
        <v>0.2386666666666667</v>
      </c>
    </row>
    <row r="2053" spans="1:7">
      <c r="A2053" s="6" t="s">
        <v>366</v>
      </c>
      <c r="B2053" s="6" t="s">
        <v>52</v>
      </c>
      <c r="C2053" s="6" t="s">
        <v>186</v>
      </c>
      <c r="D2053" s="6" t="s">
        <v>90</v>
      </c>
      <c r="E2053" s="6" t="s">
        <v>90</v>
      </c>
      <c r="F2053" s="6" t="b">
        <v>0</v>
      </c>
      <c r="G2053" s="6">
        <v>22.40266666666666</v>
      </c>
    </row>
    <row r="2054" spans="1:7">
      <c r="A2054" s="6" t="s">
        <v>268</v>
      </c>
      <c r="B2054" s="6" t="s">
        <v>51</v>
      </c>
      <c r="C2054" s="6" t="s">
        <v>181</v>
      </c>
      <c r="D2054" s="6" t="s">
        <v>88</v>
      </c>
      <c r="E2054" s="6" t="s">
        <v>88</v>
      </c>
      <c r="F2054" s="6" t="b">
        <v>0</v>
      </c>
      <c r="G2054" s="6">
        <v>0.27325</v>
      </c>
    </row>
    <row r="2055" spans="1:7">
      <c r="A2055" s="6" t="s">
        <v>268</v>
      </c>
      <c r="B2055" s="6" t="s">
        <v>51</v>
      </c>
      <c r="C2055" s="6" t="s">
        <v>181</v>
      </c>
      <c r="D2055" s="6" t="s">
        <v>90</v>
      </c>
      <c r="E2055" s="6" t="s">
        <v>90</v>
      </c>
      <c r="F2055" s="6" t="b">
        <v>0</v>
      </c>
      <c r="G2055" s="6">
        <v>0.00825</v>
      </c>
    </row>
    <row r="2056" spans="1:7">
      <c r="A2056" s="6" t="s">
        <v>268</v>
      </c>
      <c r="B2056" s="6" t="s">
        <v>51</v>
      </c>
      <c r="C2056" s="6" t="s">
        <v>183</v>
      </c>
      <c r="D2056" s="6" t="s">
        <v>88</v>
      </c>
      <c r="E2056" s="6" t="s">
        <v>88</v>
      </c>
      <c r="F2056" s="6" t="b">
        <v>0</v>
      </c>
      <c r="G2056" s="6">
        <v>0.007</v>
      </c>
    </row>
    <row r="2057" spans="1:7">
      <c r="A2057" s="6" t="s">
        <v>268</v>
      </c>
      <c r="B2057" s="6" t="s">
        <v>51</v>
      </c>
      <c r="C2057" s="6" t="s">
        <v>183</v>
      </c>
      <c r="D2057" s="6" t="s">
        <v>90</v>
      </c>
      <c r="E2057" s="6" t="s">
        <v>86</v>
      </c>
      <c r="F2057" s="6" t="b">
        <v>0</v>
      </c>
      <c r="G2057" s="6">
        <v>0.001833333333333333</v>
      </c>
    </row>
    <row r="2058" spans="1:7">
      <c r="A2058" s="6" t="s">
        <v>268</v>
      </c>
      <c r="B2058" s="6" t="s">
        <v>51</v>
      </c>
      <c r="C2058" s="6" t="s">
        <v>183</v>
      </c>
      <c r="D2058" s="6" t="s">
        <v>90</v>
      </c>
      <c r="E2058" s="6" t="s">
        <v>90</v>
      </c>
      <c r="F2058" s="6" t="b">
        <v>0</v>
      </c>
      <c r="G2058" s="6">
        <v>0.00825</v>
      </c>
    </row>
    <row r="2059" spans="1:7">
      <c r="A2059" s="6" t="s">
        <v>268</v>
      </c>
      <c r="B2059" s="6" t="s">
        <v>51</v>
      </c>
      <c r="C2059" s="6" t="s">
        <v>184</v>
      </c>
      <c r="D2059" s="6" t="s">
        <v>44</v>
      </c>
      <c r="E2059" s="6" t="s">
        <v>44</v>
      </c>
      <c r="F2059" s="6" t="b">
        <v>0</v>
      </c>
      <c r="G2059" s="6">
        <v>2.836916666666667</v>
      </c>
    </row>
    <row r="2060" spans="1:7">
      <c r="A2060" s="6" t="s">
        <v>268</v>
      </c>
      <c r="B2060" s="6" t="s">
        <v>51</v>
      </c>
      <c r="C2060" s="6" t="s">
        <v>184</v>
      </c>
      <c r="D2060" s="6" t="s">
        <v>88</v>
      </c>
      <c r="E2060" s="6" t="s">
        <v>88</v>
      </c>
      <c r="F2060" s="6" t="b">
        <v>0</v>
      </c>
      <c r="G2060" s="6">
        <v>0.02758333333333333</v>
      </c>
    </row>
    <row r="2061" spans="1:7">
      <c r="A2061" s="6" t="s">
        <v>268</v>
      </c>
      <c r="B2061" s="6" t="s">
        <v>51</v>
      </c>
      <c r="C2061" s="6" t="s">
        <v>184</v>
      </c>
      <c r="D2061" s="6" t="s">
        <v>90</v>
      </c>
      <c r="E2061" s="6" t="s">
        <v>90</v>
      </c>
      <c r="F2061" s="6" t="b">
        <v>0</v>
      </c>
      <c r="G2061" s="6">
        <v>0.01416666666666667</v>
      </c>
    </row>
    <row r="2062" spans="1:7">
      <c r="A2062" s="6" t="s">
        <v>268</v>
      </c>
      <c r="B2062" s="6" t="s">
        <v>51</v>
      </c>
      <c r="C2062" s="6" t="s">
        <v>184</v>
      </c>
      <c r="D2062" s="6" t="s">
        <v>90</v>
      </c>
      <c r="E2062" s="6" t="s">
        <v>685</v>
      </c>
      <c r="F2062" s="6" t="b">
        <v>1</v>
      </c>
      <c r="G2062" s="6">
        <v>0.01216666666666667</v>
      </c>
    </row>
    <row r="2063" spans="1:7">
      <c r="A2063" s="6" t="s">
        <v>268</v>
      </c>
      <c r="B2063" s="6" t="s">
        <v>51</v>
      </c>
      <c r="C2063" s="6" t="s">
        <v>184</v>
      </c>
      <c r="D2063" s="6" t="s">
        <v>177</v>
      </c>
      <c r="E2063" s="6" t="s">
        <v>44</v>
      </c>
      <c r="F2063" s="6" t="b">
        <v>0</v>
      </c>
      <c r="G2063" s="6">
        <v>1.138083333333333</v>
      </c>
    </row>
    <row r="2064" spans="1:7">
      <c r="A2064" s="6" t="s">
        <v>268</v>
      </c>
      <c r="B2064" s="6" t="s">
        <v>51</v>
      </c>
      <c r="C2064" s="6" t="s">
        <v>184</v>
      </c>
      <c r="D2064" s="6" t="s">
        <v>177</v>
      </c>
      <c r="E2064" s="6" t="s">
        <v>86</v>
      </c>
      <c r="F2064" s="6" t="b">
        <v>0</v>
      </c>
      <c r="G2064" s="6">
        <v>0.01675</v>
      </c>
    </row>
    <row r="2065" spans="1:7">
      <c r="A2065" s="6" t="s">
        <v>268</v>
      </c>
      <c r="B2065" s="6" t="s">
        <v>51</v>
      </c>
      <c r="C2065" s="6" t="s">
        <v>184</v>
      </c>
      <c r="D2065" s="6" t="s">
        <v>177</v>
      </c>
      <c r="E2065" s="6" t="s">
        <v>685</v>
      </c>
      <c r="F2065" s="6" t="b">
        <v>1</v>
      </c>
      <c r="G2065" s="6">
        <v>0.3076666666666667</v>
      </c>
    </row>
    <row r="2066" spans="1:7">
      <c r="A2066" s="6" t="s">
        <v>268</v>
      </c>
      <c r="B2066" s="6" t="s">
        <v>51</v>
      </c>
      <c r="C2066" s="6" t="s">
        <v>186</v>
      </c>
      <c r="D2066" s="6" t="s">
        <v>86</v>
      </c>
      <c r="E2066" s="6" t="s">
        <v>86</v>
      </c>
      <c r="F2066" s="6" t="b">
        <v>0</v>
      </c>
      <c r="G2066" s="6">
        <v>0.5911666666666667</v>
      </c>
    </row>
    <row r="2067" spans="1:7">
      <c r="A2067" s="6" t="s">
        <v>268</v>
      </c>
      <c r="B2067" s="6" t="s">
        <v>51</v>
      </c>
      <c r="C2067" s="6" t="s">
        <v>186</v>
      </c>
      <c r="D2067" s="6" t="s">
        <v>88</v>
      </c>
      <c r="E2067" s="6" t="s">
        <v>88</v>
      </c>
      <c r="F2067" s="6" t="b">
        <v>0</v>
      </c>
      <c r="G2067" s="6">
        <v>0.09808333333333334</v>
      </c>
    </row>
    <row r="2068" spans="1:7">
      <c r="A2068" s="6" t="s">
        <v>268</v>
      </c>
      <c r="B2068" s="6" t="s">
        <v>51</v>
      </c>
      <c r="C2068" s="6" t="s">
        <v>186</v>
      </c>
      <c r="D2068" s="6" t="s">
        <v>90</v>
      </c>
      <c r="E2068" s="6" t="s">
        <v>90</v>
      </c>
      <c r="F2068" s="6" t="b">
        <v>0</v>
      </c>
      <c r="G2068" s="6">
        <v>0.2801666666666667</v>
      </c>
    </row>
    <row r="2069" spans="1:7">
      <c r="A2069" s="6" t="s">
        <v>268</v>
      </c>
      <c r="B2069" s="6" t="s">
        <v>51</v>
      </c>
      <c r="C2069" s="6" t="s">
        <v>186</v>
      </c>
      <c r="D2069" s="6" t="s">
        <v>177</v>
      </c>
      <c r="E2069" s="6" t="s">
        <v>86</v>
      </c>
      <c r="F2069" s="6" t="b">
        <v>0</v>
      </c>
      <c r="G2069" s="6">
        <v>0.01916666666666667</v>
      </c>
    </row>
    <row r="2070" spans="1:7">
      <c r="A2070" s="6" t="s">
        <v>268</v>
      </c>
      <c r="B2070" s="6" t="s">
        <v>51</v>
      </c>
      <c r="C2070" s="6" t="s">
        <v>189</v>
      </c>
      <c r="D2070" s="6" t="s">
        <v>86</v>
      </c>
      <c r="E2070" s="6" t="s">
        <v>86</v>
      </c>
      <c r="F2070" s="6" t="b">
        <v>0</v>
      </c>
      <c r="G2070" s="6">
        <v>0.1326666666666667</v>
      </c>
    </row>
    <row r="2071" spans="1:7">
      <c r="A2071" s="6" t="s">
        <v>268</v>
      </c>
      <c r="B2071" s="6" t="s">
        <v>51</v>
      </c>
      <c r="C2071" s="6" t="s">
        <v>189</v>
      </c>
      <c r="D2071" s="6" t="s">
        <v>88</v>
      </c>
      <c r="E2071" s="6" t="s">
        <v>88</v>
      </c>
      <c r="F2071" s="6" t="b">
        <v>0</v>
      </c>
      <c r="G2071" s="6">
        <v>0.04458333333333334</v>
      </c>
    </row>
    <row r="2072" spans="1:7">
      <c r="A2072" s="6" t="s">
        <v>268</v>
      </c>
      <c r="B2072" s="6" t="s">
        <v>51</v>
      </c>
      <c r="C2072" s="6" t="s">
        <v>189</v>
      </c>
      <c r="D2072" s="6" t="s">
        <v>90</v>
      </c>
      <c r="E2072" s="6" t="s">
        <v>90</v>
      </c>
      <c r="F2072" s="6" t="b">
        <v>0</v>
      </c>
      <c r="G2072" s="6">
        <v>0.01033333333333333</v>
      </c>
    </row>
    <row r="2073" spans="1:7">
      <c r="A2073" s="6" t="s">
        <v>269</v>
      </c>
      <c r="B2073" s="6" t="s">
        <v>52</v>
      </c>
      <c r="C2073" s="6" t="s">
        <v>181</v>
      </c>
      <c r="D2073" s="6" t="s">
        <v>88</v>
      </c>
      <c r="E2073" s="6" t="s">
        <v>88</v>
      </c>
      <c r="F2073" s="6" t="b">
        <v>0</v>
      </c>
      <c r="G2073" s="6">
        <v>2.81775</v>
      </c>
    </row>
    <row r="2074" spans="1:7">
      <c r="A2074" s="6" t="s">
        <v>269</v>
      </c>
      <c r="B2074" s="6" t="s">
        <v>52</v>
      </c>
      <c r="C2074" s="6" t="s">
        <v>184</v>
      </c>
      <c r="D2074" s="6" t="s">
        <v>44</v>
      </c>
      <c r="E2074" s="6" t="s">
        <v>44</v>
      </c>
      <c r="F2074" s="6" t="b">
        <v>0</v>
      </c>
      <c r="G2074" s="6">
        <v>16.59816666666667</v>
      </c>
    </row>
    <row r="2075" spans="1:7">
      <c r="A2075" s="6" t="s">
        <v>269</v>
      </c>
      <c r="B2075" s="6" t="s">
        <v>52</v>
      </c>
      <c r="C2075" s="6" t="s">
        <v>184</v>
      </c>
      <c r="D2075" s="6" t="s">
        <v>44</v>
      </c>
      <c r="E2075" s="6" t="s">
        <v>685</v>
      </c>
      <c r="F2075" s="6" t="b">
        <v>1</v>
      </c>
      <c r="G2075" s="6">
        <v>7.5825</v>
      </c>
    </row>
    <row r="2076" spans="1:7">
      <c r="A2076" s="6" t="s">
        <v>269</v>
      </c>
      <c r="B2076" s="6" t="s">
        <v>52</v>
      </c>
      <c r="C2076" s="6" t="s">
        <v>184</v>
      </c>
      <c r="D2076" s="6" t="s">
        <v>177</v>
      </c>
      <c r="E2076" s="6" t="s">
        <v>685</v>
      </c>
      <c r="F2076" s="6" t="b">
        <v>1</v>
      </c>
      <c r="G2076" s="6">
        <v>1.641166666666667</v>
      </c>
    </row>
    <row r="2077" spans="1:7">
      <c r="A2077" s="6" t="s">
        <v>269</v>
      </c>
      <c r="B2077" s="6" t="s">
        <v>52</v>
      </c>
      <c r="C2077" s="6" t="s">
        <v>186</v>
      </c>
      <c r="D2077" s="6" t="s">
        <v>86</v>
      </c>
      <c r="E2077" s="6" t="s">
        <v>86</v>
      </c>
      <c r="F2077" s="6" t="b">
        <v>0</v>
      </c>
      <c r="G2077" s="6">
        <v>26.80175</v>
      </c>
    </row>
    <row r="2078" spans="1:7">
      <c r="A2078" s="6" t="s">
        <v>269</v>
      </c>
      <c r="B2078" s="6" t="s">
        <v>52</v>
      </c>
      <c r="C2078" s="6" t="s">
        <v>186</v>
      </c>
      <c r="D2078" s="6" t="s">
        <v>88</v>
      </c>
      <c r="E2078" s="6" t="s">
        <v>88</v>
      </c>
      <c r="F2078" s="6" t="b">
        <v>0</v>
      </c>
      <c r="G2078" s="6">
        <v>1.041666666666667</v>
      </c>
    </row>
    <row r="2079" spans="1:7">
      <c r="A2079" s="6" t="s">
        <v>269</v>
      </c>
      <c r="B2079" s="6" t="s">
        <v>52</v>
      </c>
      <c r="C2079" s="6" t="s">
        <v>186</v>
      </c>
      <c r="D2079" s="6" t="s">
        <v>90</v>
      </c>
      <c r="E2079" s="6" t="s">
        <v>86</v>
      </c>
      <c r="F2079" s="6" t="b">
        <v>0</v>
      </c>
      <c r="G2079" s="6">
        <v>0.04166666666666666</v>
      </c>
    </row>
    <row r="2080" spans="1:7">
      <c r="A2080" s="6" t="s">
        <v>269</v>
      </c>
      <c r="B2080" s="6" t="s">
        <v>52</v>
      </c>
      <c r="C2080" s="6" t="s">
        <v>186</v>
      </c>
      <c r="D2080" s="6" t="s">
        <v>90</v>
      </c>
      <c r="E2080" s="6" t="s">
        <v>90</v>
      </c>
      <c r="F2080" s="6" t="b">
        <v>0</v>
      </c>
      <c r="G2080" s="6">
        <v>0.1063333333333333</v>
      </c>
    </row>
    <row r="2081" spans="1:7">
      <c r="A2081" s="6" t="s">
        <v>269</v>
      </c>
      <c r="B2081" s="6" t="s">
        <v>52</v>
      </c>
      <c r="C2081" s="6" t="s">
        <v>186</v>
      </c>
      <c r="D2081" s="6" t="s">
        <v>177</v>
      </c>
      <c r="E2081" s="6" t="s">
        <v>86</v>
      </c>
      <c r="F2081" s="6" t="b">
        <v>0</v>
      </c>
      <c r="G2081" s="6">
        <v>0.03266666666666667</v>
      </c>
    </row>
    <row r="2082" spans="1:7">
      <c r="A2082" s="6" t="s">
        <v>269</v>
      </c>
      <c r="B2082" s="6" t="s">
        <v>52</v>
      </c>
      <c r="C2082" s="6" t="s">
        <v>189</v>
      </c>
      <c r="D2082" s="6" t="s">
        <v>86</v>
      </c>
      <c r="E2082" s="6" t="s">
        <v>86</v>
      </c>
      <c r="F2082" s="6" t="b">
        <v>0</v>
      </c>
      <c r="G2082" s="6">
        <v>0.59575</v>
      </c>
    </row>
    <row r="2083" spans="1:7">
      <c r="A2083" s="6" t="s">
        <v>269</v>
      </c>
      <c r="B2083" s="6" t="s">
        <v>52</v>
      </c>
      <c r="C2083" s="6" t="s">
        <v>189</v>
      </c>
      <c r="D2083" s="6" t="s">
        <v>88</v>
      </c>
      <c r="E2083" s="6" t="s">
        <v>88</v>
      </c>
      <c r="F2083" s="6" t="b">
        <v>0</v>
      </c>
      <c r="G2083" s="6">
        <v>0.2208333333333333</v>
      </c>
    </row>
    <row r="2084" spans="1:7">
      <c r="A2084" s="6" t="s">
        <v>356</v>
      </c>
      <c r="B2084" s="6" t="s">
        <v>52</v>
      </c>
      <c r="C2084" s="6" t="s">
        <v>189</v>
      </c>
      <c r="D2084" s="6" t="s">
        <v>86</v>
      </c>
      <c r="E2084" s="6" t="s">
        <v>86</v>
      </c>
      <c r="F2084" s="6" t="b">
        <v>0</v>
      </c>
      <c r="G2084" s="6">
        <v>28.51858333333334</v>
      </c>
    </row>
    <row r="2085" spans="1:7">
      <c r="A2085" s="6" t="s">
        <v>270</v>
      </c>
      <c r="B2085" s="6" t="s">
        <v>59</v>
      </c>
      <c r="C2085" s="6" t="s">
        <v>181</v>
      </c>
      <c r="D2085" s="6" t="s">
        <v>88</v>
      </c>
      <c r="E2085" s="6" t="s">
        <v>88</v>
      </c>
      <c r="F2085" s="6" t="b">
        <v>0</v>
      </c>
      <c r="G2085" s="6">
        <v>11.29066666666667</v>
      </c>
    </row>
    <row r="2086" spans="1:7">
      <c r="A2086" s="6" t="s">
        <v>270</v>
      </c>
      <c r="B2086" s="6" t="s">
        <v>59</v>
      </c>
      <c r="C2086" s="6" t="s">
        <v>181</v>
      </c>
      <c r="D2086" s="6" t="s">
        <v>90</v>
      </c>
      <c r="E2086" s="6" t="s">
        <v>90</v>
      </c>
      <c r="F2086" s="6" t="b">
        <v>0</v>
      </c>
      <c r="G2086" s="6">
        <v>0.003666666666666667</v>
      </c>
    </row>
    <row r="2087" spans="1:7">
      <c r="A2087" s="6" t="s">
        <v>270</v>
      </c>
      <c r="B2087" s="6" t="s">
        <v>59</v>
      </c>
      <c r="C2087" s="6" t="s">
        <v>183</v>
      </c>
      <c r="D2087" s="6" t="s">
        <v>88</v>
      </c>
      <c r="E2087" s="6" t="s">
        <v>88</v>
      </c>
      <c r="F2087" s="6" t="b">
        <v>0</v>
      </c>
      <c r="G2087" s="6">
        <v>0.09333333333333334</v>
      </c>
    </row>
    <row r="2088" spans="1:7">
      <c r="A2088" s="6" t="s">
        <v>270</v>
      </c>
      <c r="B2088" s="6" t="s">
        <v>59</v>
      </c>
      <c r="C2088" s="6" t="s">
        <v>183</v>
      </c>
      <c r="D2088" s="6" t="s">
        <v>90</v>
      </c>
      <c r="E2088" s="6" t="s">
        <v>86</v>
      </c>
      <c r="F2088" s="6" t="b">
        <v>0</v>
      </c>
      <c r="G2088" s="6">
        <v>0.04766666666666666</v>
      </c>
    </row>
    <row r="2089" spans="1:7">
      <c r="A2089" s="6" t="s">
        <v>270</v>
      </c>
      <c r="B2089" s="6" t="s">
        <v>59</v>
      </c>
      <c r="C2089" s="6" t="s">
        <v>183</v>
      </c>
      <c r="D2089" s="6" t="s">
        <v>90</v>
      </c>
      <c r="E2089" s="6" t="s">
        <v>90</v>
      </c>
      <c r="F2089" s="6" t="b">
        <v>0</v>
      </c>
      <c r="G2089" s="6">
        <v>0.05525</v>
      </c>
    </row>
    <row r="2090" spans="1:7">
      <c r="A2090" s="6" t="s">
        <v>270</v>
      </c>
      <c r="B2090" s="6" t="s">
        <v>59</v>
      </c>
      <c r="C2090" s="6" t="s">
        <v>183</v>
      </c>
      <c r="D2090" s="6" t="s">
        <v>177</v>
      </c>
      <c r="E2090" s="6" t="s">
        <v>86</v>
      </c>
      <c r="F2090" s="6" t="b">
        <v>0</v>
      </c>
      <c r="G2090" s="6">
        <v>0.007333333333333333</v>
      </c>
    </row>
    <row r="2091" spans="1:7">
      <c r="A2091" s="6" t="s">
        <v>270</v>
      </c>
      <c r="B2091" s="6" t="s">
        <v>59</v>
      </c>
      <c r="C2091" s="6" t="s">
        <v>183</v>
      </c>
      <c r="D2091" s="6" t="s">
        <v>177</v>
      </c>
      <c r="E2091" s="6" t="s">
        <v>685</v>
      </c>
      <c r="F2091" s="6" t="b">
        <v>1</v>
      </c>
      <c r="G2091" s="6">
        <v>0.0045</v>
      </c>
    </row>
    <row r="2092" spans="1:7">
      <c r="A2092" s="6" t="s">
        <v>270</v>
      </c>
      <c r="B2092" s="6" t="s">
        <v>59</v>
      </c>
      <c r="C2092" s="6" t="s">
        <v>184</v>
      </c>
      <c r="D2092" s="6" t="s">
        <v>44</v>
      </c>
      <c r="E2092" s="6" t="s">
        <v>44</v>
      </c>
      <c r="F2092" s="6" t="b">
        <v>0</v>
      </c>
      <c r="G2092" s="6">
        <v>99.83199999999999</v>
      </c>
    </row>
    <row r="2093" spans="1:7">
      <c r="A2093" s="6" t="s">
        <v>270</v>
      </c>
      <c r="B2093" s="6" t="s">
        <v>59</v>
      </c>
      <c r="C2093" s="6" t="s">
        <v>184</v>
      </c>
      <c r="D2093" s="6" t="s">
        <v>90</v>
      </c>
      <c r="E2093" s="6" t="s">
        <v>90</v>
      </c>
      <c r="F2093" s="6" t="b">
        <v>0</v>
      </c>
      <c r="G2093" s="6">
        <v>0.20125</v>
      </c>
    </row>
    <row r="2094" spans="1:7">
      <c r="A2094" s="6" t="s">
        <v>270</v>
      </c>
      <c r="B2094" s="6" t="s">
        <v>59</v>
      </c>
      <c r="C2094" s="6" t="s">
        <v>184</v>
      </c>
      <c r="D2094" s="6" t="s">
        <v>90</v>
      </c>
      <c r="E2094" s="6" t="s">
        <v>685</v>
      </c>
      <c r="F2094" s="6" t="b">
        <v>1</v>
      </c>
      <c r="G2094" s="6">
        <v>0.077</v>
      </c>
    </row>
    <row r="2095" spans="1:7">
      <c r="A2095" s="6" t="s">
        <v>270</v>
      </c>
      <c r="B2095" s="6" t="s">
        <v>59</v>
      </c>
      <c r="C2095" s="6" t="s">
        <v>184</v>
      </c>
      <c r="D2095" s="6" t="s">
        <v>177</v>
      </c>
      <c r="E2095" s="6" t="s">
        <v>44</v>
      </c>
      <c r="F2095" s="6" t="b">
        <v>0</v>
      </c>
      <c r="G2095" s="6">
        <v>93.35891666666667</v>
      </c>
    </row>
    <row r="2096" spans="1:7">
      <c r="A2096" s="6" t="s">
        <v>270</v>
      </c>
      <c r="B2096" s="6" t="s">
        <v>59</v>
      </c>
      <c r="C2096" s="6" t="s">
        <v>186</v>
      </c>
      <c r="D2096" s="6" t="s">
        <v>86</v>
      </c>
      <c r="E2096" s="6" t="s">
        <v>86</v>
      </c>
      <c r="F2096" s="6" t="b">
        <v>0</v>
      </c>
      <c r="G2096" s="6">
        <v>32.0015</v>
      </c>
    </row>
    <row r="2097" spans="1:7">
      <c r="A2097" s="6" t="s">
        <v>270</v>
      </c>
      <c r="B2097" s="6" t="s">
        <v>59</v>
      </c>
      <c r="C2097" s="6" t="s">
        <v>186</v>
      </c>
      <c r="D2097" s="6" t="s">
        <v>88</v>
      </c>
      <c r="E2097" s="6" t="s">
        <v>88</v>
      </c>
      <c r="F2097" s="6" t="b">
        <v>0</v>
      </c>
      <c r="G2097" s="6">
        <v>2.103083333333334</v>
      </c>
    </row>
    <row r="2098" spans="1:7">
      <c r="A2098" s="6" t="s">
        <v>270</v>
      </c>
      <c r="B2098" s="6" t="s">
        <v>59</v>
      </c>
      <c r="C2098" s="6" t="s">
        <v>186</v>
      </c>
      <c r="D2098" s="6" t="s">
        <v>90</v>
      </c>
      <c r="E2098" s="6" t="s">
        <v>90</v>
      </c>
      <c r="F2098" s="6" t="b">
        <v>0</v>
      </c>
      <c r="G2098" s="6">
        <v>5.260916666666667</v>
      </c>
    </row>
    <row r="2099" spans="1:7">
      <c r="A2099" s="6" t="s">
        <v>270</v>
      </c>
      <c r="B2099" s="6" t="s">
        <v>59</v>
      </c>
      <c r="C2099" s="6" t="s">
        <v>186</v>
      </c>
      <c r="D2099" s="6" t="s">
        <v>177</v>
      </c>
      <c r="E2099" s="6" t="s">
        <v>86</v>
      </c>
      <c r="F2099" s="6" t="b">
        <v>0</v>
      </c>
      <c r="G2099" s="6">
        <v>0.2913333333333333</v>
      </c>
    </row>
    <row r="2100" spans="1:7">
      <c r="A2100" s="6" t="s">
        <v>270</v>
      </c>
      <c r="B2100" s="6" t="s">
        <v>59</v>
      </c>
      <c r="C2100" s="6" t="s">
        <v>189</v>
      </c>
      <c r="D2100" s="6" t="s">
        <v>86</v>
      </c>
      <c r="E2100" s="6" t="s">
        <v>86</v>
      </c>
      <c r="F2100" s="6" t="b">
        <v>0</v>
      </c>
      <c r="G2100" s="6">
        <v>0.43825</v>
      </c>
    </row>
    <row r="2101" spans="1:7">
      <c r="A2101" s="6" t="s">
        <v>270</v>
      </c>
      <c r="B2101" s="6" t="s">
        <v>59</v>
      </c>
      <c r="C2101" s="6" t="s">
        <v>189</v>
      </c>
      <c r="D2101" s="6" t="s">
        <v>88</v>
      </c>
      <c r="E2101" s="6" t="s">
        <v>88</v>
      </c>
      <c r="F2101" s="6" t="b">
        <v>0</v>
      </c>
      <c r="G2101" s="6">
        <v>5.097416666666667</v>
      </c>
    </row>
    <row r="2102" spans="1:7">
      <c r="A2102" s="6" t="s">
        <v>270</v>
      </c>
      <c r="B2102" s="6" t="s">
        <v>59</v>
      </c>
      <c r="C2102" s="6" t="s">
        <v>189</v>
      </c>
      <c r="D2102" s="6" t="s">
        <v>90</v>
      </c>
      <c r="E2102" s="6" t="s">
        <v>90</v>
      </c>
      <c r="F2102" s="6" t="b">
        <v>0</v>
      </c>
      <c r="G2102" s="6">
        <v>0.1853333333333333</v>
      </c>
    </row>
    <row r="2103" spans="1:7">
      <c r="A2103" s="6" t="s">
        <v>271</v>
      </c>
      <c r="B2103" s="6" t="s">
        <v>54</v>
      </c>
      <c r="C2103" s="6" t="s">
        <v>181</v>
      </c>
      <c r="D2103" s="6" t="s">
        <v>88</v>
      </c>
      <c r="E2103" s="6" t="s">
        <v>88</v>
      </c>
      <c r="F2103" s="6" t="b">
        <v>0</v>
      </c>
      <c r="G2103" s="6">
        <v>62.51016666666666</v>
      </c>
    </row>
    <row r="2104" spans="1:7">
      <c r="A2104" s="6" t="s">
        <v>271</v>
      </c>
      <c r="B2104" s="6" t="s">
        <v>54</v>
      </c>
      <c r="C2104" s="6" t="s">
        <v>181</v>
      </c>
      <c r="D2104" s="6" t="s">
        <v>90</v>
      </c>
      <c r="E2104" s="6" t="s">
        <v>90</v>
      </c>
      <c r="F2104" s="6" t="b">
        <v>0</v>
      </c>
      <c r="G2104" s="6">
        <v>0.02658333333333333</v>
      </c>
    </row>
    <row r="2105" spans="1:7">
      <c r="A2105" s="6" t="s">
        <v>271</v>
      </c>
      <c r="B2105" s="6" t="s">
        <v>54</v>
      </c>
      <c r="C2105" s="6" t="s">
        <v>182</v>
      </c>
      <c r="D2105" s="6" t="s">
        <v>88</v>
      </c>
      <c r="E2105" s="6" t="s">
        <v>88</v>
      </c>
      <c r="F2105" s="6" t="b">
        <v>0</v>
      </c>
      <c r="G2105" s="6">
        <v>8.862</v>
      </c>
    </row>
    <row r="2106" spans="1:7">
      <c r="A2106" s="6" t="s">
        <v>271</v>
      </c>
      <c r="B2106" s="6" t="s">
        <v>54</v>
      </c>
      <c r="C2106" s="6" t="s">
        <v>183</v>
      </c>
      <c r="D2106" s="6" t="s">
        <v>86</v>
      </c>
      <c r="E2106" s="6" t="s">
        <v>86</v>
      </c>
      <c r="F2106" s="6" t="b">
        <v>0</v>
      </c>
      <c r="G2106" s="6">
        <v>0.03733333333333334</v>
      </c>
    </row>
    <row r="2107" spans="1:7">
      <c r="A2107" s="6" t="s">
        <v>271</v>
      </c>
      <c r="B2107" s="6" t="s">
        <v>54</v>
      </c>
      <c r="C2107" s="6" t="s">
        <v>183</v>
      </c>
      <c r="D2107" s="6" t="s">
        <v>88</v>
      </c>
      <c r="E2107" s="6" t="s">
        <v>88</v>
      </c>
      <c r="F2107" s="6" t="b">
        <v>0</v>
      </c>
      <c r="G2107" s="6">
        <v>0.2264166666666667</v>
      </c>
    </row>
    <row r="2108" spans="1:7">
      <c r="A2108" s="6" t="s">
        <v>271</v>
      </c>
      <c r="B2108" s="6" t="s">
        <v>54</v>
      </c>
      <c r="C2108" s="6" t="s">
        <v>183</v>
      </c>
      <c r="D2108" s="6" t="s">
        <v>90</v>
      </c>
      <c r="E2108" s="6" t="s">
        <v>86</v>
      </c>
      <c r="F2108" s="6" t="b">
        <v>0</v>
      </c>
      <c r="G2108" s="6">
        <v>0.4899166666666666</v>
      </c>
    </row>
    <row r="2109" spans="1:7">
      <c r="A2109" s="6" t="s">
        <v>271</v>
      </c>
      <c r="B2109" s="6" t="s">
        <v>54</v>
      </c>
      <c r="C2109" s="6" t="s">
        <v>183</v>
      </c>
      <c r="D2109" s="6" t="s">
        <v>90</v>
      </c>
      <c r="E2109" s="6" t="s">
        <v>90</v>
      </c>
      <c r="F2109" s="6" t="b">
        <v>0</v>
      </c>
      <c r="G2109" s="6">
        <v>0.2958333333333333</v>
      </c>
    </row>
    <row r="2110" spans="1:7">
      <c r="A2110" s="6" t="s">
        <v>271</v>
      </c>
      <c r="B2110" s="6" t="s">
        <v>54</v>
      </c>
      <c r="C2110" s="6" t="s">
        <v>183</v>
      </c>
      <c r="D2110" s="6" t="s">
        <v>177</v>
      </c>
      <c r="E2110" s="6" t="s">
        <v>86</v>
      </c>
      <c r="F2110" s="6" t="b">
        <v>0</v>
      </c>
      <c r="G2110" s="6">
        <v>0.1064166666666667</v>
      </c>
    </row>
    <row r="2111" spans="1:7">
      <c r="A2111" s="6" t="s">
        <v>271</v>
      </c>
      <c r="B2111" s="6" t="s">
        <v>54</v>
      </c>
      <c r="C2111" s="6" t="s">
        <v>183</v>
      </c>
      <c r="D2111" s="6" t="s">
        <v>177</v>
      </c>
      <c r="E2111" s="6" t="s">
        <v>685</v>
      </c>
      <c r="F2111" s="6" t="b">
        <v>1</v>
      </c>
      <c r="G2111" s="6">
        <v>0.023</v>
      </c>
    </row>
    <row r="2112" spans="1:7">
      <c r="A2112" s="6" t="s">
        <v>271</v>
      </c>
      <c r="B2112" s="6" t="s">
        <v>54</v>
      </c>
      <c r="C2112" s="6" t="s">
        <v>184</v>
      </c>
      <c r="D2112" s="6" t="s">
        <v>44</v>
      </c>
      <c r="E2112" s="6" t="s">
        <v>44</v>
      </c>
      <c r="F2112" s="6" t="b">
        <v>0</v>
      </c>
      <c r="G2112" s="6">
        <v>232.7556666666667</v>
      </c>
    </row>
    <row r="2113" spans="1:7">
      <c r="A2113" s="6" t="s">
        <v>271</v>
      </c>
      <c r="B2113" s="6" t="s">
        <v>54</v>
      </c>
      <c r="C2113" s="6" t="s">
        <v>184</v>
      </c>
      <c r="D2113" s="6" t="s">
        <v>86</v>
      </c>
      <c r="E2113" s="6" t="s">
        <v>86</v>
      </c>
      <c r="F2113" s="6" t="b">
        <v>0</v>
      </c>
      <c r="G2113" s="6">
        <v>1.416666666666667</v>
      </c>
    </row>
    <row r="2114" spans="1:7">
      <c r="A2114" s="6" t="s">
        <v>271</v>
      </c>
      <c r="B2114" s="6" t="s">
        <v>54</v>
      </c>
      <c r="C2114" s="6" t="s">
        <v>184</v>
      </c>
      <c r="D2114" s="6" t="s">
        <v>88</v>
      </c>
      <c r="E2114" s="6" t="s">
        <v>88</v>
      </c>
      <c r="F2114" s="6" t="b">
        <v>0</v>
      </c>
      <c r="G2114" s="6">
        <v>0.1940833333333334</v>
      </c>
    </row>
    <row r="2115" spans="1:7">
      <c r="A2115" s="6" t="s">
        <v>271</v>
      </c>
      <c r="B2115" s="6" t="s">
        <v>54</v>
      </c>
      <c r="C2115" s="6" t="s">
        <v>184</v>
      </c>
      <c r="D2115" s="6" t="s">
        <v>90</v>
      </c>
      <c r="E2115" s="6" t="s">
        <v>90</v>
      </c>
      <c r="F2115" s="6" t="b">
        <v>0</v>
      </c>
      <c r="G2115" s="6">
        <v>0.5597500000000001</v>
      </c>
    </row>
    <row r="2116" spans="1:7">
      <c r="A2116" s="6" t="s">
        <v>271</v>
      </c>
      <c r="B2116" s="6" t="s">
        <v>54</v>
      </c>
      <c r="C2116" s="6" t="s">
        <v>184</v>
      </c>
      <c r="D2116" s="6" t="s">
        <v>90</v>
      </c>
      <c r="E2116" s="6" t="s">
        <v>685</v>
      </c>
      <c r="F2116" s="6" t="b">
        <v>1</v>
      </c>
      <c r="G2116" s="6">
        <v>0.32125</v>
      </c>
    </row>
    <row r="2117" spans="1:7">
      <c r="A2117" s="6" t="s">
        <v>271</v>
      </c>
      <c r="B2117" s="6" t="s">
        <v>54</v>
      </c>
      <c r="C2117" s="6" t="s">
        <v>184</v>
      </c>
      <c r="D2117" s="6" t="s">
        <v>177</v>
      </c>
      <c r="E2117" s="6" t="s">
        <v>44</v>
      </c>
      <c r="F2117" s="6" t="b">
        <v>0</v>
      </c>
      <c r="G2117" s="6">
        <v>306.56675</v>
      </c>
    </row>
    <row r="2118" spans="1:7">
      <c r="A2118" s="6" t="s">
        <v>271</v>
      </c>
      <c r="B2118" s="6" t="s">
        <v>54</v>
      </c>
      <c r="C2118" s="6" t="s">
        <v>184</v>
      </c>
      <c r="D2118" s="6" t="s">
        <v>177</v>
      </c>
      <c r="E2118" s="6" t="s">
        <v>86</v>
      </c>
      <c r="F2118" s="6" t="b">
        <v>0</v>
      </c>
      <c r="G2118" s="6">
        <v>0.217</v>
      </c>
    </row>
    <row r="2119" spans="1:7">
      <c r="A2119" s="6" t="s">
        <v>271</v>
      </c>
      <c r="B2119" s="6" t="s">
        <v>54</v>
      </c>
      <c r="C2119" s="6" t="s">
        <v>184</v>
      </c>
      <c r="D2119" s="6" t="s">
        <v>177</v>
      </c>
      <c r="E2119" s="6" t="s">
        <v>685</v>
      </c>
      <c r="F2119" s="6" t="b">
        <v>1</v>
      </c>
      <c r="G2119" s="6">
        <v>5.1715</v>
      </c>
    </row>
    <row r="2120" spans="1:7">
      <c r="A2120" s="6" t="s">
        <v>271</v>
      </c>
      <c r="B2120" s="6" t="s">
        <v>54</v>
      </c>
      <c r="C2120" s="6" t="s">
        <v>185</v>
      </c>
      <c r="D2120" s="6" t="s">
        <v>44</v>
      </c>
      <c r="E2120" s="6" t="s">
        <v>44</v>
      </c>
      <c r="F2120" s="6" t="b">
        <v>0</v>
      </c>
      <c r="G2120" s="6">
        <v>164.37225</v>
      </c>
    </row>
    <row r="2121" spans="1:7">
      <c r="A2121" s="6" t="s">
        <v>271</v>
      </c>
      <c r="B2121" s="6" t="s">
        <v>54</v>
      </c>
      <c r="C2121" s="6" t="s">
        <v>185</v>
      </c>
      <c r="D2121" s="6" t="s">
        <v>44</v>
      </c>
      <c r="E2121" s="6" t="s">
        <v>685</v>
      </c>
      <c r="F2121" s="6" t="b">
        <v>1</v>
      </c>
      <c r="G2121" s="6">
        <v>9.422499999999999</v>
      </c>
    </row>
    <row r="2122" spans="1:7">
      <c r="A2122" s="6" t="s">
        <v>271</v>
      </c>
      <c r="B2122" s="6" t="s">
        <v>54</v>
      </c>
      <c r="C2122" s="6" t="s">
        <v>186</v>
      </c>
      <c r="D2122" s="6" t="s">
        <v>86</v>
      </c>
      <c r="E2122" s="6" t="s">
        <v>86</v>
      </c>
      <c r="F2122" s="6" t="b">
        <v>0</v>
      </c>
      <c r="G2122" s="6">
        <v>238.4095</v>
      </c>
    </row>
    <row r="2123" spans="1:7">
      <c r="A2123" s="6" t="s">
        <v>271</v>
      </c>
      <c r="B2123" s="6" t="s">
        <v>54</v>
      </c>
      <c r="C2123" s="6" t="s">
        <v>186</v>
      </c>
      <c r="D2123" s="6" t="s">
        <v>88</v>
      </c>
      <c r="E2123" s="6" t="s">
        <v>88</v>
      </c>
      <c r="F2123" s="6" t="b">
        <v>0</v>
      </c>
      <c r="G2123" s="6">
        <v>9.577916666666667</v>
      </c>
    </row>
    <row r="2124" spans="1:7">
      <c r="A2124" s="6" t="s">
        <v>271</v>
      </c>
      <c r="B2124" s="6" t="s">
        <v>54</v>
      </c>
      <c r="C2124" s="6" t="s">
        <v>186</v>
      </c>
      <c r="D2124" s="6" t="s">
        <v>90</v>
      </c>
      <c r="E2124" s="6" t="s">
        <v>90</v>
      </c>
      <c r="F2124" s="6" t="b">
        <v>0</v>
      </c>
      <c r="G2124" s="6">
        <v>50.99216666666666</v>
      </c>
    </row>
    <row r="2125" spans="1:7">
      <c r="A2125" s="6" t="s">
        <v>271</v>
      </c>
      <c r="B2125" s="6" t="s">
        <v>54</v>
      </c>
      <c r="C2125" s="6" t="s">
        <v>186</v>
      </c>
      <c r="D2125" s="6" t="s">
        <v>177</v>
      </c>
      <c r="E2125" s="6" t="s">
        <v>86</v>
      </c>
      <c r="F2125" s="6" t="b">
        <v>0</v>
      </c>
      <c r="G2125" s="6">
        <v>0.8386666666666667</v>
      </c>
    </row>
    <row r="2126" spans="1:7">
      <c r="A2126" s="6" t="s">
        <v>271</v>
      </c>
      <c r="B2126" s="6" t="s">
        <v>54</v>
      </c>
      <c r="C2126" s="6" t="s">
        <v>187</v>
      </c>
      <c r="D2126" s="6" t="s">
        <v>86</v>
      </c>
      <c r="E2126" s="6" t="s">
        <v>86</v>
      </c>
      <c r="F2126" s="6" t="b">
        <v>0</v>
      </c>
      <c r="G2126" s="6">
        <v>41.71383333333333</v>
      </c>
    </row>
    <row r="2127" spans="1:7">
      <c r="A2127" s="6" t="s">
        <v>271</v>
      </c>
      <c r="B2127" s="6" t="s">
        <v>54</v>
      </c>
      <c r="C2127" s="6" t="s">
        <v>187</v>
      </c>
      <c r="D2127" s="6" t="s">
        <v>88</v>
      </c>
      <c r="E2127" s="6" t="s">
        <v>88</v>
      </c>
      <c r="F2127" s="6" t="b">
        <v>0</v>
      </c>
      <c r="G2127" s="6">
        <v>113.6085833333333</v>
      </c>
    </row>
    <row r="2128" spans="1:7">
      <c r="A2128" s="6" t="s">
        <v>271</v>
      </c>
      <c r="B2128" s="6" t="s">
        <v>54</v>
      </c>
      <c r="C2128" s="6" t="s">
        <v>188</v>
      </c>
      <c r="D2128" s="6" t="s">
        <v>86</v>
      </c>
      <c r="E2128" s="6" t="s">
        <v>86</v>
      </c>
      <c r="F2128" s="6" t="b">
        <v>0</v>
      </c>
      <c r="G2128" s="6">
        <v>0.1586666666666667</v>
      </c>
    </row>
    <row r="2129" spans="1:7">
      <c r="A2129" s="6" t="s">
        <v>271</v>
      </c>
      <c r="B2129" s="6" t="s">
        <v>54</v>
      </c>
      <c r="C2129" s="6" t="s">
        <v>188</v>
      </c>
      <c r="D2129" s="6" t="s">
        <v>88</v>
      </c>
      <c r="E2129" s="6" t="s">
        <v>88</v>
      </c>
      <c r="F2129" s="6" t="b">
        <v>0</v>
      </c>
      <c r="G2129" s="6">
        <v>1.9405</v>
      </c>
    </row>
    <row r="2130" spans="1:7">
      <c r="A2130" s="6" t="s">
        <v>271</v>
      </c>
      <c r="B2130" s="6" t="s">
        <v>54</v>
      </c>
      <c r="C2130" s="6" t="s">
        <v>188</v>
      </c>
      <c r="D2130" s="6" t="s">
        <v>90</v>
      </c>
      <c r="E2130" s="6" t="s">
        <v>90</v>
      </c>
      <c r="F2130" s="6" t="b">
        <v>0</v>
      </c>
      <c r="G2130" s="6">
        <v>0.005833333333333334</v>
      </c>
    </row>
    <row r="2131" spans="1:7">
      <c r="A2131" s="6" t="s">
        <v>271</v>
      </c>
      <c r="B2131" s="6" t="s">
        <v>54</v>
      </c>
      <c r="C2131" s="6" t="s">
        <v>189</v>
      </c>
      <c r="D2131" s="6" t="s">
        <v>86</v>
      </c>
      <c r="E2131" s="6" t="s">
        <v>86</v>
      </c>
      <c r="F2131" s="6" t="b">
        <v>0</v>
      </c>
      <c r="G2131" s="6">
        <v>9.968333333333334</v>
      </c>
    </row>
    <row r="2132" spans="1:7">
      <c r="A2132" s="6" t="s">
        <v>271</v>
      </c>
      <c r="B2132" s="6" t="s">
        <v>54</v>
      </c>
      <c r="C2132" s="6" t="s">
        <v>189</v>
      </c>
      <c r="D2132" s="6" t="s">
        <v>88</v>
      </c>
      <c r="E2132" s="6" t="s">
        <v>88</v>
      </c>
      <c r="F2132" s="6" t="b">
        <v>0</v>
      </c>
      <c r="G2132" s="6">
        <v>53.00575</v>
      </c>
    </row>
    <row r="2133" spans="1:7">
      <c r="A2133" s="6" t="s">
        <v>271</v>
      </c>
      <c r="B2133" s="6" t="s">
        <v>54</v>
      </c>
      <c r="C2133" s="6" t="s">
        <v>189</v>
      </c>
      <c r="D2133" s="6" t="s">
        <v>90</v>
      </c>
      <c r="E2133" s="6" t="s">
        <v>90</v>
      </c>
      <c r="F2133" s="6" t="b">
        <v>0</v>
      </c>
      <c r="G2133" s="6">
        <v>4.258999999999999</v>
      </c>
    </row>
    <row r="2134" spans="1:7">
      <c r="A2134" s="6" t="s">
        <v>271</v>
      </c>
      <c r="B2134" s="6" t="s">
        <v>54</v>
      </c>
      <c r="C2134" s="6" t="s">
        <v>190</v>
      </c>
      <c r="D2134" s="6" t="s">
        <v>44</v>
      </c>
      <c r="E2134" s="6" t="s">
        <v>44</v>
      </c>
      <c r="F2134" s="6" t="b">
        <v>0</v>
      </c>
      <c r="G2134" s="6">
        <v>85.94583333333333</v>
      </c>
    </row>
    <row r="2135" spans="1:7">
      <c r="A2135" s="6" t="s">
        <v>271</v>
      </c>
      <c r="B2135" s="6" t="s">
        <v>54</v>
      </c>
      <c r="C2135" s="6" t="s">
        <v>190</v>
      </c>
      <c r="D2135" s="6" t="s">
        <v>86</v>
      </c>
      <c r="E2135" s="6" t="s">
        <v>44</v>
      </c>
      <c r="F2135" s="6" t="b">
        <v>0</v>
      </c>
      <c r="G2135" s="6">
        <v>4.318666666666666</v>
      </c>
    </row>
    <row r="2136" spans="1:7">
      <c r="A2136" s="6" t="s">
        <v>271</v>
      </c>
      <c r="B2136" s="6" t="s">
        <v>54</v>
      </c>
      <c r="C2136" s="6" t="s">
        <v>190</v>
      </c>
      <c r="D2136" s="6" t="s">
        <v>86</v>
      </c>
      <c r="E2136" s="6" t="s">
        <v>86</v>
      </c>
      <c r="F2136" s="6" t="b">
        <v>0</v>
      </c>
      <c r="G2136" s="6">
        <v>1.26</v>
      </c>
    </row>
    <row r="2137" spans="1:7">
      <c r="A2137" s="6" t="s">
        <v>271</v>
      </c>
      <c r="B2137" s="6" t="s">
        <v>54</v>
      </c>
      <c r="C2137" s="6" t="s">
        <v>190</v>
      </c>
      <c r="D2137" s="6" t="s">
        <v>88</v>
      </c>
      <c r="E2137" s="6" t="s">
        <v>88</v>
      </c>
      <c r="F2137" s="6" t="b">
        <v>0</v>
      </c>
      <c r="G2137" s="6">
        <v>0.002666666666666667</v>
      </c>
    </row>
    <row r="2138" spans="1:7">
      <c r="A2138" s="6" t="s">
        <v>271</v>
      </c>
      <c r="B2138" s="6" t="s">
        <v>54</v>
      </c>
      <c r="C2138" s="6" t="s">
        <v>190</v>
      </c>
      <c r="D2138" s="6" t="s">
        <v>90</v>
      </c>
      <c r="E2138" s="6" t="s">
        <v>44</v>
      </c>
      <c r="F2138" s="6" t="b">
        <v>0</v>
      </c>
      <c r="G2138" s="6">
        <v>1.428166666666667</v>
      </c>
    </row>
    <row r="2139" spans="1:7">
      <c r="A2139" s="6" t="s">
        <v>271</v>
      </c>
      <c r="B2139" s="6" t="s">
        <v>54</v>
      </c>
      <c r="C2139" s="6" t="s">
        <v>190</v>
      </c>
      <c r="D2139" s="6" t="s">
        <v>90</v>
      </c>
      <c r="E2139" s="6" t="s">
        <v>90</v>
      </c>
      <c r="F2139" s="6" t="b">
        <v>0</v>
      </c>
      <c r="G2139" s="6">
        <v>4.986083333333333</v>
      </c>
    </row>
    <row r="2140" spans="1:7">
      <c r="A2140" s="6" t="s">
        <v>271</v>
      </c>
      <c r="B2140" s="6" t="s">
        <v>54</v>
      </c>
      <c r="C2140" s="6" t="s">
        <v>190</v>
      </c>
      <c r="D2140" s="6" t="s">
        <v>177</v>
      </c>
      <c r="E2140" s="6" t="s">
        <v>44</v>
      </c>
      <c r="F2140" s="6" t="b">
        <v>0</v>
      </c>
      <c r="G2140" s="6">
        <v>22.9255</v>
      </c>
    </row>
    <row r="2141" spans="1:7">
      <c r="A2141" s="6" t="s">
        <v>271</v>
      </c>
      <c r="B2141" s="6" t="s">
        <v>54</v>
      </c>
      <c r="C2141" s="6" t="s">
        <v>190</v>
      </c>
      <c r="D2141" s="6" t="s">
        <v>177</v>
      </c>
      <c r="E2141" s="6" t="s">
        <v>86</v>
      </c>
      <c r="F2141" s="6" t="b">
        <v>0</v>
      </c>
      <c r="G2141" s="6">
        <v>1.635833333333333</v>
      </c>
    </row>
    <row r="2142" spans="1:7">
      <c r="A2142" s="6" t="s">
        <v>271</v>
      </c>
      <c r="B2142" s="6" t="s">
        <v>54</v>
      </c>
      <c r="C2142" s="6" t="s">
        <v>190</v>
      </c>
      <c r="D2142" s="6" t="s">
        <v>92</v>
      </c>
      <c r="E2142" s="6" t="s">
        <v>92</v>
      </c>
      <c r="F2142" s="6" t="b">
        <v>0</v>
      </c>
      <c r="G2142" s="6">
        <v>0.3376666666666666</v>
      </c>
    </row>
    <row r="2143" spans="1:7">
      <c r="A2143" s="6" t="s">
        <v>272</v>
      </c>
      <c r="B2143" s="6" t="s">
        <v>51</v>
      </c>
      <c r="C2143" s="6" t="s">
        <v>181</v>
      </c>
      <c r="D2143" s="6" t="s">
        <v>88</v>
      </c>
      <c r="E2143" s="6" t="s">
        <v>88</v>
      </c>
      <c r="F2143" s="6" t="b">
        <v>0</v>
      </c>
      <c r="G2143" s="6">
        <v>6.474250000000001</v>
      </c>
    </row>
    <row r="2144" spans="1:7">
      <c r="A2144" s="6" t="s">
        <v>272</v>
      </c>
      <c r="B2144" s="6" t="s">
        <v>51</v>
      </c>
      <c r="C2144" s="6" t="s">
        <v>181</v>
      </c>
      <c r="D2144" s="6" t="s">
        <v>90</v>
      </c>
      <c r="E2144" s="6" t="s">
        <v>90</v>
      </c>
      <c r="F2144" s="6" t="b">
        <v>0</v>
      </c>
      <c r="G2144" s="6">
        <v>0.0065</v>
      </c>
    </row>
    <row r="2145" spans="1:7">
      <c r="A2145" s="6" t="s">
        <v>272</v>
      </c>
      <c r="B2145" s="6" t="s">
        <v>51</v>
      </c>
      <c r="C2145" s="6" t="s">
        <v>182</v>
      </c>
      <c r="D2145" s="6" t="s">
        <v>88</v>
      </c>
      <c r="E2145" s="6" t="s">
        <v>88</v>
      </c>
      <c r="F2145" s="6" t="b">
        <v>0</v>
      </c>
      <c r="G2145" s="6">
        <v>1.727</v>
      </c>
    </row>
    <row r="2146" spans="1:7">
      <c r="A2146" s="6" t="s">
        <v>272</v>
      </c>
      <c r="B2146" s="6" t="s">
        <v>51</v>
      </c>
      <c r="C2146" s="6" t="s">
        <v>183</v>
      </c>
      <c r="D2146" s="6" t="s">
        <v>86</v>
      </c>
      <c r="E2146" s="6" t="s">
        <v>86</v>
      </c>
      <c r="F2146" s="6" t="b">
        <v>0</v>
      </c>
      <c r="G2146" s="6">
        <v>0.001833333333333333</v>
      </c>
    </row>
    <row r="2147" spans="1:7">
      <c r="A2147" s="6" t="s">
        <v>272</v>
      </c>
      <c r="B2147" s="6" t="s">
        <v>51</v>
      </c>
      <c r="C2147" s="6" t="s">
        <v>183</v>
      </c>
      <c r="D2147" s="6" t="s">
        <v>88</v>
      </c>
      <c r="E2147" s="6" t="s">
        <v>88</v>
      </c>
      <c r="F2147" s="6" t="b">
        <v>0</v>
      </c>
      <c r="G2147" s="6">
        <v>0.1000833333333333</v>
      </c>
    </row>
    <row r="2148" spans="1:7">
      <c r="A2148" s="6" t="s">
        <v>272</v>
      </c>
      <c r="B2148" s="6" t="s">
        <v>51</v>
      </c>
      <c r="C2148" s="6" t="s">
        <v>183</v>
      </c>
      <c r="D2148" s="6" t="s">
        <v>90</v>
      </c>
      <c r="E2148" s="6" t="s">
        <v>86</v>
      </c>
      <c r="F2148" s="6" t="b">
        <v>0</v>
      </c>
      <c r="G2148" s="6">
        <v>0.1251666666666667</v>
      </c>
    </row>
    <row r="2149" spans="1:7">
      <c r="A2149" s="6" t="s">
        <v>272</v>
      </c>
      <c r="B2149" s="6" t="s">
        <v>51</v>
      </c>
      <c r="C2149" s="6" t="s">
        <v>183</v>
      </c>
      <c r="D2149" s="6" t="s">
        <v>90</v>
      </c>
      <c r="E2149" s="6" t="s">
        <v>90</v>
      </c>
      <c r="F2149" s="6" t="b">
        <v>0</v>
      </c>
      <c r="G2149" s="6">
        <v>0.1351666666666667</v>
      </c>
    </row>
    <row r="2150" spans="1:7">
      <c r="A2150" s="6" t="s">
        <v>272</v>
      </c>
      <c r="B2150" s="6" t="s">
        <v>51</v>
      </c>
      <c r="C2150" s="6" t="s">
        <v>183</v>
      </c>
      <c r="D2150" s="6" t="s">
        <v>177</v>
      </c>
      <c r="E2150" s="6" t="s">
        <v>86</v>
      </c>
      <c r="F2150" s="6" t="b">
        <v>0</v>
      </c>
      <c r="G2150" s="6">
        <v>0.001083333333333333</v>
      </c>
    </row>
    <row r="2151" spans="1:7">
      <c r="A2151" s="6" t="s">
        <v>272</v>
      </c>
      <c r="B2151" s="6" t="s">
        <v>51</v>
      </c>
      <c r="C2151" s="6" t="s">
        <v>184</v>
      </c>
      <c r="D2151" s="6" t="s">
        <v>44</v>
      </c>
      <c r="E2151" s="6" t="s">
        <v>44</v>
      </c>
      <c r="F2151" s="6" t="b">
        <v>0</v>
      </c>
      <c r="G2151" s="6">
        <v>40.94108333333333</v>
      </c>
    </row>
    <row r="2152" spans="1:7">
      <c r="A2152" s="6" t="s">
        <v>272</v>
      </c>
      <c r="B2152" s="6" t="s">
        <v>51</v>
      </c>
      <c r="C2152" s="6" t="s">
        <v>184</v>
      </c>
      <c r="D2152" s="6" t="s">
        <v>88</v>
      </c>
      <c r="E2152" s="6" t="s">
        <v>88</v>
      </c>
      <c r="F2152" s="6" t="b">
        <v>0</v>
      </c>
      <c r="G2152" s="6">
        <v>0.1053333333333333</v>
      </c>
    </row>
    <row r="2153" spans="1:7">
      <c r="A2153" s="6" t="s">
        <v>272</v>
      </c>
      <c r="B2153" s="6" t="s">
        <v>51</v>
      </c>
      <c r="C2153" s="6" t="s">
        <v>184</v>
      </c>
      <c r="D2153" s="6" t="s">
        <v>90</v>
      </c>
      <c r="E2153" s="6" t="s">
        <v>90</v>
      </c>
      <c r="F2153" s="6" t="b">
        <v>0</v>
      </c>
      <c r="G2153" s="6">
        <v>0.1575</v>
      </c>
    </row>
    <row r="2154" spans="1:7">
      <c r="A2154" s="6" t="s">
        <v>272</v>
      </c>
      <c r="B2154" s="6" t="s">
        <v>51</v>
      </c>
      <c r="C2154" s="6" t="s">
        <v>184</v>
      </c>
      <c r="D2154" s="6" t="s">
        <v>90</v>
      </c>
      <c r="E2154" s="6" t="s">
        <v>685</v>
      </c>
      <c r="F2154" s="6" t="b">
        <v>1</v>
      </c>
      <c r="G2154" s="6">
        <v>0.15825</v>
      </c>
    </row>
    <row r="2155" spans="1:7">
      <c r="A2155" s="6" t="s">
        <v>272</v>
      </c>
      <c r="B2155" s="6" t="s">
        <v>51</v>
      </c>
      <c r="C2155" s="6" t="s">
        <v>184</v>
      </c>
      <c r="D2155" s="6" t="s">
        <v>177</v>
      </c>
      <c r="E2155" s="6" t="s">
        <v>44</v>
      </c>
      <c r="F2155" s="6" t="b">
        <v>0</v>
      </c>
      <c r="G2155" s="6">
        <v>22.85791666666667</v>
      </c>
    </row>
    <row r="2156" spans="1:7">
      <c r="A2156" s="6" t="s">
        <v>272</v>
      </c>
      <c r="B2156" s="6" t="s">
        <v>51</v>
      </c>
      <c r="C2156" s="6" t="s">
        <v>184</v>
      </c>
      <c r="D2156" s="6" t="s">
        <v>177</v>
      </c>
      <c r="E2156" s="6" t="s">
        <v>86</v>
      </c>
      <c r="F2156" s="6" t="b">
        <v>0</v>
      </c>
      <c r="G2156" s="6">
        <v>0.1085</v>
      </c>
    </row>
    <row r="2157" spans="1:7">
      <c r="A2157" s="6" t="s">
        <v>272</v>
      </c>
      <c r="B2157" s="6" t="s">
        <v>51</v>
      </c>
      <c r="C2157" s="6" t="s">
        <v>184</v>
      </c>
      <c r="D2157" s="6" t="s">
        <v>177</v>
      </c>
      <c r="E2157" s="6" t="s">
        <v>685</v>
      </c>
      <c r="F2157" s="6" t="b">
        <v>1</v>
      </c>
      <c r="G2157" s="6">
        <v>1.5025</v>
      </c>
    </row>
    <row r="2158" spans="1:7">
      <c r="A2158" s="6" t="s">
        <v>272</v>
      </c>
      <c r="B2158" s="6" t="s">
        <v>51</v>
      </c>
      <c r="C2158" s="6" t="s">
        <v>186</v>
      </c>
      <c r="D2158" s="6" t="s">
        <v>86</v>
      </c>
      <c r="E2158" s="6" t="s">
        <v>86</v>
      </c>
      <c r="F2158" s="6" t="b">
        <v>0</v>
      </c>
      <c r="G2158" s="6">
        <v>4.691833333333333</v>
      </c>
    </row>
    <row r="2159" spans="1:7">
      <c r="A2159" s="6" t="s">
        <v>272</v>
      </c>
      <c r="B2159" s="6" t="s">
        <v>51</v>
      </c>
      <c r="C2159" s="6" t="s">
        <v>186</v>
      </c>
      <c r="D2159" s="6" t="s">
        <v>88</v>
      </c>
      <c r="E2159" s="6" t="s">
        <v>88</v>
      </c>
      <c r="F2159" s="6" t="b">
        <v>0</v>
      </c>
      <c r="G2159" s="6">
        <v>0.31125</v>
      </c>
    </row>
    <row r="2160" spans="1:7">
      <c r="A2160" s="6" t="s">
        <v>272</v>
      </c>
      <c r="B2160" s="6" t="s">
        <v>51</v>
      </c>
      <c r="C2160" s="6" t="s">
        <v>186</v>
      </c>
      <c r="D2160" s="6" t="s">
        <v>90</v>
      </c>
      <c r="E2160" s="6" t="s">
        <v>90</v>
      </c>
      <c r="F2160" s="6" t="b">
        <v>0</v>
      </c>
      <c r="G2160" s="6">
        <v>8.448833333333333</v>
      </c>
    </row>
    <row r="2161" spans="1:7">
      <c r="A2161" s="6" t="s">
        <v>272</v>
      </c>
      <c r="B2161" s="6" t="s">
        <v>51</v>
      </c>
      <c r="C2161" s="6" t="s">
        <v>186</v>
      </c>
      <c r="D2161" s="6" t="s">
        <v>177</v>
      </c>
      <c r="E2161" s="6" t="s">
        <v>86</v>
      </c>
      <c r="F2161" s="6" t="b">
        <v>0</v>
      </c>
      <c r="G2161" s="6">
        <v>0.1446666666666667</v>
      </c>
    </row>
    <row r="2162" spans="1:7">
      <c r="A2162" s="6" t="s">
        <v>272</v>
      </c>
      <c r="B2162" s="6" t="s">
        <v>51</v>
      </c>
      <c r="C2162" s="6" t="s">
        <v>189</v>
      </c>
      <c r="D2162" s="6" t="s">
        <v>86</v>
      </c>
      <c r="E2162" s="6" t="s">
        <v>86</v>
      </c>
      <c r="F2162" s="6" t="b">
        <v>0</v>
      </c>
      <c r="G2162" s="6">
        <v>3.12075</v>
      </c>
    </row>
    <row r="2163" spans="1:7">
      <c r="A2163" s="6" t="s">
        <v>272</v>
      </c>
      <c r="B2163" s="6" t="s">
        <v>51</v>
      </c>
      <c r="C2163" s="6" t="s">
        <v>189</v>
      </c>
      <c r="D2163" s="6" t="s">
        <v>88</v>
      </c>
      <c r="E2163" s="6" t="s">
        <v>88</v>
      </c>
      <c r="F2163" s="6" t="b">
        <v>0</v>
      </c>
      <c r="G2163" s="6">
        <v>1.375916666666667</v>
      </c>
    </row>
    <row r="2164" spans="1:7">
      <c r="A2164" s="6" t="s">
        <v>272</v>
      </c>
      <c r="B2164" s="6" t="s">
        <v>51</v>
      </c>
      <c r="C2164" s="6" t="s">
        <v>189</v>
      </c>
      <c r="D2164" s="6" t="s">
        <v>90</v>
      </c>
      <c r="E2164" s="6" t="s">
        <v>90</v>
      </c>
      <c r="F2164" s="6" t="b">
        <v>0</v>
      </c>
      <c r="G2164" s="6">
        <v>0.365</v>
      </c>
    </row>
    <row r="2165" spans="1:7">
      <c r="A2165" s="6" t="s">
        <v>272</v>
      </c>
      <c r="B2165" s="6" t="s">
        <v>51</v>
      </c>
      <c r="C2165" s="6" t="s">
        <v>190</v>
      </c>
      <c r="D2165" s="6" t="s">
        <v>44</v>
      </c>
      <c r="E2165" s="6" t="s">
        <v>44</v>
      </c>
      <c r="F2165" s="6" t="b">
        <v>0</v>
      </c>
      <c r="G2165" s="6">
        <v>1.086</v>
      </c>
    </row>
    <row r="2166" spans="1:7">
      <c r="A2166" s="6" t="s">
        <v>272</v>
      </c>
      <c r="B2166" s="6" t="s">
        <v>51</v>
      </c>
      <c r="C2166" s="6" t="s">
        <v>190</v>
      </c>
      <c r="D2166" s="6" t="s">
        <v>86</v>
      </c>
      <c r="E2166" s="6" t="s">
        <v>44</v>
      </c>
      <c r="F2166" s="6" t="b">
        <v>0</v>
      </c>
      <c r="G2166" s="6">
        <v>0.03758333333333334</v>
      </c>
    </row>
    <row r="2167" spans="1:7">
      <c r="A2167" s="6" t="s">
        <v>272</v>
      </c>
      <c r="B2167" s="6" t="s">
        <v>51</v>
      </c>
      <c r="C2167" s="6" t="s">
        <v>190</v>
      </c>
      <c r="D2167" s="6" t="s">
        <v>86</v>
      </c>
      <c r="E2167" s="6" t="s">
        <v>86</v>
      </c>
      <c r="F2167" s="6" t="b">
        <v>0</v>
      </c>
      <c r="G2167" s="6">
        <v>0.005999999999999999</v>
      </c>
    </row>
    <row r="2168" spans="1:7">
      <c r="A2168" s="6" t="s">
        <v>272</v>
      </c>
      <c r="B2168" s="6" t="s">
        <v>51</v>
      </c>
      <c r="C2168" s="6" t="s">
        <v>190</v>
      </c>
      <c r="D2168" s="6" t="s">
        <v>90</v>
      </c>
      <c r="E2168" s="6" t="s">
        <v>44</v>
      </c>
      <c r="F2168" s="6" t="b">
        <v>0</v>
      </c>
      <c r="G2168" s="6">
        <v>0.03758333333333334</v>
      </c>
    </row>
    <row r="2169" spans="1:7">
      <c r="A2169" s="6" t="s">
        <v>272</v>
      </c>
      <c r="B2169" s="6" t="s">
        <v>51</v>
      </c>
      <c r="C2169" s="6" t="s">
        <v>190</v>
      </c>
      <c r="D2169" s="6" t="s">
        <v>90</v>
      </c>
      <c r="E2169" s="6" t="s">
        <v>90</v>
      </c>
      <c r="F2169" s="6" t="b">
        <v>0</v>
      </c>
      <c r="G2169" s="6">
        <v>0.3194166666666667</v>
      </c>
    </row>
    <row r="2170" spans="1:7">
      <c r="A2170" s="6" t="s">
        <v>272</v>
      </c>
      <c r="B2170" s="6" t="s">
        <v>51</v>
      </c>
      <c r="C2170" s="6" t="s">
        <v>190</v>
      </c>
      <c r="D2170" s="6" t="s">
        <v>177</v>
      </c>
      <c r="E2170" s="6" t="s">
        <v>44</v>
      </c>
      <c r="F2170" s="6" t="b">
        <v>0</v>
      </c>
      <c r="G2170" s="6">
        <v>0.3103333333333333</v>
      </c>
    </row>
    <row r="2171" spans="1:7">
      <c r="A2171" s="6" t="s">
        <v>272</v>
      </c>
      <c r="B2171" s="6" t="s">
        <v>51</v>
      </c>
      <c r="C2171" s="6" t="s">
        <v>190</v>
      </c>
      <c r="D2171" s="6" t="s">
        <v>177</v>
      </c>
      <c r="E2171" s="6" t="s">
        <v>86</v>
      </c>
      <c r="F2171" s="6" t="b">
        <v>0</v>
      </c>
      <c r="G2171" s="6">
        <v>0.01516666666666667</v>
      </c>
    </row>
    <row r="2172" spans="1:7">
      <c r="A2172" s="6" t="s">
        <v>273</v>
      </c>
      <c r="B2172" s="6" t="s">
        <v>51</v>
      </c>
      <c r="C2172" s="6" t="s">
        <v>181</v>
      </c>
      <c r="D2172" s="6" t="s">
        <v>88</v>
      </c>
      <c r="E2172" s="6" t="s">
        <v>88</v>
      </c>
      <c r="F2172" s="6" t="b">
        <v>0</v>
      </c>
      <c r="G2172" s="6">
        <v>58.63341666666667</v>
      </c>
    </row>
    <row r="2173" spans="1:7">
      <c r="A2173" s="6" t="s">
        <v>273</v>
      </c>
      <c r="B2173" s="6" t="s">
        <v>51</v>
      </c>
      <c r="C2173" s="6" t="s">
        <v>181</v>
      </c>
      <c r="D2173" s="6" t="s">
        <v>90</v>
      </c>
      <c r="E2173" s="6" t="s">
        <v>90</v>
      </c>
      <c r="F2173" s="6" t="b">
        <v>0</v>
      </c>
      <c r="G2173" s="6">
        <v>0.0275</v>
      </c>
    </row>
    <row r="2174" spans="1:7">
      <c r="A2174" s="6" t="s">
        <v>273</v>
      </c>
      <c r="B2174" s="6" t="s">
        <v>51</v>
      </c>
      <c r="C2174" s="6" t="s">
        <v>182</v>
      </c>
      <c r="D2174" s="6" t="s">
        <v>88</v>
      </c>
      <c r="E2174" s="6" t="s">
        <v>88</v>
      </c>
      <c r="F2174" s="6" t="b">
        <v>0</v>
      </c>
      <c r="G2174" s="6">
        <v>52.776</v>
      </c>
    </row>
    <row r="2175" spans="1:7">
      <c r="A2175" s="6" t="s">
        <v>273</v>
      </c>
      <c r="B2175" s="6" t="s">
        <v>51</v>
      </c>
      <c r="C2175" s="6" t="s">
        <v>183</v>
      </c>
      <c r="D2175" s="6" t="s">
        <v>86</v>
      </c>
      <c r="E2175" s="6" t="s">
        <v>86</v>
      </c>
      <c r="F2175" s="6" t="b">
        <v>0</v>
      </c>
      <c r="G2175" s="6">
        <v>0.01691666666666667</v>
      </c>
    </row>
    <row r="2176" spans="1:7">
      <c r="A2176" s="6" t="s">
        <v>273</v>
      </c>
      <c r="B2176" s="6" t="s">
        <v>51</v>
      </c>
      <c r="C2176" s="6" t="s">
        <v>183</v>
      </c>
      <c r="D2176" s="6" t="s">
        <v>88</v>
      </c>
      <c r="E2176" s="6" t="s">
        <v>88</v>
      </c>
      <c r="F2176" s="6" t="b">
        <v>0</v>
      </c>
      <c r="G2176" s="6">
        <v>0.4371666666666667</v>
      </c>
    </row>
    <row r="2177" spans="1:7">
      <c r="A2177" s="6" t="s">
        <v>273</v>
      </c>
      <c r="B2177" s="6" t="s">
        <v>51</v>
      </c>
      <c r="C2177" s="6" t="s">
        <v>183</v>
      </c>
      <c r="D2177" s="6" t="s">
        <v>90</v>
      </c>
      <c r="E2177" s="6" t="s">
        <v>86</v>
      </c>
      <c r="F2177" s="6" t="b">
        <v>0</v>
      </c>
      <c r="G2177" s="6">
        <v>0.35575</v>
      </c>
    </row>
    <row r="2178" spans="1:7">
      <c r="A2178" s="6" t="s">
        <v>273</v>
      </c>
      <c r="B2178" s="6" t="s">
        <v>51</v>
      </c>
      <c r="C2178" s="6" t="s">
        <v>183</v>
      </c>
      <c r="D2178" s="6" t="s">
        <v>90</v>
      </c>
      <c r="E2178" s="6" t="s">
        <v>90</v>
      </c>
      <c r="F2178" s="6" t="b">
        <v>0</v>
      </c>
      <c r="G2178" s="6">
        <v>0.3146666666666667</v>
      </c>
    </row>
    <row r="2179" spans="1:7">
      <c r="A2179" s="6" t="s">
        <v>273</v>
      </c>
      <c r="B2179" s="6" t="s">
        <v>51</v>
      </c>
      <c r="C2179" s="6" t="s">
        <v>183</v>
      </c>
      <c r="D2179" s="6" t="s">
        <v>177</v>
      </c>
      <c r="E2179" s="6" t="s">
        <v>86</v>
      </c>
      <c r="F2179" s="6" t="b">
        <v>0</v>
      </c>
      <c r="G2179" s="6">
        <v>0.07141666666666667</v>
      </c>
    </row>
    <row r="2180" spans="1:7">
      <c r="A2180" s="6" t="s">
        <v>273</v>
      </c>
      <c r="B2180" s="6" t="s">
        <v>51</v>
      </c>
      <c r="C2180" s="6" t="s">
        <v>183</v>
      </c>
      <c r="D2180" s="6" t="s">
        <v>177</v>
      </c>
      <c r="E2180" s="6" t="s">
        <v>685</v>
      </c>
      <c r="F2180" s="6" t="b">
        <v>1</v>
      </c>
      <c r="G2180" s="6">
        <v>0.029</v>
      </c>
    </row>
    <row r="2181" spans="1:7">
      <c r="A2181" s="6" t="s">
        <v>273</v>
      </c>
      <c r="B2181" s="6" t="s">
        <v>51</v>
      </c>
      <c r="C2181" s="6" t="s">
        <v>184</v>
      </c>
      <c r="D2181" s="6" t="s">
        <v>44</v>
      </c>
      <c r="E2181" s="6" t="s">
        <v>44</v>
      </c>
      <c r="F2181" s="6" t="b">
        <v>0</v>
      </c>
      <c r="G2181" s="6">
        <v>497.88025</v>
      </c>
    </row>
    <row r="2182" spans="1:7">
      <c r="A2182" s="6" t="s">
        <v>273</v>
      </c>
      <c r="B2182" s="6" t="s">
        <v>51</v>
      </c>
      <c r="C2182" s="6" t="s">
        <v>184</v>
      </c>
      <c r="D2182" s="6" t="s">
        <v>88</v>
      </c>
      <c r="E2182" s="6" t="s">
        <v>88</v>
      </c>
      <c r="F2182" s="6" t="b">
        <v>0</v>
      </c>
      <c r="G2182" s="6">
        <v>0.2461666666666667</v>
      </c>
    </row>
    <row r="2183" spans="1:7">
      <c r="A2183" s="6" t="s">
        <v>273</v>
      </c>
      <c r="B2183" s="6" t="s">
        <v>51</v>
      </c>
      <c r="C2183" s="6" t="s">
        <v>184</v>
      </c>
      <c r="D2183" s="6" t="s">
        <v>90</v>
      </c>
      <c r="E2183" s="6" t="s">
        <v>90</v>
      </c>
      <c r="F2183" s="6" t="b">
        <v>0</v>
      </c>
      <c r="G2183" s="6">
        <v>0.5195833333333334</v>
      </c>
    </row>
    <row r="2184" spans="1:7">
      <c r="A2184" s="6" t="s">
        <v>273</v>
      </c>
      <c r="B2184" s="6" t="s">
        <v>51</v>
      </c>
      <c r="C2184" s="6" t="s">
        <v>184</v>
      </c>
      <c r="D2184" s="6" t="s">
        <v>90</v>
      </c>
      <c r="E2184" s="6" t="s">
        <v>685</v>
      </c>
      <c r="F2184" s="6" t="b">
        <v>1</v>
      </c>
      <c r="G2184" s="6">
        <v>0.4843333333333333</v>
      </c>
    </row>
    <row r="2185" spans="1:7">
      <c r="A2185" s="6" t="s">
        <v>273</v>
      </c>
      <c r="B2185" s="6" t="s">
        <v>51</v>
      </c>
      <c r="C2185" s="6" t="s">
        <v>184</v>
      </c>
      <c r="D2185" s="6" t="s">
        <v>177</v>
      </c>
      <c r="E2185" s="6" t="s">
        <v>44</v>
      </c>
      <c r="F2185" s="6" t="b">
        <v>0</v>
      </c>
      <c r="G2185" s="6">
        <v>268.0480833333333</v>
      </c>
    </row>
    <row r="2186" spans="1:7">
      <c r="A2186" s="6" t="s">
        <v>273</v>
      </c>
      <c r="B2186" s="6" t="s">
        <v>51</v>
      </c>
      <c r="C2186" s="6" t="s">
        <v>184</v>
      </c>
      <c r="D2186" s="6" t="s">
        <v>177</v>
      </c>
      <c r="E2186" s="6" t="s">
        <v>86</v>
      </c>
      <c r="F2186" s="6" t="b">
        <v>0</v>
      </c>
      <c r="G2186" s="6">
        <v>0.24</v>
      </c>
    </row>
    <row r="2187" spans="1:7">
      <c r="A2187" s="6" t="s">
        <v>273</v>
      </c>
      <c r="B2187" s="6" t="s">
        <v>51</v>
      </c>
      <c r="C2187" s="6" t="s">
        <v>184</v>
      </c>
      <c r="D2187" s="6" t="s">
        <v>177</v>
      </c>
      <c r="E2187" s="6" t="s">
        <v>685</v>
      </c>
      <c r="F2187" s="6" t="b">
        <v>1</v>
      </c>
      <c r="G2187" s="6">
        <v>3.304083333333333</v>
      </c>
    </row>
    <row r="2188" spans="1:7">
      <c r="A2188" s="6" t="s">
        <v>273</v>
      </c>
      <c r="B2188" s="6" t="s">
        <v>51</v>
      </c>
      <c r="C2188" s="6" t="s">
        <v>185</v>
      </c>
      <c r="D2188" s="6" t="s">
        <v>44</v>
      </c>
      <c r="E2188" s="6" t="s">
        <v>44</v>
      </c>
      <c r="F2188" s="6" t="b">
        <v>0</v>
      </c>
      <c r="G2188" s="6">
        <v>29.27275</v>
      </c>
    </row>
    <row r="2189" spans="1:7">
      <c r="A2189" s="6" t="s">
        <v>273</v>
      </c>
      <c r="B2189" s="6" t="s">
        <v>51</v>
      </c>
      <c r="C2189" s="6" t="s">
        <v>185</v>
      </c>
      <c r="D2189" s="6" t="s">
        <v>44</v>
      </c>
      <c r="E2189" s="6" t="s">
        <v>685</v>
      </c>
      <c r="F2189" s="6" t="b">
        <v>1</v>
      </c>
      <c r="G2189" s="6">
        <v>271.618</v>
      </c>
    </row>
    <row r="2190" spans="1:7">
      <c r="A2190" s="6" t="s">
        <v>273</v>
      </c>
      <c r="B2190" s="6" t="s">
        <v>51</v>
      </c>
      <c r="C2190" s="6" t="s">
        <v>186</v>
      </c>
      <c r="D2190" s="6" t="s">
        <v>86</v>
      </c>
      <c r="E2190" s="6" t="s">
        <v>86</v>
      </c>
      <c r="F2190" s="6" t="b">
        <v>0</v>
      </c>
      <c r="G2190" s="6">
        <v>140.8879166666667</v>
      </c>
    </row>
    <row r="2191" spans="1:7">
      <c r="A2191" s="6" t="s">
        <v>273</v>
      </c>
      <c r="B2191" s="6" t="s">
        <v>51</v>
      </c>
      <c r="C2191" s="6" t="s">
        <v>186</v>
      </c>
      <c r="D2191" s="6" t="s">
        <v>88</v>
      </c>
      <c r="E2191" s="6" t="s">
        <v>88</v>
      </c>
      <c r="F2191" s="6" t="b">
        <v>0</v>
      </c>
      <c r="G2191" s="6">
        <v>8.790166666666666</v>
      </c>
    </row>
    <row r="2192" spans="1:7">
      <c r="A2192" s="6" t="s">
        <v>273</v>
      </c>
      <c r="B2192" s="6" t="s">
        <v>51</v>
      </c>
      <c r="C2192" s="6" t="s">
        <v>186</v>
      </c>
      <c r="D2192" s="6" t="s">
        <v>90</v>
      </c>
      <c r="E2192" s="6" t="s">
        <v>86</v>
      </c>
      <c r="F2192" s="6" t="b">
        <v>0</v>
      </c>
      <c r="G2192" s="6">
        <v>0.007083333333333333</v>
      </c>
    </row>
    <row r="2193" spans="1:7">
      <c r="A2193" s="6" t="s">
        <v>273</v>
      </c>
      <c r="B2193" s="6" t="s">
        <v>51</v>
      </c>
      <c r="C2193" s="6" t="s">
        <v>186</v>
      </c>
      <c r="D2193" s="6" t="s">
        <v>90</v>
      </c>
      <c r="E2193" s="6" t="s">
        <v>90</v>
      </c>
      <c r="F2193" s="6" t="b">
        <v>0</v>
      </c>
      <c r="G2193" s="6">
        <v>42.36441666666666</v>
      </c>
    </row>
    <row r="2194" spans="1:7">
      <c r="A2194" s="6" t="s">
        <v>273</v>
      </c>
      <c r="B2194" s="6" t="s">
        <v>51</v>
      </c>
      <c r="C2194" s="6" t="s">
        <v>186</v>
      </c>
      <c r="D2194" s="6" t="s">
        <v>177</v>
      </c>
      <c r="E2194" s="6" t="s">
        <v>86</v>
      </c>
      <c r="F2194" s="6" t="b">
        <v>0</v>
      </c>
      <c r="G2194" s="6">
        <v>1.208916666666667</v>
      </c>
    </row>
    <row r="2195" spans="1:7">
      <c r="A2195" s="6" t="s">
        <v>273</v>
      </c>
      <c r="B2195" s="6" t="s">
        <v>51</v>
      </c>
      <c r="C2195" s="6" t="s">
        <v>188</v>
      </c>
      <c r="D2195" s="6" t="s">
        <v>86</v>
      </c>
      <c r="E2195" s="6" t="s">
        <v>86</v>
      </c>
      <c r="F2195" s="6" t="b">
        <v>0</v>
      </c>
      <c r="G2195" s="6">
        <v>30.54083333333334</v>
      </c>
    </row>
    <row r="2196" spans="1:7">
      <c r="A2196" s="6" t="s">
        <v>273</v>
      </c>
      <c r="B2196" s="6" t="s">
        <v>51</v>
      </c>
      <c r="C2196" s="6" t="s">
        <v>188</v>
      </c>
      <c r="D2196" s="6" t="s">
        <v>88</v>
      </c>
      <c r="E2196" s="6" t="s">
        <v>88</v>
      </c>
      <c r="F2196" s="6" t="b">
        <v>0</v>
      </c>
      <c r="G2196" s="6">
        <v>331.2989166666667</v>
      </c>
    </row>
    <row r="2197" spans="1:7">
      <c r="A2197" s="6" t="s">
        <v>273</v>
      </c>
      <c r="B2197" s="6" t="s">
        <v>51</v>
      </c>
      <c r="C2197" s="6" t="s">
        <v>188</v>
      </c>
      <c r="D2197" s="6" t="s">
        <v>90</v>
      </c>
      <c r="E2197" s="6" t="s">
        <v>90</v>
      </c>
      <c r="F2197" s="6" t="b">
        <v>0</v>
      </c>
      <c r="G2197" s="6">
        <v>0.075</v>
      </c>
    </row>
    <row r="2198" spans="1:7">
      <c r="A2198" s="6" t="s">
        <v>273</v>
      </c>
      <c r="B2198" s="6" t="s">
        <v>51</v>
      </c>
      <c r="C2198" s="6" t="s">
        <v>189</v>
      </c>
      <c r="D2198" s="6" t="s">
        <v>86</v>
      </c>
      <c r="E2198" s="6" t="s">
        <v>86</v>
      </c>
      <c r="F2198" s="6" t="b">
        <v>0</v>
      </c>
      <c r="G2198" s="6">
        <v>7.962</v>
      </c>
    </row>
    <row r="2199" spans="1:7">
      <c r="A2199" s="6" t="s">
        <v>273</v>
      </c>
      <c r="B2199" s="6" t="s">
        <v>51</v>
      </c>
      <c r="C2199" s="6" t="s">
        <v>189</v>
      </c>
      <c r="D2199" s="6" t="s">
        <v>88</v>
      </c>
      <c r="E2199" s="6" t="s">
        <v>88</v>
      </c>
      <c r="F2199" s="6" t="b">
        <v>0</v>
      </c>
      <c r="G2199" s="6">
        <v>13.11366666666667</v>
      </c>
    </row>
    <row r="2200" spans="1:7">
      <c r="A2200" s="6" t="s">
        <v>273</v>
      </c>
      <c r="B2200" s="6" t="s">
        <v>51</v>
      </c>
      <c r="C2200" s="6" t="s">
        <v>189</v>
      </c>
      <c r="D2200" s="6" t="s">
        <v>90</v>
      </c>
      <c r="E2200" s="6" t="s">
        <v>90</v>
      </c>
      <c r="F2200" s="6" t="b">
        <v>0</v>
      </c>
      <c r="G2200" s="6">
        <v>2.501083333333333</v>
      </c>
    </row>
    <row r="2201" spans="1:7">
      <c r="A2201" s="6" t="s">
        <v>273</v>
      </c>
      <c r="B2201" s="6" t="s">
        <v>51</v>
      </c>
      <c r="C2201" s="6" t="s">
        <v>190</v>
      </c>
      <c r="D2201" s="6" t="s">
        <v>44</v>
      </c>
      <c r="E2201" s="6" t="s">
        <v>44</v>
      </c>
      <c r="F2201" s="6" t="b">
        <v>0</v>
      </c>
      <c r="G2201" s="6">
        <v>131.042</v>
      </c>
    </row>
    <row r="2202" spans="1:7">
      <c r="A2202" s="6" t="s">
        <v>273</v>
      </c>
      <c r="B2202" s="6" t="s">
        <v>51</v>
      </c>
      <c r="C2202" s="6" t="s">
        <v>190</v>
      </c>
      <c r="D2202" s="6" t="s">
        <v>86</v>
      </c>
      <c r="E2202" s="6" t="s">
        <v>44</v>
      </c>
      <c r="F2202" s="6" t="b">
        <v>0</v>
      </c>
      <c r="G2202" s="6">
        <v>16.54008333333333</v>
      </c>
    </row>
    <row r="2203" spans="1:7">
      <c r="A2203" s="6" t="s">
        <v>273</v>
      </c>
      <c r="B2203" s="6" t="s">
        <v>51</v>
      </c>
      <c r="C2203" s="6" t="s">
        <v>190</v>
      </c>
      <c r="D2203" s="6" t="s">
        <v>86</v>
      </c>
      <c r="E2203" s="6" t="s">
        <v>86</v>
      </c>
      <c r="F2203" s="6" t="b">
        <v>0</v>
      </c>
      <c r="G2203" s="6">
        <v>0.1380833333333333</v>
      </c>
    </row>
    <row r="2204" spans="1:7">
      <c r="A2204" s="6" t="s">
        <v>273</v>
      </c>
      <c r="B2204" s="6" t="s">
        <v>51</v>
      </c>
      <c r="C2204" s="6" t="s">
        <v>190</v>
      </c>
      <c r="D2204" s="6" t="s">
        <v>90</v>
      </c>
      <c r="E2204" s="6" t="s">
        <v>44</v>
      </c>
      <c r="F2204" s="6" t="b">
        <v>0</v>
      </c>
      <c r="G2204" s="6">
        <v>16.15058333333333</v>
      </c>
    </row>
    <row r="2205" spans="1:7">
      <c r="A2205" s="6" t="s">
        <v>273</v>
      </c>
      <c r="B2205" s="6" t="s">
        <v>51</v>
      </c>
      <c r="C2205" s="6" t="s">
        <v>190</v>
      </c>
      <c r="D2205" s="6" t="s">
        <v>90</v>
      </c>
      <c r="E2205" s="6" t="s">
        <v>90</v>
      </c>
      <c r="F2205" s="6" t="b">
        <v>0</v>
      </c>
      <c r="G2205" s="6">
        <v>3.46375</v>
      </c>
    </row>
    <row r="2206" spans="1:7">
      <c r="A2206" s="6" t="s">
        <v>273</v>
      </c>
      <c r="B2206" s="6" t="s">
        <v>51</v>
      </c>
      <c r="C2206" s="6" t="s">
        <v>190</v>
      </c>
      <c r="D2206" s="6" t="s">
        <v>177</v>
      </c>
      <c r="E2206" s="6" t="s">
        <v>44</v>
      </c>
      <c r="F2206" s="6" t="b">
        <v>0</v>
      </c>
      <c r="G2206" s="6">
        <v>132.21175</v>
      </c>
    </row>
    <row r="2207" spans="1:7">
      <c r="A2207" s="6" t="s">
        <v>273</v>
      </c>
      <c r="B2207" s="6" t="s">
        <v>51</v>
      </c>
      <c r="C2207" s="6" t="s">
        <v>190</v>
      </c>
      <c r="D2207" s="6" t="s">
        <v>177</v>
      </c>
      <c r="E2207" s="6" t="s">
        <v>86</v>
      </c>
      <c r="F2207" s="6" t="b">
        <v>0</v>
      </c>
      <c r="G2207" s="6">
        <v>1.479666666666667</v>
      </c>
    </row>
    <row r="2208" spans="1:7">
      <c r="A2208" s="6" t="s">
        <v>273</v>
      </c>
      <c r="B2208" s="6" t="s">
        <v>51</v>
      </c>
      <c r="C2208" s="6" t="s">
        <v>190</v>
      </c>
      <c r="D2208" s="6" t="s">
        <v>92</v>
      </c>
      <c r="E2208" s="6" t="s">
        <v>92</v>
      </c>
      <c r="F2208" s="6" t="b">
        <v>0</v>
      </c>
      <c r="G2208" s="6">
        <v>1.252333333333333</v>
      </c>
    </row>
    <row r="2209" spans="1:7">
      <c r="A2209" s="6" t="s">
        <v>274</v>
      </c>
      <c r="B2209" s="6" t="s">
        <v>56</v>
      </c>
      <c r="C2209" s="6" t="s">
        <v>181</v>
      </c>
      <c r="D2209" s="6" t="s">
        <v>88</v>
      </c>
      <c r="E2209" s="6" t="s">
        <v>88</v>
      </c>
      <c r="F2209" s="6" t="b">
        <v>0</v>
      </c>
      <c r="G2209" s="6">
        <v>6.607416666666666</v>
      </c>
    </row>
    <row r="2210" spans="1:7">
      <c r="A2210" s="6" t="s">
        <v>274</v>
      </c>
      <c r="B2210" s="6" t="s">
        <v>56</v>
      </c>
      <c r="C2210" s="6" t="s">
        <v>181</v>
      </c>
      <c r="D2210" s="6" t="s">
        <v>90</v>
      </c>
      <c r="E2210" s="6" t="s">
        <v>90</v>
      </c>
      <c r="F2210" s="6" t="b">
        <v>0</v>
      </c>
      <c r="G2210" s="6">
        <v>0.005500000000000001</v>
      </c>
    </row>
    <row r="2211" spans="1:7">
      <c r="A2211" s="6" t="s">
        <v>274</v>
      </c>
      <c r="B2211" s="6" t="s">
        <v>56</v>
      </c>
      <c r="C2211" s="6" t="s">
        <v>183</v>
      </c>
      <c r="D2211" s="6" t="s">
        <v>86</v>
      </c>
      <c r="E2211" s="6" t="s">
        <v>86</v>
      </c>
      <c r="F2211" s="6" t="b">
        <v>0</v>
      </c>
      <c r="G2211" s="6">
        <v>0.001416666666666667</v>
      </c>
    </row>
    <row r="2212" spans="1:7">
      <c r="A2212" s="6" t="s">
        <v>274</v>
      </c>
      <c r="B2212" s="6" t="s">
        <v>56</v>
      </c>
      <c r="C2212" s="6" t="s">
        <v>183</v>
      </c>
      <c r="D2212" s="6" t="s">
        <v>88</v>
      </c>
      <c r="E2212" s="6" t="s">
        <v>88</v>
      </c>
      <c r="F2212" s="6" t="b">
        <v>0</v>
      </c>
      <c r="G2212" s="6">
        <v>0.0505</v>
      </c>
    </row>
    <row r="2213" spans="1:7">
      <c r="A2213" s="6" t="s">
        <v>274</v>
      </c>
      <c r="B2213" s="6" t="s">
        <v>56</v>
      </c>
      <c r="C2213" s="6" t="s">
        <v>183</v>
      </c>
      <c r="D2213" s="6" t="s">
        <v>90</v>
      </c>
      <c r="E2213" s="6" t="s">
        <v>86</v>
      </c>
      <c r="F2213" s="6" t="b">
        <v>0</v>
      </c>
      <c r="G2213" s="6">
        <v>0.02525</v>
      </c>
    </row>
    <row r="2214" spans="1:7">
      <c r="A2214" s="6" t="s">
        <v>274</v>
      </c>
      <c r="B2214" s="6" t="s">
        <v>56</v>
      </c>
      <c r="C2214" s="6" t="s">
        <v>183</v>
      </c>
      <c r="D2214" s="6" t="s">
        <v>90</v>
      </c>
      <c r="E2214" s="6" t="s">
        <v>90</v>
      </c>
      <c r="F2214" s="6" t="b">
        <v>0</v>
      </c>
      <c r="G2214" s="6">
        <v>0.02075</v>
      </c>
    </row>
    <row r="2215" spans="1:7">
      <c r="A2215" s="6" t="s">
        <v>274</v>
      </c>
      <c r="B2215" s="6" t="s">
        <v>56</v>
      </c>
      <c r="C2215" s="6" t="s">
        <v>183</v>
      </c>
      <c r="D2215" s="6" t="s">
        <v>177</v>
      </c>
      <c r="E2215" s="6" t="s">
        <v>86</v>
      </c>
      <c r="F2215" s="6" t="b">
        <v>0</v>
      </c>
      <c r="G2215" s="6">
        <v>0.001833333333333333</v>
      </c>
    </row>
    <row r="2216" spans="1:7">
      <c r="A2216" s="6" t="s">
        <v>274</v>
      </c>
      <c r="B2216" s="6" t="s">
        <v>56</v>
      </c>
      <c r="C2216" s="6" t="s">
        <v>183</v>
      </c>
      <c r="D2216" s="6" t="s">
        <v>177</v>
      </c>
      <c r="E2216" s="6" t="s">
        <v>685</v>
      </c>
      <c r="F2216" s="6" t="b">
        <v>1</v>
      </c>
      <c r="G2216" s="6">
        <v>0.0025</v>
      </c>
    </row>
    <row r="2217" spans="1:7">
      <c r="A2217" s="6" t="s">
        <v>274</v>
      </c>
      <c r="B2217" s="6" t="s">
        <v>56</v>
      </c>
      <c r="C2217" s="6" t="s">
        <v>184</v>
      </c>
      <c r="D2217" s="6" t="s">
        <v>44</v>
      </c>
      <c r="E2217" s="6" t="s">
        <v>44</v>
      </c>
      <c r="F2217" s="6" t="b">
        <v>0</v>
      </c>
      <c r="G2217" s="6">
        <v>112.4979166666667</v>
      </c>
    </row>
    <row r="2218" spans="1:7">
      <c r="A2218" s="6" t="s">
        <v>274</v>
      </c>
      <c r="B2218" s="6" t="s">
        <v>56</v>
      </c>
      <c r="C2218" s="6" t="s">
        <v>184</v>
      </c>
      <c r="D2218" s="6" t="s">
        <v>88</v>
      </c>
      <c r="E2218" s="6" t="s">
        <v>88</v>
      </c>
      <c r="F2218" s="6" t="b">
        <v>0</v>
      </c>
      <c r="G2218" s="6">
        <v>0.02525</v>
      </c>
    </row>
    <row r="2219" spans="1:7">
      <c r="A2219" s="6" t="s">
        <v>274</v>
      </c>
      <c r="B2219" s="6" t="s">
        <v>56</v>
      </c>
      <c r="C2219" s="6" t="s">
        <v>184</v>
      </c>
      <c r="D2219" s="6" t="s">
        <v>90</v>
      </c>
      <c r="E2219" s="6" t="s">
        <v>90</v>
      </c>
      <c r="F2219" s="6" t="b">
        <v>0</v>
      </c>
      <c r="G2219" s="6">
        <v>0.07958333333333334</v>
      </c>
    </row>
    <row r="2220" spans="1:7">
      <c r="A2220" s="6" t="s">
        <v>274</v>
      </c>
      <c r="B2220" s="6" t="s">
        <v>56</v>
      </c>
      <c r="C2220" s="6" t="s">
        <v>184</v>
      </c>
      <c r="D2220" s="6" t="s">
        <v>90</v>
      </c>
      <c r="E2220" s="6" t="s">
        <v>685</v>
      </c>
      <c r="F2220" s="6" t="b">
        <v>1</v>
      </c>
      <c r="G2220" s="6">
        <v>0.05125</v>
      </c>
    </row>
    <row r="2221" spans="1:7">
      <c r="A2221" s="6" t="s">
        <v>274</v>
      </c>
      <c r="B2221" s="6" t="s">
        <v>56</v>
      </c>
      <c r="C2221" s="6" t="s">
        <v>184</v>
      </c>
      <c r="D2221" s="6" t="s">
        <v>177</v>
      </c>
      <c r="E2221" s="6" t="s">
        <v>44</v>
      </c>
      <c r="F2221" s="6" t="b">
        <v>0</v>
      </c>
      <c r="G2221" s="6">
        <v>42.37666666666667</v>
      </c>
    </row>
    <row r="2222" spans="1:7">
      <c r="A2222" s="6" t="s">
        <v>274</v>
      </c>
      <c r="B2222" s="6" t="s">
        <v>56</v>
      </c>
      <c r="C2222" s="6" t="s">
        <v>184</v>
      </c>
      <c r="D2222" s="6" t="s">
        <v>177</v>
      </c>
      <c r="E2222" s="6" t="s">
        <v>86</v>
      </c>
      <c r="F2222" s="6" t="b">
        <v>0</v>
      </c>
      <c r="G2222" s="6">
        <v>0.0105</v>
      </c>
    </row>
    <row r="2223" spans="1:7">
      <c r="A2223" s="6" t="s">
        <v>274</v>
      </c>
      <c r="B2223" s="6" t="s">
        <v>56</v>
      </c>
      <c r="C2223" s="6" t="s">
        <v>184</v>
      </c>
      <c r="D2223" s="6" t="s">
        <v>177</v>
      </c>
      <c r="E2223" s="6" t="s">
        <v>685</v>
      </c>
      <c r="F2223" s="6" t="b">
        <v>1</v>
      </c>
      <c r="G2223" s="6">
        <v>0.10925</v>
      </c>
    </row>
    <row r="2224" spans="1:7">
      <c r="A2224" s="6" t="s">
        <v>274</v>
      </c>
      <c r="B2224" s="6" t="s">
        <v>56</v>
      </c>
      <c r="C2224" s="6" t="s">
        <v>186</v>
      </c>
      <c r="D2224" s="6" t="s">
        <v>86</v>
      </c>
      <c r="E2224" s="6" t="s">
        <v>86</v>
      </c>
      <c r="F2224" s="6" t="b">
        <v>0</v>
      </c>
      <c r="G2224" s="6">
        <v>18.384</v>
      </c>
    </row>
    <row r="2225" spans="1:7">
      <c r="A2225" s="6" t="s">
        <v>274</v>
      </c>
      <c r="B2225" s="6" t="s">
        <v>56</v>
      </c>
      <c r="C2225" s="6" t="s">
        <v>186</v>
      </c>
      <c r="D2225" s="6" t="s">
        <v>88</v>
      </c>
      <c r="E2225" s="6" t="s">
        <v>88</v>
      </c>
      <c r="F2225" s="6" t="b">
        <v>0</v>
      </c>
      <c r="G2225" s="6">
        <v>1.541916666666667</v>
      </c>
    </row>
    <row r="2226" spans="1:7">
      <c r="A2226" s="6" t="s">
        <v>274</v>
      </c>
      <c r="B2226" s="6" t="s">
        <v>56</v>
      </c>
      <c r="C2226" s="6" t="s">
        <v>186</v>
      </c>
      <c r="D2226" s="6" t="s">
        <v>90</v>
      </c>
      <c r="E2226" s="6" t="s">
        <v>86</v>
      </c>
      <c r="F2226" s="6" t="b">
        <v>0</v>
      </c>
      <c r="G2226" s="6">
        <v>0.007083333333333334</v>
      </c>
    </row>
    <row r="2227" spans="1:7">
      <c r="A2227" s="6" t="s">
        <v>274</v>
      </c>
      <c r="B2227" s="6" t="s">
        <v>56</v>
      </c>
      <c r="C2227" s="6" t="s">
        <v>186</v>
      </c>
      <c r="D2227" s="6" t="s">
        <v>90</v>
      </c>
      <c r="E2227" s="6" t="s">
        <v>90</v>
      </c>
      <c r="F2227" s="6" t="b">
        <v>0</v>
      </c>
      <c r="G2227" s="6">
        <v>8.541416666666667</v>
      </c>
    </row>
    <row r="2228" spans="1:7">
      <c r="A2228" s="6" t="s">
        <v>274</v>
      </c>
      <c r="B2228" s="6" t="s">
        <v>56</v>
      </c>
      <c r="C2228" s="6" t="s">
        <v>186</v>
      </c>
      <c r="D2228" s="6" t="s">
        <v>177</v>
      </c>
      <c r="E2228" s="6" t="s">
        <v>86</v>
      </c>
      <c r="F2228" s="6" t="b">
        <v>0</v>
      </c>
      <c r="G2228" s="6">
        <v>0.4476666666666667</v>
      </c>
    </row>
    <row r="2229" spans="1:7">
      <c r="A2229" s="6" t="s">
        <v>274</v>
      </c>
      <c r="B2229" s="6" t="s">
        <v>56</v>
      </c>
      <c r="C2229" s="6" t="s">
        <v>189</v>
      </c>
      <c r="D2229" s="6" t="s">
        <v>86</v>
      </c>
      <c r="E2229" s="6" t="s">
        <v>86</v>
      </c>
      <c r="F2229" s="6" t="b">
        <v>0</v>
      </c>
      <c r="G2229" s="6">
        <v>0.6480833333333333</v>
      </c>
    </row>
    <row r="2230" spans="1:7">
      <c r="A2230" s="6" t="s">
        <v>274</v>
      </c>
      <c r="B2230" s="6" t="s">
        <v>56</v>
      </c>
      <c r="C2230" s="6" t="s">
        <v>189</v>
      </c>
      <c r="D2230" s="6" t="s">
        <v>88</v>
      </c>
      <c r="E2230" s="6" t="s">
        <v>88</v>
      </c>
      <c r="F2230" s="6" t="b">
        <v>0</v>
      </c>
      <c r="G2230" s="6">
        <v>1.553583333333333</v>
      </c>
    </row>
    <row r="2231" spans="1:7">
      <c r="A2231" s="6" t="s">
        <v>274</v>
      </c>
      <c r="B2231" s="6" t="s">
        <v>56</v>
      </c>
      <c r="C2231" s="6" t="s">
        <v>189</v>
      </c>
      <c r="D2231" s="6" t="s">
        <v>90</v>
      </c>
      <c r="E2231" s="6" t="s">
        <v>90</v>
      </c>
      <c r="F2231" s="6" t="b">
        <v>0</v>
      </c>
      <c r="G2231" s="6">
        <v>0.12125</v>
      </c>
    </row>
    <row r="2232" spans="1:7">
      <c r="A2232" s="6" t="s">
        <v>275</v>
      </c>
      <c r="B2232" s="6" t="s">
        <v>51</v>
      </c>
      <c r="C2232" s="6" t="s">
        <v>181</v>
      </c>
      <c r="D2232" s="6" t="s">
        <v>88</v>
      </c>
      <c r="E2232" s="6" t="s">
        <v>88</v>
      </c>
      <c r="F2232" s="6" t="b">
        <v>0</v>
      </c>
      <c r="G2232" s="6">
        <v>0.4364166666666667</v>
      </c>
    </row>
    <row r="2233" spans="1:7">
      <c r="A2233" s="6" t="s">
        <v>275</v>
      </c>
      <c r="B2233" s="6" t="s">
        <v>51</v>
      </c>
      <c r="C2233" s="6" t="s">
        <v>183</v>
      </c>
      <c r="D2233" s="6" t="s">
        <v>88</v>
      </c>
      <c r="E2233" s="6" t="s">
        <v>88</v>
      </c>
      <c r="F2233" s="6" t="b">
        <v>0</v>
      </c>
      <c r="G2233" s="6">
        <v>0.01666666666666667</v>
      </c>
    </row>
    <row r="2234" spans="1:7">
      <c r="A2234" s="6" t="s">
        <v>275</v>
      </c>
      <c r="B2234" s="6" t="s">
        <v>51</v>
      </c>
      <c r="C2234" s="6" t="s">
        <v>183</v>
      </c>
      <c r="D2234" s="6" t="s">
        <v>90</v>
      </c>
      <c r="E2234" s="6" t="s">
        <v>86</v>
      </c>
      <c r="F2234" s="6" t="b">
        <v>0</v>
      </c>
      <c r="G2234" s="6">
        <v>0.01341666666666667</v>
      </c>
    </row>
    <row r="2235" spans="1:7">
      <c r="A2235" s="6" t="s">
        <v>275</v>
      </c>
      <c r="B2235" s="6" t="s">
        <v>51</v>
      </c>
      <c r="C2235" s="6" t="s">
        <v>183</v>
      </c>
      <c r="D2235" s="6" t="s">
        <v>90</v>
      </c>
      <c r="E2235" s="6" t="s">
        <v>90</v>
      </c>
      <c r="F2235" s="6" t="b">
        <v>0</v>
      </c>
      <c r="G2235" s="6">
        <v>0.01883333333333333</v>
      </c>
    </row>
    <row r="2236" spans="1:7">
      <c r="A2236" s="6" t="s">
        <v>275</v>
      </c>
      <c r="B2236" s="6" t="s">
        <v>51</v>
      </c>
      <c r="C2236" s="6" t="s">
        <v>184</v>
      </c>
      <c r="D2236" s="6" t="s">
        <v>44</v>
      </c>
      <c r="E2236" s="6" t="s">
        <v>44</v>
      </c>
      <c r="F2236" s="6" t="b">
        <v>0</v>
      </c>
      <c r="G2236" s="6">
        <v>7.375583333333334</v>
      </c>
    </row>
    <row r="2237" spans="1:7">
      <c r="A2237" s="6" t="s">
        <v>275</v>
      </c>
      <c r="B2237" s="6" t="s">
        <v>51</v>
      </c>
      <c r="C2237" s="6" t="s">
        <v>184</v>
      </c>
      <c r="D2237" s="6" t="s">
        <v>88</v>
      </c>
      <c r="E2237" s="6" t="s">
        <v>88</v>
      </c>
      <c r="F2237" s="6" t="b">
        <v>0</v>
      </c>
      <c r="G2237" s="6">
        <v>0.02</v>
      </c>
    </row>
    <row r="2238" spans="1:7">
      <c r="A2238" s="6" t="s">
        <v>275</v>
      </c>
      <c r="B2238" s="6" t="s">
        <v>51</v>
      </c>
      <c r="C2238" s="6" t="s">
        <v>184</v>
      </c>
      <c r="D2238" s="6" t="s">
        <v>90</v>
      </c>
      <c r="E2238" s="6" t="s">
        <v>90</v>
      </c>
      <c r="F2238" s="6" t="b">
        <v>0</v>
      </c>
      <c r="G2238" s="6">
        <v>0.02041666666666667</v>
      </c>
    </row>
    <row r="2239" spans="1:7">
      <c r="A2239" s="6" t="s">
        <v>275</v>
      </c>
      <c r="B2239" s="6" t="s">
        <v>51</v>
      </c>
      <c r="C2239" s="6" t="s">
        <v>184</v>
      </c>
      <c r="D2239" s="6" t="s">
        <v>90</v>
      </c>
      <c r="E2239" s="6" t="s">
        <v>685</v>
      </c>
      <c r="F2239" s="6" t="b">
        <v>1</v>
      </c>
      <c r="G2239" s="6">
        <v>0.07908333333333334</v>
      </c>
    </row>
    <row r="2240" spans="1:7">
      <c r="A2240" s="6" t="s">
        <v>275</v>
      </c>
      <c r="B2240" s="6" t="s">
        <v>51</v>
      </c>
      <c r="C2240" s="6" t="s">
        <v>184</v>
      </c>
      <c r="D2240" s="6" t="s">
        <v>177</v>
      </c>
      <c r="E2240" s="6" t="s">
        <v>44</v>
      </c>
      <c r="F2240" s="6" t="b">
        <v>0</v>
      </c>
      <c r="G2240" s="6">
        <v>5.145</v>
      </c>
    </row>
    <row r="2241" spans="1:7">
      <c r="A2241" s="6" t="s">
        <v>275</v>
      </c>
      <c r="B2241" s="6" t="s">
        <v>51</v>
      </c>
      <c r="C2241" s="6" t="s">
        <v>184</v>
      </c>
      <c r="D2241" s="6" t="s">
        <v>177</v>
      </c>
      <c r="E2241" s="6" t="s">
        <v>86</v>
      </c>
      <c r="F2241" s="6" t="b">
        <v>0</v>
      </c>
      <c r="G2241" s="6">
        <v>0.068</v>
      </c>
    </row>
    <row r="2242" spans="1:7">
      <c r="A2242" s="6" t="s">
        <v>275</v>
      </c>
      <c r="B2242" s="6" t="s">
        <v>51</v>
      </c>
      <c r="C2242" s="6" t="s">
        <v>184</v>
      </c>
      <c r="D2242" s="6" t="s">
        <v>177</v>
      </c>
      <c r="E2242" s="6" t="s">
        <v>685</v>
      </c>
      <c r="F2242" s="6" t="b">
        <v>1</v>
      </c>
      <c r="G2242" s="6">
        <v>0.487</v>
      </c>
    </row>
    <row r="2243" spans="1:7">
      <c r="A2243" s="6" t="s">
        <v>275</v>
      </c>
      <c r="B2243" s="6" t="s">
        <v>51</v>
      </c>
      <c r="C2243" s="6" t="s">
        <v>186</v>
      </c>
      <c r="D2243" s="6" t="s">
        <v>86</v>
      </c>
      <c r="E2243" s="6" t="s">
        <v>86</v>
      </c>
      <c r="F2243" s="6" t="b">
        <v>0</v>
      </c>
      <c r="G2243" s="6">
        <v>2.413916666666667</v>
      </c>
    </row>
    <row r="2244" spans="1:7">
      <c r="A2244" s="6" t="s">
        <v>275</v>
      </c>
      <c r="B2244" s="6" t="s">
        <v>51</v>
      </c>
      <c r="C2244" s="6" t="s">
        <v>186</v>
      </c>
      <c r="D2244" s="6" t="s">
        <v>88</v>
      </c>
      <c r="E2244" s="6" t="s">
        <v>88</v>
      </c>
      <c r="F2244" s="6" t="b">
        <v>0</v>
      </c>
      <c r="G2244" s="6">
        <v>0.05841666666666667</v>
      </c>
    </row>
    <row r="2245" spans="1:7">
      <c r="A2245" s="6" t="s">
        <v>275</v>
      </c>
      <c r="B2245" s="6" t="s">
        <v>51</v>
      </c>
      <c r="C2245" s="6" t="s">
        <v>186</v>
      </c>
      <c r="D2245" s="6" t="s">
        <v>90</v>
      </c>
      <c r="E2245" s="6" t="s">
        <v>90</v>
      </c>
      <c r="F2245" s="6" t="b">
        <v>0</v>
      </c>
      <c r="G2245" s="6">
        <v>0.8573333333333334</v>
      </c>
    </row>
    <row r="2246" spans="1:7">
      <c r="A2246" s="6" t="s">
        <v>275</v>
      </c>
      <c r="B2246" s="6" t="s">
        <v>51</v>
      </c>
      <c r="C2246" s="6" t="s">
        <v>186</v>
      </c>
      <c r="D2246" s="6" t="s">
        <v>177</v>
      </c>
      <c r="E2246" s="6" t="s">
        <v>86</v>
      </c>
      <c r="F2246" s="6" t="b">
        <v>0</v>
      </c>
      <c r="G2246" s="6">
        <v>0.02</v>
      </c>
    </row>
    <row r="2247" spans="1:7">
      <c r="A2247" s="6" t="s">
        <v>275</v>
      </c>
      <c r="B2247" s="6" t="s">
        <v>51</v>
      </c>
      <c r="C2247" s="6" t="s">
        <v>189</v>
      </c>
      <c r="D2247" s="6" t="s">
        <v>86</v>
      </c>
      <c r="E2247" s="6" t="s">
        <v>86</v>
      </c>
      <c r="F2247" s="6" t="b">
        <v>0</v>
      </c>
      <c r="G2247" s="6">
        <v>0.2615</v>
      </c>
    </row>
    <row r="2248" spans="1:7">
      <c r="A2248" s="6" t="s">
        <v>275</v>
      </c>
      <c r="B2248" s="6" t="s">
        <v>51</v>
      </c>
      <c r="C2248" s="6" t="s">
        <v>189</v>
      </c>
      <c r="D2248" s="6" t="s">
        <v>88</v>
      </c>
      <c r="E2248" s="6" t="s">
        <v>88</v>
      </c>
      <c r="F2248" s="6" t="b">
        <v>0</v>
      </c>
      <c r="G2248" s="6">
        <v>0.1241666666666667</v>
      </c>
    </row>
    <row r="2249" spans="1:7">
      <c r="A2249" s="6" t="s">
        <v>275</v>
      </c>
      <c r="B2249" s="6" t="s">
        <v>51</v>
      </c>
      <c r="C2249" s="6" t="s">
        <v>189</v>
      </c>
      <c r="D2249" s="6" t="s">
        <v>90</v>
      </c>
      <c r="E2249" s="6" t="s">
        <v>90</v>
      </c>
      <c r="F2249" s="6" t="b">
        <v>0</v>
      </c>
      <c r="G2249" s="6">
        <v>0.01875</v>
      </c>
    </row>
    <row r="2250" spans="1:7">
      <c r="A2250" s="6" t="s">
        <v>276</v>
      </c>
      <c r="B2250" s="6" t="s">
        <v>51</v>
      </c>
      <c r="C2250" s="6" t="s">
        <v>181</v>
      </c>
      <c r="D2250" s="6" t="s">
        <v>88</v>
      </c>
      <c r="E2250" s="6" t="s">
        <v>88</v>
      </c>
      <c r="F2250" s="6" t="b">
        <v>0</v>
      </c>
      <c r="G2250" s="6">
        <v>10.89091666666667</v>
      </c>
    </row>
    <row r="2251" spans="1:7">
      <c r="A2251" s="6" t="s">
        <v>276</v>
      </c>
      <c r="B2251" s="6" t="s">
        <v>51</v>
      </c>
      <c r="C2251" s="6" t="s">
        <v>181</v>
      </c>
      <c r="D2251" s="6" t="s">
        <v>90</v>
      </c>
      <c r="E2251" s="6" t="s">
        <v>90</v>
      </c>
      <c r="F2251" s="6" t="b">
        <v>0</v>
      </c>
      <c r="G2251" s="6">
        <v>0.011</v>
      </c>
    </row>
    <row r="2252" spans="1:7">
      <c r="A2252" s="6" t="s">
        <v>276</v>
      </c>
      <c r="B2252" s="6" t="s">
        <v>51</v>
      </c>
      <c r="C2252" s="6" t="s">
        <v>183</v>
      </c>
      <c r="D2252" s="6" t="s">
        <v>88</v>
      </c>
      <c r="E2252" s="6" t="s">
        <v>88</v>
      </c>
      <c r="F2252" s="6" t="b">
        <v>0</v>
      </c>
      <c r="G2252" s="6">
        <v>0.07866666666666668</v>
      </c>
    </row>
    <row r="2253" spans="1:7">
      <c r="A2253" s="6" t="s">
        <v>276</v>
      </c>
      <c r="B2253" s="6" t="s">
        <v>51</v>
      </c>
      <c r="C2253" s="6" t="s">
        <v>183</v>
      </c>
      <c r="D2253" s="6" t="s">
        <v>90</v>
      </c>
      <c r="E2253" s="6" t="s">
        <v>86</v>
      </c>
      <c r="F2253" s="6" t="b">
        <v>0</v>
      </c>
      <c r="G2253" s="6">
        <v>0.04466666666666667</v>
      </c>
    </row>
    <row r="2254" spans="1:7">
      <c r="A2254" s="6" t="s">
        <v>276</v>
      </c>
      <c r="B2254" s="6" t="s">
        <v>51</v>
      </c>
      <c r="C2254" s="6" t="s">
        <v>183</v>
      </c>
      <c r="D2254" s="6" t="s">
        <v>90</v>
      </c>
      <c r="E2254" s="6" t="s">
        <v>90</v>
      </c>
      <c r="F2254" s="6" t="b">
        <v>0</v>
      </c>
      <c r="G2254" s="6">
        <v>0.02033333333333333</v>
      </c>
    </row>
    <row r="2255" spans="1:7">
      <c r="A2255" s="6" t="s">
        <v>276</v>
      </c>
      <c r="B2255" s="6" t="s">
        <v>51</v>
      </c>
      <c r="C2255" s="6" t="s">
        <v>183</v>
      </c>
      <c r="D2255" s="6" t="s">
        <v>177</v>
      </c>
      <c r="E2255" s="6" t="s">
        <v>86</v>
      </c>
      <c r="F2255" s="6" t="b">
        <v>0</v>
      </c>
      <c r="G2255" s="6">
        <v>0.007333333333333333</v>
      </c>
    </row>
    <row r="2256" spans="1:7">
      <c r="A2256" s="6" t="s">
        <v>276</v>
      </c>
      <c r="B2256" s="6" t="s">
        <v>51</v>
      </c>
      <c r="C2256" s="6" t="s">
        <v>183</v>
      </c>
      <c r="D2256" s="6" t="s">
        <v>177</v>
      </c>
      <c r="E2256" s="6" t="s">
        <v>685</v>
      </c>
      <c r="F2256" s="6" t="b">
        <v>1</v>
      </c>
      <c r="G2256" s="6">
        <v>0.0065</v>
      </c>
    </row>
    <row r="2257" spans="1:7">
      <c r="A2257" s="6" t="s">
        <v>276</v>
      </c>
      <c r="B2257" s="6" t="s">
        <v>51</v>
      </c>
      <c r="C2257" s="6" t="s">
        <v>184</v>
      </c>
      <c r="D2257" s="6" t="s">
        <v>44</v>
      </c>
      <c r="E2257" s="6" t="s">
        <v>44</v>
      </c>
      <c r="F2257" s="6" t="b">
        <v>0</v>
      </c>
      <c r="G2257" s="6">
        <v>164.26475</v>
      </c>
    </row>
    <row r="2258" spans="1:7">
      <c r="A2258" s="6" t="s">
        <v>276</v>
      </c>
      <c r="B2258" s="6" t="s">
        <v>51</v>
      </c>
      <c r="C2258" s="6" t="s">
        <v>184</v>
      </c>
      <c r="D2258" s="6" t="s">
        <v>86</v>
      </c>
      <c r="E2258" s="6" t="s">
        <v>86</v>
      </c>
      <c r="F2258" s="6" t="b">
        <v>0</v>
      </c>
      <c r="G2258" s="6">
        <v>0.04166666666666666</v>
      </c>
    </row>
    <row r="2259" spans="1:7">
      <c r="A2259" s="6" t="s">
        <v>276</v>
      </c>
      <c r="B2259" s="6" t="s">
        <v>51</v>
      </c>
      <c r="C2259" s="6" t="s">
        <v>184</v>
      </c>
      <c r="D2259" s="6" t="s">
        <v>90</v>
      </c>
      <c r="E2259" s="6" t="s">
        <v>90</v>
      </c>
      <c r="F2259" s="6" t="b">
        <v>0</v>
      </c>
      <c r="G2259" s="6">
        <v>0.14525</v>
      </c>
    </row>
    <row r="2260" spans="1:7">
      <c r="A2260" s="6" t="s">
        <v>276</v>
      </c>
      <c r="B2260" s="6" t="s">
        <v>51</v>
      </c>
      <c r="C2260" s="6" t="s">
        <v>184</v>
      </c>
      <c r="D2260" s="6" t="s">
        <v>90</v>
      </c>
      <c r="E2260" s="6" t="s">
        <v>685</v>
      </c>
      <c r="F2260" s="6" t="b">
        <v>1</v>
      </c>
      <c r="G2260" s="6">
        <v>0.05466666666666667</v>
      </c>
    </row>
    <row r="2261" spans="1:7">
      <c r="A2261" s="6" t="s">
        <v>276</v>
      </c>
      <c r="B2261" s="6" t="s">
        <v>51</v>
      </c>
      <c r="C2261" s="6" t="s">
        <v>184</v>
      </c>
      <c r="D2261" s="6" t="s">
        <v>177</v>
      </c>
      <c r="E2261" s="6" t="s">
        <v>44</v>
      </c>
      <c r="F2261" s="6" t="b">
        <v>0</v>
      </c>
      <c r="G2261" s="6">
        <v>123.3935833333333</v>
      </c>
    </row>
    <row r="2262" spans="1:7">
      <c r="A2262" s="6" t="s">
        <v>276</v>
      </c>
      <c r="B2262" s="6" t="s">
        <v>51</v>
      </c>
      <c r="C2262" s="6" t="s">
        <v>184</v>
      </c>
      <c r="D2262" s="6" t="s">
        <v>177</v>
      </c>
      <c r="E2262" s="6" t="s">
        <v>86</v>
      </c>
      <c r="F2262" s="6" t="b">
        <v>0</v>
      </c>
      <c r="G2262" s="6">
        <v>0.08600000000000001</v>
      </c>
    </row>
    <row r="2263" spans="1:7">
      <c r="A2263" s="6" t="s">
        <v>276</v>
      </c>
      <c r="B2263" s="6" t="s">
        <v>51</v>
      </c>
      <c r="C2263" s="6" t="s">
        <v>184</v>
      </c>
      <c r="D2263" s="6" t="s">
        <v>177</v>
      </c>
      <c r="E2263" s="6" t="s">
        <v>685</v>
      </c>
      <c r="F2263" s="6" t="b">
        <v>1</v>
      </c>
      <c r="G2263" s="6">
        <v>0.3481666666666667</v>
      </c>
    </row>
    <row r="2264" spans="1:7">
      <c r="A2264" s="6" t="s">
        <v>276</v>
      </c>
      <c r="B2264" s="6" t="s">
        <v>51</v>
      </c>
      <c r="C2264" s="6" t="s">
        <v>186</v>
      </c>
      <c r="D2264" s="6" t="s">
        <v>86</v>
      </c>
      <c r="E2264" s="6" t="s">
        <v>86</v>
      </c>
      <c r="F2264" s="6" t="b">
        <v>0</v>
      </c>
      <c r="G2264" s="6">
        <v>38.14116666666667</v>
      </c>
    </row>
    <row r="2265" spans="1:7">
      <c r="A2265" s="6" t="s">
        <v>276</v>
      </c>
      <c r="B2265" s="6" t="s">
        <v>51</v>
      </c>
      <c r="C2265" s="6" t="s">
        <v>186</v>
      </c>
      <c r="D2265" s="6" t="s">
        <v>88</v>
      </c>
      <c r="E2265" s="6" t="s">
        <v>88</v>
      </c>
      <c r="F2265" s="6" t="b">
        <v>0</v>
      </c>
      <c r="G2265" s="6">
        <v>0.95425</v>
      </c>
    </row>
    <row r="2266" spans="1:7">
      <c r="A2266" s="6" t="s">
        <v>276</v>
      </c>
      <c r="B2266" s="6" t="s">
        <v>51</v>
      </c>
      <c r="C2266" s="6" t="s">
        <v>186</v>
      </c>
      <c r="D2266" s="6" t="s">
        <v>90</v>
      </c>
      <c r="E2266" s="6" t="s">
        <v>90</v>
      </c>
      <c r="F2266" s="6" t="b">
        <v>0</v>
      </c>
      <c r="G2266" s="6">
        <v>7.094166666666666</v>
      </c>
    </row>
    <row r="2267" spans="1:7">
      <c r="A2267" s="6" t="s">
        <v>276</v>
      </c>
      <c r="B2267" s="6" t="s">
        <v>51</v>
      </c>
      <c r="C2267" s="6" t="s">
        <v>186</v>
      </c>
      <c r="D2267" s="6" t="s">
        <v>177</v>
      </c>
      <c r="E2267" s="6" t="s">
        <v>86</v>
      </c>
      <c r="F2267" s="6" t="b">
        <v>0</v>
      </c>
      <c r="G2267" s="6">
        <v>0.2878333333333333</v>
      </c>
    </row>
    <row r="2268" spans="1:7">
      <c r="A2268" s="6" t="s">
        <v>276</v>
      </c>
      <c r="B2268" s="6" t="s">
        <v>51</v>
      </c>
      <c r="C2268" s="6" t="s">
        <v>189</v>
      </c>
      <c r="D2268" s="6" t="s">
        <v>86</v>
      </c>
      <c r="E2268" s="6" t="s">
        <v>86</v>
      </c>
      <c r="F2268" s="6" t="b">
        <v>0</v>
      </c>
      <c r="G2268" s="6">
        <v>3.88475</v>
      </c>
    </row>
    <row r="2269" spans="1:7">
      <c r="A2269" s="6" t="s">
        <v>276</v>
      </c>
      <c r="B2269" s="6" t="s">
        <v>51</v>
      </c>
      <c r="C2269" s="6" t="s">
        <v>189</v>
      </c>
      <c r="D2269" s="6" t="s">
        <v>88</v>
      </c>
      <c r="E2269" s="6" t="s">
        <v>88</v>
      </c>
      <c r="F2269" s="6" t="b">
        <v>0</v>
      </c>
      <c r="G2269" s="6">
        <v>2.42625</v>
      </c>
    </row>
    <row r="2270" spans="1:7">
      <c r="A2270" s="6" t="s">
        <v>276</v>
      </c>
      <c r="B2270" s="6" t="s">
        <v>51</v>
      </c>
      <c r="C2270" s="6" t="s">
        <v>189</v>
      </c>
      <c r="D2270" s="6" t="s">
        <v>90</v>
      </c>
      <c r="E2270" s="6" t="s">
        <v>90</v>
      </c>
      <c r="F2270" s="6" t="b">
        <v>0</v>
      </c>
      <c r="G2270" s="6">
        <v>0.8482500000000001</v>
      </c>
    </row>
    <row r="2271" spans="1:7">
      <c r="A2271" s="6" t="s">
        <v>277</v>
      </c>
      <c r="B2271" s="6" t="s">
        <v>57</v>
      </c>
      <c r="C2271" s="6" t="s">
        <v>181</v>
      </c>
      <c r="D2271" s="6" t="s">
        <v>88</v>
      </c>
      <c r="E2271" s="6" t="s">
        <v>88</v>
      </c>
      <c r="F2271" s="6" t="b">
        <v>0</v>
      </c>
      <c r="G2271" s="6">
        <v>0.06874999999999999</v>
      </c>
    </row>
    <row r="2272" spans="1:7">
      <c r="A2272" s="6" t="s">
        <v>277</v>
      </c>
      <c r="B2272" s="6" t="s">
        <v>57</v>
      </c>
      <c r="C2272" s="6" t="s">
        <v>183</v>
      </c>
      <c r="D2272" s="6" t="s">
        <v>88</v>
      </c>
      <c r="E2272" s="6" t="s">
        <v>88</v>
      </c>
      <c r="F2272" s="6" t="b">
        <v>0</v>
      </c>
      <c r="G2272" s="6">
        <v>0.005333333333333333</v>
      </c>
    </row>
    <row r="2273" spans="1:7">
      <c r="A2273" s="6" t="s">
        <v>277</v>
      </c>
      <c r="B2273" s="6" t="s">
        <v>57</v>
      </c>
      <c r="C2273" s="6" t="s">
        <v>183</v>
      </c>
      <c r="D2273" s="6" t="s">
        <v>90</v>
      </c>
      <c r="E2273" s="6" t="s">
        <v>86</v>
      </c>
      <c r="F2273" s="6" t="b">
        <v>0</v>
      </c>
      <c r="G2273" s="6">
        <v>0.00275</v>
      </c>
    </row>
    <row r="2274" spans="1:7">
      <c r="A2274" s="6" t="s">
        <v>277</v>
      </c>
      <c r="B2274" s="6" t="s">
        <v>57</v>
      </c>
      <c r="C2274" s="6" t="s">
        <v>183</v>
      </c>
      <c r="D2274" s="6" t="s">
        <v>90</v>
      </c>
      <c r="E2274" s="6" t="s">
        <v>90</v>
      </c>
      <c r="F2274" s="6" t="b">
        <v>0</v>
      </c>
      <c r="G2274" s="6">
        <v>0.00425</v>
      </c>
    </row>
    <row r="2275" spans="1:7">
      <c r="A2275" s="6" t="s">
        <v>277</v>
      </c>
      <c r="B2275" s="6" t="s">
        <v>57</v>
      </c>
      <c r="C2275" s="6" t="s">
        <v>183</v>
      </c>
      <c r="D2275" s="6" t="s">
        <v>177</v>
      </c>
      <c r="E2275" s="6" t="s">
        <v>86</v>
      </c>
      <c r="F2275" s="6" t="b">
        <v>0</v>
      </c>
      <c r="G2275" s="6">
        <v>0.0009166666666666666</v>
      </c>
    </row>
    <row r="2276" spans="1:7">
      <c r="A2276" s="6" t="s">
        <v>277</v>
      </c>
      <c r="B2276" s="6" t="s">
        <v>57</v>
      </c>
      <c r="C2276" s="6" t="s">
        <v>183</v>
      </c>
      <c r="D2276" s="6" t="s">
        <v>177</v>
      </c>
      <c r="E2276" s="6" t="s">
        <v>685</v>
      </c>
      <c r="F2276" s="6" t="b">
        <v>1</v>
      </c>
      <c r="G2276" s="6">
        <v>0.001</v>
      </c>
    </row>
    <row r="2277" spans="1:7">
      <c r="A2277" s="6" t="s">
        <v>277</v>
      </c>
      <c r="B2277" s="6" t="s">
        <v>57</v>
      </c>
      <c r="C2277" s="6" t="s">
        <v>184</v>
      </c>
      <c r="D2277" s="6" t="s">
        <v>44</v>
      </c>
      <c r="E2277" s="6" t="s">
        <v>44</v>
      </c>
      <c r="F2277" s="6" t="b">
        <v>0</v>
      </c>
      <c r="G2277" s="6">
        <v>0.6919166666666667</v>
      </c>
    </row>
    <row r="2278" spans="1:7">
      <c r="A2278" s="6" t="s">
        <v>277</v>
      </c>
      <c r="B2278" s="6" t="s">
        <v>57</v>
      </c>
      <c r="C2278" s="6" t="s">
        <v>184</v>
      </c>
      <c r="D2278" s="6" t="s">
        <v>88</v>
      </c>
      <c r="E2278" s="6" t="s">
        <v>88</v>
      </c>
      <c r="F2278" s="6" t="b">
        <v>0</v>
      </c>
      <c r="G2278" s="6">
        <v>0.008416666666666666</v>
      </c>
    </row>
    <row r="2279" spans="1:7">
      <c r="A2279" s="6" t="s">
        <v>277</v>
      </c>
      <c r="B2279" s="6" t="s">
        <v>57</v>
      </c>
      <c r="C2279" s="6" t="s">
        <v>184</v>
      </c>
      <c r="D2279" s="6" t="s">
        <v>90</v>
      </c>
      <c r="E2279" s="6" t="s">
        <v>90</v>
      </c>
      <c r="F2279" s="6" t="b">
        <v>0</v>
      </c>
      <c r="G2279" s="6">
        <v>0.0015</v>
      </c>
    </row>
    <row r="2280" spans="1:7">
      <c r="A2280" s="6" t="s">
        <v>277</v>
      </c>
      <c r="B2280" s="6" t="s">
        <v>57</v>
      </c>
      <c r="C2280" s="6" t="s">
        <v>184</v>
      </c>
      <c r="D2280" s="6" t="s">
        <v>90</v>
      </c>
      <c r="E2280" s="6" t="s">
        <v>685</v>
      </c>
      <c r="F2280" s="6" t="b">
        <v>1</v>
      </c>
      <c r="G2280" s="6">
        <v>0.02016666666666667</v>
      </c>
    </row>
    <row r="2281" spans="1:7">
      <c r="A2281" s="6" t="s">
        <v>277</v>
      </c>
      <c r="B2281" s="6" t="s">
        <v>57</v>
      </c>
      <c r="C2281" s="6" t="s">
        <v>184</v>
      </c>
      <c r="D2281" s="6" t="s">
        <v>177</v>
      </c>
      <c r="E2281" s="6" t="s">
        <v>44</v>
      </c>
      <c r="F2281" s="6" t="b">
        <v>0</v>
      </c>
      <c r="G2281" s="6">
        <v>0.8739166666666667</v>
      </c>
    </row>
    <row r="2282" spans="1:7">
      <c r="A2282" s="6" t="s">
        <v>277</v>
      </c>
      <c r="B2282" s="6" t="s">
        <v>57</v>
      </c>
      <c r="C2282" s="6" t="s">
        <v>184</v>
      </c>
      <c r="D2282" s="6" t="s">
        <v>177</v>
      </c>
      <c r="E2282" s="6" t="s">
        <v>86</v>
      </c>
      <c r="F2282" s="6" t="b">
        <v>0</v>
      </c>
      <c r="G2282" s="6">
        <v>0.007</v>
      </c>
    </row>
    <row r="2283" spans="1:7">
      <c r="A2283" s="6" t="s">
        <v>277</v>
      </c>
      <c r="B2283" s="6" t="s">
        <v>57</v>
      </c>
      <c r="C2283" s="6" t="s">
        <v>184</v>
      </c>
      <c r="D2283" s="6" t="s">
        <v>177</v>
      </c>
      <c r="E2283" s="6" t="s">
        <v>685</v>
      </c>
      <c r="F2283" s="6" t="b">
        <v>1</v>
      </c>
      <c r="G2283" s="6">
        <v>0.1495833333333333</v>
      </c>
    </row>
    <row r="2284" spans="1:7">
      <c r="A2284" s="6" t="s">
        <v>277</v>
      </c>
      <c r="B2284" s="6" t="s">
        <v>57</v>
      </c>
      <c r="C2284" s="6" t="s">
        <v>186</v>
      </c>
      <c r="D2284" s="6" t="s">
        <v>86</v>
      </c>
      <c r="E2284" s="6" t="s">
        <v>86</v>
      </c>
      <c r="F2284" s="6" t="b">
        <v>0</v>
      </c>
      <c r="G2284" s="6">
        <v>0.2416666666666667</v>
      </c>
    </row>
    <row r="2285" spans="1:7">
      <c r="A2285" s="6" t="s">
        <v>277</v>
      </c>
      <c r="B2285" s="6" t="s">
        <v>57</v>
      </c>
      <c r="C2285" s="6" t="s">
        <v>186</v>
      </c>
      <c r="D2285" s="6" t="s">
        <v>88</v>
      </c>
      <c r="E2285" s="6" t="s">
        <v>88</v>
      </c>
      <c r="F2285" s="6" t="b">
        <v>0</v>
      </c>
      <c r="G2285" s="6">
        <v>0.03158333333333333</v>
      </c>
    </row>
    <row r="2286" spans="1:7">
      <c r="A2286" s="6" t="s">
        <v>277</v>
      </c>
      <c r="B2286" s="6" t="s">
        <v>57</v>
      </c>
      <c r="C2286" s="6" t="s">
        <v>186</v>
      </c>
      <c r="D2286" s="6" t="s">
        <v>90</v>
      </c>
      <c r="E2286" s="6" t="s">
        <v>90</v>
      </c>
      <c r="F2286" s="6" t="b">
        <v>0</v>
      </c>
      <c r="G2286" s="6">
        <v>0.1071666666666667</v>
      </c>
    </row>
    <row r="2287" spans="1:7">
      <c r="A2287" s="6" t="s">
        <v>277</v>
      </c>
      <c r="B2287" s="6" t="s">
        <v>57</v>
      </c>
      <c r="C2287" s="6" t="s">
        <v>186</v>
      </c>
      <c r="D2287" s="6" t="s">
        <v>177</v>
      </c>
      <c r="E2287" s="6" t="s">
        <v>86</v>
      </c>
      <c r="F2287" s="6" t="b">
        <v>0</v>
      </c>
      <c r="G2287" s="6">
        <v>0.003</v>
      </c>
    </row>
    <row r="2288" spans="1:7">
      <c r="A2288" s="6" t="s">
        <v>277</v>
      </c>
      <c r="B2288" s="6" t="s">
        <v>57</v>
      </c>
      <c r="C2288" s="6" t="s">
        <v>189</v>
      </c>
      <c r="D2288" s="6" t="s">
        <v>86</v>
      </c>
      <c r="E2288" s="6" t="s">
        <v>86</v>
      </c>
      <c r="F2288" s="6" t="b">
        <v>0</v>
      </c>
      <c r="G2288" s="6">
        <v>0.1031666666666667</v>
      </c>
    </row>
    <row r="2289" spans="1:7">
      <c r="A2289" s="6" t="s">
        <v>277</v>
      </c>
      <c r="B2289" s="6" t="s">
        <v>57</v>
      </c>
      <c r="C2289" s="6" t="s">
        <v>189</v>
      </c>
      <c r="D2289" s="6" t="s">
        <v>88</v>
      </c>
      <c r="E2289" s="6" t="s">
        <v>88</v>
      </c>
      <c r="F2289" s="6" t="b">
        <v>0</v>
      </c>
      <c r="G2289" s="6">
        <v>0.01266666666666667</v>
      </c>
    </row>
    <row r="2290" spans="1:7">
      <c r="A2290" s="6" t="s">
        <v>277</v>
      </c>
      <c r="B2290" s="6" t="s">
        <v>57</v>
      </c>
      <c r="C2290" s="6" t="s">
        <v>189</v>
      </c>
      <c r="D2290" s="6" t="s">
        <v>90</v>
      </c>
      <c r="E2290" s="6" t="s">
        <v>90</v>
      </c>
      <c r="F2290" s="6" t="b">
        <v>0</v>
      </c>
      <c r="G2290" s="6">
        <v>0.016</v>
      </c>
    </row>
    <row r="2291" spans="1:7">
      <c r="A2291" s="6" t="s">
        <v>278</v>
      </c>
      <c r="B2291" s="6" t="s">
        <v>55</v>
      </c>
      <c r="C2291" s="6" t="s">
        <v>181</v>
      </c>
      <c r="D2291" s="6" t="s">
        <v>88</v>
      </c>
      <c r="E2291" s="6" t="s">
        <v>88</v>
      </c>
      <c r="F2291" s="6" t="b">
        <v>0</v>
      </c>
      <c r="G2291" s="6">
        <v>103.67825</v>
      </c>
    </row>
    <row r="2292" spans="1:7">
      <c r="A2292" s="6" t="s">
        <v>278</v>
      </c>
      <c r="B2292" s="6" t="s">
        <v>55</v>
      </c>
      <c r="C2292" s="6" t="s">
        <v>181</v>
      </c>
      <c r="D2292" s="6" t="s">
        <v>90</v>
      </c>
      <c r="E2292" s="6" t="s">
        <v>90</v>
      </c>
      <c r="F2292" s="6" t="b">
        <v>0</v>
      </c>
      <c r="G2292" s="6">
        <v>0.04308333333333333</v>
      </c>
    </row>
    <row r="2293" spans="1:7">
      <c r="A2293" s="6" t="s">
        <v>278</v>
      </c>
      <c r="B2293" s="6" t="s">
        <v>55</v>
      </c>
      <c r="C2293" s="6" t="s">
        <v>182</v>
      </c>
      <c r="D2293" s="6" t="s">
        <v>88</v>
      </c>
      <c r="E2293" s="6" t="s">
        <v>88</v>
      </c>
      <c r="F2293" s="6" t="b">
        <v>0</v>
      </c>
      <c r="G2293" s="6">
        <v>101.556</v>
      </c>
    </row>
    <row r="2294" spans="1:7">
      <c r="A2294" s="6" t="s">
        <v>278</v>
      </c>
      <c r="B2294" s="6" t="s">
        <v>55</v>
      </c>
      <c r="C2294" s="6" t="s">
        <v>183</v>
      </c>
      <c r="D2294" s="6" t="s">
        <v>86</v>
      </c>
      <c r="E2294" s="6" t="s">
        <v>86</v>
      </c>
      <c r="F2294" s="6" t="b">
        <v>0</v>
      </c>
      <c r="G2294" s="6">
        <v>0.0595</v>
      </c>
    </row>
    <row r="2295" spans="1:7">
      <c r="A2295" s="6" t="s">
        <v>278</v>
      </c>
      <c r="B2295" s="6" t="s">
        <v>55</v>
      </c>
      <c r="C2295" s="6" t="s">
        <v>183</v>
      </c>
      <c r="D2295" s="6" t="s">
        <v>88</v>
      </c>
      <c r="E2295" s="6" t="s">
        <v>88</v>
      </c>
      <c r="F2295" s="6" t="b">
        <v>0</v>
      </c>
      <c r="G2295" s="6">
        <v>19.41325</v>
      </c>
    </row>
    <row r="2296" spans="1:7">
      <c r="A2296" s="6" t="s">
        <v>278</v>
      </c>
      <c r="B2296" s="6" t="s">
        <v>55</v>
      </c>
      <c r="C2296" s="6" t="s">
        <v>183</v>
      </c>
      <c r="D2296" s="6" t="s">
        <v>90</v>
      </c>
      <c r="E2296" s="6" t="s">
        <v>86</v>
      </c>
      <c r="F2296" s="6" t="b">
        <v>0</v>
      </c>
      <c r="G2296" s="6">
        <v>0.28325</v>
      </c>
    </row>
    <row r="2297" spans="1:7">
      <c r="A2297" s="6" t="s">
        <v>278</v>
      </c>
      <c r="B2297" s="6" t="s">
        <v>55</v>
      </c>
      <c r="C2297" s="6" t="s">
        <v>183</v>
      </c>
      <c r="D2297" s="6" t="s">
        <v>90</v>
      </c>
      <c r="E2297" s="6" t="s">
        <v>90</v>
      </c>
      <c r="F2297" s="6" t="b">
        <v>0</v>
      </c>
      <c r="G2297" s="6">
        <v>0.3745833333333333</v>
      </c>
    </row>
    <row r="2298" spans="1:7">
      <c r="A2298" s="6" t="s">
        <v>278</v>
      </c>
      <c r="B2298" s="6" t="s">
        <v>55</v>
      </c>
      <c r="C2298" s="6" t="s">
        <v>183</v>
      </c>
      <c r="D2298" s="6" t="s">
        <v>177</v>
      </c>
      <c r="E2298" s="6" t="s">
        <v>86</v>
      </c>
      <c r="F2298" s="6" t="b">
        <v>0</v>
      </c>
      <c r="G2298" s="6">
        <v>0.208</v>
      </c>
    </row>
    <row r="2299" spans="1:7">
      <c r="A2299" s="6" t="s">
        <v>278</v>
      </c>
      <c r="B2299" s="6" t="s">
        <v>55</v>
      </c>
      <c r="C2299" s="6" t="s">
        <v>183</v>
      </c>
      <c r="D2299" s="6" t="s">
        <v>177</v>
      </c>
      <c r="E2299" s="6" t="s">
        <v>685</v>
      </c>
      <c r="F2299" s="6" t="b">
        <v>1</v>
      </c>
      <c r="G2299" s="6">
        <v>0.01</v>
      </c>
    </row>
    <row r="2300" spans="1:7">
      <c r="A2300" s="6" t="s">
        <v>278</v>
      </c>
      <c r="B2300" s="6" t="s">
        <v>55</v>
      </c>
      <c r="C2300" s="6" t="s">
        <v>184</v>
      </c>
      <c r="D2300" s="6" t="s">
        <v>44</v>
      </c>
      <c r="E2300" s="6" t="s">
        <v>44</v>
      </c>
      <c r="F2300" s="6" t="b">
        <v>0</v>
      </c>
      <c r="G2300" s="6">
        <v>323.34575</v>
      </c>
    </row>
    <row r="2301" spans="1:7">
      <c r="A2301" s="6" t="s">
        <v>278</v>
      </c>
      <c r="B2301" s="6" t="s">
        <v>55</v>
      </c>
      <c r="C2301" s="6" t="s">
        <v>184</v>
      </c>
      <c r="D2301" s="6" t="s">
        <v>86</v>
      </c>
      <c r="E2301" s="6" t="s">
        <v>86</v>
      </c>
      <c r="F2301" s="6" t="b">
        <v>0</v>
      </c>
      <c r="G2301" s="6">
        <v>0.6333333333333333</v>
      </c>
    </row>
    <row r="2302" spans="1:7">
      <c r="A2302" s="6" t="s">
        <v>278</v>
      </c>
      <c r="B2302" s="6" t="s">
        <v>55</v>
      </c>
      <c r="C2302" s="6" t="s">
        <v>184</v>
      </c>
      <c r="D2302" s="6" t="s">
        <v>88</v>
      </c>
      <c r="E2302" s="6" t="s">
        <v>88</v>
      </c>
      <c r="F2302" s="6" t="b">
        <v>0</v>
      </c>
      <c r="G2302" s="6">
        <v>6.817166666666666</v>
      </c>
    </row>
    <row r="2303" spans="1:7">
      <c r="A2303" s="6" t="s">
        <v>278</v>
      </c>
      <c r="B2303" s="6" t="s">
        <v>55</v>
      </c>
      <c r="C2303" s="6" t="s">
        <v>184</v>
      </c>
      <c r="D2303" s="6" t="s">
        <v>90</v>
      </c>
      <c r="E2303" s="6" t="s">
        <v>90</v>
      </c>
      <c r="F2303" s="6" t="b">
        <v>0</v>
      </c>
      <c r="G2303" s="6">
        <v>1.633833333333333</v>
      </c>
    </row>
    <row r="2304" spans="1:7">
      <c r="A2304" s="6" t="s">
        <v>278</v>
      </c>
      <c r="B2304" s="6" t="s">
        <v>55</v>
      </c>
      <c r="C2304" s="6" t="s">
        <v>184</v>
      </c>
      <c r="D2304" s="6" t="s">
        <v>90</v>
      </c>
      <c r="E2304" s="6" t="s">
        <v>685</v>
      </c>
      <c r="F2304" s="6" t="b">
        <v>1</v>
      </c>
      <c r="G2304" s="6">
        <v>0.8008333333333333</v>
      </c>
    </row>
    <row r="2305" spans="1:7">
      <c r="A2305" s="6" t="s">
        <v>278</v>
      </c>
      <c r="B2305" s="6" t="s">
        <v>55</v>
      </c>
      <c r="C2305" s="6" t="s">
        <v>184</v>
      </c>
      <c r="D2305" s="6" t="s">
        <v>177</v>
      </c>
      <c r="E2305" s="6" t="s">
        <v>44</v>
      </c>
      <c r="F2305" s="6" t="b">
        <v>0</v>
      </c>
      <c r="G2305" s="6">
        <v>284.6931666666666</v>
      </c>
    </row>
    <row r="2306" spans="1:7">
      <c r="A2306" s="6" t="s">
        <v>278</v>
      </c>
      <c r="B2306" s="6" t="s">
        <v>55</v>
      </c>
      <c r="C2306" s="6" t="s">
        <v>184</v>
      </c>
      <c r="D2306" s="6" t="s">
        <v>177</v>
      </c>
      <c r="E2306" s="6" t="s">
        <v>86</v>
      </c>
      <c r="F2306" s="6" t="b">
        <v>0</v>
      </c>
      <c r="G2306" s="6">
        <v>0.19075</v>
      </c>
    </row>
    <row r="2307" spans="1:7">
      <c r="A2307" s="6" t="s">
        <v>278</v>
      </c>
      <c r="B2307" s="6" t="s">
        <v>55</v>
      </c>
      <c r="C2307" s="6" t="s">
        <v>184</v>
      </c>
      <c r="D2307" s="6" t="s">
        <v>177</v>
      </c>
      <c r="E2307" s="6" t="s">
        <v>685</v>
      </c>
      <c r="F2307" s="6" t="b">
        <v>1</v>
      </c>
      <c r="G2307" s="6">
        <v>2.684583333333334</v>
      </c>
    </row>
    <row r="2308" spans="1:7">
      <c r="A2308" s="6" t="s">
        <v>278</v>
      </c>
      <c r="B2308" s="6" t="s">
        <v>55</v>
      </c>
      <c r="C2308" s="6" t="s">
        <v>185</v>
      </c>
      <c r="D2308" s="6" t="s">
        <v>44</v>
      </c>
      <c r="E2308" s="6" t="s">
        <v>44</v>
      </c>
      <c r="F2308" s="6" t="b">
        <v>0</v>
      </c>
      <c r="G2308" s="6">
        <v>63.04675</v>
      </c>
    </row>
    <row r="2309" spans="1:7">
      <c r="A2309" s="6" t="s">
        <v>278</v>
      </c>
      <c r="B2309" s="6" t="s">
        <v>55</v>
      </c>
      <c r="C2309" s="6" t="s">
        <v>185</v>
      </c>
      <c r="D2309" s="6" t="s">
        <v>44</v>
      </c>
      <c r="E2309" s="6" t="s">
        <v>685</v>
      </c>
      <c r="F2309" s="6" t="b">
        <v>1</v>
      </c>
      <c r="G2309" s="6">
        <v>722.4274999999999</v>
      </c>
    </row>
    <row r="2310" spans="1:7">
      <c r="A2310" s="6" t="s">
        <v>278</v>
      </c>
      <c r="B2310" s="6" t="s">
        <v>55</v>
      </c>
      <c r="C2310" s="6" t="s">
        <v>186</v>
      </c>
      <c r="D2310" s="6" t="s">
        <v>86</v>
      </c>
      <c r="E2310" s="6" t="s">
        <v>86</v>
      </c>
      <c r="F2310" s="6" t="b">
        <v>0</v>
      </c>
      <c r="G2310" s="6">
        <v>450.3528333333334</v>
      </c>
    </row>
    <row r="2311" spans="1:7">
      <c r="A2311" s="6" t="s">
        <v>278</v>
      </c>
      <c r="B2311" s="6" t="s">
        <v>55</v>
      </c>
      <c r="C2311" s="6" t="s">
        <v>186</v>
      </c>
      <c r="D2311" s="6" t="s">
        <v>88</v>
      </c>
      <c r="E2311" s="6" t="s">
        <v>88</v>
      </c>
      <c r="F2311" s="6" t="b">
        <v>0</v>
      </c>
      <c r="G2311" s="6">
        <v>17.376</v>
      </c>
    </row>
    <row r="2312" spans="1:7">
      <c r="A2312" s="6" t="s">
        <v>278</v>
      </c>
      <c r="B2312" s="6" t="s">
        <v>55</v>
      </c>
      <c r="C2312" s="6" t="s">
        <v>186</v>
      </c>
      <c r="D2312" s="6" t="s">
        <v>90</v>
      </c>
      <c r="E2312" s="6" t="s">
        <v>86</v>
      </c>
      <c r="F2312" s="6" t="b">
        <v>0</v>
      </c>
      <c r="G2312" s="6">
        <v>0.01983333333333333</v>
      </c>
    </row>
    <row r="2313" spans="1:7">
      <c r="A2313" s="6" t="s">
        <v>278</v>
      </c>
      <c r="B2313" s="6" t="s">
        <v>55</v>
      </c>
      <c r="C2313" s="6" t="s">
        <v>186</v>
      </c>
      <c r="D2313" s="6" t="s">
        <v>90</v>
      </c>
      <c r="E2313" s="6" t="s">
        <v>90</v>
      </c>
      <c r="F2313" s="6" t="b">
        <v>0</v>
      </c>
      <c r="G2313" s="6">
        <v>46.74791666666667</v>
      </c>
    </row>
    <row r="2314" spans="1:7">
      <c r="A2314" s="6" t="s">
        <v>278</v>
      </c>
      <c r="B2314" s="6" t="s">
        <v>55</v>
      </c>
      <c r="C2314" s="6" t="s">
        <v>186</v>
      </c>
      <c r="D2314" s="6" t="s">
        <v>177</v>
      </c>
      <c r="E2314" s="6" t="s">
        <v>86</v>
      </c>
      <c r="F2314" s="6" t="b">
        <v>0</v>
      </c>
      <c r="G2314" s="6">
        <v>5.059583333333333</v>
      </c>
    </row>
    <row r="2315" spans="1:7">
      <c r="A2315" s="6" t="s">
        <v>278</v>
      </c>
      <c r="B2315" s="6" t="s">
        <v>55</v>
      </c>
      <c r="C2315" s="6" t="s">
        <v>188</v>
      </c>
      <c r="D2315" s="6" t="s">
        <v>86</v>
      </c>
      <c r="E2315" s="6" t="s">
        <v>86</v>
      </c>
      <c r="F2315" s="6" t="b">
        <v>0</v>
      </c>
      <c r="G2315" s="6">
        <v>0.2923333333333333</v>
      </c>
    </row>
    <row r="2316" spans="1:7">
      <c r="A2316" s="6" t="s">
        <v>278</v>
      </c>
      <c r="B2316" s="6" t="s">
        <v>55</v>
      </c>
      <c r="C2316" s="6" t="s">
        <v>188</v>
      </c>
      <c r="D2316" s="6" t="s">
        <v>88</v>
      </c>
      <c r="E2316" s="6" t="s">
        <v>88</v>
      </c>
      <c r="F2316" s="6" t="b">
        <v>0</v>
      </c>
      <c r="G2316" s="6">
        <v>1.66325</v>
      </c>
    </row>
    <row r="2317" spans="1:7">
      <c r="A2317" s="6" t="s">
        <v>278</v>
      </c>
      <c r="B2317" s="6" t="s">
        <v>55</v>
      </c>
      <c r="C2317" s="6" t="s">
        <v>189</v>
      </c>
      <c r="D2317" s="6" t="s">
        <v>86</v>
      </c>
      <c r="E2317" s="6" t="s">
        <v>86</v>
      </c>
      <c r="F2317" s="6" t="b">
        <v>0</v>
      </c>
      <c r="G2317" s="6">
        <v>51.73166666666666</v>
      </c>
    </row>
    <row r="2318" spans="1:7">
      <c r="A2318" s="6" t="s">
        <v>278</v>
      </c>
      <c r="B2318" s="6" t="s">
        <v>55</v>
      </c>
      <c r="C2318" s="6" t="s">
        <v>189</v>
      </c>
      <c r="D2318" s="6" t="s">
        <v>88</v>
      </c>
      <c r="E2318" s="6" t="s">
        <v>88</v>
      </c>
      <c r="F2318" s="6" t="b">
        <v>0</v>
      </c>
      <c r="G2318" s="6">
        <v>144.1783333333333</v>
      </c>
    </row>
    <row r="2319" spans="1:7">
      <c r="A2319" s="6" t="s">
        <v>278</v>
      </c>
      <c r="B2319" s="6" t="s">
        <v>55</v>
      </c>
      <c r="C2319" s="6" t="s">
        <v>189</v>
      </c>
      <c r="D2319" s="6" t="s">
        <v>90</v>
      </c>
      <c r="E2319" s="6" t="s">
        <v>90</v>
      </c>
      <c r="F2319" s="6" t="b">
        <v>0</v>
      </c>
      <c r="G2319" s="6">
        <v>21.77591666666666</v>
      </c>
    </row>
    <row r="2320" spans="1:7">
      <c r="A2320" s="6" t="s">
        <v>278</v>
      </c>
      <c r="B2320" s="6" t="s">
        <v>55</v>
      </c>
      <c r="C2320" s="6" t="s">
        <v>190</v>
      </c>
      <c r="D2320" s="6" t="s">
        <v>44</v>
      </c>
      <c r="E2320" s="6" t="s">
        <v>44</v>
      </c>
      <c r="F2320" s="6" t="b">
        <v>0</v>
      </c>
      <c r="G2320" s="6">
        <v>1.306833333333333</v>
      </c>
    </row>
    <row r="2321" spans="1:7">
      <c r="A2321" s="6" t="s">
        <v>278</v>
      </c>
      <c r="B2321" s="6" t="s">
        <v>55</v>
      </c>
      <c r="C2321" s="6" t="s">
        <v>190</v>
      </c>
      <c r="D2321" s="6" t="s">
        <v>86</v>
      </c>
      <c r="E2321" s="6" t="s">
        <v>44</v>
      </c>
      <c r="F2321" s="6" t="b">
        <v>0</v>
      </c>
      <c r="G2321" s="6">
        <v>0.02391666666666667</v>
      </c>
    </row>
    <row r="2322" spans="1:7">
      <c r="A2322" s="6" t="s">
        <v>278</v>
      </c>
      <c r="B2322" s="6" t="s">
        <v>55</v>
      </c>
      <c r="C2322" s="6" t="s">
        <v>190</v>
      </c>
      <c r="D2322" s="6" t="s">
        <v>86</v>
      </c>
      <c r="E2322" s="6" t="s">
        <v>86</v>
      </c>
      <c r="F2322" s="6" t="b">
        <v>0</v>
      </c>
      <c r="G2322" s="6">
        <v>0.015</v>
      </c>
    </row>
    <row r="2323" spans="1:7">
      <c r="A2323" s="6" t="s">
        <v>278</v>
      </c>
      <c r="B2323" s="6" t="s">
        <v>55</v>
      </c>
      <c r="C2323" s="6" t="s">
        <v>190</v>
      </c>
      <c r="D2323" s="6" t="s">
        <v>90</v>
      </c>
      <c r="E2323" s="6" t="s">
        <v>44</v>
      </c>
      <c r="F2323" s="6" t="b">
        <v>0</v>
      </c>
      <c r="G2323" s="6">
        <v>0.03075</v>
      </c>
    </row>
    <row r="2324" spans="1:7">
      <c r="A2324" s="6" t="s">
        <v>278</v>
      </c>
      <c r="B2324" s="6" t="s">
        <v>55</v>
      </c>
      <c r="C2324" s="6" t="s">
        <v>190</v>
      </c>
      <c r="D2324" s="6" t="s">
        <v>90</v>
      </c>
      <c r="E2324" s="6" t="s">
        <v>90</v>
      </c>
      <c r="F2324" s="6" t="b">
        <v>0</v>
      </c>
      <c r="G2324" s="6">
        <v>0.2939166666666667</v>
      </c>
    </row>
    <row r="2325" spans="1:7">
      <c r="A2325" s="6" t="s">
        <v>278</v>
      </c>
      <c r="B2325" s="6" t="s">
        <v>55</v>
      </c>
      <c r="C2325" s="6" t="s">
        <v>190</v>
      </c>
      <c r="D2325" s="6" t="s">
        <v>177</v>
      </c>
      <c r="E2325" s="6" t="s">
        <v>44</v>
      </c>
      <c r="F2325" s="6" t="b">
        <v>0</v>
      </c>
      <c r="G2325" s="6">
        <v>0.3264166666666666</v>
      </c>
    </row>
    <row r="2326" spans="1:7">
      <c r="A2326" s="6" t="s">
        <v>278</v>
      </c>
      <c r="B2326" s="6" t="s">
        <v>55</v>
      </c>
      <c r="C2326" s="6" t="s">
        <v>190</v>
      </c>
      <c r="D2326" s="6" t="s">
        <v>177</v>
      </c>
      <c r="E2326" s="6" t="s">
        <v>86</v>
      </c>
      <c r="F2326" s="6" t="b">
        <v>0</v>
      </c>
      <c r="G2326" s="6">
        <v>0.008500000000000001</v>
      </c>
    </row>
    <row r="2327" spans="1:7">
      <c r="A2327" s="6" t="s">
        <v>279</v>
      </c>
      <c r="B2327" s="6" t="s">
        <v>52</v>
      </c>
      <c r="C2327" s="6" t="s">
        <v>184</v>
      </c>
      <c r="D2327" s="6" t="s">
        <v>44</v>
      </c>
      <c r="E2327" s="6" t="s">
        <v>44</v>
      </c>
      <c r="F2327" s="6" t="b">
        <v>0</v>
      </c>
      <c r="G2327" s="6">
        <v>111.3375833333333</v>
      </c>
    </row>
    <row r="2328" spans="1:7">
      <c r="A2328" s="6" t="s">
        <v>279</v>
      </c>
      <c r="B2328" s="6" t="s">
        <v>52</v>
      </c>
      <c r="C2328" s="6" t="s">
        <v>184</v>
      </c>
      <c r="D2328" s="6" t="s">
        <v>44</v>
      </c>
      <c r="E2328" s="6" t="s">
        <v>685</v>
      </c>
      <c r="F2328" s="6" t="b">
        <v>1</v>
      </c>
      <c r="G2328" s="6">
        <v>130.7955</v>
      </c>
    </row>
    <row r="2329" spans="1:7">
      <c r="A2329" s="6" t="s">
        <v>279</v>
      </c>
      <c r="B2329" s="6" t="s">
        <v>52</v>
      </c>
      <c r="C2329" s="6" t="s">
        <v>184</v>
      </c>
      <c r="D2329" s="6" t="s">
        <v>177</v>
      </c>
      <c r="E2329" s="6" t="s">
        <v>44</v>
      </c>
      <c r="F2329" s="6" t="b">
        <v>0</v>
      </c>
      <c r="G2329" s="6">
        <v>22.0375</v>
      </c>
    </row>
    <row r="2330" spans="1:7">
      <c r="A2330" s="6" t="s">
        <v>279</v>
      </c>
      <c r="B2330" s="6" t="s">
        <v>52</v>
      </c>
      <c r="C2330" s="6" t="s">
        <v>184</v>
      </c>
      <c r="D2330" s="6" t="s">
        <v>177</v>
      </c>
      <c r="E2330" s="6" t="s">
        <v>685</v>
      </c>
      <c r="F2330" s="6" t="b">
        <v>1</v>
      </c>
      <c r="G2330" s="6">
        <v>5.776</v>
      </c>
    </row>
    <row r="2331" spans="1:7">
      <c r="A2331" s="6" t="s">
        <v>280</v>
      </c>
      <c r="B2331" s="6" t="s">
        <v>55</v>
      </c>
      <c r="C2331" s="6" t="s">
        <v>181</v>
      </c>
      <c r="D2331" s="6" t="s">
        <v>88</v>
      </c>
      <c r="E2331" s="6" t="s">
        <v>88</v>
      </c>
      <c r="F2331" s="6" t="b">
        <v>0</v>
      </c>
      <c r="G2331" s="6">
        <v>56.53866666666667</v>
      </c>
    </row>
    <row r="2332" spans="1:7">
      <c r="A2332" s="6" t="s">
        <v>280</v>
      </c>
      <c r="B2332" s="6" t="s">
        <v>55</v>
      </c>
      <c r="C2332" s="6" t="s">
        <v>181</v>
      </c>
      <c r="D2332" s="6" t="s">
        <v>90</v>
      </c>
      <c r="E2332" s="6" t="s">
        <v>90</v>
      </c>
      <c r="F2332" s="6" t="b">
        <v>0</v>
      </c>
      <c r="G2332" s="6">
        <v>0.026</v>
      </c>
    </row>
    <row r="2333" spans="1:7">
      <c r="A2333" s="6" t="s">
        <v>280</v>
      </c>
      <c r="B2333" s="6" t="s">
        <v>55</v>
      </c>
      <c r="C2333" s="6" t="s">
        <v>183</v>
      </c>
      <c r="D2333" s="6" t="s">
        <v>86</v>
      </c>
      <c r="E2333" s="6" t="s">
        <v>86</v>
      </c>
      <c r="F2333" s="6" t="b">
        <v>0</v>
      </c>
      <c r="G2333" s="6">
        <v>0.05266666666666667</v>
      </c>
    </row>
    <row r="2334" spans="1:7">
      <c r="A2334" s="6" t="s">
        <v>280</v>
      </c>
      <c r="B2334" s="6" t="s">
        <v>55</v>
      </c>
      <c r="C2334" s="6" t="s">
        <v>183</v>
      </c>
      <c r="D2334" s="6" t="s">
        <v>88</v>
      </c>
      <c r="E2334" s="6" t="s">
        <v>88</v>
      </c>
      <c r="F2334" s="6" t="b">
        <v>0</v>
      </c>
      <c r="G2334" s="6">
        <v>0.9956666666666667</v>
      </c>
    </row>
    <row r="2335" spans="1:7">
      <c r="A2335" s="6" t="s">
        <v>280</v>
      </c>
      <c r="B2335" s="6" t="s">
        <v>55</v>
      </c>
      <c r="C2335" s="6" t="s">
        <v>183</v>
      </c>
      <c r="D2335" s="6" t="s">
        <v>90</v>
      </c>
      <c r="E2335" s="6" t="s">
        <v>86</v>
      </c>
      <c r="F2335" s="6" t="b">
        <v>0</v>
      </c>
      <c r="G2335" s="6">
        <v>0.9568333333333333</v>
      </c>
    </row>
    <row r="2336" spans="1:7">
      <c r="A2336" s="6" t="s">
        <v>280</v>
      </c>
      <c r="B2336" s="6" t="s">
        <v>55</v>
      </c>
      <c r="C2336" s="6" t="s">
        <v>183</v>
      </c>
      <c r="D2336" s="6" t="s">
        <v>90</v>
      </c>
      <c r="E2336" s="6" t="s">
        <v>90</v>
      </c>
      <c r="F2336" s="6" t="b">
        <v>0</v>
      </c>
      <c r="G2336" s="6">
        <v>0.29475</v>
      </c>
    </row>
    <row r="2337" spans="1:7">
      <c r="A2337" s="6" t="s">
        <v>280</v>
      </c>
      <c r="B2337" s="6" t="s">
        <v>55</v>
      </c>
      <c r="C2337" s="6" t="s">
        <v>183</v>
      </c>
      <c r="D2337" s="6" t="s">
        <v>177</v>
      </c>
      <c r="E2337" s="6" t="s">
        <v>86</v>
      </c>
      <c r="F2337" s="6" t="b">
        <v>0</v>
      </c>
      <c r="G2337" s="6">
        <v>0.1308333333333333</v>
      </c>
    </row>
    <row r="2338" spans="1:7">
      <c r="A2338" s="6" t="s">
        <v>280</v>
      </c>
      <c r="B2338" s="6" t="s">
        <v>55</v>
      </c>
      <c r="C2338" s="6" t="s">
        <v>183</v>
      </c>
      <c r="D2338" s="6" t="s">
        <v>177</v>
      </c>
      <c r="E2338" s="6" t="s">
        <v>685</v>
      </c>
      <c r="F2338" s="6" t="b">
        <v>1</v>
      </c>
      <c r="G2338" s="6">
        <v>0.0735</v>
      </c>
    </row>
    <row r="2339" spans="1:7">
      <c r="A2339" s="6" t="s">
        <v>280</v>
      </c>
      <c r="B2339" s="6" t="s">
        <v>55</v>
      </c>
      <c r="C2339" s="6" t="s">
        <v>184</v>
      </c>
      <c r="D2339" s="6" t="s">
        <v>44</v>
      </c>
      <c r="E2339" s="6" t="s">
        <v>44</v>
      </c>
      <c r="F2339" s="6" t="b">
        <v>0</v>
      </c>
      <c r="G2339" s="6">
        <v>583.40475</v>
      </c>
    </row>
    <row r="2340" spans="1:7">
      <c r="A2340" s="6" t="s">
        <v>280</v>
      </c>
      <c r="B2340" s="6" t="s">
        <v>55</v>
      </c>
      <c r="C2340" s="6" t="s">
        <v>184</v>
      </c>
      <c r="D2340" s="6" t="s">
        <v>86</v>
      </c>
      <c r="E2340" s="6" t="s">
        <v>86</v>
      </c>
      <c r="F2340" s="6" t="b">
        <v>0</v>
      </c>
      <c r="G2340" s="6">
        <v>1.25</v>
      </c>
    </row>
    <row r="2341" spans="1:7">
      <c r="A2341" s="6" t="s">
        <v>280</v>
      </c>
      <c r="B2341" s="6" t="s">
        <v>55</v>
      </c>
      <c r="C2341" s="6" t="s">
        <v>184</v>
      </c>
      <c r="D2341" s="6" t="s">
        <v>88</v>
      </c>
      <c r="E2341" s="6" t="s">
        <v>88</v>
      </c>
      <c r="F2341" s="6" t="b">
        <v>0</v>
      </c>
      <c r="G2341" s="6">
        <v>0.407</v>
      </c>
    </row>
    <row r="2342" spans="1:7">
      <c r="A2342" s="6" t="s">
        <v>280</v>
      </c>
      <c r="B2342" s="6" t="s">
        <v>55</v>
      </c>
      <c r="C2342" s="6" t="s">
        <v>184</v>
      </c>
      <c r="D2342" s="6" t="s">
        <v>90</v>
      </c>
      <c r="E2342" s="6" t="s">
        <v>90</v>
      </c>
      <c r="F2342" s="6" t="b">
        <v>0</v>
      </c>
      <c r="G2342" s="6">
        <v>1.225916666666667</v>
      </c>
    </row>
    <row r="2343" spans="1:7">
      <c r="A2343" s="6" t="s">
        <v>280</v>
      </c>
      <c r="B2343" s="6" t="s">
        <v>55</v>
      </c>
      <c r="C2343" s="6" t="s">
        <v>184</v>
      </c>
      <c r="D2343" s="6" t="s">
        <v>90</v>
      </c>
      <c r="E2343" s="6" t="s">
        <v>685</v>
      </c>
      <c r="F2343" s="6" t="b">
        <v>1</v>
      </c>
      <c r="G2343" s="6">
        <v>1.151916666666667</v>
      </c>
    </row>
    <row r="2344" spans="1:7">
      <c r="A2344" s="6" t="s">
        <v>280</v>
      </c>
      <c r="B2344" s="6" t="s">
        <v>55</v>
      </c>
      <c r="C2344" s="6" t="s">
        <v>184</v>
      </c>
      <c r="D2344" s="6" t="s">
        <v>177</v>
      </c>
      <c r="E2344" s="6" t="s">
        <v>44</v>
      </c>
      <c r="F2344" s="6" t="b">
        <v>0</v>
      </c>
      <c r="G2344" s="6">
        <v>470.483</v>
      </c>
    </row>
    <row r="2345" spans="1:7">
      <c r="A2345" s="6" t="s">
        <v>280</v>
      </c>
      <c r="B2345" s="6" t="s">
        <v>55</v>
      </c>
      <c r="C2345" s="6" t="s">
        <v>184</v>
      </c>
      <c r="D2345" s="6" t="s">
        <v>177</v>
      </c>
      <c r="E2345" s="6" t="s">
        <v>86</v>
      </c>
      <c r="F2345" s="6" t="b">
        <v>0</v>
      </c>
      <c r="G2345" s="6">
        <v>0.42675</v>
      </c>
    </row>
    <row r="2346" spans="1:7">
      <c r="A2346" s="6" t="s">
        <v>280</v>
      </c>
      <c r="B2346" s="6" t="s">
        <v>55</v>
      </c>
      <c r="C2346" s="6" t="s">
        <v>184</v>
      </c>
      <c r="D2346" s="6" t="s">
        <v>177</v>
      </c>
      <c r="E2346" s="6" t="s">
        <v>685</v>
      </c>
      <c r="F2346" s="6" t="b">
        <v>1</v>
      </c>
      <c r="G2346" s="6">
        <v>4.966</v>
      </c>
    </row>
    <row r="2347" spans="1:7">
      <c r="A2347" s="6" t="s">
        <v>280</v>
      </c>
      <c r="B2347" s="6" t="s">
        <v>55</v>
      </c>
      <c r="C2347" s="6" t="s">
        <v>186</v>
      </c>
      <c r="D2347" s="6" t="s">
        <v>86</v>
      </c>
      <c r="E2347" s="6" t="s">
        <v>86</v>
      </c>
      <c r="F2347" s="6" t="b">
        <v>0</v>
      </c>
      <c r="G2347" s="6">
        <v>196.0060833333333</v>
      </c>
    </row>
    <row r="2348" spans="1:7">
      <c r="A2348" s="6" t="s">
        <v>280</v>
      </c>
      <c r="B2348" s="6" t="s">
        <v>55</v>
      </c>
      <c r="C2348" s="6" t="s">
        <v>186</v>
      </c>
      <c r="D2348" s="6" t="s">
        <v>88</v>
      </c>
      <c r="E2348" s="6" t="s">
        <v>88</v>
      </c>
      <c r="F2348" s="6" t="b">
        <v>0</v>
      </c>
      <c r="G2348" s="6">
        <v>12.2445</v>
      </c>
    </row>
    <row r="2349" spans="1:7">
      <c r="A2349" s="6" t="s">
        <v>280</v>
      </c>
      <c r="B2349" s="6" t="s">
        <v>55</v>
      </c>
      <c r="C2349" s="6" t="s">
        <v>186</v>
      </c>
      <c r="D2349" s="6" t="s">
        <v>90</v>
      </c>
      <c r="E2349" s="6" t="s">
        <v>90</v>
      </c>
      <c r="F2349" s="6" t="b">
        <v>0</v>
      </c>
      <c r="G2349" s="6">
        <v>54.145</v>
      </c>
    </row>
    <row r="2350" spans="1:7">
      <c r="A2350" s="6" t="s">
        <v>280</v>
      </c>
      <c r="B2350" s="6" t="s">
        <v>55</v>
      </c>
      <c r="C2350" s="6" t="s">
        <v>186</v>
      </c>
      <c r="D2350" s="6" t="s">
        <v>177</v>
      </c>
      <c r="E2350" s="6" t="s">
        <v>86</v>
      </c>
      <c r="F2350" s="6" t="b">
        <v>0</v>
      </c>
      <c r="G2350" s="6">
        <v>1.465166666666667</v>
      </c>
    </row>
    <row r="2351" spans="1:7">
      <c r="A2351" s="6" t="s">
        <v>280</v>
      </c>
      <c r="B2351" s="6" t="s">
        <v>55</v>
      </c>
      <c r="C2351" s="6" t="s">
        <v>188</v>
      </c>
      <c r="D2351" s="6" t="s">
        <v>88</v>
      </c>
      <c r="E2351" s="6" t="s">
        <v>88</v>
      </c>
      <c r="F2351" s="6" t="b">
        <v>0</v>
      </c>
      <c r="G2351" s="6">
        <v>11.0895</v>
      </c>
    </row>
    <row r="2352" spans="1:7">
      <c r="A2352" s="6" t="s">
        <v>280</v>
      </c>
      <c r="B2352" s="6" t="s">
        <v>55</v>
      </c>
      <c r="C2352" s="6" t="s">
        <v>189</v>
      </c>
      <c r="D2352" s="6" t="s">
        <v>86</v>
      </c>
      <c r="E2352" s="6" t="s">
        <v>86</v>
      </c>
      <c r="F2352" s="6" t="b">
        <v>0</v>
      </c>
      <c r="G2352" s="6">
        <v>13.54375</v>
      </c>
    </row>
    <row r="2353" spans="1:7">
      <c r="A2353" s="6" t="s">
        <v>280</v>
      </c>
      <c r="B2353" s="6" t="s">
        <v>55</v>
      </c>
      <c r="C2353" s="6" t="s">
        <v>189</v>
      </c>
      <c r="D2353" s="6" t="s">
        <v>88</v>
      </c>
      <c r="E2353" s="6" t="s">
        <v>88</v>
      </c>
      <c r="F2353" s="6" t="b">
        <v>0</v>
      </c>
      <c r="G2353" s="6">
        <v>24.641</v>
      </c>
    </row>
    <row r="2354" spans="1:7">
      <c r="A2354" s="6" t="s">
        <v>280</v>
      </c>
      <c r="B2354" s="6" t="s">
        <v>55</v>
      </c>
      <c r="C2354" s="6" t="s">
        <v>189</v>
      </c>
      <c r="D2354" s="6" t="s">
        <v>90</v>
      </c>
      <c r="E2354" s="6" t="s">
        <v>90</v>
      </c>
      <c r="F2354" s="6" t="b">
        <v>0</v>
      </c>
      <c r="G2354" s="6">
        <v>2.3245</v>
      </c>
    </row>
    <row r="2355" spans="1:7">
      <c r="A2355" s="6" t="s">
        <v>280</v>
      </c>
      <c r="B2355" s="6" t="s">
        <v>55</v>
      </c>
      <c r="C2355" s="6" t="s">
        <v>190</v>
      </c>
      <c r="D2355" s="6" t="s">
        <v>44</v>
      </c>
      <c r="E2355" s="6" t="s">
        <v>44</v>
      </c>
      <c r="F2355" s="6" t="b">
        <v>0</v>
      </c>
      <c r="G2355" s="6">
        <v>79.40525</v>
      </c>
    </row>
    <row r="2356" spans="1:7">
      <c r="A2356" s="6" t="s">
        <v>280</v>
      </c>
      <c r="B2356" s="6" t="s">
        <v>55</v>
      </c>
      <c r="C2356" s="6" t="s">
        <v>190</v>
      </c>
      <c r="D2356" s="6" t="s">
        <v>86</v>
      </c>
      <c r="E2356" s="6" t="s">
        <v>44</v>
      </c>
      <c r="F2356" s="6" t="b">
        <v>0</v>
      </c>
      <c r="G2356" s="6">
        <v>0.4544166666666666</v>
      </c>
    </row>
    <row r="2357" spans="1:7">
      <c r="A2357" s="6" t="s">
        <v>280</v>
      </c>
      <c r="B2357" s="6" t="s">
        <v>55</v>
      </c>
      <c r="C2357" s="6" t="s">
        <v>190</v>
      </c>
      <c r="D2357" s="6" t="s">
        <v>86</v>
      </c>
      <c r="E2357" s="6" t="s">
        <v>86</v>
      </c>
      <c r="F2357" s="6" t="b">
        <v>0</v>
      </c>
      <c r="G2357" s="6">
        <v>0.1478333333333333</v>
      </c>
    </row>
    <row r="2358" spans="1:7">
      <c r="A2358" s="6" t="s">
        <v>280</v>
      </c>
      <c r="B2358" s="6" t="s">
        <v>55</v>
      </c>
      <c r="C2358" s="6" t="s">
        <v>190</v>
      </c>
      <c r="D2358" s="6" t="s">
        <v>90</v>
      </c>
      <c r="E2358" s="6" t="s">
        <v>44</v>
      </c>
      <c r="F2358" s="6" t="b">
        <v>0</v>
      </c>
      <c r="G2358" s="6">
        <v>3.22875</v>
      </c>
    </row>
    <row r="2359" spans="1:7">
      <c r="A2359" s="6" t="s">
        <v>280</v>
      </c>
      <c r="B2359" s="6" t="s">
        <v>55</v>
      </c>
      <c r="C2359" s="6" t="s">
        <v>190</v>
      </c>
      <c r="D2359" s="6" t="s">
        <v>90</v>
      </c>
      <c r="E2359" s="6" t="s">
        <v>90</v>
      </c>
      <c r="F2359" s="6" t="b">
        <v>0</v>
      </c>
      <c r="G2359" s="6">
        <v>3.18425</v>
      </c>
    </row>
    <row r="2360" spans="1:7">
      <c r="A2360" s="6" t="s">
        <v>280</v>
      </c>
      <c r="B2360" s="6" t="s">
        <v>55</v>
      </c>
      <c r="C2360" s="6" t="s">
        <v>190</v>
      </c>
      <c r="D2360" s="6" t="s">
        <v>177</v>
      </c>
      <c r="E2360" s="6" t="s">
        <v>44</v>
      </c>
      <c r="F2360" s="6" t="b">
        <v>0</v>
      </c>
      <c r="G2360" s="6">
        <v>64.21983333333334</v>
      </c>
    </row>
    <row r="2361" spans="1:7">
      <c r="A2361" s="6" t="s">
        <v>280</v>
      </c>
      <c r="B2361" s="6" t="s">
        <v>55</v>
      </c>
      <c r="C2361" s="6" t="s">
        <v>190</v>
      </c>
      <c r="D2361" s="6" t="s">
        <v>177</v>
      </c>
      <c r="E2361" s="6" t="s">
        <v>86</v>
      </c>
      <c r="F2361" s="6" t="b">
        <v>0</v>
      </c>
      <c r="G2361" s="6">
        <v>0.8852500000000001</v>
      </c>
    </row>
    <row r="2362" spans="1:7">
      <c r="A2362" s="6" t="s">
        <v>280</v>
      </c>
      <c r="B2362" s="6" t="s">
        <v>55</v>
      </c>
      <c r="C2362" s="6" t="s">
        <v>190</v>
      </c>
      <c r="D2362" s="6" t="s">
        <v>92</v>
      </c>
      <c r="E2362" s="6" t="s">
        <v>92</v>
      </c>
      <c r="F2362" s="6" t="b">
        <v>0</v>
      </c>
      <c r="G2362" s="6">
        <v>0.7324999999999999</v>
      </c>
    </row>
    <row r="2363" spans="1:7">
      <c r="A2363" s="6" t="s">
        <v>281</v>
      </c>
      <c r="B2363" s="6" t="s">
        <v>57</v>
      </c>
      <c r="C2363" s="6" t="s">
        <v>181</v>
      </c>
      <c r="D2363" s="6" t="s">
        <v>88</v>
      </c>
      <c r="E2363" s="6" t="s">
        <v>88</v>
      </c>
      <c r="F2363" s="6" t="b">
        <v>0</v>
      </c>
      <c r="G2363" s="6">
        <v>111.20375</v>
      </c>
    </row>
    <row r="2364" spans="1:7">
      <c r="A2364" s="6" t="s">
        <v>281</v>
      </c>
      <c r="B2364" s="6" t="s">
        <v>57</v>
      </c>
      <c r="C2364" s="6" t="s">
        <v>181</v>
      </c>
      <c r="D2364" s="6" t="s">
        <v>90</v>
      </c>
      <c r="E2364" s="6" t="s">
        <v>90</v>
      </c>
      <c r="F2364" s="6" t="b">
        <v>0</v>
      </c>
      <c r="G2364" s="6">
        <v>0.3134166666666667</v>
      </c>
    </row>
    <row r="2365" spans="1:7">
      <c r="A2365" s="6" t="s">
        <v>281</v>
      </c>
      <c r="B2365" s="6" t="s">
        <v>57</v>
      </c>
      <c r="C2365" s="6" t="s">
        <v>182</v>
      </c>
      <c r="D2365" s="6" t="s">
        <v>88</v>
      </c>
      <c r="E2365" s="6" t="s">
        <v>88</v>
      </c>
      <c r="F2365" s="6" t="b">
        <v>0</v>
      </c>
      <c r="G2365" s="6">
        <v>136.39475</v>
      </c>
    </row>
    <row r="2366" spans="1:7">
      <c r="A2366" s="6" t="s">
        <v>281</v>
      </c>
      <c r="B2366" s="6" t="s">
        <v>57</v>
      </c>
      <c r="C2366" s="6" t="s">
        <v>183</v>
      </c>
      <c r="D2366" s="6" t="s">
        <v>86</v>
      </c>
      <c r="E2366" s="6" t="s">
        <v>86</v>
      </c>
      <c r="F2366" s="6" t="b">
        <v>0</v>
      </c>
      <c r="G2366" s="6">
        <v>0.1194166666666667</v>
      </c>
    </row>
    <row r="2367" spans="1:7">
      <c r="A2367" s="6" t="s">
        <v>281</v>
      </c>
      <c r="B2367" s="6" t="s">
        <v>57</v>
      </c>
      <c r="C2367" s="6" t="s">
        <v>183</v>
      </c>
      <c r="D2367" s="6" t="s">
        <v>88</v>
      </c>
      <c r="E2367" s="6" t="s">
        <v>88</v>
      </c>
      <c r="F2367" s="6" t="b">
        <v>0</v>
      </c>
      <c r="G2367" s="6">
        <v>1.3025</v>
      </c>
    </row>
    <row r="2368" spans="1:7">
      <c r="A2368" s="6" t="s">
        <v>281</v>
      </c>
      <c r="B2368" s="6" t="s">
        <v>57</v>
      </c>
      <c r="C2368" s="6" t="s">
        <v>183</v>
      </c>
      <c r="D2368" s="6" t="s">
        <v>90</v>
      </c>
      <c r="E2368" s="6" t="s">
        <v>86</v>
      </c>
      <c r="F2368" s="6" t="b">
        <v>0</v>
      </c>
      <c r="G2368" s="6">
        <v>0.7299166666666667</v>
      </c>
    </row>
    <row r="2369" spans="1:7">
      <c r="A2369" s="6" t="s">
        <v>281</v>
      </c>
      <c r="B2369" s="6" t="s">
        <v>57</v>
      </c>
      <c r="C2369" s="6" t="s">
        <v>183</v>
      </c>
      <c r="D2369" s="6" t="s">
        <v>90</v>
      </c>
      <c r="E2369" s="6" t="s">
        <v>90</v>
      </c>
      <c r="F2369" s="6" t="b">
        <v>0</v>
      </c>
      <c r="G2369" s="6">
        <v>1.900083333333333</v>
      </c>
    </row>
    <row r="2370" spans="1:7">
      <c r="A2370" s="6" t="s">
        <v>281</v>
      </c>
      <c r="B2370" s="6" t="s">
        <v>57</v>
      </c>
      <c r="C2370" s="6" t="s">
        <v>183</v>
      </c>
      <c r="D2370" s="6" t="s">
        <v>177</v>
      </c>
      <c r="E2370" s="6" t="s">
        <v>86</v>
      </c>
      <c r="F2370" s="6" t="b">
        <v>0</v>
      </c>
      <c r="G2370" s="6">
        <v>0.252</v>
      </c>
    </row>
    <row r="2371" spans="1:7">
      <c r="A2371" s="6" t="s">
        <v>281</v>
      </c>
      <c r="B2371" s="6" t="s">
        <v>57</v>
      </c>
      <c r="C2371" s="6" t="s">
        <v>183</v>
      </c>
      <c r="D2371" s="6" t="s">
        <v>177</v>
      </c>
      <c r="E2371" s="6" t="s">
        <v>685</v>
      </c>
      <c r="F2371" s="6" t="b">
        <v>1</v>
      </c>
      <c r="G2371" s="6">
        <v>0.004</v>
      </c>
    </row>
    <row r="2372" spans="1:7">
      <c r="A2372" s="6" t="s">
        <v>281</v>
      </c>
      <c r="B2372" s="6" t="s">
        <v>57</v>
      </c>
      <c r="C2372" s="6" t="s">
        <v>184</v>
      </c>
      <c r="D2372" s="6" t="s">
        <v>44</v>
      </c>
      <c r="E2372" s="6" t="s">
        <v>44</v>
      </c>
      <c r="F2372" s="6" t="b">
        <v>0</v>
      </c>
      <c r="G2372" s="6">
        <v>385.5210833333333</v>
      </c>
    </row>
    <row r="2373" spans="1:7">
      <c r="A2373" s="6" t="s">
        <v>281</v>
      </c>
      <c r="B2373" s="6" t="s">
        <v>57</v>
      </c>
      <c r="C2373" s="6" t="s">
        <v>184</v>
      </c>
      <c r="D2373" s="6" t="s">
        <v>86</v>
      </c>
      <c r="E2373" s="6" t="s">
        <v>86</v>
      </c>
      <c r="F2373" s="6" t="b">
        <v>0</v>
      </c>
      <c r="G2373" s="6">
        <v>0.8333333333333334</v>
      </c>
    </row>
    <row r="2374" spans="1:7">
      <c r="A2374" s="6" t="s">
        <v>281</v>
      </c>
      <c r="B2374" s="6" t="s">
        <v>57</v>
      </c>
      <c r="C2374" s="6" t="s">
        <v>184</v>
      </c>
      <c r="D2374" s="6" t="s">
        <v>88</v>
      </c>
      <c r="E2374" s="6" t="s">
        <v>88</v>
      </c>
      <c r="F2374" s="6" t="b">
        <v>0</v>
      </c>
      <c r="G2374" s="6">
        <v>0.71975</v>
      </c>
    </row>
    <row r="2375" spans="1:7">
      <c r="A2375" s="6" t="s">
        <v>281</v>
      </c>
      <c r="B2375" s="6" t="s">
        <v>57</v>
      </c>
      <c r="C2375" s="6" t="s">
        <v>184</v>
      </c>
      <c r="D2375" s="6" t="s">
        <v>90</v>
      </c>
      <c r="E2375" s="6" t="s">
        <v>90</v>
      </c>
      <c r="F2375" s="6" t="b">
        <v>0</v>
      </c>
      <c r="G2375" s="6">
        <v>19.68333333333333</v>
      </c>
    </row>
    <row r="2376" spans="1:7">
      <c r="A2376" s="6" t="s">
        <v>281</v>
      </c>
      <c r="B2376" s="6" t="s">
        <v>57</v>
      </c>
      <c r="C2376" s="6" t="s">
        <v>184</v>
      </c>
      <c r="D2376" s="6" t="s">
        <v>90</v>
      </c>
      <c r="E2376" s="6" t="s">
        <v>685</v>
      </c>
      <c r="F2376" s="6" t="b">
        <v>1</v>
      </c>
      <c r="G2376" s="6">
        <v>1.487</v>
      </c>
    </row>
    <row r="2377" spans="1:7">
      <c r="A2377" s="6" t="s">
        <v>281</v>
      </c>
      <c r="B2377" s="6" t="s">
        <v>57</v>
      </c>
      <c r="C2377" s="6" t="s">
        <v>184</v>
      </c>
      <c r="D2377" s="6" t="s">
        <v>177</v>
      </c>
      <c r="E2377" s="6" t="s">
        <v>44</v>
      </c>
      <c r="F2377" s="6" t="b">
        <v>0</v>
      </c>
      <c r="G2377" s="6">
        <v>266.20725</v>
      </c>
    </row>
    <row r="2378" spans="1:7">
      <c r="A2378" s="6" t="s">
        <v>281</v>
      </c>
      <c r="B2378" s="6" t="s">
        <v>57</v>
      </c>
      <c r="C2378" s="6" t="s">
        <v>184</v>
      </c>
      <c r="D2378" s="6" t="s">
        <v>177</v>
      </c>
      <c r="E2378" s="6" t="s">
        <v>86</v>
      </c>
      <c r="F2378" s="6" t="b">
        <v>0</v>
      </c>
      <c r="G2378" s="6">
        <v>0.4475</v>
      </c>
    </row>
    <row r="2379" spans="1:7">
      <c r="A2379" s="6" t="s">
        <v>281</v>
      </c>
      <c r="B2379" s="6" t="s">
        <v>57</v>
      </c>
      <c r="C2379" s="6" t="s">
        <v>184</v>
      </c>
      <c r="D2379" s="6" t="s">
        <v>177</v>
      </c>
      <c r="E2379" s="6" t="s">
        <v>685</v>
      </c>
      <c r="F2379" s="6" t="b">
        <v>1</v>
      </c>
      <c r="G2379" s="6">
        <v>7.261666666666667</v>
      </c>
    </row>
    <row r="2380" spans="1:7">
      <c r="A2380" s="6" t="s">
        <v>281</v>
      </c>
      <c r="B2380" s="6" t="s">
        <v>57</v>
      </c>
      <c r="C2380" s="6" t="s">
        <v>185</v>
      </c>
      <c r="D2380" s="6" t="s">
        <v>44</v>
      </c>
      <c r="E2380" s="6" t="s">
        <v>44</v>
      </c>
      <c r="F2380" s="6" t="b">
        <v>0</v>
      </c>
      <c r="G2380" s="6">
        <v>62.257</v>
      </c>
    </row>
    <row r="2381" spans="1:7">
      <c r="A2381" s="6" t="s">
        <v>281</v>
      </c>
      <c r="B2381" s="6" t="s">
        <v>57</v>
      </c>
      <c r="C2381" s="6" t="s">
        <v>185</v>
      </c>
      <c r="D2381" s="6" t="s">
        <v>44</v>
      </c>
      <c r="E2381" s="6" t="s">
        <v>685</v>
      </c>
      <c r="F2381" s="6" t="b">
        <v>1</v>
      </c>
      <c r="G2381" s="6">
        <v>128.32175</v>
      </c>
    </row>
    <row r="2382" spans="1:7">
      <c r="A2382" s="6" t="s">
        <v>281</v>
      </c>
      <c r="B2382" s="6" t="s">
        <v>57</v>
      </c>
      <c r="C2382" s="6" t="s">
        <v>186</v>
      </c>
      <c r="D2382" s="6" t="s">
        <v>86</v>
      </c>
      <c r="E2382" s="6" t="s">
        <v>86</v>
      </c>
      <c r="F2382" s="6" t="b">
        <v>0</v>
      </c>
      <c r="G2382" s="6">
        <v>252.9445</v>
      </c>
    </row>
    <row r="2383" spans="1:7">
      <c r="A2383" s="6" t="s">
        <v>281</v>
      </c>
      <c r="B2383" s="6" t="s">
        <v>57</v>
      </c>
      <c r="C2383" s="6" t="s">
        <v>186</v>
      </c>
      <c r="D2383" s="6" t="s">
        <v>88</v>
      </c>
      <c r="E2383" s="6" t="s">
        <v>88</v>
      </c>
      <c r="F2383" s="6" t="b">
        <v>0</v>
      </c>
      <c r="G2383" s="6">
        <v>14.35766666666667</v>
      </c>
    </row>
    <row r="2384" spans="1:7">
      <c r="A2384" s="6" t="s">
        <v>281</v>
      </c>
      <c r="B2384" s="6" t="s">
        <v>57</v>
      </c>
      <c r="C2384" s="6" t="s">
        <v>186</v>
      </c>
      <c r="D2384" s="6" t="s">
        <v>90</v>
      </c>
      <c r="E2384" s="6" t="s">
        <v>86</v>
      </c>
      <c r="F2384" s="6" t="b">
        <v>0</v>
      </c>
      <c r="G2384" s="6">
        <v>0.05408333333333334</v>
      </c>
    </row>
    <row r="2385" spans="1:7">
      <c r="A2385" s="6" t="s">
        <v>281</v>
      </c>
      <c r="B2385" s="6" t="s">
        <v>57</v>
      </c>
      <c r="C2385" s="6" t="s">
        <v>186</v>
      </c>
      <c r="D2385" s="6" t="s">
        <v>90</v>
      </c>
      <c r="E2385" s="6" t="s">
        <v>90</v>
      </c>
      <c r="F2385" s="6" t="b">
        <v>0</v>
      </c>
      <c r="G2385" s="6">
        <v>63.72725</v>
      </c>
    </row>
    <row r="2386" spans="1:7">
      <c r="A2386" s="6" t="s">
        <v>281</v>
      </c>
      <c r="B2386" s="6" t="s">
        <v>57</v>
      </c>
      <c r="C2386" s="6" t="s">
        <v>186</v>
      </c>
      <c r="D2386" s="6" t="s">
        <v>177</v>
      </c>
      <c r="E2386" s="6" t="s">
        <v>86</v>
      </c>
      <c r="F2386" s="6" t="b">
        <v>0</v>
      </c>
      <c r="G2386" s="6">
        <v>1.975333333333333</v>
      </c>
    </row>
    <row r="2387" spans="1:7">
      <c r="A2387" s="6" t="s">
        <v>281</v>
      </c>
      <c r="B2387" s="6" t="s">
        <v>57</v>
      </c>
      <c r="C2387" s="6" t="s">
        <v>187</v>
      </c>
      <c r="D2387" s="6" t="s">
        <v>86</v>
      </c>
      <c r="E2387" s="6" t="s">
        <v>86</v>
      </c>
      <c r="F2387" s="6" t="b">
        <v>0</v>
      </c>
      <c r="G2387" s="6">
        <v>59.1635</v>
      </c>
    </row>
    <row r="2388" spans="1:7">
      <c r="A2388" s="6" t="s">
        <v>281</v>
      </c>
      <c r="B2388" s="6" t="s">
        <v>57</v>
      </c>
      <c r="C2388" s="6" t="s">
        <v>187</v>
      </c>
      <c r="D2388" s="6" t="s">
        <v>88</v>
      </c>
      <c r="E2388" s="6" t="s">
        <v>88</v>
      </c>
      <c r="F2388" s="6" t="b">
        <v>0</v>
      </c>
      <c r="G2388" s="6">
        <v>161.6428333333333</v>
      </c>
    </row>
    <row r="2389" spans="1:7">
      <c r="A2389" s="6" t="s">
        <v>281</v>
      </c>
      <c r="B2389" s="6" t="s">
        <v>57</v>
      </c>
      <c r="C2389" s="6" t="s">
        <v>188</v>
      </c>
      <c r="D2389" s="6" t="s">
        <v>86</v>
      </c>
      <c r="E2389" s="6" t="s">
        <v>86</v>
      </c>
      <c r="F2389" s="6" t="b">
        <v>0</v>
      </c>
      <c r="G2389" s="6">
        <v>24.8305</v>
      </c>
    </row>
    <row r="2390" spans="1:7">
      <c r="A2390" s="6" t="s">
        <v>281</v>
      </c>
      <c r="B2390" s="6" t="s">
        <v>57</v>
      </c>
      <c r="C2390" s="6" t="s">
        <v>188</v>
      </c>
      <c r="D2390" s="6" t="s">
        <v>88</v>
      </c>
      <c r="E2390" s="6" t="s">
        <v>88</v>
      </c>
      <c r="F2390" s="6" t="b">
        <v>0</v>
      </c>
      <c r="G2390" s="6">
        <v>125.6691666666667</v>
      </c>
    </row>
    <row r="2391" spans="1:7">
      <c r="A2391" s="6" t="s">
        <v>281</v>
      </c>
      <c r="B2391" s="6" t="s">
        <v>57</v>
      </c>
      <c r="C2391" s="6" t="s">
        <v>189</v>
      </c>
      <c r="D2391" s="6" t="s">
        <v>86</v>
      </c>
      <c r="E2391" s="6" t="s">
        <v>86</v>
      </c>
      <c r="F2391" s="6" t="b">
        <v>0</v>
      </c>
      <c r="G2391" s="6">
        <v>74.7955</v>
      </c>
    </row>
    <row r="2392" spans="1:7">
      <c r="A2392" s="6" t="s">
        <v>281</v>
      </c>
      <c r="B2392" s="6" t="s">
        <v>57</v>
      </c>
      <c r="C2392" s="6" t="s">
        <v>189</v>
      </c>
      <c r="D2392" s="6" t="s">
        <v>88</v>
      </c>
      <c r="E2392" s="6" t="s">
        <v>88</v>
      </c>
      <c r="F2392" s="6" t="b">
        <v>0</v>
      </c>
      <c r="G2392" s="6">
        <v>165.8646666666667</v>
      </c>
    </row>
    <row r="2393" spans="1:7">
      <c r="A2393" s="6" t="s">
        <v>281</v>
      </c>
      <c r="B2393" s="6" t="s">
        <v>57</v>
      </c>
      <c r="C2393" s="6" t="s">
        <v>189</v>
      </c>
      <c r="D2393" s="6" t="s">
        <v>90</v>
      </c>
      <c r="E2393" s="6" t="s">
        <v>90</v>
      </c>
      <c r="F2393" s="6" t="b">
        <v>0</v>
      </c>
      <c r="G2393" s="6">
        <v>32.23008333333333</v>
      </c>
    </row>
    <row r="2394" spans="1:7">
      <c r="A2394" s="6" t="s">
        <v>281</v>
      </c>
      <c r="B2394" s="6" t="s">
        <v>57</v>
      </c>
      <c r="C2394" s="6" t="s">
        <v>190</v>
      </c>
      <c r="D2394" s="6" t="s">
        <v>44</v>
      </c>
      <c r="E2394" s="6" t="s">
        <v>44</v>
      </c>
      <c r="F2394" s="6" t="b">
        <v>0</v>
      </c>
      <c r="G2394" s="6">
        <v>104.4088333333333</v>
      </c>
    </row>
    <row r="2395" spans="1:7">
      <c r="A2395" s="6" t="s">
        <v>281</v>
      </c>
      <c r="B2395" s="6" t="s">
        <v>57</v>
      </c>
      <c r="C2395" s="6" t="s">
        <v>190</v>
      </c>
      <c r="D2395" s="6" t="s">
        <v>86</v>
      </c>
      <c r="E2395" s="6" t="s">
        <v>44</v>
      </c>
      <c r="F2395" s="6" t="b">
        <v>0</v>
      </c>
      <c r="G2395" s="6">
        <v>2.026083333333333</v>
      </c>
    </row>
    <row r="2396" spans="1:7">
      <c r="A2396" s="6" t="s">
        <v>281</v>
      </c>
      <c r="B2396" s="6" t="s">
        <v>57</v>
      </c>
      <c r="C2396" s="6" t="s">
        <v>190</v>
      </c>
      <c r="D2396" s="6" t="s">
        <v>86</v>
      </c>
      <c r="E2396" s="6" t="s">
        <v>86</v>
      </c>
      <c r="F2396" s="6" t="b">
        <v>0</v>
      </c>
      <c r="G2396" s="6">
        <v>2.014083333333333</v>
      </c>
    </row>
    <row r="2397" spans="1:7">
      <c r="A2397" s="6" t="s">
        <v>281</v>
      </c>
      <c r="B2397" s="6" t="s">
        <v>57</v>
      </c>
      <c r="C2397" s="6" t="s">
        <v>190</v>
      </c>
      <c r="D2397" s="6" t="s">
        <v>90</v>
      </c>
      <c r="E2397" s="6" t="s">
        <v>44</v>
      </c>
      <c r="F2397" s="6" t="b">
        <v>0</v>
      </c>
      <c r="G2397" s="6">
        <v>3.642166666666667</v>
      </c>
    </row>
    <row r="2398" spans="1:7">
      <c r="A2398" s="6" t="s">
        <v>281</v>
      </c>
      <c r="B2398" s="6" t="s">
        <v>57</v>
      </c>
      <c r="C2398" s="6" t="s">
        <v>190</v>
      </c>
      <c r="D2398" s="6" t="s">
        <v>90</v>
      </c>
      <c r="E2398" s="6" t="s">
        <v>90</v>
      </c>
      <c r="F2398" s="6" t="b">
        <v>0</v>
      </c>
      <c r="G2398" s="6">
        <v>8.896833333333333</v>
      </c>
    </row>
    <row r="2399" spans="1:7">
      <c r="A2399" s="6" t="s">
        <v>281</v>
      </c>
      <c r="B2399" s="6" t="s">
        <v>57</v>
      </c>
      <c r="C2399" s="6" t="s">
        <v>190</v>
      </c>
      <c r="D2399" s="6" t="s">
        <v>177</v>
      </c>
      <c r="E2399" s="6" t="s">
        <v>44</v>
      </c>
      <c r="F2399" s="6" t="b">
        <v>0</v>
      </c>
      <c r="G2399" s="6">
        <v>45.19783333333334</v>
      </c>
    </row>
    <row r="2400" spans="1:7">
      <c r="A2400" s="6" t="s">
        <v>281</v>
      </c>
      <c r="B2400" s="6" t="s">
        <v>57</v>
      </c>
      <c r="C2400" s="6" t="s">
        <v>190</v>
      </c>
      <c r="D2400" s="6" t="s">
        <v>177</v>
      </c>
      <c r="E2400" s="6" t="s">
        <v>86</v>
      </c>
      <c r="F2400" s="6" t="b">
        <v>0</v>
      </c>
      <c r="G2400" s="6">
        <v>5.869</v>
      </c>
    </row>
    <row r="2401" spans="1:7">
      <c r="A2401" s="6" t="s">
        <v>281</v>
      </c>
      <c r="B2401" s="6" t="s">
        <v>57</v>
      </c>
      <c r="C2401" s="6" t="s">
        <v>190</v>
      </c>
      <c r="D2401" s="6" t="s">
        <v>177</v>
      </c>
      <c r="E2401" s="6" t="s">
        <v>685</v>
      </c>
      <c r="F2401" s="6" t="b">
        <v>1</v>
      </c>
      <c r="G2401" s="6">
        <v>0.0425</v>
      </c>
    </row>
    <row r="2402" spans="1:7">
      <c r="A2402" s="6" t="s">
        <v>281</v>
      </c>
      <c r="B2402" s="6" t="s">
        <v>57</v>
      </c>
      <c r="C2402" s="6" t="s">
        <v>190</v>
      </c>
      <c r="D2402" s="6" t="s">
        <v>92</v>
      </c>
      <c r="E2402" s="6" t="s">
        <v>92</v>
      </c>
      <c r="F2402" s="6" t="b">
        <v>0</v>
      </c>
      <c r="G2402" s="6">
        <v>0.1154166666666667</v>
      </c>
    </row>
    <row r="2403" spans="1:7">
      <c r="A2403" s="6" t="s">
        <v>282</v>
      </c>
      <c r="B2403" s="6" t="s">
        <v>56</v>
      </c>
      <c r="C2403" s="6" t="s">
        <v>181</v>
      </c>
      <c r="D2403" s="6" t="s">
        <v>88</v>
      </c>
      <c r="E2403" s="6" t="s">
        <v>88</v>
      </c>
      <c r="F2403" s="6" t="b">
        <v>0</v>
      </c>
      <c r="G2403" s="6">
        <v>0.2390833333333333</v>
      </c>
    </row>
    <row r="2404" spans="1:7">
      <c r="A2404" s="6" t="s">
        <v>282</v>
      </c>
      <c r="B2404" s="6" t="s">
        <v>56</v>
      </c>
      <c r="C2404" s="6" t="s">
        <v>181</v>
      </c>
      <c r="D2404" s="6" t="s">
        <v>90</v>
      </c>
      <c r="E2404" s="6" t="s">
        <v>90</v>
      </c>
      <c r="F2404" s="6" t="b">
        <v>0</v>
      </c>
      <c r="G2404" s="6">
        <v>0.00275</v>
      </c>
    </row>
    <row r="2405" spans="1:7">
      <c r="A2405" s="6" t="s">
        <v>282</v>
      </c>
      <c r="B2405" s="6" t="s">
        <v>56</v>
      </c>
      <c r="C2405" s="6" t="s">
        <v>183</v>
      </c>
      <c r="D2405" s="6" t="s">
        <v>86</v>
      </c>
      <c r="E2405" s="6" t="s">
        <v>86</v>
      </c>
      <c r="F2405" s="6" t="b">
        <v>0</v>
      </c>
      <c r="G2405" s="6">
        <v>0.001416666666666667</v>
      </c>
    </row>
    <row r="2406" spans="1:7">
      <c r="A2406" s="6" t="s">
        <v>282</v>
      </c>
      <c r="B2406" s="6" t="s">
        <v>56</v>
      </c>
      <c r="C2406" s="6" t="s">
        <v>183</v>
      </c>
      <c r="D2406" s="6" t="s">
        <v>88</v>
      </c>
      <c r="E2406" s="6" t="s">
        <v>88</v>
      </c>
      <c r="F2406" s="6" t="b">
        <v>0</v>
      </c>
      <c r="G2406" s="6">
        <v>0.0005833333333333334</v>
      </c>
    </row>
    <row r="2407" spans="1:7">
      <c r="A2407" s="6" t="s">
        <v>282</v>
      </c>
      <c r="B2407" s="6" t="s">
        <v>56</v>
      </c>
      <c r="C2407" s="6" t="s">
        <v>183</v>
      </c>
      <c r="D2407" s="6" t="s">
        <v>90</v>
      </c>
      <c r="E2407" s="6" t="s">
        <v>86</v>
      </c>
      <c r="F2407" s="6" t="b">
        <v>0</v>
      </c>
      <c r="G2407" s="6">
        <v>0.004166666666666667</v>
      </c>
    </row>
    <row r="2408" spans="1:7">
      <c r="A2408" s="6" t="s">
        <v>282</v>
      </c>
      <c r="B2408" s="6" t="s">
        <v>56</v>
      </c>
      <c r="C2408" s="6" t="s">
        <v>183</v>
      </c>
      <c r="D2408" s="6" t="s">
        <v>90</v>
      </c>
      <c r="E2408" s="6" t="s">
        <v>90</v>
      </c>
      <c r="F2408" s="6" t="b">
        <v>0</v>
      </c>
      <c r="G2408" s="6">
        <v>0.01075</v>
      </c>
    </row>
    <row r="2409" spans="1:7">
      <c r="A2409" s="6" t="s">
        <v>282</v>
      </c>
      <c r="B2409" s="6" t="s">
        <v>56</v>
      </c>
      <c r="C2409" s="6" t="s">
        <v>184</v>
      </c>
      <c r="D2409" s="6" t="s">
        <v>44</v>
      </c>
      <c r="E2409" s="6" t="s">
        <v>44</v>
      </c>
      <c r="F2409" s="6" t="b">
        <v>0</v>
      </c>
      <c r="G2409" s="6">
        <v>2.250666666666667</v>
      </c>
    </row>
    <row r="2410" spans="1:7">
      <c r="A2410" s="6" t="s">
        <v>282</v>
      </c>
      <c r="B2410" s="6" t="s">
        <v>56</v>
      </c>
      <c r="C2410" s="6" t="s">
        <v>184</v>
      </c>
      <c r="D2410" s="6" t="s">
        <v>88</v>
      </c>
      <c r="E2410" s="6" t="s">
        <v>88</v>
      </c>
      <c r="F2410" s="6" t="b">
        <v>0</v>
      </c>
      <c r="G2410" s="6">
        <v>0.008083333333333333</v>
      </c>
    </row>
    <row r="2411" spans="1:7">
      <c r="A2411" s="6" t="s">
        <v>282</v>
      </c>
      <c r="B2411" s="6" t="s">
        <v>56</v>
      </c>
      <c r="C2411" s="6" t="s">
        <v>184</v>
      </c>
      <c r="D2411" s="6" t="s">
        <v>90</v>
      </c>
      <c r="E2411" s="6" t="s">
        <v>90</v>
      </c>
      <c r="F2411" s="6" t="b">
        <v>0</v>
      </c>
      <c r="G2411" s="6">
        <v>0.004</v>
      </c>
    </row>
    <row r="2412" spans="1:7">
      <c r="A2412" s="6" t="s">
        <v>282</v>
      </c>
      <c r="B2412" s="6" t="s">
        <v>56</v>
      </c>
      <c r="C2412" s="6" t="s">
        <v>184</v>
      </c>
      <c r="D2412" s="6" t="s">
        <v>90</v>
      </c>
      <c r="E2412" s="6" t="s">
        <v>685</v>
      </c>
      <c r="F2412" s="6" t="b">
        <v>1</v>
      </c>
      <c r="G2412" s="6">
        <v>0.006083333333333334</v>
      </c>
    </row>
    <row r="2413" spans="1:7">
      <c r="A2413" s="6" t="s">
        <v>282</v>
      </c>
      <c r="B2413" s="6" t="s">
        <v>56</v>
      </c>
      <c r="C2413" s="6" t="s">
        <v>184</v>
      </c>
      <c r="D2413" s="6" t="s">
        <v>177</v>
      </c>
      <c r="E2413" s="6" t="s">
        <v>44</v>
      </c>
      <c r="F2413" s="6" t="b">
        <v>0</v>
      </c>
      <c r="G2413" s="6">
        <v>0.7914166666666667</v>
      </c>
    </row>
    <row r="2414" spans="1:7">
      <c r="A2414" s="6" t="s">
        <v>282</v>
      </c>
      <c r="B2414" s="6" t="s">
        <v>56</v>
      </c>
      <c r="C2414" s="6" t="s">
        <v>184</v>
      </c>
      <c r="D2414" s="6" t="s">
        <v>177</v>
      </c>
      <c r="E2414" s="6" t="s">
        <v>86</v>
      </c>
      <c r="F2414" s="6" t="b">
        <v>0</v>
      </c>
      <c r="G2414" s="6">
        <v>0.01325</v>
      </c>
    </row>
    <row r="2415" spans="1:7">
      <c r="A2415" s="6" t="s">
        <v>282</v>
      </c>
      <c r="B2415" s="6" t="s">
        <v>56</v>
      </c>
      <c r="C2415" s="6" t="s">
        <v>184</v>
      </c>
      <c r="D2415" s="6" t="s">
        <v>177</v>
      </c>
      <c r="E2415" s="6" t="s">
        <v>685</v>
      </c>
      <c r="F2415" s="6" t="b">
        <v>1</v>
      </c>
      <c r="G2415" s="6">
        <v>0.155</v>
      </c>
    </row>
    <row r="2416" spans="1:7">
      <c r="A2416" s="6" t="s">
        <v>282</v>
      </c>
      <c r="B2416" s="6" t="s">
        <v>56</v>
      </c>
      <c r="C2416" s="6" t="s">
        <v>186</v>
      </c>
      <c r="D2416" s="6" t="s">
        <v>86</v>
      </c>
      <c r="E2416" s="6" t="s">
        <v>86</v>
      </c>
      <c r="F2416" s="6" t="b">
        <v>0</v>
      </c>
      <c r="G2416" s="6">
        <v>0.3555833333333334</v>
      </c>
    </row>
    <row r="2417" spans="1:7">
      <c r="A2417" s="6" t="s">
        <v>282</v>
      </c>
      <c r="B2417" s="6" t="s">
        <v>56</v>
      </c>
      <c r="C2417" s="6" t="s">
        <v>186</v>
      </c>
      <c r="D2417" s="6" t="s">
        <v>88</v>
      </c>
      <c r="E2417" s="6" t="s">
        <v>88</v>
      </c>
      <c r="F2417" s="6" t="b">
        <v>0</v>
      </c>
      <c r="G2417" s="6">
        <v>0.02108333333333333</v>
      </c>
    </row>
    <row r="2418" spans="1:7">
      <c r="A2418" s="6" t="s">
        <v>282</v>
      </c>
      <c r="B2418" s="6" t="s">
        <v>56</v>
      </c>
      <c r="C2418" s="6" t="s">
        <v>186</v>
      </c>
      <c r="D2418" s="6" t="s">
        <v>90</v>
      </c>
      <c r="E2418" s="6" t="s">
        <v>90</v>
      </c>
      <c r="F2418" s="6" t="b">
        <v>0</v>
      </c>
      <c r="G2418" s="6">
        <v>0.2105</v>
      </c>
    </row>
    <row r="2419" spans="1:7">
      <c r="A2419" s="6" t="s">
        <v>282</v>
      </c>
      <c r="B2419" s="6" t="s">
        <v>56</v>
      </c>
      <c r="C2419" s="6" t="s">
        <v>186</v>
      </c>
      <c r="D2419" s="6" t="s">
        <v>177</v>
      </c>
      <c r="E2419" s="6" t="s">
        <v>86</v>
      </c>
      <c r="F2419" s="6" t="b">
        <v>0</v>
      </c>
      <c r="G2419" s="6">
        <v>0.006000000000000001</v>
      </c>
    </row>
    <row r="2420" spans="1:7">
      <c r="A2420" s="6" t="s">
        <v>282</v>
      </c>
      <c r="B2420" s="6" t="s">
        <v>56</v>
      </c>
      <c r="C2420" s="6" t="s">
        <v>189</v>
      </c>
      <c r="D2420" s="6" t="s">
        <v>86</v>
      </c>
      <c r="E2420" s="6" t="s">
        <v>86</v>
      </c>
      <c r="F2420" s="6" t="b">
        <v>0</v>
      </c>
      <c r="G2420" s="6">
        <v>0.1191666666666667</v>
      </c>
    </row>
    <row r="2421" spans="1:7">
      <c r="A2421" s="6" t="s">
        <v>282</v>
      </c>
      <c r="B2421" s="6" t="s">
        <v>56</v>
      </c>
      <c r="C2421" s="6" t="s">
        <v>189</v>
      </c>
      <c r="D2421" s="6" t="s">
        <v>88</v>
      </c>
      <c r="E2421" s="6" t="s">
        <v>88</v>
      </c>
      <c r="F2421" s="6" t="b">
        <v>0</v>
      </c>
      <c r="G2421" s="6">
        <v>0.012</v>
      </c>
    </row>
    <row r="2422" spans="1:7">
      <c r="A2422" s="6" t="s">
        <v>283</v>
      </c>
      <c r="B2422" s="6" t="s">
        <v>51</v>
      </c>
      <c r="C2422" s="6" t="s">
        <v>181</v>
      </c>
      <c r="D2422" s="6" t="s">
        <v>88</v>
      </c>
      <c r="E2422" s="6" t="s">
        <v>88</v>
      </c>
      <c r="F2422" s="6" t="b">
        <v>0</v>
      </c>
      <c r="G2422" s="6">
        <v>35.41791666666666</v>
      </c>
    </row>
    <row r="2423" spans="1:7">
      <c r="A2423" s="6" t="s">
        <v>283</v>
      </c>
      <c r="B2423" s="6" t="s">
        <v>51</v>
      </c>
      <c r="C2423" s="6" t="s">
        <v>181</v>
      </c>
      <c r="D2423" s="6" t="s">
        <v>90</v>
      </c>
      <c r="E2423" s="6" t="s">
        <v>90</v>
      </c>
      <c r="F2423" s="6" t="b">
        <v>0</v>
      </c>
      <c r="G2423" s="6">
        <v>0.06558333333333334</v>
      </c>
    </row>
    <row r="2424" spans="1:7">
      <c r="A2424" s="6" t="s">
        <v>283</v>
      </c>
      <c r="B2424" s="6" t="s">
        <v>51</v>
      </c>
      <c r="C2424" s="6" t="s">
        <v>183</v>
      </c>
      <c r="D2424" s="6" t="s">
        <v>86</v>
      </c>
      <c r="E2424" s="6" t="s">
        <v>86</v>
      </c>
      <c r="F2424" s="6" t="b">
        <v>0</v>
      </c>
      <c r="G2424" s="6">
        <v>0.006333333333333334</v>
      </c>
    </row>
    <row r="2425" spans="1:7">
      <c r="A2425" s="6" t="s">
        <v>283</v>
      </c>
      <c r="B2425" s="6" t="s">
        <v>51</v>
      </c>
      <c r="C2425" s="6" t="s">
        <v>183</v>
      </c>
      <c r="D2425" s="6" t="s">
        <v>88</v>
      </c>
      <c r="E2425" s="6" t="s">
        <v>88</v>
      </c>
      <c r="F2425" s="6" t="b">
        <v>0</v>
      </c>
      <c r="G2425" s="6">
        <v>0.5568333333333334</v>
      </c>
    </row>
    <row r="2426" spans="1:7">
      <c r="A2426" s="6" t="s">
        <v>283</v>
      </c>
      <c r="B2426" s="6" t="s">
        <v>51</v>
      </c>
      <c r="C2426" s="6" t="s">
        <v>183</v>
      </c>
      <c r="D2426" s="6" t="s">
        <v>90</v>
      </c>
      <c r="E2426" s="6" t="s">
        <v>86</v>
      </c>
      <c r="F2426" s="6" t="b">
        <v>0</v>
      </c>
      <c r="G2426" s="6">
        <v>0.26875</v>
      </c>
    </row>
    <row r="2427" spans="1:7">
      <c r="A2427" s="6" t="s">
        <v>283</v>
      </c>
      <c r="B2427" s="6" t="s">
        <v>51</v>
      </c>
      <c r="C2427" s="6" t="s">
        <v>183</v>
      </c>
      <c r="D2427" s="6" t="s">
        <v>90</v>
      </c>
      <c r="E2427" s="6" t="s">
        <v>90</v>
      </c>
      <c r="F2427" s="6" t="b">
        <v>0</v>
      </c>
      <c r="G2427" s="6">
        <v>0.2535833333333333</v>
      </c>
    </row>
    <row r="2428" spans="1:7">
      <c r="A2428" s="6" t="s">
        <v>283</v>
      </c>
      <c r="B2428" s="6" t="s">
        <v>51</v>
      </c>
      <c r="C2428" s="6" t="s">
        <v>183</v>
      </c>
      <c r="D2428" s="6" t="s">
        <v>177</v>
      </c>
      <c r="E2428" s="6" t="s">
        <v>86</v>
      </c>
      <c r="F2428" s="6" t="b">
        <v>0</v>
      </c>
      <c r="G2428" s="6">
        <v>0.07316666666666667</v>
      </c>
    </row>
    <row r="2429" spans="1:7">
      <c r="A2429" s="6" t="s">
        <v>283</v>
      </c>
      <c r="B2429" s="6" t="s">
        <v>51</v>
      </c>
      <c r="C2429" s="6" t="s">
        <v>183</v>
      </c>
      <c r="D2429" s="6" t="s">
        <v>177</v>
      </c>
      <c r="E2429" s="6" t="s">
        <v>685</v>
      </c>
      <c r="F2429" s="6" t="b">
        <v>1</v>
      </c>
      <c r="G2429" s="6">
        <v>0.0165</v>
      </c>
    </row>
    <row r="2430" spans="1:7">
      <c r="A2430" s="6" t="s">
        <v>283</v>
      </c>
      <c r="B2430" s="6" t="s">
        <v>51</v>
      </c>
      <c r="C2430" s="6" t="s">
        <v>184</v>
      </c>
      <c r="D2430" s="6" t="s">
        <v>44</v>
      </c>
      <c r="E2430" s="6" t="s">
        <v>44</v>
      </c>
      <c r="F2430" s="6" t="b">
        <v>0</v>
      </c>
      <c r="G2430" s="6">
        <v>442.7274166666667</v>
      </c>
    </row>
    <row r="2431" spans="1:7">
      <c r="A2431" s="6" t="s">
        <v>283</v>
      </c>
      <c r="B2431" s="6" t="s">
        <v>51</v>
      </c>
      <c r="C2431" s="6" t="s">
        <v>184</v>
      </c>
      <c r="D2431" s="6" t="s">
        <v>86</v>
      </c>
      <c r="E2431" s="6" t="s">
        <v>86</v>
      </c>
      <c r="F2431" s="6" t="b">
        <v>0</v>
      </c>
      <c r="G2431" s="6">
        <v>0.1666666666666667</v>
      </c>
    </row>
    <row r="2432" spans="1:7">
      <c r="A2432" s="6" t="s">
        <v>283</v>
      </c>
      <c r="B2432" s="6" t="s">
        <v>51</v>
      </c>
      <c r="C2432" s="6" t="s">
        <v>184</v>
      </c>
      <c r="D2432" s="6" t="s">
        <v>88</v>
      </c>
      <c r="E2432" s="6" t="s">
        <v>88</v>
      </c>
      <c r="F2432" s="6" t="b">
        <v>0</v>
      </c>
      <c r="G2432" s="6">
        <v>0.04566666666666667</v>
      </c>
    </row>
    <row r="2433" spans="1:7">
      <c r="A2433" s="6" t="s">
        <v>283</v>
      </c>
      <c r="B2433" s="6" t="s">
        <v>51</v>
      </c>
      <c r="C2433" s="6" t="s">
        <v>184</v>
      </c>
      <c r="D2433" s="6" t="s">
        <v>90</v>
      </c>
      <c r="E2433" s="6" t="s">
        <v>90</v>
      </c>
      <c r="F2433" s="6" t="b">
        <v>0</v>
      </c>
      <c r="G2433" s="6">
        <v>0.739</v>
      </c>
    </row>
    <row r="2434" spans="1:7">
      <c r="A2434" s="6" t="s">
        <v>283</v>
      </c>
      <c r="B2434" s="6" t="s">
        <v>51</v>
      </c>
      <c r="C2434" s="6" t="s">
        <v>184</v>
      </c>
      <c r="D2434" s="6" t="s">
        <v>90</v>
      </c>
      <c r="E2434" s="6" t="s">
        <v>685</v>
      </c>
      <c r="F2434" s="6" t="b">
        <v>1</v>
      </c>
      <c r="G2434" s="6">
        <v>0.2829166666666666</v>
      </c>
    </row>
    <row r="2435" spans="1:7">
      <c r="A2435" s="6" t="s">
        <v>283</v>
      </c>
      <c r="B2435" s="6" t="s">
        <v>51</v>
      </c>
      <c r="C2435" s="6" t="s">
        <v>184</v>
      </c>
      <c r="D2435" s="6" t="s">
        <v>177</v>
      </c>
      <c r="E2435" s="6" t="s">
        <v>44</v>
      </c>
      <c r="F2435" s="6" t="b">
        <v>0</v>
      </c>
      <c r="G2435" s="6">
        <v>429.6738333333333</v>
      </c>
    </row>
    <row r="2436" spans="1:7">
      <c r="A2436" s="6" t="s">
        <v>283</v>
      </c>
      <c r="B2436" s="6" t="s">
        <v>51</v>
      </c>
      <c r="C2436" s="6" t="s">
        <v>184</v>
      </c>
      <c r="D2436" s="6" t="s">
        <v>177</v>
      </c>
      <c r="E2436" s="6" t="s">
        <v>86</v>
      </c>
      <c r="F2436" s="6" t="b">
        <v>0</v>
      </c>
      <c r="G2436" s="6">
        <v>0.02725</v>
      </c>
    </row>
    <row r="2437" spans="1:7">
      <c r="A2437" s="6" t="s">
        <v>283</v>
      </c>
      <c r="B2437" s="6" t="s">
        <v>51</v>
      </c>
      <c r="C2437" s="6" t="s">
        <v>184</v>
      </c>
      <c r="D2437" s="6" t="s">
        <v>177</v>
      </c>
      <c r="E2437" s="6" t="s">
        <v>685</v>
      </c>
      <c r="F2437" s="6" t="b">
        <v>1</v>
      </c>
      <c r="G2437" s="6">
        <v>1.57125</v>
      </c>
    </row>
    <row r="2438" spans="1:7">
      <c r="A2438" s="6" t="s">
        <v>283</v>
      </c>
      <c r="B2438" s="6" t="s">
        <v>51</v>
      </c>
      <c r="C2438" s="6" t="s">
        <v>186</v>
      </c>
      <c r="D2438" s="6" t="s">
        <v>86</v>
      </c>
      <c r="E2438" s="6" t="s">
        <v>86</v>
      </c>
      <c r="F2438" s="6" t="b">
        <v>0</v>
      </c>
      <c r="G2438" s="6">
        <v>125.3975</v>
      </c>
    </row>
    <row r="2439" spans="1:7">
      <c r="A2439" s="6" t="s">
        <v>283</v>
      </c>
      <c r="B2439" s="6" t="s">
        <v>51</v>
      </c>
      <c r="C2439" s="6" t="s">
        <v>186</v>
      </c>
      <c r="D2439" s="6" t="s">
        <v>88</v>
      </c>
      <c r="E2439" s="6" t="s">
        <v>88</v>
      </c>
      <c r="F2439" s="6" t="b">
        <v>0</v>
      </c>
      <c r="G2439" s="6">
        <v>5.289333333333333</v>
      </c>
    </row>
    <row r="2440" spans="1:7">
      <c r="A2440" s="6" t="s">
        <v>283</v>
      </c>
      <c r="B2440" s="6" t="s">
        <v>51</v>
      </c>
      <c r="C2440" s="6" t="s">
        <v>186</v>
      </c>
      <c r="D2440" s="6" t="s">
        <v>90</v>
      </c>
      <c r="E2440" s="6" t="s">
        <v>90</v>
      </c>
      <c r="F2440" s="6" t="b">
        <v>0</v>
      </c>
      <c r="G2440" s="6">
        <v>26.72625</v>
      </c>
    </row>
    <row r="2441" spans="1:7">
      <c r="A2441" s="6" t="s">
        <v>283</v>
      </c>
      <c r="B2441" s="6" t="s">
        <v>51</v>
      </c>
      <c r="C2441" s="6" t="s">
        <v>186</v>
      </c>
      <c r="D2441" s="6" t="s">
        <v>177</v>
      </c>
      <c r="E2441" s="6" t="s">
        <v>86</v>
      </c>
      <c r="F2441" s="6" t="b">
        <v>0</v>
      </c>
      <c r="G2441" s="6">
        <v>1.249166666666667</v>
      </c>
    </row>
    <row r="2442" spans="1:7">
      <c r="A2442" s="6" t="s">
        <v>283</v>
      </c>
      <c r="B2442" s="6" t="s">
        <v>51</v>
      </c>
      <c r="C2442" s="6" t="s">
        <v>188</v>
      </c>
      <c r="D2442" s="6" t="s">
        <v>86</v>
      </c>
      <c r="E2442" s="6" t="s">
        <v>86</v>
      </c>
      <c r="F2442" s="6" t="b">
        <v>0</v>
      </c>
      <c r="G2442" s="6">
        <v>5.866</v>
      </c>
    </row>
    <row r="2443" spans="1:7">
      <c r="A2443" s="6" t="s">
        <v>283</v>
      </c>
      <c r="B2443" s="6" t="s">
        <v>51</v>
      </c>
      <c r="C2443" s="6" t="s">
        <v>188</v>
      </c>
      <c r="D2443" s="6" t="s">
        <v>88</v>
      </c>
      <c r="E2443" s="6" t="s">
        <v>88</v>
      </c>
      <c r="F2443" s="6" t="b">
        <v>0</v>
      </c>
      <c r="G2443" s="6">
        <v>91.04241666666667</v>
      </c>
    </row>
    <row r="2444" spans="1:7">
      <c r="A2444" s="6" t="s">
        <v>283</v>
      </c>
      <c r="B2444" s="6" t="s">
        <v>51</v>
      </c>
      <c r="C2444" s="6" t="s">
        <v>188</v>
      </c>
      <c r="D2444" s="6" t="s">
        <v>90</v>
      </c>
      <c r="E2444" s="6" t="s">
        <v>90</v>
      </c>
      <c r="F2444" s="6" t="b">
        <v>0</v>
      </c>
      <c r="G2444" s="6">
        <v>0.17</v>
      </c>
    </row>
    <row r="2445" spans="1:7">
      <c r="A2445" s="6" t="s">
        <v>283</v>
      </c>
      <c r="B2445" s="6" t="s">
        <v>51</v>
      </c>
      <c r="C2445" s="6" t="s">
        <v>189</v>
      </c>
      <c r="D2445" s="6" t="s">
        <v>86</v>
      </c>
      <c r="E2445" s="6" t="s">
        <v>86</v>
      </c>
      <c r="F2445" s="6" t="b">
        <v>0</v>
      </c>
      <c r="G2445" s="6">
        <v>4.232416666666666</v>
      </c>
    </row>
    <row r="2446" spans="1:7">
      <c r="A2446" s="6" t="s">
        <v>283</v>
      </c>
      <c r="B2446" s="6" t="s">
        <v>51</v>
      </c>
      <c r="C2446" s="6" t="s">
        <v>189</v>
      </c>
      <c r="D2446" s="6" t="s">
        <v>88</v>
      </c>
      <c r="E2446" s="6" t="s">
        <v>88</v>
      </c>
      <c r="F2446" s="6" t="b">
        <v>0</v>
      </c>
      <c r="G2446" s="6">
        <v>4.987333333333333</v>
      </c>
    </row>
    <row r="2447" spans="1:7">
      <c r="A2447" s="6" t="s">
        <v>283</v>
      </c>
      <c r="B2447" s="6" t="s">
        <v>51</v>
      </c>
      <c r="C2447" s="6" t="s">
        <v>189</v>
      </c>
      <c r="D2447" s="6" t="s">
        <v>90</v>
      </c>
      <c r="E2447" s="6" t="s">
        <v>90</v>
      </c>
      <c r="F2447" s="6" t="b">
        <v>0</v>
      </c>
      <c r="G2447" s="6">
        <v>1.119583333333333</v>
      </c>
    </row>
    <row r="2448" spans="1:7">
      <c r="A2448" s="6" t="s">
        <v>283</v>
      </c>
      <c r="B2448" s="6" t="s">
        <v>51</v>
      </c>
      <c r="C2448" s="6" t="s">
        <v>190</v>
      </c>
      <c r="D2448" s="6" t="s">
        <v>44</v>
      </c>
      <c r="E2448" s="6" t="s">
        <v>44</v>
      </c>
      <c r="F2448" s="6" t="b">
        <v>0</v>
      </c>
      <c r="G2448" s="6">
        <v>0.304</v>
      </c>
    </row>
    <row r="2449" spans="1:7">
      <c r="A2449" s="6" t="s">
        <v>283</v>
      </c>
      <c r="B2449" s="6" t="s">
        <v>51</v>
      </c>
      <c r="C2449" s="6" t="s">
        <v>190</v>
      </c>
      <c r="D2449" s="6" t="s">
        <v>177</v>
      </c>
      <c r="E2449" s="6" t="s">
        <v>44</v>
      </c>
      <c r="F2449" s="6" t="b">
        <v>0</v>
      </c>
      <c r="G2449" s="6">
        <v>0.05216666666666667</v>
      </c>
    </row>
    <row r="2450" spans="1:7">
      <c r="A2450" s="6" t="s">
        <v>284</v>
      </c>
      <c r="B2450" s="6" t="s">
        <v>55</v>
      </c>
      <c r="C2450" s="6" t="s">
        <v>181</v>
      </c>
      <c r="D2450" s="6" t="s">
        <v>88</v>
      </c>
      <c r="E2450" s="6" t="s">
        <v>88</v>
      </c>
      <c r="F2450" s="6" t="b">
        <v>0</v>
      </c>
      <c r="G2450" s="6">
        <v>21.47691666666667</v>
      </c>
    </row>
    <row r="2451" spans="1:7">
      <c r="A2451" s="6" t="s">
        <v>284</v>
      </c>
      <c r="B2451" s="6" t="s">
        <v>55</v>
      </c>
      <c r="C2451" s="6" t="s">
        <v>181</v>
      </c>
      <c r="D2451" s="6" t="s">
        <v>90</v>
      </c>
      <c r="E2451" s="6" t="s">
        <v>90</v>
      </c>
      <c r="F2451" s="6" t="b">
        <v>0</v>
      </c>
      <c r="G2451" s="6">
        <v>0.034</v>
      </c>
    </row>
    <row r="2452" spans="1:7">
      <c r="A2452" s="6" t="s">
        <v>284</v>
      </c>
      <c r="B2452" s="6" t="s">
        <v>55</v>
      </c>
      <c r="C2452" s="6" t="s">
        <v>183</v>
      </c>
      <c r="D2452" s="6" t="s">
        <v>86</v>
      </c>
      <c r="E2452" s="6" t="s">
        <v>86</v>
      </c>
      <c r="F2452" s="6" t="b">
        <v>0</v>
      </c>
      <c r="G2452" s="6">
        <v>0.04316666666666667</v>
      </c>
    </row>
    <row r="2453" spans="1:7">
      <c r="A2453" s="6" t="s">
        <v>284</v>
      </c>
      <c r="B2453" s="6" t="s">
        <v>55</v>
      </c>
      <c r="C2453" s="6" t="s">
        <v>183</v>
      </c>
      <c r="D2453" s="6" t="s">
        <v>88</v>
      </c>
      <c r="E2453" s="6" t="s">
        <v>88</v>
      </c>
      <c r="F2453" s="6" t="b">
        <v>0</v>
      </c>
      <c r="G2453" s="6">
        <v>0.20675</v>
      </c>
    </row>
    <row r="2454" spans="1:7">
      <c r="A2454" s="6" t="s">
        <v>284</v>
      </c>
      <c r="B2454" s="6" t="s">
        <v>55</v>
      </c>
      <c r="C2454" s="6" t="s">
        <v>183</v>
      </c>
      <c r="D2454" s="6" t="s">
        <v>90</v>
      </c>
      <c r="E2454" s="6" t="s">
        <v>86</v>
      </c>
      <c r="F2454" s="6" t="b">
        <v>0</v>
      </c>
      <c r="G2454" s="6">
        <v>0.1575833333333333</v>
      </c>
    </row>
    <row r="2455" spans="1:7">
      <c r="A2455" s="6" t="s">
        <v>284</v>
      </c>
      <c r="B2455" s="6" t="s">
        <v>55</v>
      </c>
      <c r="C2455" s="6" t="s">
        <v>183</v>
      </c>
      <c r="D2455" s="6" t="s">
        <v>90</v>
      </c>
      <c r="E2455" s="6" t="s">
        <v>90</v>
      </c>
      <c r="F2455" s="6" t="b">
        <v>0</v>
      </c>
      <c r="G2455" s="6">
        <v>0.212</v>
      </c>
    </row>
    <row r="2456" spans="1:7">
      <c r="A2456" s="6" t="s">
        <v>284</v>
      </c>
      <c r="B2456" s="6" t="s">
        <v>55</v>
      </c>
      <c r="C2456" s="6" t="s">
        <v>183</v>
      </c>
      <c r="D2456" s="6" t="s">
        <v>177</v>
      </c>
      <c r="E2456" s="6" t="s">
        <v>86</v>
      </c>
      <c r="F2456" s="6" t="b">
        <v>0</v>
      </c>
      <c r="G2456" s="6">
        <v>0.03683333333333334</v>
      </c>
    </row>
    <row r="2457" spans="1:7">
      <c r="A2457" s="6" t="s">
        <v>284</v>
      </c>
      <c r="B2457" s="6" t="s">
        <v>55</v>
      </c>
      <c r="C2457" s="6" t="s">
        <v>183</v>
      </c>
      <c r="D2457" s="6" t="s">
        <v>177</v>
      </c>
      <c r="E2457" s="6" t="s">
        <v>685</v>
      </c>
      <c r="F2457" s="6" t="b">
        <v>1</v>
      </c>
      <c r="G2457" s="6">
        <v>0.0135</v>
      </c>
    </row>
    <row r="2458" spans="1:7">
      <c r="A2458" s="6" t="s">
        <v>284</v>
      </c>
      <c r="B2458" s="6" t="s">
        <v>55</v>
      </c>
      <c r="C2458" s="6" t="s">
        <v>184</v>
      </c>
      <c r="D2458" s="6" t="s">
        <v>44</v>
      </c>
      <c r="E2458" s="6" t="s">
        <v>44</v>
      </c>
      <c r="F2458" s="6" t="b">
        <v>0</v>
      </c>
      <c r="G2458" s="6">
        <v>269.0829166666667</v>
      </c>
    </row>
    <row r="2459" spans="1:7">
      <c r="A2459" s="6" t="s">
        <v>284</v>
      </c>
      <c r="B2459" s="6" t="s">
        <v>55</v>
      </c>
      <c r="C2459" s="6" t="s">
        <v>184</v>
      </c>
      <c r="D2459" s="6" t="s">
        <v>88</v>
      </c>
      <c r="E2459" s="6" t="s">
        <v>88</v>
      </c>
      <c r="F2459" s="6" t="b">
        <v>0</v>
      </c>
      <c r="G2459" s="6">
        <v>0.2824166666666667</v>
      </c>
    </row>
    <row r="2460" spans="1:7">
      <c r="A2460" s="6" t="s">
        <v>284</v>
      </c>
      <c r="B2460" s="6" t="s">
        <v>55</v>
      </c>
      <c r="C2460" s="6" t="s">
        <v>184</v>
      </c>
      <c r="D2460" s="6" t="s">
        <v>90</v>
      </c>
      <c r="E2460" s="6" t="s">
        <v>90</v>
      </c>
      <c r="F2460" s="6" t="b">
        <v>0</v>
      </c>
      <c r="G2460" s="6">
        <v>0.5884166666666667</v>
      </c>
    </row>
    <row r="2461" spans="1:7">
      <c r="A2461" s="6" t="s">
        <v>284</v>
      </c>
      <c r="B2461" s="6" t="s">
        <v>55</v>
      </c>
      <c r="C2461" s="6" t="s">
        <v>184</v>
      </c>
      <c r="D2461" s="6" t="s">
        <v>90</v>
      </c>
      <c r="E2461" s="6" t="s">
        <v>685</v>
      </c>
      <c r="F2461" s="6" t="b">
        <v>1</v>
      </c>
      <c r="G2461" s="6">
        <v>0.3499166666666667</v>
      </c>
    </row>
    <row r="2462" spans="1:7">
      <c r="A2462" s="6" t="s">
        <v>284</v>
      </c>
      <c r="B2462" s="6" t="s">
        <v>55</v>
      </c>
      <c r="C2462" s="6" t="s">
        <v>184</v>
      </c>
      <c r="D2462" s="6" t="s">
        <v>177</v>
      </c>
      <c r="E2462" s="6" t="s">
        <v>44</v>
      </c>
      <c r="F2462" s="6" t="b">
        <v>0</v>
      </c>
      <c r="G2462" s="6">
        <v>174.48725</v>
      </c>
    </row>
    <row r="2463" spans="1:7">
      <c r="A2463" s="6" t="s">
        <v>284</v>
      </c>
      <c r="B2463" s="6" t="s">
        <v>55</v>
      </c>
      <c r="C2463" s="6" t="s">
        <v>184</v>
      </c>
      <c r="D2463" s="6" t="s">
        <v>177</v>
      </c>
      <c r="E2463" s="6" t="s">
        <v>86</v>
      </c>
      <c r="F2463" s="6" t="b">
        <v>0</v>
      </c>
      <c r="G2463" s="6">
        <v>0.1365</v>
      </c>
    </row>
    <row r="2464" spans="1:7">
      <c r="A2464" s="6" t="s">
        <v>284</v>
      </c>
      <c r="B2464" s="6" t="s">
        <v>55</v>
      </c>
      <c r="C2464" s="6" t="s">
        <v>184</v>
      </c>
      <c r="D2464" s="6" t="s">
        <v>177</v>
      </c>
      <c r="E2464" s="6" t="s">
        <v>685</v>
      </c>
      <c r="F2464" s="6" t="b">
        <v>1</v>
      </c>
      <c r="G2464" s="6">
        <v>3.4405</v>
      </c>
    </row>
    <row r="2465" spans="1:7">
      <c r="A2465" s="6" t="s">
        <v>284</v>
      </c>
      <c r="B2465" s="6" t="s">
        <v>55</v>
      </c>
      <c r="C2465" s="6" t="s">
        <v>186</v>
      </c>
      <c r="D2465" s="6" t="s">
        <v>86</v>
      </c>
      <c r="E2465" s="6" t="s">
        <v>86</v>
      </c>
      <c r="F2465" s="6" t="b">
        <v>0</v>
      </c>
      <c r="G2465" s="6">
        <v>69.70383333333334</v>
      </c>
    </row>
    <row r="2466" spans="1:7">
      <c r="A2466" s="6" t="s">
        <v>284</v>
      </c>
      <c r="B2466" s="6" t="s">
        <v>55</v>
      </c>
      <c r="C2466" s="6" t="s">
        <v>186</v>
      </c>
      <c r="D2466" s="6" t="s">
        <v>88</v>
      </c>
      <c r="E2466" s="6" t="s">
        <v>88</v>
      </c>
      <c r="F2466" s="6" t="b">
        <v>0</v>
      </c>
      <c r="G2466" s="6">
        <v>6.353416666666667</v>
      </c>
    </row>
    <row r="2467" spans="1:7">
      <c r="A2467" s="6" t="s">
        <v>284</v>
      </c>
      <c r="B2467" s="6" t="s">
        <v>55</v>
      </c>
      <c r="C2467" s="6" t="s">
        <v>186</v>
      </c>
      <c r="D2467" s="6" t="s">
        <v>90</v>
      </c>
      <c r="E2467" s="6" t="s">
        <v>90</v>
      </c>
      <c r="F2467" s="6" t="b">
        <v>0</v>
      </c>
      <c r="G2467" s="6">
        <v>21.02958333333333</v>
      </c>
    </row>
    <row r="2468" spans="1:7">
      <c r="A2468" s="6" t="s">
        <v>284</v>
      </c>
      <c r="B2468" s="6" t="s">
        <v>55</v>
      </c>
      <c r="C2468" s="6" t="s">
        <v>186</v>
      </c>
      <c r="D2468" s="6" t="s">
        <v>177</v>
      </c>
      <c r="E2468" s="6" t="s">
        <v>86</v>
      </c>
      <c r="F2468" s="6" t="b">
        <v>0</v>
      </c>
      <c r="G2468" s="6">
        <v>0.6184166666666667</v>
      </c>
    </row>
    <row r="2469" spans="1:7">
      <c r="A2469" s="6" t="s">
        <v>284</v>
      </c>
      <c r="B2469" s="6" t="s">
        <v>55</v>
      </c>
      <c r="C2469" s="6" t="s">
        <v>188</v>
      </c>
      <c r="D2469" s="6" t="s">
        <v>86</v>
      </c>
      <c r="E2469" s="6" t="s">
        <v>86</v>
      </c>
      <c r="F2469" s="6" t="b">
        <v>0</v>
      </c>
      <c r="G2469" s="6">
        <v>0.1133333333333333</v>
      </c>
    </row>
    <row r="2470" spans="1:7">
      <c r="A2470" s="6" t="s">
        <v>284</v>
      </c>
      <c r="B2470" s="6" t="s">
        <v>55</v>
      </c>
      <c r="C2470" s="6" t="s">
        <v>188</v>
      </c>
      <c r="D2470" s="6" t="s">
        <v>88</v>
      </c>
      <c r="E2470" s="6" t="s">
        <v>88</v>
      </c>
      <c r="F2470" s="6" t="b">
        <v>0</v>
      </c>
      <c r="G2470" s="6">
        <v>0.455</v>
      </c>
    </row>
    <row r="2471" spans="1:7">
      <c r="A2471" s="6" t="s">
        <v>284</v>
      </c>
      <c r="B2471" s="6" t="s">
        <v>55</v>
      </c>
      <c r="C2471" s="6" t="s">
        <v>189</v>
      </c>
      <c r="D2471" s="6" t="s">
        <v>86</v>
      </c>
      <c r="E2471" s="6" t="s">
        <v>86</v>
      </c>
      <c r="F2471" s="6" t="b">
        <v>0</v>
      </c>
      <c r="G2471" s="6">
        <v>3.082583333333333</v>
      </c>
    </row>
    <row r="2472" spans="1:7">
      <c r="A2472" s="6" t="s">
        <v>284</v>
      </c>
      <c r="B2472" s="6" t="s">
        <v>55</v>
      </c>
      <c r="C2472" s="6" t="s">
        <v>189</v>
      </c>
      <c r="D2472" s="6" t="s">
        <v>88</v>
      </c>
      <c r="E2472" s="6" t="s">
        <v>88</v>
      </c>
      <c r="F2472" s="6" t="b">
        <v>0</v>
      </c>
      <c r="G2472" s="6">
        <v>17.76633333333333</v>
      </c>
    </row>
    <row r="2473" spans="1:7">
      <c r="A2473" s="6" t="s">
        <v>284</v>
      </c>
      <c r="B2473" s="6" t="s">
        <v>55</v>
      </c>
      <c r="C2473" s="6" t="s">
        <v>189</v>
      </c>
      <c r="D2473" s="6" t="s">
        <v>90</v>
      </c>
      <c r="E2473" s="6" t="s">
        <v>90</v>
      </c>
      <c r="F2473" s="6" t="b">
        <v>0</v>
      </c>
      <c r="G2473" s="6">
        <v>1.656333333333333</v>
      </c>
    </row>
    <row r="2474" spans="1:7">
      <c r="A2474" s="6" t="s">
        <v>284</v>
      </c>
      <c r="B2474" s="6" t="s">
        <v>55</v>
      </c>
      <c r="C2474" s="6" t="s">
        <v>190</v>
      </c>
      <c r="D2474" s="6" t="s">
        <v>44</v>
      </c>
      <c r="E2474" s="6" t="s">
        <v>44</v>
      </c>
      <c r="F2474" s="6" t="b">
        <v>0</v>
      </c>
      <c r="G2474" s="6">
        <v>15.48558333333333</v>
      </c>
    </row>
    <row r="2475" spans="1:7">
      <c r="A2475" s="6" t="s">
        <v>284</v>
      </c>
      <c r="B2475" s="6" t="s">
        <v>55</v>
      </c>
      <c r="C2475" s="6" t="s">
        <v>190</v>
      </c>
      <c r="D2475" s="6" t="s">
        <v>86</v>
      </c>
      <c r="E2475" s="6" t="s">
        <v>44</v>
      </c>
      <c r="F2475" s="6" t="b">
        <v>0</v>
      </c>
      <c r="G2475" s="6">
        <v>0.01708333333333333</v>
      </c>
    </row>
    <row r="2476" spans="1:7">
      <c r="A2476" s="6" t="s">
        <v>284</v>
      </c>
      <c r="B2476" s="6" t="s">
        <v>55</v>
      </c>
      <c r="C2476" s="6" t="s">
        <v>190</v>
      </c>
      <c r="D2476" s="6" t="s">
        <v>86</v>
      </c>
      <c r="E2476" s="6" t="s">
        <v>86</v>
      </c>
      <c r="F2476" s="6" t="b">
        <v>0</v>
      </c>
      <c r="G2476" s="6">
        <v>0.03166666666666667</v>
      </c>
    </row>
    <row r="2477" spans="1:7">
      <c r="A2477" s="6" t="s">
        <v>284</v>
      </c>
      <c r="B2477" s="6" t="s">
        <v>55</v>
      </c>
      <c r="C2477" s="6" t="s">
        <v>190</v>
      </c>
      <c r="D2477" s="6" t="s">
        <v>90</v>
      </c>
      <c r="E2477" s="6" t="s">
        <v>44</v>
      </c>
      <c r="F2477" s="6" t="b">
        <v>0</v>
      </c>
      <c r="G2477" s="6">
        <v>0.02391666666666667</v>
      </c>
    </row>
    <row r="2478" spans="1:7">
      <c r="A2478" s="6" t="s">
        <v>284</v>
      </c>
      <c r="B2478" s="6" t="s">
        <v>55</v>
      </c>
      <c r="C2478" s="6" t="s">
        <v>190</v>
      </c>
      <c r="D2478" s="6" t="s">
        <v>90</v>
      </c>
      <c r="E2478" s="6" t="s">
        <v>90</v>
      </c>
      <c r="F2478" s="6" t="b">
        <v>0</v>
      </c>
      <c r="G2478" s="6">
        <v>0.2526666666666667</v>
      </c>
    </row>
    <row r="2479" spans="1:7">
      <c r="A2479" s="6" t="s">
        <v>284</v>
      </c>
      <c r="B2479" s="6" t="s">
        <v>55</v>
      </c>
      <c r="C2479" s="6" t="s">
        <v>190</v>
      </c>
      <c r="D2479" s="6" t="s">
        <v>177</v>
      </c>
      <c r="E2479" s="6" t="s">
        <v>44</v>
      </c>
      <c r="F2479" s="6" t="b">
        <v>0</v>
      </c>
      <c r="G2479" s="6">
        <v>2.373083333333333</v>
      </c>
    </row>
    <row r="2480" spans="1:7">
      <c r="A2480" s="6" t="s">
        <v>284</v>
      </c>
      <c r="B2480" s="6" t="s">
        <v>55</v>
      </c>
      <c r="C2480" s="6" t="s">
        <v>190</v>
      </c>
      <c r="D2480" s="6" t="s">
        <v>177</v>
      </c>
      <c r="E2480" s="6" t="s">
        <v>86</v>
      </c>
      <c r="F2480" s="6" t="b">
        <v>0</v>
      </c>
      <c r="G2480" s="6">
        <v>0.03083333333333333</v>
      </c>
    </row>
    <row r="2481" spans="1:7">
      <c r="A2481" s="6" t="s">
        <v>284</v>
      </c>
      <c r="B2481" s="6" t="s">
        <v>55</v>
      </c>
      <c r="C2481" s="6" t="s">
        <v>190</v>
      </c>
      <c r="D2481" s="6" t="s">
        <v>92</v>
      </c>
      <c r="E2481" s="6" t="s">
        <v>92</v>
      </c>
      <c r="F2481" s="6" t="b">
        <v>0</v>
      </c>
      <c r="G2481" s="6">
        <v>1.217416666666667</v>
      </c>
    </row>
    <row r="2482" spans="1:7">
      <c r="A2482" s="6" t="s">
        <v>285</v>
      </c>
      <c r="B2482" s="6" t="s">
        <v>52</v>
      </c>
      <c r="C2482" s="6" t="s">
        <v>184</v>
      </c>
      <c r="D2482" s="6" t="s">
        <v>44</v>
      </c>
      <c r="E2482" s="6" t="s">
        <v>44</v>
      </c>
      <c r="F2482" s="6" t="b">
        <v>0</v>
      </c>
      <c r="G2482" s="6">
        <v>0.1333333333333333</v>
      </c>
    </row>
    <row r="2483" spans="1:7">
      <c r="A2483" s="6" t="s">
        <v>285</v>
      </c>
      <c r="B2483" s="6" t="s">
        <v>52</v>
      </c>
      <c r="C2483" s="6" t="s">
        <v>186</v>
      </c>
      <c r="D2483" s="6" t="s">
        <v>86</v>
      </c>
      <c r="E2483" s="6" t="s">
        <v>86</v>
      </c>
      <c r="F2483" s="6" t="b">
        <v>0</v>
      </c>
      <c r="G2483" s="6">
        <v>4.70025</v>
      </c>
    </row>
    <row r="2484" spans="1:7">
      <c r="A2484" s="6" t="s">
        <v>285</v>
      </c>
      <c r="B2484" s="6" t="s">
        <v>52</v>
      </c>
      <c r="C2484" s="6" t="s">
        <v>186</v>
      </c>
      <c r="D2484" s="6" t="s">
        <v>90</v>
      </c>
      <c r="E2484" s="6" t="s">
        <v>90</v>
      </c>
      <c r="F2484" s="6" t="b">
        <v>0</v>
      </c>
      <c r="G2484" s="6">
        <v>0.3499999999999999</v>
      </c>
    </row>
    <row r="2485" spans="1:7">
      <c r="A2485" s="6" t="s">
        <v>285</v>
      </c>
      <c r="B2485" s="6" t="s">
        <v>62</v>
      </c>
      <c r="C2485" s="6" t="s">
        <v>184</v>
      </c>
      <c r="D2485" s="6" t="s">
        <v>44</v>
      </c>
      <c r="E2485" s="6" t="s">
        <v>44</v>
      </c>
      <c r="F2485" s="6" t="b">
        <v>0</v>
      </c>
      <c r="G2485" s="6">
        <v>6.047333333333333</v>
      </c>
    </row>
    <row r="2486" spans="1:7">
      <c r="A2486" s="6" t="s">
        <v>286</v>
      </c>
      <c r="B2486" s="6" t="s">
        <v>59</v>
      </c>
      <c r="C2486" s="6" t="s">
        <v>181</v>
      </c>
      <c r="D2486" s="6" t="s">
        <v>88</v>
      </c>
      <c r="E2486" s="6" t="s">
        <v>88</v>
      </c>
      <c r="F2486" s="6" t="b">
        <v>0</v>
      </c>
      <c r="G2486" s="6">
        <v>4.550666666666666</v>
      </c>
    </row>
    <row r="2487" spans="1:7">
      <c r="A2487" s="6" t="s">
        <v>286</v>
      </c>
      <c r="B2487" s="6" t="s">
        <v>59</v>
      </c>
      <c r="C2487" s="6" t="s">
        <v>181</v>
      </c>
      <c r="D2487" s="6" t="s">
        <v>90</v>
      </c>
      <c r="E2487" s="6" t="s">
        <v>90</v>
      </c>
      <c r="F2487" s="6" t="b">
        <v>0</v>
      </c>
      <c r="G2487" s="6">
        <v>0.01583333333333333</v>
      </c>
    </row>
    <row r="2488" spans="1:7">
      <c r="A2488" s="6" t="s">
        <v>286</v>
      </c>
      <c r="B2488" s="6" t="s">
        <v>59</v>
      </c>
      <c r="C2488" s="6" t="s">
        <v>183</v>
      </c>
      <c r="D2488" s="6" t="s">
        <v>88</v>
      </c>
      <c r="E2488" s="6" t="s">
        <v>88</v>
      </c>
      <c r="F2488" s="6" t="b">
        <v>0</v>
      </c>
      <c r="G2488" s="6">
        <v>0.056</v>
      </c>
    </row>
    <row r="2489" spans="1:7">
      <c r="A2489" s="6" t="s">
        <v>286</v>
      </c>
      <c r="B2489" s="6" t="s">
        <v>59</v>
      </c>
      <c r="C2489" s="6" t="s">
        <v>183</v>
      </c>
      <c r="D2489" s="6" t="s">
        <v>90</v>
      </c>
      <c r="E2489" s="6" t="s">
        <v>86</v>
      </c>
      <c r="F2489" s="6" t="b">
        <v>0</v>
      </c>
      <c r="G2489" s="6">
        <v>0.04258333333333333</v>
      </c>
    </row>
    <row r="2490" spans="1:7">
      <c r="A2490" s="6" t="s">
        <v>286</v>
      </c>
      <c r="B2490" s="6" t="s">
        <v>59</v>
      </c>
      <c r="C2490" s="6" t="s">
        <v>183</v>
      </c>
      <c r="D2490" s="6" t="s">
        <v>90</v>
      </c>
      <c r="E2490" s="6" t="s">
        <v>90</v>
      </c>
      <c r="F2490" s="6" t="b">
        <v>0</v>
      </c>
      <c r="G2490" s="6">
        <v>0.03075</v>
      </c>
    </row>
    <row r="2491" spans="1:7">
      <c r="A2491" s="6" t="s">
        <v>286</v>
      </c>
      <c r="B2491" s="6" t="s">
        <v>59</v>
      </c>
      <c r="C2491" s="6" t="s">
        <v>183</v>
      </c>
      <c r="D2491" s="6" t="s">
        <v>177</v>
      </c>
      <c r="E2491" s="6" t="s">
        <v>86</v>
      </c>
      <c r="F2491" s="6" t="b">
        <v>0</v>
      </c>
      <c r="G2491" s="6">
        <v>0.001083333333333333</v>
      </c>
    </row>
    <row r="2492" spans="1:7">
      <c r="A2492" s="6" t="s">
        <v>286</v>
      </c>
      <c r="B2492" s="6" t="s">
        <v>59</v>
      </c>
      <c r="C2492" s="6" t="s">
        <v>183</v>
      </c>
      <c r="D2492" s="6" t="s">
        <v>177</v>
      </c>
      <c r="E2492" s="6" t="s">
        <v>685</v>
      </c>
      <c r="F2492" s="6" t="b">
        <v>1</v>
      </c>
      <c r="G2492" s="6">
        <v>0.0045</v>
      </c>
    </row>
    <row r="2493" spans="1:7">
      <c r="A2493" s="6" t="s">
        <v>286</v>
      </c>
      <c r="B2493" s="6" t="s">
        <v>59</v>
      </c>
      <c r="C2493" s="6" t="s">
        <v>184</v>
      </c>
      <c r="D2493" s="6" t="s">
        <v>44</v>
      </c>
      <c r="E2493" s="6" t="s">
        <v>44</v>
      </c>
      <c r="F2493" s="6" t="b">
        <v>0</v>
      </c>
      <c r="G2493" s="6">
        <v>50.80075</v>
      </c>
    </row>
    <row r="2494" spans="1:7">
      <c r="A2494" s="6" t="s">
        <v>286</v>
      </c>
      <c r="B2494" s="6" t="s">
        <v>59</v>
      </c>
      <c r="C2494" s="6" t="s">
        <v>184</v>
      </c>
      <c r="D2494" s="6" t="s">
        <v>90</v>
      </c>
      <c r="E2494" s="6" t="s">
        <v>90</v>
      </c>
      <c r="F2494" s="6" t="b">
        <v>0</v>
      </c>
      <c r="G2494" s="6">
        <v>0.0315</v>
      </c>
    </row>
    <row r="2495" spans="1:7">
      <c r="A2495" s="6" t="s">
        <v>286</v>
      </c>
      <c r="B2495" s="6" t="s">
        <v>59</v>
      </c>
      <c r="C2495" s="6" t="s">
        <v>184</v>
      </c>
      <c r="D2495" s="6" t="s">
        <v>177</v>
      </c>
      <c r="E2495" s="6" t="s">
        <v>44</v>
      </c>
      <c r="F2495" s="6" t="b">
        <v>0</v>
      </c>
      <c r="G2495" s="6">
        <v>42.17158333333334</v>
      </c>
    </row>
    <row r="2496" spans="1:7">
      <c r="A2496" s="6" t="s">
        <v>286</v>
      </c>
      <c r="B2496" s="6" t="s">
        <v>59</v>
      </c>
      <c r="C2496" s="6" t="s">
        <v>184</v>
      </c>
      <c r="D2496" s="6" t="s">
        <v>177</v>
      </c>
      <c r="E2496" s="6" t="s">
        <v>685</v>
      </c>
      <c r="F2496" s="6" t="b">
        <v>1</v>
      </c>
      <c r="G2496" s="6">
        <v>0.04425</v>
      </c>
    </row>
    <row r="2497" spans="1:7">
      <c r="A2497" s="6" t="s">
        <v>286</v>
      </c>
      <c r="B2497" s="6" t="s">
        <v>59</v>
      </c>
      <c r="C2497" s="6" t="s">
        <v>186</v>
      </c>
      <c r="D2497" s="6" t="s">
        <v>86</v>
      </c>
      <c r="E2497" s="6" t="s">
        <v>86</v>
      </c>
      <c r="F2497" s="6" t="b">
        <v>0</v>
      </c>
      <c r="G2497" s="6">
        <v>16.30375</v>
      </c>
    </row>
    <row r="2498" spans="1:7">
      <c r="A2498" s="6" t="s">
        <v>286</v>
      </c>
      <c r="B2498" s="6" t="s">
        <v>59</v>
      </c>
      <c r="C2498" s="6" t="s">
        <v>186</v>
      </c>
      <c r="D2498" s="6" t="s">
        <v>88</v>
      </c>
      <c r="E2498" s="6" t="s">
        <v>88</v>
      </c>
      <c r="F2498" s="6" t="b">
        <v>0</v>
      </c>
      <c r="G2498" s="6">
        <v>0.6727500000000001</v>
      </c>
    </row>
    <row r="2499" spans="1:7">
      <c r="A2499" s="6" t="s">
        <v>286</v>
      </c>
      <c r="B2499" s="6" t="s">
        <v>59</v>
      </c>
      <c r="C2499" s="6" t="s">
        <v>186</v>
      </c>
      <c r="D2499" s="6" t="s">
        <v>90</v>
      </c>
      <c r="E2499" s="6" t="s">
        <v>90</v>
      </c>
      <c r="F2499" s="6" t="b">
        <v>0</v>
      </c>
      <c r="G2499" s="6">
        <v>2.991833333333334</v>
      </c>
    </row>
    <row r="2500" spans="1:7">
      <c r="A2500" s="6" t="s">
        <v>286</v>
      </c>
      <c r="B2500" s="6" t="s">
        <v>59</v>
      </c>
      <c r="C2500" s="6" t="s">
        <v>186</v>
      </c>
      <c r="D2500" s="6" t="s">
        <v>177</v>
      </c>
      <c r="E2500" s="6" t="s">
        <v>86</v>
      </c>
      <c r="F2500" s="6" t="b">
        <v>0</v>
      </c>
      <c r="G2500" s="6">
        <v>0.2256666666666667</v>
      </c>
    </row>
    <row r="2501" spans="1:7">
      <c r="A2501" s="6" t="s">
        <v>286</v>
      </c>
      <c r="B2501" s="6" t="s">
        <v>59</v>
      </c>
      <c r="C2501" s="6" t="s">
        <v>189</v>
      </c>
      <c r="D2501" s="6" t="s">
        <v>86</v>
      </c>
      <c r="E2501" s="6" t="s">
        <v>86</v>
      </c>
      <c r="F2501" s="6" t="b">
        <v>0</v>
      </c>
      <c r="G2501" s="6">
        <v>0.722</v>
      </c>
    </row>
    <row r="2502" spans="1:7">
      <c r="A2502" s="6" t="s">
        <v>286</v>
      </c>
      <c r="B2502" s="6" t="s">
        <v>59</v>
      </c>
      <c r="C2502" s="6" t="s">
        <v>189</v>
      </c>
      <c r="D2502" s="6" t="s">
        <v>88</v>
      </c>
      <c r="E2502" s="6" t="s">
        <v>88</v>
      </c>
      <c r="F2502" s="6" t="b">
        <v>0</v>
      </c>
      <c r="G2502" s="6">
        <v>2.84225</v>
      </c>
    </row>
    <row r="2503" spans="1:7">
      <c r="A2503" s="6" t="s">
        <v>286</v>
      </c>
      <c r="B2503" s="6" t="s">
        <v>59</v>
      </c>
      <c r="C2503" s="6" t="s">
        <v>189</v>
      </c>
      <c r="D2503" s="6" t="s">
        <v>90</v>
      </c>
      <c r="E2503" s="6" t="s">
        <v>90</v>
      </c>
      <c r="F2503" s="6" t="b">
        <v>0</v>
      </c>
      <c r="G2503" s="6">
        <v>0.16725</v>
      </c>
    </row>
    <row r="2504" spans="1:7">
      <c r="A2504" s="6" t="s">
        <v>287</v>
      </c>
      <c r="B2504" s="6" t="s">
        <v>53</v>
      </c>
      <c r="C2504" s="6" t="s">
        <v>181</v>
      </c>
      <c r="D2504" s="6" t="s">
        <v>88</v>
      </c>
      <c r="E2504" s="6" t="s">
        <v>88</v>
      </c>
      <c r="F2504" s="6" t="b">
        <v>0</v>
      </c>
      <c r="G2504" s="6">
        <v>0.31975</v>
      </c>
    </row>
    <row r="2505" spans="1:7">
      <c r="A2505" s="6" t="s">
        <v>287</v>
      </c>
      <c r="B2505" s="6" t="s">
        <v>53</v>
      </c>
      <c r="C2505" s="6" t="s">
        <v>181</v>
      </c>
      <c r="D2505" s="6" t="s">
        <v>90</v>
      </c>
      <c r="E2505" s="6" t="s">
        <v>90</v>
      </c>
      <c r="F2505" s="6" t="b">
        <v>0</v>
      </c>
      <c r="G2505" s="6">
        <v>0.00825</v>
      </c>
    </row>
    <row r="2506" spans="1:7">
      <c r="A2506" s="6" t="s">
        <v>287</v>
      </c>
      <c r="B2506" s="6" t="s">
        <v>53</v>
      </c>
      <c r="C2506" s="6" t="s">
        <v>183</v>
      </c>
      <c r="D2506" s="6" t="s">
        <v>88</v>
      </c>
      <c r="E2506" s="6" t="s">
        <v>88</v>
      </c>
      <c r="F2506" s="6" t="b">
        <v>0</v>
      </c>
      <c r="G2506" s="6">
        <v>0.0035</v>
      </c>
    </row>
    <row r="2507" spans="1:7">
      <c r="A2507" s="6" t="s">
        <v>287</v>
      </c>
      <c r="B2507" s="6" t="s">
        <v>53</v>
      </c>
      <c r="C2507" s="6" t="s">
        <v>183</v>
      </c>
      <c r="D2507" s="6" t="s">
        <v>90</v>
      </c>
      <c r="E2507" s="6" t="s">
        <v>86</v>
      </c>
      <c r="F2507" s="6" t="b">
        <v>0</v>
      </c>
      <c r="G2507" s="6">
        <v>0.003666666666666667</v>
      </c>
    </row>
    <row r="2508" spans="1:7">
      <c r="A2508" s="6" t="s">
        <v>287</v>
      </c>
      <c r="B2508" s="6" t="s">
        <v>53</v>
      </c>
      <c r="C2508" s="6" t="s">
        <v>183</v>
      </c>
      <c r="D2508" s="6" t="s">
        <v>90</v>
      </c>
      <c r="E2508" s="6" t="s">
        <v>90</v>
      </c>
      <c r="F2508" s="6" t="b">
        <v>0</v>
      </c>
      <c r="G2508" s="6">
        <v>0.008999999999999999</v>
      </c>
    </row>
    <row r="2509" spans="1:7">
      <c r="A2509" s="6" t="s">
        <v>287</v>
      </c>
      <c r="B2509" s="6" t="s">
        <v>53</v>
      </c>
      <c r="C2509" s="6" t="s">
        <v>184</v>
      </c>
      <c r="D2509" s="6" t="s">
        <v>44</v>
      </c>
      <c r="E2509" s="6" t="s">
        <v>44</v>
      </c>
      <c r="F2509" s="6" t="b">
        <v>0</v>
      </c>
      <c r="G2509" s="6">
        <v>1.62025</v>
      </c>
    </row>
    <row r="2510" spans="1:7">
      <c r="A2510" s="6" t="s">
        <v>287</v>
      </c>
      <c r="B2510" s="6" t="s">
        <v>53</v>
      </c>
      <c r="C2510" s="6" t="s">
        <v>184</v>
      </c>
      <c r="D2510" s="6" t="s">
        <v>88</v>
      </c>
      <c r="E2510" s="6" t="s">
        <v>88</v>
      </c>
      <c r="F2510" s="6" t="b">
        <v>0</v>
      </c>
      <c r="G2510" s="6">
        <v>0.01125</v>
      </c>
    </row>
    <row r="2511" spans="1:7">
      <c r="A2511" s="6" t="s">
        <v>287</v>
      </c>
      <c r="B2511" s="6" t="s">
        <v>53</v>
      </c>
      <c r="C2511" s="6" t="s">
        <v>184</v>
      </c>
      <c r="D2511" s="6" t="s">
        <v>90</v>
      </c>
      <c r="E2511" s="6" t="s">
        <v>90</v>
      </c>
      <c r="F2511" s="6" t="b">
        <v>0</v>
      </c>
      <c r="G2511" s="6">
        <v>0.008916666666666666</v>
      </c>
    </row>
    <row r="2512" spans="1:7">
      <c r="A2512" s="6" t="s">
        <v>287</v>
      </c>
      <c r="B2512" s="6" t="s">
        <v>53</v>
      </c>
      <c r="C2512" s="6" t="s">
        <v>184</v>
      </c>
      <c r="D2512" s="6" t="s">
        <v>90</v>
      </c>
      <c r="E2512" s="6" t="s">
        <v>685</v>
      </c>
      <c r="F2512" s="6" t="b">
        <v>1</v>
      </c>
      <c r="G2512" s="6">
        <v>0.002666666666666667</v>
      </c>
    </row>
    <row r="2513" spans="1:7">
      <c r="A2513" s="6" t="s">
        <v>287</v>
      </c>
      <c r="B2513" s="6" t="s">
        <v>53</v>
      </c>
      <c r="C2513" s="6" t="s">
        <v>184</v>
      </c>
      <c r="D2513" s="6" t="s">
        <v>177</v>
      </c>
      <c r="E2513" s="6" t="s">
        <v>44</v>
      </c>
      <c r="F2513" s="6" t="b">
        <v>0</v>
      </c>
      <c r="G2513" s="6">
        <v>1.762583333333333</v>
      </c>
    </row>
    <row r="2514" spans="1:7">
      <c r="A2514" s="6" t="s">
        <v>287</v>
      </c>
      <c r="B2514" s="6" t="s">
        <v>53</v>
      </c>
      <c r="C2514" s="6" t="s">
        <v>184</v>
      </c>
      <c r="D2514" s="6" t="s">
        <v>177</v>
      </c>
      <c r="E2514" s="6" t="s">
        <v>86</v>
      </c>
      <c r="F2514" s="6" t="b">
        <v>0</v>
      </c>
      <c r="G2514" s="6">
        <v>0.00525</v>
      </c>
    </row>
    <row r="2515" spans="1:7">
      <c r="A2515" s="6" t="s">
        <v>287</v>
      </c>
      <c r="B2515" s="6" t="s">
        <v>53</v>
      </c>
      <c r="C2515" s="6" t="s">
        <v>184</v>
      </c>
      <c r="D2515" s="6" t="s">
        <v>177</v>
      </c>
      <c r="E2515" s="6" t="s">
        <v>685</v>
      </c>
      <c r="F2515" s="6" t="b">
        <v>1</v>
      </c>
      <c r="G2515" s="6">
        <v>0.1801666666666667</v>
      </c>
    </row>
    <row r="2516" spans="1:7">
      <c r="A2516" s="6" t="s">
        <v>287</v>
      </c>
      <c r="B2516" s="6" t="s">
        <v>53</v>
      </c>
      <c r="C2516" s="6" t="s">
        <v>186</v>
      </c>
      <c r="D2516" s="6" t="s">
        <v>86</v>
      </c>
      <c r="E2516" s="6" t="s">
        <v>86</v>
      </c>
      <c r="F2516" s="6" t="b">
        <v>0</v>
      </c>
      <c r="G2516" s="6">
        <v>0.4375833333333334</v>
      </c>
    </row>
    <row r="2517" spans="1:7">
      <c r="A2517" s="6" t="s">
        <v>287</v>
      </c>
      <c r="B2517" s="6" t="s">
        <v>53</v>
      </c>
      <c r="C2517" s="6" t="s">
        <v>186</v>
      </c>
      <c r="D2517" s="6" t="s">
        <v>88</v>
      </c>
      <c r="E2517" s="6" t="s">
        <v>88</v>
      </c>
      <c r="F2517" s="6" t="b">
        <v>0</v>
      </c>
      <c r="G2517" s="6">
        <v>0.0375</v>
      </c>
    </row>
    <row r="2518" spans="1:7">
      <c r="A2518" s="6" t="s">
        <v>287</v>
      </c>
      <c r="B2518" s="6" t="s">
        <v>53</v>
      </c>
      <c r="C2518" s="6" t="s">
        <v>186</v>
      </c>
      <c r="D2518" s="6" t="s">
        <v>90</v>
      </c>
      <c r="E2518" s="6" t="s">
        <v>90</v>
      </c>
      <c r="F2518" s="6" t="b">
        <v>0</v>
      </c>
      <c r="G2518" s="6">
        <v>0.3150833333333333</v>
      </c>
    </row>
    <row r="2519" spans="1:7">
      <c r="A2519" s="6" t="s">
        <v>287</v>
      </c>
      <c r="B2519" s="6" t="s">
        <v>53</v>
      </c>
      <c r="C2519" s="6" t="s">
        <v>186</v>
      </c>
      <c r="D2519" s="6" t="s">
        <v>177</v>
      </c>
      <c r="E2519" s="6" t="s">
        <v>86</v>
      </c>
      <c r="F2519" s="6" t="b">
        <v>0</v>
      </c>
      <c r="G2519" s="6">
        <v>0.02233333333333333</v>
      </c>
    </row>
    <row r="2520" spans="1:7">
      <c r="A2520" s="6" t="s">
        <v>287</v>
      </c>
      <c r="B2520" s="6" t="s">
        <v>53</v>
      </c>
      <c r="C2520" s="6" t="s">
        <v>189</v>
      </c>
      <c r="D2520" s="6" t="s">
        <v>86</v>
      </c>
      <c r="E2520" s="6" t="s">
        <v>86</v>
      </c>
      <c r="F2520" s="6" t="b">
        <v>0</v>
      </c>
      <c r="G2520" s="6">
        <v>0.07466666666666667</v>
      </c>
    </row>
    <row r="2521" spans="1:7">
      <c r="A2521" s="6" t="s">
        <v>287</v>
      </c>
      <c r="B2521" s="6" t="s">
        <v>53</v>
      </c>
      <c r="C2521" s="6" t="s">
        <v>189</v>
      </c>
      <c r="D2521" s="6" t="s">
        <v>88</v>
      </c>
      <c r="E2521" s="6" t="s">
        <v>88</v>
      </c>
      <c r="F2521" s="6" t="b">
        <v>0</v>
      </c>
      <c r="G2521" s="6">
        <v>0.002</v>
      </c>
    </row>
    <row r="2522" spans="1:7">
      <c r="A2522" s="6" t="s">
        <v>287</v>
      </c>
      <c r="B2522" s="6" t="s">
        <v>53</v>
      </c>
      <c r="C2522" s="6" t="s">
        <v>189</v>
      </c>
      <c r="D2522" s="6" t="s">
        <v>90</v>
      </c>
      <c r="E2522" s="6" t="s">
        <v>90</v>
      </c>
      <c r="F2522" s="6" t="b">
        <v>0</v>
      </c>
      <c r="G2522" s="6">
        <v>0.01516666666666667</v>
      </c>
    </row>
    <row r="2523" spans="1:7">
      <c r="A2523" s="6" t="s">
        <v>376</v>
      </c>
      <c r="B2523" s="6" t="s">
        <v>54</v>
      </c>
      <c r="C2523" s="6" t="s">
        <v>181</v>
      </c>
      <c r="D2523" s="6" t="s">
        <v>88</v>
      </c>
      <c r="E2523" s="6" t="s">
        <v>88</v>
      </c>
      <c r="F2523" s="6" t="b">
        <v>0</v>
      </c>
      <c r="G2523" s="6">
        <v>0.1455833333333333</v>
      </c>
    </row>
    <row r="2524" spans="1:7">
      <c r="A2524" s="6" t="s">
        <v>376</v>
      </c>
      <c r="B2524" s="6" t="s">
        <v>54</v>
      </c>
      <c r="C2524" s="6" t="s">
        <v>183</v>
      </c>
      <c r="D2524" s="6" t="s">
        <v>86</v>
      </c>
      <c r="E2524" s="6" t="s">
        <v>86</v>
      </c>
      <c r="F2524" s="6" t="b">
        <v>0</v>
      </c>
      <c r="G2524" s="6">
        <v>0.00325</v>
      </c>
    </row>
    <row r="2525" spans="1:7">
      <c r="A2525" s="6" t="s">
        <v>376</v>
      </c>
      <c r="B2525" s="6" t="s">
        <v>54</v>
      </c>
      <c r="C2525" s="6" t="s">
        <v>183</v>
      </c>
      <c r="D2525" s="6" t="s">
        <v>88</v>
      </c>
      <c r="E2525" s="6" t="s">
        <v>88</v>
      </c>
      <c r="F2525" s="6" t="b">
        <v>0</v>
      </c>
      <c r="G2525" s="6">
        <v>0.005166666666666667</v>
      </c>
    </row>
    <row r="2526" spans="1:7">
      <c r="A2526" s="6" t="s">
        <v>376</v>
      </c>
      <c r="B2526" s="6" t="s">
        <v>54</v>
      </c>
      <c r="C2526" s="6" t="s">
        <v>183</v>
      </c>
      <c r="D2526" s="6" t="s">
        <v>90</v>
      </c>
      <c r="E2526" s="6" t="s">
        <v>86</v>
      </c>
      <c r="F2526" s="6" t="b">
        <v>0</v>
      </c>
      <c r="G2526" s="6">
        <v>0.008</v>
      </c>
    </row>
    <row r="2527" spans="1:7">
      <c r="A2527" s="6" t="s">
        <v>376</v>
      </c>
      <c r="B2527" s="6" t="s">
        <v>54</v>
      </c>
      <c r="C2527" s="6" t="s">
        <v>183</v>
      </c>
      <c r="D2527" s="6" t="s">
        <v>90</v>
      </c>
      <c r="E2527" s="6" t="s">
        <v>90</v>
      </c>
      <c r="F2527" s="6" t="b">
        <v>0</v>
      </c>
      <c r="G2527" s="6">
        <v>0.006666666666666667</v>
      </c>
    </row>
    <row r="2528" spans="1:7">
      <c r="A2528" s="6" t="s">
        <v>376</v>
      </c>
      <c r="B2528" s="6" t="s">
        <v>54</v>
      </c>
      <c r="C2528" s="6" t="s">
        <v>183</v>
      </c>
      <c r="D2528" s="6" t="s">
        <v>177</v>
      </c>
      <c r="E2528" s="6" t="s">
        <v>86</v>
      </c>
      <c r="F2528" s="6" t="b">
        <v>0</v>
      </c>
      <c r="G2528" s="6">
        <v>0.00325</v>
      </c>
    </row>
    <row r="2529" spans="1:7">
      <c r="A2529" s="6" t="s">
        <v>376</v>
      </c>
      <c r="B2529" s="6" t="s">
        <v>54</v>
      </c>
      <c r="C2529" s="6" t="s">
        <v>183</v>
      </c>
      <c r="D2529" s="6" t="s">
        <v>177</v>
      </c>
      <c r="E2529" s="6" t="s">
        <v>685</v>
      </c>
      <c r="F2529" s="6" t="b">
        <v>1</v>
      </c>
      <c r="G2529" s="6">
        <v>0.001</v>
      </c>
    </row>
    <row r="2530" spans="1:7">
      <c r="A2530" s="6" t="s">
        <v>376</v>
      </c>
      <c r="B2530" s="6" t="s">
        <v>54</v>
      </c>
      <c r="C2530" s="6" t="s">
        <v>184</v>
      </c>
      <c r="D2530" s="6" t="s">
        <v>44</v>
      </c>
      <c r="E2530" s="6" t="s">
        <v>44</v>
      </c>
      <c r="F2530" s="6" t="b">
        <v>0</v>
      </c>
      <c r="G2530" s="6">
        <v>0.5596666666666666</v>
      </c>
    </row>
    <row r="2531" spans="1:7">
      <c r="A2531" s="6" t="s">
        <v>376</v>
      </c>
      <c r="B2531" s="6" t="s">
        <v>54</v>
      </c>
      <c r="C2531" s="6" t="s">
        <v>184</v>
      </c>
      <c r="D2531" s="6" t="s">
        <v>88</v>
      </c>
      <c r="E2531" s="6" t="s">
        <v>88</v>
      </c>
      <c r="F2531" s="6" t="b">
        <v>0</v>
      </c>
      <c r="G2531" s="6">
        <v>0.01733333333333334</v>
      </c>
    </row>
    <row r="2532" spans="1:7">
      <c r="A2532" s="6" t="s">
        <v>376</v>
      </c>
      <c r="B2532" s="6" t="s">
        <v>54</v>
      </c>
      <c r="C2532" s="6" t="s">
        <v>184</v>
      </c>
      <c r="D2532" s="6" t="s">
        <v>90</v>
      </c>
      <c r="E2532" s="6" t="s">
        <v>90</v>
      </c>
      <c r="F2532" s="6" t="b">
        <v>0</v>
      </c>
      <c r="G2532" s="6">
        <v>0.02325</v>
      </c>
    </row>
    <row r="2533" spans="1:7">
      <c r="A2533" s="6" t="s">
        <v>376</v>
      </c>
      <c r="B2533" s="6" t="s">
        <v>54</v>
      </c>
      <c r="C2533" s="6" t="s">
        <v>184</v>
      </c>
      <c r="D2533" s="6" t="s">
        <v>90</v>
      </c>
      <c r="E2533" s="6" t="s">
        <v>685</v>
      </c>
      <c r="F2533" s="6" t="b">
        <v>1</v>
      </c>
      <c r="G2533" s="6">
        <v>0.03233333333333333</v>
      </c>
    </row>
    <row r="2534" spans="1:7">
      <c r="A2534" s="6" t="s">
        <v>376</v>
      </c>
      <c r="B2534" s="6" t="s">
        <v>54</v>
      </c>
      <c r="C2534" s="6" t="s">
        <v>184</v>
      </c>
      <c r="D2534" s="6" t="s">
        <v>177</v>
      </c>
      <c r="E2534" s="6" t="s">
        <v>44</v>
      </c>
      <c r="F2534" s="6" t="b">
        <v>0</v>
      </c>
      <c r="G2534" s="6">
        <v>0.9826666666666667</v>
      </c>
    </row>
    <row r="2535" spans="1:7">
      <c r="A2535" s="6" t="s">
        <v>376</v>
      </c>
      <c r="B2535" s="6" t="s">
        <v>54</v>
      </c>
      <c r="C2535" s="6" t="s">
        <v>184</v>
      </c>
      <c r="D2535" s="6" t="s">
        <v>177</v>
      </c>
      <c r="E2535" s="6" t="s">
        <v>86</v>
      </c>
      <c r="F2535" s="6" t="b">
        <v>0</v>
      </c>
      <c r="G2535" s="6">
        <v>0.018</v>
      </c>
    </row>
    <row r="2536" spans="1:7">
      <c r="A2536" s="6" t="s">
        <v>376</v>
      </c>
      <c r="B2536" s="6" t="s">
        <v>54</v>
      </c>
      <c r="C2536" s="6" t="s">
        <v>184</v>
      </c>
      <c r="D2536" s="6" t="s">
        <v>177</v>
      </c>
      <c r="E2536" s="6" t="s">
        <v>685</v>
      </c>
      <c r="F2536" s="6" t="b">
        <v>1</v>
      </c>
      <c r="G2536" s="6">
        <v>0.31325</v>
      </c>
    </row>
    <row r="2537" spans="1:7">
      <c r="A2537" s="6" t="s">
        <v>376</v>
      </c>
      <c r="B2537" s="6" t="s">
        <v>54</v>
      </c>
      <c r="C2537" s="6" t="s">
        <v>186</v>
      </c>
      <c r="D2537" s="6" t="s">
        <v>86</v>
      </c>
      <c r="E2537" s="6" t="s">
        <v>86</v>
      </c>
      <c r="F2537" s="6" t="b">
        <v>0</v>
      </c>
      <c r="G2537" s="6">
        <v>0.22575</v>
      </c>
    </row>
    <row r="2538" spans="1:7">
      <c r="A2538" s="6" t="s">
        <v>376</v>
      </c>
      <c r="B2538" s="6" t="s">
        <v>54</v>
      </c>
      <c r="C2538" s="6" t="s">
        <v>186</v>
      </c>
      <c r="D2538" s="6" t="s">
        <v>88</v>
      </c>
      <c r="E2538" s="6" t="s">
        <v>88</v>
      </c>
      <c r="F2538" s="6" t="b">
        <v>0</v>
      </c>
      <c r="G2538" s="6">
        <v>0.03608333333333334</v>
      </c>
    </row>
    <row r="2539" spans="1:7">
      <c r="A2539" s="6" t="s">
        <v>376</v>
      </c>
      <c r="B2539" s="6" t="s">
        <v>54</v>
      </c>
      <c r="C2539" s="6" t="s">
        <v>186</v>
      </c>
      <c r="D2539" s="6" t="s">
        <v>90</v>
      </c>
      <c r="E2539" s="6" t="s">
        <v>90</v>
      </c>
      <c r="F2539" s="6" t="b">
        <v>0</v>
      </c>
      <c r="G2539" s="6">
        <v>0.19375</v>
      </c>
    </row>
    <row r="2540" spans="1:7">
      <c r="A2540" s="6" t="s">
        <v>376</v>
      </c>
      <c r="B2540" s="6" t="s">
        <v>54</v>
      </c>
      <c r="C2540" s="6" t="s">
        <v>186</v>
      </c>
      <c r="D2540" s="6" t="s">
        <v>177</v>
      </c>
      <c r="E2540" s="6" t="s">
        <v>86</v>
      </c>
      <c r="F2540" s="6" t="b">
        <v>0</v>
      </c>
      <c r="G2540" s="6">
        <v>0.005666666666666667</v>
      </c>
    </row>
    <row r="2541" spans="1:7">
      <c r="A2541" s="6" t="s">
        <v>376</v>
      </c>
      <c r="B2541" s="6" t="s">
        <v>54</v>
      </c>
      <c r="C2541" s="6" t="s">
        <v>189</v>
      </c>
      <c r="D2541" s="6" t="s">
        <v>86</v>
      </c>
      <c r="E2541" s="6" t="s">
        <v>86</v>
      </c>
      <c r="F2541" s="6" t="b">
        <v>0</v>
      </c>
      <c r="G2541" s="6">
        <v>0.04258333333333333</v>
      </c>
    </row>
    <row r="2542" spans="1:7">
      <c r="A2542" s="6" t="s">
        <v>376</v>
      </c>
      <c r="B2542" s="6" t="s">
        <v>54</v>
      </c>
      <c r="C2542" s="6" t="s">
        <v>189</v>
      </c>
      <c r="D2542" s="6" t="s">
        <v>88</v>
      </c>
      <c r="E2542" s="6" t="s">
        <v>88</v>
      </c>
      <c r="F2542" s="6" t="b">
        <v>0</v>
      </c>
      <c r="G2542" s="6">
        <v>0.004</v>
      </c>
    </row>
    <row r="2543" spans="1:7">
      <c r="A2543" s="6" t="s">
        <v>376</v>
      </c>
      <c r="B2543" s="6" t="s">
        <v>54</v>
      </c>
      <c r="C2543" s="6" t="s">
        <v>189</v>
      </c>
      <c r="D2543" s="6" t="s">
        <v>90</v>
      </c>
      <c r="E2543" s="6" t="s">
        <v>90</v>
      </c>
      <c r="F2543" s="6" t="b">
        <v>0</v>
      </c>
      <c r="G2543" s="6">
        <v>0.008833333333333334</v>
      </c>
    </row>
    <row r="2544" spans="1:7">
      <c r="A2544" s="6" t="s">
        <v>357</v>
      </c>
      <c r="B2544" s="6" t="s">
        <v>52</v>
      </c>
      <c r="C2544" s="6" t="s">
        <v>186</v>
      </c>
      <c r="D2544" s="6" t="s">
        <v>86</v>
      </c>
      <c r="E2544" s="6" t="s">
        <v>86</v>
      </c>
      <c r="F2544" s="6" t="b">
        <v>0</v>
      </c>
      <c r="G2544" s="6">
        <v>34.72191666666667</v>
      </c>
    </row>
    <row r="2545" spans="1:7">
      <c r="A2545" s="6" t="s">
        <v>357</v>
      </c>
      <c r="B2545" s="6" t="s">
        <v>52</v>
      </c>
      <c r="C2545" s="6" t="s">
        <v>186</v>
      </c>
      <c r="D2545" s="6" t="s">
        <v>90</v>
      </c>
      <c r="E2545" s="6" t="s">
        <v>90</v>
      </c>
      <c r="F2545" s="6" t="b">
        <v>0</v>
      </c>
      <c r="G2545" s="6">
        <v>11.031</v>
      </c>
    </row>
    <row r="2546" spans="1:7">
      <c r="A2546" s="6" t="s">
        <v>288</v>
      </c>
      <c r="B2546" s="6" t="s">
        <v>58</v>
      </c>
      <c r="C2546" s="6" t="s">
        <v>181</v>
      </c>
      <c r="D2546" s="6" t="s">
        <v>88</v>
      </c>
      <c r="E2546" s="6" t="s">
        <v>88</v>
      </c>
      <c r="F2546" s="6" t="b">
        <v>0</v>
      </c>
      <c r="G2546" s="6">
        <v>0.1300833333333334</v>
      </c>
    </row>
    <row r="2547" spans="1:7">
      <c r="A2547" s="6" t="s">
        <v>288</v>
      </c>
      <c r="B2547" s="6" t="s">
        <v>58</v>
      </c>
      <c r="C2547" s="6" t="s">
        <v>181</v>
      </c>
      <c r="D2547" s="6" t="s">
        <v>90</v>
      </c>
      <c r="E2547" s="6" t="s">
        <v>90</v>
      </c>
      <c r="F2547" s="6" t="b">
        <v>0</v>
      </c>
      <c r="G2547" s="6">
        <v>0.00275</v>
      </c>
    </row>
    <row r="2548" spans="1:7">
      <c r="A2548" s="6" t="s">
        <v>288</v>
      </c>
      <c r="B2548" s="6" t="s">
        <v>58</v>
      </c>
      <c r="C2548" s="6" t="s">
        <v>183</v>
      </c>
      <c r="D2548" s="6" t="s">
        <v>88</v>
      </c>
      <c r="E2548" s="6" t="s">
        <v>88</v>
      </c>
      <c r="F2548" s="6" t="b">
        <v>0</v>
      </c>
      <c r="G2548" s="6">
        <v>0.00175</v>
      </c>
    </row>
    <row r="2549" spans="1:7">
      <c r="A2549" s="6" t="s">
        <v>288</v>
      </c>
      <c r="B2549" s="6" t="s">
        <v>58</v>
      </c>
      <c r="C2549" s="6" t="s">
        <v>183</v>
      </c>
      <c r="D2549" s="6" t="s">
        <v>90</v>
      </c>
      <c r="E2549" s="6" t="s">
        <v>86</v>
      </c>
      <c r="F2549" s="6" t="b">
        <v>0</v>
      </c>
      <c r="G2549" s="6">
        <v>0.00275</v>
      </c>
    </row>
    <row r="2550" spans="1:7">
      <c r="A2550" s="6" t="s">
        <v>288</v>
      </c>
      <c r="B2550" s="6" t="s">
        <v>58</v>
      </c>
      <c r="C2550" s="6" t="s">
        <v>183</v>
      </c>
      <c r="D2550" s="6" t="s">
        <v>90</v>
      </c>
      <c r="E2550" s="6" t="s">
        <v>90</v>
      </c>
      <c r="F2550" s="6" t="b">
        <v>0</v>
      </c>
      <c r="G2550" s="6">
        <v>0.006166666666666667</v>
      </c>
    </row>
    <row r="2551" spans="1:7">
      <c r="A2551" s="6" t="s">
        <v>288</v>
      </c>
      <c r="B2551" s="6" t="s">
        <v>58</v>
      </c>
      <c r="C2551" s="6" t="s">
        <v>184</v>
      </c>
      <c r="D2551" s="6" t="s">
        <v>44</v>
      </c>
      <c r="E2551" s="6" t="s">
        <v>44</v>
      </c>
      <c r="F2551" s="6" t="b">
        <v>0</v>
      </c>
      <c r="G2551" s="6">
        <v>0.8939166666666667</v>
      </c>
    </row>
    <row r="2552" spans="1:7">
      <c r="A2552" s="6" t="s">
        <v>288</v>
      </c>
      <c r="B2552" s="6" t="s">
        <v>58</v>
      </c>
      <c r="C2552" s="6" t="s">
        <v>184</v>
      </c>
      <c r="D2552" s="6" t="s">
        <v>88</v>
      </c>
      <c r="E2552" s="6" t="s">
        <v>88</v>
      </c>
      <c r="F2552" s="6" t="b">
        <v>0</v>
      </c>
      <c r="G2552" s="6">
        <v>0.007666666666666666</v>
      </c>
    </row>
    <row r="2553" spans="1:7">
      <c r="A2553" s="6" t="s">
        <v>288</v>
      </c>
      <c r="B2553" s="6" t="s">
        <v>58</v>
      </c>
      <c r="C2553" s="6" t="s">
        <v>184</v>
      </c>
      <c r="D2553" s="6" t="s">
        <v>90</v>
      </c>
      <c r="E2553" s="6" t="s">
        <v>90</v>
      </c>
      <c r="F2553" s="6" t="b">
        <v>0</v>
      </c>
      <c r="G2553" s="6">
        <v>0.002916666666666667</v>
      </c>
    </row>
    <row r="2554" spans="1:7">
      <c r="A2554" s="6" t="s">
        <v>288</v>
      </c>
      <c r="B2554" s="6" t="s">
        <v>58</v>
      </c>
      <c r="C2554" s="6" t="s">
        <v>184</v>
      </c>
      <c r="D2554" s="6" t="s">
        <v>177</v>
      </c>
      <c r="E2554" s="6" t="s">
        <v>44</v>
      </c>
      <c r="F2554" s="6" t="b">
        <v>0</v>
      </c>
      <c r="G2554" s="6">
        <v>0.22925</v>
      </c>
    </row>
    <row r="2555" spans="1:7">
      <c r="A2555" s="6" t="s">
        <v>288</v>
      </c>
      <c r="B2555" s="6" t="s">
        <v>58</v>
      </c>
      <c r="C2555" s="6" t="s">
        <v>184</v>
      </c>
      <c r="D2555" s="6" t="s">
        <v>177</v>
      </c>
      <c r="E2555" s="6" t="s">
        <v>86</v>
      </c>
      <c r="F2555" s="6" t="b">
        <v>0</v>
      </c>
      <c r="G2555" s="6">
        <v>0.00275</v>
      </c>
    </row>
    <row r="2556" spans="1:7">
      <c r="A2556" s="6" t="s">
        <v>288</v>
      </c>
      <c r="B2556" s="6" t="s">
        <v>58</v>
      </c>
      <c r="C2556" s="6" t="s">
        <v>184</v>
      </c>
      <c r="D2556" s="6" t="s">
        <v>177</v>
      </c>
      <c r="E2556" s="6" t="s">
        <v>685</v>
      </c>
      <c r="F2556" s="6" t="b">
        <v>1</v>
      </c>
      <c r="G2556" s="6">
        <v>0.1479166666666667</v>
      </c>
    </row>
    <row r="2557" spans="1:7">
      <c r="A2557" s="6" t="s">
        <v>288</v>
      </c>
      <c r="B2557" s="6" t="s">
        <v>58</v>
      </c>
      <c r="C2557" s="6" t="s">
        <v>186</v>
      </c>
      <c r="D2557" s="6" t="s">
        <v>86</v>
      </c>
      <c r="E2557" s="6" t="s">
        <v>86</v>
      </c>
      <c r="F2557" s="6" t="b">
        <v>0</v>
      </c>
      <c r="G2557" s="6">
        <v>0.2340833333333333</v>
      </c>
    </row>
    <row r="2558" spans="1:7">
      <c r="A2558" s="6" t="s">
        <v>288</v>
      </c>
      <c r="B2558" s="6" t="s">
        <v>58</v>
      </c>
      <c r="C2558" s="6" t="s">
        <v>186</v>
      </c>
      <c r="D2558" s="6" t="s">
        <v>88</v>
      </c>
      <c r="E2558" s="6" t="s">
        <v>88</v>
      </c>
      <c r="F2558" s="6" t="b">
        <v>0</v>
      </c>
      <c r="G2558" s="6">
        <v>0.02216666666666667</v>
      </c>
    </row>
    <row r="2559" spans="1:7">
      <c r="A2559" s="6" t="s">
        <v>288</v>
      </c>
      <c r="B2559" s="6" t="s">
        <v>58</v>
      </c>
      <c r="C2559" s="6" t="s">
        <v>186</v>
      </c>
      <c r="D2559" s="6" t="s">
        <v>90</v>
      </c>
      <c r="E2559" s="6" t="s">
        <v>90</v>
      </c>
      <c r="F2559" s="6" t="b">
        <v>0</v>
      </c>
      <c r="G2559" s="6">
        <v>0.1356666666666667</v>
      </c>
    </row>
    <row r="2560" spans="1:7">
      <c r="A2560" s="6" t="s">
        <v>288</v>
      </c>
      <c r="B2560" s="6" t="s">
        <v>58</v>
      </c>
      <c r="C2560" s="6" t="s">
        <v>186</v>
      </c>
      <c r="D2560" s="6" t="s">
        <v>177</v>
      </c>
      <c r="E2560" s="6" t="s">
        <v>86</v>
      </c>
      <c r="F2560" s="6" t="b">
        <v>0</v>
      </c>
      <c r="G2560" s="6">
        <v>0.01</v>
      </c>
    </row>
    <row r="2561" spans="1:7">
      <c r="A2561" s="6" t="s">
        <v>288</v>
      </c>
      <c r="B2561" s="6" t="s">
        <v>58</v>
      </c>
      <c r="C2561" s="6" t="s">
        <v>189</v>
      </c>
      <c r="D2561" s="6" t="s">
        <v>86</v>
      </c>
      <c r="E2561" s="6" t="s">
        <v>86</v>
      </c>
      <c r="F2561" s="6" t="b">
        <v>0</v>
      </c>
      <c r="G2561" s="6">
        <v>0.05341666666666667</v>
      </c>
    </row>
    <row r="2562" spans="1:7">
      <c r="A2562" s="6" t="s">
        <v>288</v>
      </c>
      <c r="B2562" s="6" t="s">
        <v>58</v>
      </c>
      <c r="C2562" s="6" t="s">
        <v>189</v>
      </c>
      <c r="D2562" s="6" t="s">
        <v>88</v>
      </c>
      <c r="E2562" s="6" t="s">
        <v>88</v>
      </c>
      <c r="F2562" s="6" t="b">
        <v>0</v>
      </c>
      <c r="G2562" s="6">
        <v>0.03533333333333333</v>
      </c>
    </row>
    <row r="2563" spans="1:7">
      <c r="A2563" s="6" t="s">
        <v>288</v>
      </c>
      <c r="B2563" s="6" t="s">
        <v>58</v>
      </c>
      <c r="C2563" s="6" t="s">
        <v>189</v>
      </c>
      <c r="D2563" s="6" t="s">
        <v>90</v>
      </c>
      <c r="E2563" s="6" t="s">
        <v>90</v>
      </c>
      <c r="F2563" s="6" t="b">
        <v>0</v>
      </c>
      <c r="G2563" s="6">
        <v>0.00275</v>
      </c>
    </row>
    <row r="2564" spans="1:7">
      <c r="A2564" s="6" t="s">
        <v>370</v>
      </c>
      <c r="B2564" s="6" t="s">
        <v>55</v>
      </c>
      <c r="C2564" s="6" t="s">
        <v>181</v>
      </c>
      <c r="D2564" s="6" t="s">
        <v>88</v>
      </c>
      <c r="E2564" s="6" t="s">
        <v>88</v>
      </c>
      <c r="F2564" s="6" t="b">
        <v>0</v>
      </c>
      <c r="G2564" s="6">
        <v>0.1763333333333333</v>
      </c>
    </row>
    <row r="2565" spans="1:7">
      <c r="A2565" s="6" t="s">
        <v>370</v>
      </c>
      <c r="B2565" s="6" t="s">
        <v>55</v>
      </c>
      <c r="C2565" s="6" t="s">
        <v>184</v>
      </c>
      <c r="D2565" s="6" t="s">
        <v>44</v>
      </c>
      <c r="E2565" s="6" t="s">
        <v>44</v>
      </c>
      <c r="F2565" s="6" t="b">
        <v>0</v>
      </c>
      <c r="G2565" s="6">
        <v>1.164333333333333</v>
      </c>
    </row>
    <row r="2566" spans="1:7">
      <c r="A2566" s="6" t="s">
        <v>370</v>
      </c>
      <c r="B2566" s="6" t="s">
        <v>55</v>
      </c>
      <c r="C2566" s="6" t="s">
        <v>184</v>
      </c>
      <c r="D2566" s="6" t="s">
        <v>177</v>
      </c>
      <c r="E2566" s="6" t="s">
        <v>44</v>
      </c>
      <c r="F2566" s="6" t="b">
        <v>0</v>
      </c>
      <c r="G2566" s="6">
        <v>2.782916666666667</v>
      </c>
    </row>
    <row r="2567" spans="1:7">
      <c r="A2567" s="6" t="s">
        <v>370</v>
      </c>
      <c r="B2567" s="6" t="s">
        <v>55</v>
      </c>
      <c r="C2567" s="6" t="s">
        <v>186</v>
      </c>
      <c r="D2567" s="6" t="s">
        <v>86</v>
      </c>
      <c r="E2567" s="6" t="s">
        <v>86</v>
      </c>
      <c r="F2567" s="6" t="b">
        <v>0</v>
      </c>
      <c r="G2567" s="6">
        <v>1.067916666666667</v>
      </c>
    </row>
    <row r="2568" spans="1:7">
      <c r="A2568" s="6" t="s">
        <v>370</v>
      </c>
      <c r="B2568" s="6" t="s">
        <v>55</v>
      </c>
      <c r="C2568" s="6" t="s">
        <v>186</v>
      </c>
      <c r="D2568" s="6" t="s">
        <v>88</v>
      </c>
      <c r="E2568" s="6" t="s">
        <v>88</v>
      </c>
      <c r="F2568" s="6" t="b">
        <v>0</v>
      </c>
      <c r="G2568" s="6">
        <v>0.0325</v>
      </c>
    </row>
    <row r="2569" spans="1:7">
      <c r="A2569" s="6" t="s">
        <v>370</v>
      </c>
      <c r="B2569" s="6" t="s">
        <v>55</v>
      </c>
      <c r="C2569" s="6" t="s">
        <v>186</v>
      </c>
      <c r="D2569" s="6" t="s">
        <v>90</v>
      </c>
      <c r="E2569" s="6" t="s">
        <v>90</v>
      </c>
      <c r="F2569" s="6" t="b">
        <v>0</v>
      </c>
      <c r="G2569" s="6">
        <v>0.4374166666666666</v>
      </c>
    </row>
    <row r="2570" spans="1:7">
      <c r="A2570" s="6" t="s">
        <v>370</v>
      </c>
      <c r="B2570" s="6" t="s">
        <v>55</v>
      </c>
      <c r="C2570" s="6" t="s">
        <v>186</v>
      </c>
      <c r="D2570" s="6" t="s">
        <v>177</v>
      </c>
      <c r="E2570" s="6" t="s">
        <v>86</v>
      </c>
      <c r="F2570" s="6" t="b">
        <v>0</v>
      </c>
      <c r="G2570" s="6">
        <v>0.01333333333333333</v>
      </c>
    </row>
    <row r="2571" spans="1:7">
      <c r="A2571" s="6" t="s">
        <v>370</v>
      </c>
      <c r="B2571" s="6" t="s">
        <v>55</v>
      </c>
      <c r="C2571" s="6" t="s">
        <v>189</v>
      </c>
      <c r="D2571" s="6" t="s">
        <v>86</v>
      </c>
      <c r="E2571" s="6" t="s">
        <v>86</v>
      </c>
      <c r="F2571" s="6" t="b">
        <v>0</v>
      </c>
      <c r="G2571" s="6">
        <v>0.07766666666666668</v>
      </c>
    </row>
    <row r="2572" spans="1:7">
      <c r="A2572" s="6" t="s">
        <v>370</v>
      </c>
      <c r="B2572" s="6" t="s">
        <v>55</v>
      </c>
      <c r="C2572" s="6" t="s">
        <v>189</v>
      </c>
      <c r="D2572" s="6" t="s">
        <v>90</v>
      </c>
      <c r="E2572" s="6" t="s">
        <v>90</v>
      </c>
      <c r="F2572" s="6" t="b">
        <v>0</v>
      </c>
      <c r="G2572" s="6">
        <v>0.011</v>
      </c>
    </row>
    <row r="2573" spans="1:7">
      <c r="A2573" s="6" t="s">
        <v>358</v>
      </c>
      <c r="B2573" s="6" t="s">
        <v>52</v>
      </c>
      <c r="C2573" s="6" t="s">
        <v>189</v>
      </c>
      <c r="D2573" s="6" t="s">
        <v>86</v>
      </c>
      <c r="E2573" s="6" t="s">
        <v>86</v>
      </c>
      <c r="F2573" s="6" t="b">
        <v>0</v>
      </c>
      <c r="G2573" s="6">
        <v>17.17558333333333</v>
      </c>
    </row>
    <row r="2574" spans="1:7">
      <c r="A2574" s="6" t="s">
        <v>359</v>
      </c>
      <c r="B2574" s="6" t="s">
        <v>60</v>
      </c>
      <c r="C2574" s="6" t="s">
        <v>181</v>
      </c>
      <c r="D2574" s="6" t="s">
        <v>88</v>
      </c>
      <c r="E2574" s="6" t="s">
        <v>88</v>
      </c>
      <c r="F2574" s="6" t="b">
        <v>0</v>
      </c>
      <c r="G2574" s="6">
        <v>3.79125</v>
      </c>
    </row>
    <row r="2575" spans="1:7">
      <c r="A2575" s="6" t="s">
        <v>359</v>
      </c>
      <c r="B2575" s="6" t="s">
        <v>60</v>
      </c>
      <c r="C2575" s="6" t="s">
        <v>181</v>
      </c>
      <c r="D2575" s="6" t="s">
        <v>90</v>
      </c>
      <c r="E2575" s="6" t="s">
        <v>90</v>
      </c>
      <c r="F2575" s="6" t="b">
        <v>0</v>
      </c>
      <c r="G2575" s="6">
        <v>0.004333333333333333</v>
      </c>
    </row>
    <row r="2576" spans="1:7">
      <c r="A2576" s="6" t="s">
        <v>359</v>
      </c>
      <c r="B2576" s="6" t="s">
        <v>60</v>
      </c>
      <c r="C2576" s="6" t="s">
        <v>183</v>
      </c>
      <c r="D2576" s="6" t="s">
        <v>88</v>
      </c>
      <c r="E2576" s="6" t="s">
        <v>88</v>
      </c>
      <c r="F2576" s="6" t="b">
        <v>0</v>
      </c>
      <c r="G2576" s="6">
        <v>0.004</v>
      </c>
    </row>
    <row r="2577" spans="1:7">
      <c r="A2577" s="6" t="s">
        <v>359</v>
      </c>
      <c r="B2577" s="6" t="s">
        <v>60</v>
      </c>
      <c r="C2577" s="6" t="s">
        <v>183</v>
      </c>
      <c r="D2577" s="6" t="s">
        <v>90</v>
      </c>
      <c r="E2577" s="6" t="s">
        <v>86</v>
      </c>
      <c r="F2577" s="6" t="b">
        <v>0</v>
      </c>
      <c r="G2577" s="6">
        <v>0.00275</v>
      </c>
    </row>
    <row r="2578" spans="1:7">
      <c r="A2578" s="6" t="s">
        <v>359</v>
      </c>
      <c r="B2578" s="6" t="s">
        <v>60</v>
      </c>
      <c r="C2578" s="6" t="s">
        <v>183</v>
      </c>
      <c r="D2578" s="6" t="s">
        <v>90</v>
      </c>
      <c r="E2578" s="6" t="s">
        <v>90</v>
      </c>
      <c r="F2578" s="6" t="b">
        <v>0</v>
      </c>
      <c r="G2578" s="6">
        <v>0.003666666666666667</v>
      </c>
    </row>
    <row r="2579" spans="1:7">
      <c r="A2579" s="6" t="s">
        <v>359</v>
      </c>
      <c r="B2579" s="6" t="s">
        <v>60</v>
      </c>
      <c r="C2579" s="6" t="s">
        <v>183</v>
      </c>
      <c r="D2579" s="6" t="s">
        <v>177</v>
      </c>
      <c r="E2579" s="6" t="s">
        <v>86</v>
      </c>
      <c r="F2579" s="6" t="b">
        <v>0</v>
      </c>
      <c r="G2579" s="6">
        <v>0.0009166666666666666</v>
      </c>
    </row>
    <row r="2580" spans="1:7">
      <c r="A2580" s="6" t="s">
        <v>359</v>
      </c>
      <c r="B2580" s="6" t="s">
        <v>60</v>
      </c>
      <c r="C2580" s="6" t="s">
        <v>183</v>
      </c>
      <c r="D2580" s="6" t="s">
        <v>177</v>
      </c>
      <c r="E2580" s="6" t="s">
        <v>685</v>
      </c>
      <c r="F2580" s="6" t="b">
        <v>1</v>
      </c>
      <c r="G2580" s="6">
        <v>0.001</v>
      </c>
    </row>
    <row r="2581" spans="1:7">
      <c r="A2581" s="6" t="s">
        <v>359</v>
      </c>
      <c r="B2581" s="6" t="s">
        <v>60</v>
      </c>
      <c r="C2581" s="6" t="s">
        <v>184</v>
      </c>
      <c r="D2581" s="6" t="s">
        <v>44</v>
      </c>
      <c r="E2581" s="6" t="s">
        <v>44</v>
      </c>
      <c r="F2581" s="6" t="b">
        <v>0</v>
      </c>
      <c r="G2581" s="6">
        <v>12.64208333333333</v>
      </c>
    </row>
    <row r="2582" spans="1:7">
      <c r="A2582" s="6" t="s">
        <v>359</v>
      </c>
      <c r="B2582" s="6" t="s">
        <v>60</v>
      </c>
      <c r="C2582" s="6" t="s">
        <v>184</v>
      </c>
      <c r="D2582" s="6" t="s">
        <v>86</v>
      </c>
      <c r="E2582" s="6" t="s">
        <v>86</v>
      </c>
      <c r="F2582" s="6" t="b">
        <v>0</v>
      </c>
      <c r="G2582" s="6">
        <v>0.7916666666666666</v>
      </c>
    </row>
    <row r="2583" spans="1:7">
      <c r="A2583" s="6" t="s">
        <v>359</v>
      </c>
      <c r="B2583" s="6" t="s">
        <v>60</v>
      </c>
      <c r="C2583" s="6" t="s">
        <v>184</v>
      </c>
      <c r="D2583" s="6" t="s">
        <v>90</v>
      </c>
      <c r="E2583" s="6" t="s">
        <v>90</v>
      </c>
      <c r="F2583" s="6" t="b">
        <v>0</v>
      </c>
      <c r="G2583" s="6">
        <v>0.022</v>
      </c>
    </row>
    <row r="2584" spans="1:7">
      <c r="A2584" s="6" t="s">
        <v>359</v>
      </c>
      <c r="B2584" s="6" t="s">
        <v>60</v>
      </c>
      <c r="C2584" s="6" t="s">
        <v>184</v>
      </c>
      <c r="D2584" s="6" t="s">
        <v>177</v>
      </c>
      <c r="E2584" s="6" t="s">
        <v>44</v>
      </c>
      <c r="F2584" s="6" t="b">
        <v>0</v>
      </c>
      <c r="G2584" s="6">
        <v>72.60299999999999</v>
      </c>
    </row>
    <row r="2585" spans="1:7">
      <c r="A2585" s="6" t="s">
        <v>359</v>
      </c>
      <c r="B2585" s="6" t="s">
        <v>60</v>
      </c>
      <c r="C2585" s="6" t="s">
        <v>184</v>
      </c>
      <c r="D2585" s="6" t="s">
        <v>177</v>
      </c>
      <c r="E2585" s="6" t="s">
        <v>685</v>
      </c>
      <c r="F2585" s="6" t="b">
        <v>1</v>
      </c>
      <c r="G2585" s="6">
        <v>0.07708333333333332</v>
      </c>
    </row>
    <row r="2586" spans="1:7">
      <c r="A2586" s="6" t="s">
        <v>359</v>
      </c>
      <c r="B2586" s="6" t="s">
        <v>60</v>
      </c>
      <c r="C2586" s="6" t="s">
        <v>186</v>
      </c>
      <c r="D2586" s="6" t="s">
        <v>86</v>
      </c>
      <c r="E2586" s="6" t="s">
        <v>86</v>
      </c>
      <c r="F2586" s="6" t="b">
        <v>0</v>
      </c>
      <c r="G2586" s="6">
        <v>14.25883333333333</v>
      </c>
    </row>
    <row r="2587" spans="1:7">
      <c r="A2587" s="6" t="s">
        <v>359</v>
      </c>
      <c r="B2587" s="6" t="s">
        <v>60</v>
      </c>
      <c r="C2587" s="6" t="s">
        <v>186</v>
      </c>
      <c r="D2587" s="6" t="s">
        <v>88</v>
      </c>
      <c r="E2587" s="6" t="s">
        <v>88</v>
      </c>
      <c r="F2587" s="6" t="b">
        <v>0</v>
      </c>
      <c r="G2587" s="6">
        <v>0.2606666666666667</v>
      </c>
    </row>
    <row r="2588" spans="1:7">
      <c r="A2588" s="6" t="s">
        <v>359</v>
      </c>
      <c r="B2588" s="6" t="s">
        <v>60</v>
      </c>
      <c r="C2588" s="6" t="s">
        <v>186</v>
      </c>
      <c r="D2588" s="6" t="s">
        <v>90</v>
      </c>
      <c r="E2588" s="6" t="s">
        <v>90</v>
      </c>
      <c r="F2588" s="6" t="b">
        <v>0</v>
      </c>
      <c r="G2588" s="6">
        <v>3.925916666666666</v>
      </c>
    </row>
    <row r="2589" spans="1:7">
      <c r="A2589" s="6" t="s">
        <v>359</v>
      </c>
      <c r="B2589" s="6" t="s">
        <v>60</v>
      </c>
      <c r="C2589" s="6" t="s">
        <v>186</v>
      </c>
      <c r="D2589" s="6" t="s">
        <v>177</v>
      </c>
      <c r="E2589" s="6" t="s">
        <v>86</v>
      </c>
      <c r="F2589" s="6" t="b">
        <v>0</v>
      </c>
      <c r="G2589" s="6">
        <v>0.03783333333333333</v>
      </c>
    </row>
    <row r="2590" spans="1:7">
      <c r="A2590" s="6" t="s">
        <v>359</v>
      </c>
      <c r="B2590" s="6" t="s">
        <v>60</v>
      </c>
      <c r="C2590" s="6" t="s">
        <v>189</v>
      </c>
      <c r="D2590" s="6" t="s">
        <v>86</v>
      </c>
      <c r="E2590" s="6" t="s">
        <v>86</v>
      </c>
      <c r="F2590" s="6" t="b">
        <v>0</v>
      </c>
      <c r="G2590" s="6">
        <v>0.03983333333333333</v>
      </c>
    </row>
    <row r="2591" spans="1:7">
      <c r="A2591" s="6" t="s">
        <v>359</v>
      </c>
      <c r="B2591" s="6" t="s">
        <v>60</v>
      </c>
      <c r="C2591" s="6" t="s">
        <v>189</v>
      </c>
      <c r="D2591" s="6" t="s">
        <v>88</v>
      </c>
      <c r="E2591" s="6" t="s">
        <v>88</v>
      </c>
      <c r="F2591" s="6" t="b">
        <v>0</v>
      </c>
      <c r="G2591" s="6">
        <v>0.1515833333333333</v>
      </c>
    </row>
    <row r="2592" spans="1:7">
      <c r="A2592" s="6" t="s">
        <v>359</v>
      </c>
      <c r="B2592" s="6" t="s">
        <v>60</v>
      </c>
      <c r="C2592" s="6" t="s">
        <v>189</v>
      </c>
      <c r="D2592" s="6" t="s">
        <v>90</v>
      </c>
      <c r="E2592" s="6" t="s">
        <v>90</v>
      </c>
      <c r="F2592" s="6" t="b">
        <v>0</v>
      </c>
      <c r="G2592" s="6">
        <v>0.005500000000000001</v>
      </c>
    </row>
    <row r="2593" spans="1:7">
      <c r="A2593" s="6" t="s">
        <v>289</v>
      </c>
      <c r="B2593" s="6" t="s">
        <v>52</v>
      </c>
      <c r="C2593" s="6" t="s">
        <v>181</v>
      </c>
      <c r="D2593" s="6" t="s">
        <v>88</v>
      </c>
      <c r="E2593" s="6" t="s">
        <v>88</v>
      </c>
      <c r="F2593" s="6" t="b">
        <v>0</v>
      </c>
      <c r="G2593" s="6">
        <v>361.3830833333333</v>
      </c>
    </row>
    <row r="2594" spans="1:7">
      <c r="A2594" s="6" t="s">
        <v>289</v>
      </c>
      <c r="B2594" s="6" t="s">
        <v>52</v>
      </c>
      <c r="C2594" s="6" t="s">
        <v>183</v>
      </c>
      <c r="D2594" s="6" t="s">
        <v>90</v>
      </c>
      <c r="E2594" s="6" t="s">
        <v>86</v>
      </c>
      <c r="F2594" s="6" t="b">
        <v>0</v>
      </c>
      <c r="G2594" s="6">
        <v>0.4235</v>
      </c>
    </row>
    <row r="2595" spans="1:7">
      <c r="A2595" s="6" t="s">
        <v>289</v>
      </c>
      <c r="B2595" s="6" t="s">
        <v>52</v>
      </c>
      <c r="C2595" s="6" t="s">
        <v>183</v>
      </c>
      <c r="D2595" s="6" t="s">
        <v>177</v>
      </c>
      <c r="E2595" s="6" t="s">
        <v>86</v>
      </c>
      <c r="F2595" s="6" t="b">
        <v>0</v>
      </c>
      <c r="G2595" s="6">
        <v>0.1063333333333333</v>
      </c>
    </row>
    <row r="2596" spans="1:7">
      <c r="A2596" s="6" t="s">
        <v>289</v>
      </c>
      <c r="B2596" s="6" t="s">
        <v>52</v>
      </c>
      <c r="C2596" s="6" t="s">
        <v>184</v>
      </c>
      <c r="D2596" s="6" t="s">
        <v>44</v>
      </c>
      <c r="E2596" s="6" t="s">
        <v>44</v>
      </c>
      <c r="F2596" s="6" t="b">
        <v>0</v>
      </c>
      <c r="G2596" s="6">
        <v>501.8197499999999</v>
      </c>
    </row>
    <row r="2597" spans="1:7">
      <c r="A2597" s="6" t="s">
        <v>289</v>
      </c>
      <c r="B2597" s="6" t="s">
        <v>52</v>
      </c>
      <c r="C2597" s="6" t="s">
        <v>184</v>
      </c>
      <c r="D2597" s="6" t="s">
        <v>88</v>
      </c>
      <c r="E2597" s="6" t="s">
        <v>88</v>
      </c>
      <c r="F2597" s="6" t="b">
        <v>0</v>
      </c>
      <c r="G2597" s="6">
        <v>9.705833333333333</v>
      </c>
    </row>
    <row r="2598" spans="1:7">
      <c r="A2598" s="6" t="s">
        <v>289</v>
      </c>
      <c r="B2598" s="6" t="s">
        <v>52</v>
      </c>
      <c r="C2598" s="6" t="s">
        <v>184</v>
      </c>
      <c r="D2598" s="6" t="s">
        <v>90</v>
      </c>
      <c r="E2598" s="6" t="s">
        <v>90</v>
      </c>
      <c r="F2598" s="6" t="b">
        <v>0</v>
      </c>
      <c r="G2598" s="6">
        <v>15.51891666666667</v>
      </c>
    </row>
    <row r="2599" spans="1:7">
      <c r="A2599" s="6" t="s">
        <v>289</v>
      </c>
      <c r="B2599" s="6" t="s">
        <v>52</v>
      </c>
      <c r="C2599" s="6" t="s">
        <v>184</v>
      </c>
      <c r="D2599" s="6" t="s">
        <v>90</v>
      </c>
      <c r="E2599" s="6" t="s">
        <v>685</v>
      </c>
      <c r="F2599" s="6" t="b">
        <v>1</v>
      </c>
      <c r="G2599" s="6">
        <v>1.178333333333333</v>
      </c>
    </row>
    <row r="2600" spans="1:7">
      <c r="A2600" s="6" t="s">
        <v>289</v>
      </c>
      <c r="B2600" s="6" t="s">
        <v>52</v>
      </c>
      <c r="C2600" s="6" t="s">
        <v>184</v>
      </c>
      <c r="D2600" s="6" t="s">
        <v>177</v>
      </c>
      <c r="E2600" s="6" t="s">
        <v>44</v>
      </c>
      <c r="F2600" s="6" t="b">
        <v>0</v>
      </c>
      <c r="G2600" s="6">
        <v>8.3165</v>
      </c>
    </row>
    <row r="2601" spans="1:7">
      <c r="A2601" s="6" t="s">
        <v>289</v>
      </c>
      <c r="B2601" s="6" t="s">
        <v>52</v>
      </c>
      <c r="C2601" s="6" t="s">
        <v>184</v>
      </c>
      <c r="D2601" s="6" t="s">
        <v>177</v>
      </c>
      <c r="E2601" s="6" t="s">
        <v>685</v>
      </c>
      <c r="F2601" s="6" t="b">
        <v>1</v>
      </c>
      <c r="G2601" s="6">
        <v>78.12658333333333</v>
      </c>
    </row>
    <row r="2602" spans="1:7">
      <c r="A2602" s="6" t="s">
        <v>289</v>
      </c>
      <c r="B2602" s="6" t="s">
        <v>52</v>
      </c>
      <c r="C2602" s="6" t="s">
        <v>186</v>
      </c>
      <c r="D2602" s="6" t="s">
        <v>86</v>
      </c>
      <c r="E2602" s="6" t="s">
        <v>86</v>
      </c>
      <c r="F2602" s="6" t="b">
        <v>0</v>
      </c>
      <c r="G2602" s="6">
        <v>1834.8915</v>
      </c>
    </row>
    <row r="2603" spans="1:7">
      <c r="A2603" s="6" t="s">
        <v>289</v>
      </c>
      <c r="B2603" s="6" t="s">
        <v>52</v>
      </c>
      <c r="C2603" s="6" t="s">
        <v>186</v>
      </c>
      <c r="D2603" s="6" t="s">
        <v>88</v>
      </c>
      <c r="E2603" s="6" t="s">
        <v>88</v>
      </c>
      <c r="F2603" s="6" t="b">
        <v>0</v>
      </c>
      <c r="G2603" s="6">
        <v>222.5518333333333</v>
      </c>
    </row>
    <row r="2604" spans="1:7">
      <c r="A2604" s="6" t="s">
        <v>289</v>
      </c>
      <c r="B2604" s="6" t="s">
        <v>52</v>
      </c>
      <c r="C2604" s="6" t="s">
        <v>186</v>
      </c>
      <c r="D2604" s="6" t="s">
        <v>90</v>
      </c>
      <c r="E2604" s="6" t="s">
        <v>90</v>
      </c>
      <c r="F2604" s="6" t="b">
        <v>0</v>
      </c>
      <c r="G2604" s="6">
        <v>31.08916666666667</v>
      </c>
    </row>
    <row r="2605" spans="1:7">
      <c r="A2605" s="6" t="s">
        <v>289</v>
      </c>
      <c r="B2605" s="6" t="s">
        <v>52</v>
      </c>
      <c r="C2605" s="6" t="s">
        <v>186</v>
      </c>
      <c r="D2605" s="6" t="s">
        <v>177</v>
      </c>
      <c r="E2605" s="6" t="s">
        <v>86</v>
      </c>
      <c r="F2605" s="6" t="b">
        <v>0</v>
      </c>
      <c r="G2605" s="6">
        <v>22.253</v>
      </c>
    </row>
    <row r="2606" spans="1:7">
      <c r="A2606" s="6" t="s">
        <v>289</v>
      </c>
      <c r="B2606" s="6" t="s">
        <v>52</v>
      </c>
      <c r="C2606" s="6" t="s">
        <v>189</v>
      </c>
      <c r="D2606" s="6" t="s">
        <v>86</v>
      </c>
      <c r="E2606" s="6" t="s">
        <v>86</v>
      </c>
      <c r="F2606" s="6" t="b">
        <v>0</v>
      </c>
      <c r="G2606" s="6">
        <v>219.3631666666667</v>
      </c>
    </row>
    <row r="2607" spans="1:7">
      <c r="A2607" s="6" t="s">
        <v>289</v>
      </c>
      <c r="B2607" s="6" t="s">
        <v>52</v>
      </c>
      <c r="C2607" s="6" t="s">
        <v>189</v>
      </c>
      <c r="D2607" s="6" t="s">
        <v>88</v>
      </c>
      <c r="E2607" s="6" t="s">
        <v>88</v>
      </c>
      <c r="F2607" s="6" t="b">
        <v>0</v>
      </c>
      <c r="G2607" s="6">
        <v>990.5451666666667</v>
      </c>
    </row>
    <row r="2608" spans="1:7">
      <c r="A2608" s="6" t="s">
        <v>289</v>
      </c>
      <c r="B2608" s="6" t="s">
        <v>52</v>
      </c>
      <c r="C2608" s="6" t="s">
        <v>189</v>
      </c>
      <c r="D2608" s="6" t="s">
        <v>90</v>
      </c>
      <c r="E2608" s="6" t="s">
        <v>90</v>
      </c>
      <c r="F2608" s="6" t="b">
        <v>0</v>
      </c>
      <c r="G2608" s="6">
        <v>3.239083333333333</v>
      </c>
    </row>
    <row r="2609" spans="1:7">
      <c r="A2609" s="6" t="s">
        <v>289</v>
      </c>
      <c r="B2609" s="6" t="s">
        <v>52</v>
      </c>
      <c r="C2609" s="6" t="s">
        <v>190</v>
      </c>
      <c r="D2609" s="6" t="s">
        <v>44</v>
      </c>
      <c r="E2609" s="6" t="s">
        <v>44</v>
      </c>
      <c r="F2609" s="6" t="b">
        <v>0</v>
      </c>
      <c r="G2609" s="6">
        <v>237.5791666666667</v>
      </c>
    </row>
    <row r="2610" spans="1:7">
      <c r="A2610" s="6" t="s">
        <v>289</v>
      </c>
      <c r="B2610" s="6" t="s">
        <v>52</v>
      </c>
      <c r="C2610" s="6" t="s">
        <v>190</v>
      </c>
      <c r="D2610" s="6" t="s">
        <v>86</v>
      </c>
      <c r="E2610" s="6" t="s">
        <v>44</v>
      </c>
      <c r="F2610" s="6" t="b">
        <v>0</v>
      </c>
      <c r="G2610" s="6">
        <v>3.819833333333333</v>
      </c>
    </row>
    <row r="2611" spans="1:7">
      <c r="A2611" s="6" t="s">
        <v>289</v>
      </c>
      <c r="B2611" s="6" t="s">
        <v>52</v>
      </c>
      <c r="C2611" s="6" t="s">
        <v>190</v>
      </c>
      <c r="D2611" s="6" t="s">
        <v>86</v>
      </c>
      <c r="E2611" s="6" t="s">
        <v>86</v>
      </c>
      <c r="F2611" s="6" t="b">
        <v>0</v>
      </c>
      <c r="G2611" s="6">
        <v>0.03166666666666667</v>
      </c>
    </row>
    <row r="2612" spans="1:7">
      <c r="A2612" s="6" t="s">
        <v>289</v>
      </c>
      <c r="B2612" s="6" t="s">
        <v>52</v>
      </c>
      <c r="C2612" s="6" t="s">
        <v>190</v>
      </c>
      <c r="D2612" s="6" t="s">
        <v>88</v>
      </c>
      <c r="E2612" s="6" t="s">
        <v>88</v>
      </c>
      <c r="F2612" s="6" t="b">
        <v>0</v>
      </c>
      <c r="G2612" s="6">
        <v>0.02833333333333334</v>
      </c>
    </row>
    <row r="2613" spans="1:7">
      <c r="A2613" s="6" t="s">
        <v>289</v>
      </c>
      <c r="B2613" s="6" t="s">
        <v>52</v>
      </c>
      <c r="C2613" s="6" t="s">
        <v>190</v>
      </c>
      <c r="D2613" s="6" t="s">
        <v>90</v>
      </c>
      <c r="E2613" s="6" t="s">
        <v>44</v>
      </c>
      <c r="F2613" s="6" t="b">
        <v>0</v>
      </c>
      <c r="G2613" s="6">
        <v>10.63266666666667</v>
      </c>
    </row>
    <row r="2614" spans="1:7">
      <c r="A2614" s="6" t="s">
        <v>289</v>
      </c>
      <c r="B2614" s="6" t="s">
        <v>52</v>
      </c>
      <c r="C2614" s="6" t="s">
        <v>190</v>
      </c>
      <c r="D2614" s="6" t="s">
        <v>90</v>
      </c>
      <c r="E2614" s="6" t="s">
        <v>90</v>
      </c>
      <c r="F2614" s="6" t="b">
        <v>0</v>
      </c>
      <c r="G2614" s="6">
        <v>46.87033333333333</v>
      </c>
    </row>
    <row r="2615" spans="1:7">
      <c r="A2615" s="6" t="s">
        <v>289</v>
      </c>
      <c r="B2615" s="6" t="s">
        <v>52</v>
      </c>
      <c r="C2615" s="6" t="s">
        <v>190</v>
      </c>
      <c r="D2615" s="6" t="s">
        <v>177</v>
      </c>
      <c r="E2615" s="6" t="s">
        <v>44</v>
      </c>
      <c r="F2615" s="6" t="b">
        <v>0</v>
      </c>
      <c r="G2615" s="6">
        <v>99.87658333333333</v>
      </c>
    </row>
    <row r="2616" spans="1:7">
      <c r="A2616" s="6" t="s">
        <v>289</v>
      </c>
      <c r="B2616" s="6" t="s">
        <v>52</v>
      </c>
      <c r="C2616" s="6" t="s">
        <v>190</v>
      </c>
      <c r="D2616" s="6" t="s">
        <v>177</v>
      </c>
      <c r="E2616" s="6" t="s">
        <v>86</v>
      </c>
      <c r="F2616" s="6" t="b">
        <v>0</v>
      </c>
      <c r="G2616" s="6">
        <v>28.6095</v>
      </c>
    </row>
    <row r="2617" spans="1:7">
      <c r="A2617" s="6" t="s">
        <v>289</v>
      </c>
      <c r="B2617" s="6" t="s">
        <v>52</v>
      </c>
      <c r="C2617" s="6" t="s">
        <v>190</v>
      </c>
      <c r="D2617" s="6" t="s">
        <v>177</v>
      </c>
      <c r="E2617" s="6" t="s">
        <v>685</v>
      </c>
      <c r="F2617" s="6" t="b">
        <v>1</v>
      </c>
      <c r="G2617" s="6">
        <v>7.066333333333333</v>
      </c>
    </row>
    <row r="2618" spans="1:7">
      <c r="A2618" s="6" t="s">
        <v>289</v>
      </c>
      <c r="B2618" s="6" t="s">
        <v>52</v>
      </c>
      <c r="C2618" s="6" t="s">
        <v>190</v>
      </c>
      <c r="D2618" s="6" t="s">
        <v>92</v>
      </c>
      <c r="E2618" s="6" t="s">
        <v>92</v>
      </c>
      <c r="F2618" s="6" t="b">
        <v>0</v>
      </c>
      <c r="G2618" s="6">
        <v>19.85166666666667</v>
      </c>
    </row>
    <row r="2619" spans="1:7">
      <c r="A2619" s="6" t="s">
        <v>290</v>
      </c>
      <c r="B2619" s="6" t="s">
        <v>53</v>
      </c>
      <c r="C2619" s="6" t="s">
        <v>181</v>
      </c>
      <c r="D2619" s="6" t="s">
        <v>88</v>
      </c>
      <c r="E2619" s="6" t="s">
        <v>88</v>
      </c>
      <c r="F2619" s="6" t="b">
        <v>0</v>
      </c>
      <c r="G2619" s="6">
        <v>0.007666666666666666</v>
      </c>
    </row>
    <row r="2620" spans="1:7">
      <c r="A2620" s="6" t="s">
        <v>290</v>
      </c>
      <c r="B2620" s="6" t="s">
        <v>53</v>
      </c>
      <c r="C2620" s="6" t="s">
        <v>183</v>
      </c>
      <c r="D2620" s="6" t="s">
        <v>90</v>
      </c>
      <c r="E2620" s="6" t="s">
        <v>86</v>
      </c>
      <c r="F2620" s="6" t="b">
        <v>0</v>
      </c>
      <c r="G2620" s="6">
        <v>0.004583333333333332</v>
      </c>
    </row>
    <row r="2621" spans="1:7">
      <c r="A2621" s="6" t="s">
        <v>290</v>
      </c>
      <c r="B2621" s="6" t="s">
        <v>53</v>
      </c>
      <c r="C2621" s="6" t="s">
        <v>184</v>
      </c>
      <c r="D2621" s="6" t="s">
        <v>44</v>
      </c>
      <c r="E2621" s="6" t="s">
        <v>44</v>
      </c>
      <c r="F2621" s="6" t="b">
        <v>0</v>
      </c>
      <c r="G2621" s="6">
        <v>0.1801666666666667</v>
      </c>
    </row>
    <row r="2622" spans="1:7">
      <c r="A2622" s="6" t="s">
        <v>290</v>
      </c>
      <c r="B2622" s="6" t="s">
        <v>53</v>
      </c>
      <c r="C2622" s="6" t="s">
        <v>184</v>
      </c>
      <c r="D2622" s="6" t="s">
        <v>88</v>
      </c>
      <c r="E2622" s="6" t="s">
        <v>88</v>
      </c>
      <c r="F2622" s="6" t="b">
        <v>0</v>
      </c>
      <c r="G2622" s="6">
        <v>0.002833333333333334</v>
      </c>
    </row>
    <row r="2623" spans="1:7">
      <c r="A2623" s="6" t="s">
        <v>290</v>
      </c>
      <c r="B2623" s="6" t="s">
        <v>53</v>
      </c>
      <c r="C2623" s="6" t="s">
        <v>184</v>
      </c>
      <c r="D2623" s="6" t="s">
        <v>177</v>
      </c>
      <c r="E2623" s="6" t="s">
        <v>44</v>
      </c>
      <c r="F2623" s="6" t="b">
        <v>0</v>
      </c>
      <c r="G2623" s="6">
        <v>0.07483333333333334</v>
      </c>
    </row>
    <row r="2624" spans="1:7">
      <c r="A2624" s="6" t="s">
        <v>290</v>
      </c>
      <c r="B2624" s="6" t="s">
        <v>53</v>
      </c>
      <c r="C2624" s="6" t="s">
        <v>184</v>
      </c>
      <c r="D2624" s="6" t="s">
        <v>177</v>
      </c>
      <c r="E2624" s="6" t="s">
        <v>86</v>
      </c>
      <c r="F2624" s="6" t="b">
        <v>0</v>
      </c>
      <c r="G2624" s="6">
        <v>0.005500000000000001</v>
      </c>
    </row>
    <row r="2625" spans="1:7">
      <c r="A2625" s="6" t="s">
        <v>290</v>
      </c>
      <c r="B2625" s="6" t="s">
        <v>53</v>
      </c>
      <c r="C2625" s="6" t="s">
        <v>184</v>
      </c>
      <c r="D2625" s="6" t="s">
        <v>177</v>
      </c>
      <c r="E2625" s="6" t="s">
        <v>685</v>
      </c>
      <c r="F2625" s="6" t="b">
        <v>1</v>
      </c>
      <c r="G2625" s="6">
        <v>0.0035</v>
      </c>
    </row>
    <row r="2626" spans="1:7">
      <c r="A2626" s="6" t="s">
        <v>290</v>
      </c>
      <c r="B2626" s="6" t="s">
        <v>53</v>
      </c>
      <c r="C2626" s="6" t="s">
        <v>186</v>
      </c>
      <c r="D2626" s="6" t="s">
        <v>86</v>
      </c>
      <c r="E2626" s="6" t="s">
        <v>86</v>
      </c>
      <c r="F2626" s="6" t="b">
        <v>0</v>
      </c>
      <c r="G2626" s="6">
        <v>0.01775</v>
      </c>
    </row>
    <row r="2627" spans="1:7">
      <c r="A2627" s="6" t="s">
        <v>290</v>
      </c>
      <c r="B2627" s="6" t="s">
        <v>53</v>
      </c>
      <c r="C2627" s="6" t="s">
        <v>186</v>
      </c>
      <c r="D2627" s="6" t="s">
        <v>88</v>
      </c>
      <c r="E2627" s="6" t="s">
        <v>88</v>
      </c>
      <c r="F2627" s="6" t="b">
        <v>0</v>
      </c>
      <c r="G2627" s="6">
        <v>0.00475</v>
      </c>
    </row>
    <row r="2628" spans="1:7">
      <c r="A2628" s="6" t="s">
        <v>290</v>
      </c>
      <c r="B2628" s="6" t="s">
        <v>53</v>
      </c>
      <c r="C2628" s="6" t="s">
        <v>186</v>
      </c>
      <c r="D2628" s="6" t="s">
        <v>90</v>
      </c>
      <c r="E2628" s="6" t="s">
        <v>90</v>
      </c>
      <c r="F2628" s="6" t="b">
        <v>0</v>
      </c>
      <c r="G2628" s="6">
        <v>0.006833333333333333</v>
      </c>
    </row>
    <row r="2629" spans="1:7">
      <c r="A2629" s="6" t="s">
        <v>290</v>
      </c>
      <c r="B2629" s="6" t="s">
        <v>53</v>
      </c>
      <c r="C2629" s="6" t="s">
        <v>186</v>
      </c>
      <c r="D2629" s="6" t="s">
        <v>177</v>
      </c>
      <c r="E2629" s="6" t="s">
        <v>86</v>
      </c>
      <c r="F2629" s="6" t="b">
        <v>0</v>
      </c>
      <c r="G2629" s="6">
        <v>0.0003333333333333333</v>
      </c>
    </row>
    <row r="2630" spans="1:7">
      <c r="A2630" s="6" t="s">
        <v>290</v>
      </c>
      <c r="B2630" s="6" t="s">
        <v>53</v>
      </c>
      <c r="C2630" s="6" t="s">
        <v>189</v>
      </c>
      <c r="D2630" s="6" t="s">
        <v>86</v>
      </c>
      <c r="E2630" s="6" t="s">
        <v>86</v>
      </c>
      <c r="F2630" s="6" t="b">
        <v>0</v>
      </c>
      <c r="G2630" s="6">
        <v>0.01358333333333333</v>
      </c>
    </row>
    <row r="2631" spans="1:7">
      <c r="A2631" s="6" t="s">
        <v>360</v>
      </c>
      <c r="B2631" s="6" t="s">
        <v>52</v>
      </c>
      <c r="C2631" s="6" t="s">
        <v>186</v>
      </c>
      <c r="D2631" s="6" t="s">
        <v>86</v>
      </c>
      <c r="E2631" s="6" t="s">
        <v>86</v>
      </c>
      <c r="F2631" s="6" t="b">
        <v>0</v>
      </c>
      <c r="G2631" s="6">
        <v>90.59691666666667</v>
      </c>
    </row>
    <row r="2632" spans="1:7">
      <c r="A2632" s="6" t="s">
        <v>291</v>
      </c>
      <c r="B2632" s="6" t="s">
        <v>51</v>
      </c>
      <c r="C2632" s="6" t="s">
        <v>183</v>
      </c>
      <c r="D2632" s="6" t="s">
        <v>90</v>
      </c>
      <c r="E2632" s="6" t="s">
        <v>86</v>
      </c>
      <c r="F2632" s="6" t="b">
        <v>0</v>
      </c>
      <c r="G2632" s="6">
        <v>0.001833333333333333</v>
      </c>
    </row>
    <row r="2633" spans="1:7">
      <c r="A2633" s="6" t="s">
        <v>291</v>
      </c>
      <c r="B2633" s="6" t="s">
        <v>51</v>
      </c>
      <c r="C2633" s="6" t="s">
        <v>184</v>
      </c>
      <c r="D2633" s="6" t="s">
        <v>44</v>
      </c>
      <c r="E2633" s="6" t="s">
        <v>44</v>
      </c>
      <c r="F2633" s="6" t="b">
        <v>0</v>
      </c>
      <c r="G2633" s="6">
        <v>0.04799999999999999</v>
      </c>
    </row>
    <row r="2634" spans="1:7">
      <c r="A2634" s="6" t="s">
        <v>291</v>
      </c>
      <c r="B2634" s="6" t="s">
        <v>51</v>
      </c>
      <c r="C2634" s="6" t="s">
        <v>184</v>
      </c>
      <c r="D2634" s="6" t="s">
        <v>88</v>
      </c>
      <c r="E2634" s="6" t="s">
        <v>88</v>
      </c>
      <c r="F2634" s="6" t="b">
        <v>0</v>
      </c>
      <c r="G2634" s="6">
        <v>0.0015</v>
      </c>
    </row>
    <row r="2635" spans="1:7">
      <c r="A2635" s="6" t="s">
        <v>291</v>
      </c>
      <c r="B2635" s="6" t="s">
        <v>51</v>
      </c>
      <c r="C2635" s="6" t="s">
        <v>186</v>
      </c>
      <c r="D2635" s="6" t="s">
        <v>86</v>
      </c>
      <c r="E2635" s="6" t="s">
        <v>86</v>
      </c>
      <c r="F2635" s="6" t="b">
        <v>0</v>
      </c>
      <c r="G2635" s="6">
        <v>0.003833333333333333</v>
      </c>
    </row>
    <row r="2636" spans="1:7">
      <c r="A2636" s="6" t="s">
        <v>291</v>
      </c>
      <c r="B2636" s="6" t="s">
        <v>51</v>
      </c>
      <c r="C2636" s="6" t="s">
        <v>186</v>
      </c>
      <c r="D2636" s="6" t="s">
        <v>88</v>
      </c>
      <c r="E2636" s="6" t="s">
        <v>88</v>
      </c>
      <c r="F2636" s="6" t="b">
        <v>0</v>
      </c>
      <c r="G2636" s="6">
        <v>0.001916666666666667</v>
      </c>
    </row>
    <row r="2637" spans="1:7">
      <c r="A2637" s="6" t="s">
        <v>291</v>
      </c>
      <c r="B2637" s="6" t="s">
        <v>51</v>
      </c>
      <c r="C2637" s="6" t="s">
        <v>186</v>
      </c>
      <c r="D2637" s="6" t="s">
        <v>90</v>
      </c>
      <c r="E2637" s="6" t="s">
        <v>90</v>
      </c>
      <c r="F2637" s="6" t="b">
        <v>0</v>
      </c>
      <c r="G2637" s="6">
        <v>0.004333333333333333</v>
      </c>
    </row>
    <row r="2638" spans="1:7">
      <c r="A2638" s="6" t="s">
        <v>291</v>
      </c>
      <c r="B2638" s="6" t="s">
        <v>51</v>
      </c>
      <c r="C2638" s="6" t="s">
        <v>186</v>
      </c>
      <c r="D2638" s="6" t="s">
        <v>177</v>
      </c>
      <c r="E2638" s="6" t="s">
        <v>86</v>
      </c>
      <c r="F2638" s="6" t="b">
        <v>0</v>
      </c>
      <c r="G2638" s="6">
        <v>0.0003333333333333333</v>
      </c>
    </row>
    <row r="2639" spans="1:7">
      <c r="A2639" s="6" t="s">
        <v>291</v>
      </c>
      <c r="B2639" s="6" t="s">
        <v>51</v>
      </c>
      <c r="C2639" s="6" t="s">
        <v>189</v>
      </c>
      <c r="D2639" s="6" t="s">
        <v>86</v>
      </c>
      <c r="E2639" s="6" t="s">
        <v>86</v>
      </c>
      <c r="F2639" s="6" t="b">
        <v>0</v>
      </c>
      <c r="G2639" s="6">
        <v>0.005750000000000001</v>
      </c>
    </row>
    <row r="2640" spans="1:7">
      <c r="A2640" s="6" t="s">
        <v>292</v>
      </c>
      <c r="B2640" s="6" t="s">
        <v>54</v>
      </c>
      <c r="C2640" s="6" t="s">
        <v>181</v>
      </c>
      <c r="D2640" s="6" t="s">
        <v>88</v>
      </c>
      <c r="E2640" s="6" t="s">
        <v>88</v>
      </c>
      <c r="F2640" s="6" t="b">
        <v>0</v>
      </c>
      <c r="G2640" s="6">
        <v>7.700500000000001</v>
      </c>
    </row>
    <row r="2641" spans="1:7">
      <c r="A2641" s="6" t="s">
        <v>292</v>
      </c>
      <c r="B2641" s="6" t="s">
        <v>54</v>
      </c>
      <c r="C2641" s="6" t="s">
        <v>181</v>
      </c>
      <c r="D2641" s="6" t="s">
        <v>90</v>
      </c>
      <c r="E2641" s="6" t="s">
        <v>90</v>
      </c>
      <c r="F2641" s="6" t="b">
        <v>0</v>
      </c>
      <c r="G2641" s="6">
        <v>0.01925</v>
      </c>
    </row>
    <row r="2642" spans="1:7">
      <c r="A2642" s="6" t="s">
        <v>292</v>
      </c>
      <c r="B2642" s="6" t="s">
        <v>54</v>
      </c>
      <c r="C2642" s="6" t="s">
        <v>183</v>
      </c>
      <c r="D2642" s="6" t="s">
        <v>86</v>
      </c>
      <c r="E2642" s="6" t="s">
        <v>86</v>
      </c>
      <c r="F2642" s="6" t="b">
        <v>0</v>
      </c>
      <c r="G2642" s="6">
        <v>0.008916666666666668</v>
      </c>
    </row>
    <row r="2643" spans="1:7">
      <c r="A2643" s="6" t="s">
        <v>292</v>
      </c>
      <c r="B2643" s="6" t="s">
        <v>54</v>
      </c>
      <c r="C2643" s="6" t="s">
        <v>183</v>
      </c>
      <c r="D2643" s="6" t="s">
        <v>88</v>
      </c>
      <c r="E2643" s="6" t="s">
        <v>88</v>
      </c>
      <c r="F2643" s="6" t="b">
        <v>0</v>
      </c>
      <c r="G2643" s="6">
        <v>0.01658333333333334</v>
      </c>
    </row>
    <row r="2644" spans="1:7">
      <c r="A2644" s="6" t="s">
        <v>292</v>
      </c>
      <c r="B2644" s="6" t="s">
        <v>54</v>
      </c>
      <c r="C2644" s="6" t="s">
        <v>183</v>
      </c>
      <c r="D2644" s="6" t="s">
        <v>90</v>
      </c>
      <c r="E2644" s="6" t="s">
        <v>86</v>
      </c>
      <c r="F2644" s="6" t="b">
        <v>0</v>
      </c>
      <c r="G2644" s="6">
        <v>0.034</v>
      </c>
    </row>
    <row r="2645" spans="1:7">
      <c r="A2645" s="6" t="s">
        <v>292</v>
      </c>
      <c r="B2645" s="6" t="s">
        <v>54</v>
      </c>
      <c r="C2645" s="6" t="s">
        <v>183</v>
      </c>
      <c r="D2645" s="6" t="s">
        <v>90</v>
      </c>
      <c r="E2645" s="6" t="s">
        <v>90</v>
      </c>
      <c r="F2645" s="6" t="b">
        <v>0</v>
      </c>
      <c r="G2645" s="6">
        <v>0.03575</v>
      </c>
    </row>
    <row r="2646" spans="1:7">
      <c r="A2646" s="6" t="s">
        <v>292</v>
      </c>
      <c r="B2646" s="6" t="s">
        <v>54</v>
      </c>
      <c r="C2646" s="6" t="s">
        <v>183</v>
      </c>
      <c r="D2646" s="6" t="s">
        <v>177</v>
      </c>
      <c r="E2646" s="6" t="s">
        <v>86</v>
      </c>
      <c r="F2646" s="6" t="b">
        <v>0</v>
      </c>
      <c r="G2646" s="6">
        <v>0.007583333333333333</v>
      </c>
    </row>
    <row r="2647" spans="1:7">
      <c r="A2647" s="6" t="s">
        <v>292</v>
      </c>
      <c r="B2647" s="6" t="s">
        <v>54</v>
      </c>
      <c r="C2647" s="6" t="s">
        <v>184</v>
      </c>
      <c r="D2647" s="6" t="s">
        <v>44</v>
      </c>
      <c r="E2647" s="6" t="s">
        <v>44</v>
      </c>
      <c r="F2647" s="6" t="b">
        <v>0</v>
      </c>
      <c r="G2647" s="6">
        <v>104.7750833333333</v>
      </c>
    </row>
    <row r="2648" spans="1:7">
      <c r="A2648" s="6" t="s">
        <v>292</v>
      </c>
      <c r="B2648" s="6" t="s">
        <v>54</v>
      </c>
      <c r="C2648" s="6" t="s">
        <v>184</v>
      </c>
      <c r="D2648" s="6" t="s">
        <v>88</v>
      </c>
      <c r="E2648" s="6" t="s">
        <v>88</v>
      </c>
      <c r="F2648" s="6" t="b">
        <v>0</v>
      </c>
      <c r="G2648" s="6">
        <v>0.04266666666666667</v>
      </c>
    </row>
    <row r="2649" spans="1:7">
      <c r="A2649" s="6" t="s">
        <v>292</v>
      </c>
      <c r="B2649" s="6" t="s">
        <v>54</v>
      </c>
      <c r="C2649" s="6" t="s">
        <v>184</v>
      </c>
      <c r="D2649" s="6" t="s">
        <v>90</v>
      </c>
      <c r="E2649" s="6" t="s">
        <v>90</v>
      </c>
      <c r="F2649" s="6" t="b">
        <v>0</v>
      </c>
      <c r="G2649" s="6">
        <v>0.06008333333333334</v>
      </c>
    </row>
    <row r="2650" spans="1:7">
      <c r="A2650" s="6" t="s">
        <v>292</v>
      </c>
      <c r="B2650" s="6" t="s">
        <v>54</v>
      </c>
      <c r="C2650" s="6" t="s">
        <v>184</v>
      </c>
      <c r="D2650" s="6" t="s">
        <v>90</v>
      </c>
      <c r="E2650" s="6" t="s">
        <v>685</v>
      </c>
      <c r="F2650" s="6" t="b">
        <v>1</v>
      </c>
      <c r="G2650" s="6">
        <v>0.05525</v>
      </c>
    </row>
    <row r="2651" spans="1:7">
      <c r="A2651" s="6" t="s">
        <v>292</v>
      </c>
      <c r="B2651" s="6" t="s">
        <v>54</v>
      </c>
      <c r="C2651" s="6" t="s">
        <v>184</v>
      </c>
      <c r="D2651" s="6" t="s">
        <v>177</v>
      </c>
      <c r="E2651" s="6" t="s">
        <v>44</v>
      </c>
      <c r="F2651" s="6" t="b">
        <v>0</v>
      </c>
      <c r="G2651" s="6">
        <v>122.85375</v>
      </c>
    </row>
    <row r="2652" spans="1:7">
      <c r="A2652" s="6" t="s">
        <v>292</v>
      </c>
      <c r="B2652" s="6" t="s">
        <v>54</v>
      </c>
      <c r="C2652" s="6" t="s">
        <v>184</v>
      </c>
      <c r="D2652" s="6" t="s">
        <v>177</v>
      </c>
      <c r="E2652" s="6" t="s">
        <v>86</v>
      </c>
      <c r="F2652" s="6" t="b">
        <v>0</v>
      </c>
      <c r="G2652" s="6">
        <v>0.02675</v>
      </c>
    </row>
    <row r="2653" spans="1:7">
      <c r="A2653" s="6" t="s">
        <v>292</v>
      </c>
      <c r="B2653" s="6" t="s">
        <v>54</v>
      </c>
      <c r="C2653" s="6" t="s">
        <v>184</v>
      </c>
      <c r="D2653" s="6" t="s">
        <v>177</v>
      </c>
      <c r="E2653" s="6" t="s">
        <v>685</v>
      </c>
      <c r="F2653" s="6" t="b">
        <v>1</v>
      </c>
      <c r="G2653" s="6">
        <v>0.5460833333333334</v>
      </c>
    </row>
    <row r="2654" spans="1:7">
      <c r="A2654" s="6" t="s">
        <v>292</v>
      </c>
      <c r="B2654" s="6" t="s">
        <v>54</v>
      </c>
      <c r="C2654" s="6" t="s">
        <v>186</v>
      </c>
      <c r="D2654" s="6" t="s">
        <v>86</v>
      </c>
      <c r="E2654" s="6" t="s">
        <v>86</v>
      </c>
      <c r="F2654" s="6" t="b">
        <v>0</v>
      </c>
      <c r="G2654" s="6">
        <v>34.75741666666666</v>
      </c>
    </row>
    <row r="2655" spans="1:7">
      <c r="A2655" s="6" t="s">
        <v>292</v>
      </c>
      <c r="B2655" s="6" t="s">
        <v>54</v>
      </c>
      <c r="C2655" s="6" t="s">
        <v>186</v>
      </c>
      <c r="D2655" s="6" t="s">
        <v>88</v>
      </c>
      <c r="E2655" s="6" t="s">
        <v>88</v>
      </c>
      <c r="F2655" s="6" t="b">
        <v>0</v>
      </c>
      <c r="G2655" s="6">
        <v>0.8861666666666667</v>
      </c>
    </row>
    <row r="2656" spans="1:7">
      <c r="A2656" s="6" t="s">
        <v>292</v>
      </c>
      <c r="B2656" s="6" t="s">
        <v>54</v>
      </c>
      <c r="C2656" s="6" t="s">
        <v>186</v>
      </c>
      <c r="D2656" s="6" t="s">
        <v>90</v>
      </c>
      <c r="E2656" s="6" t="s">
        <v>90</v>
      </c>
      <c r="F2656" s="6" t="b">
        <v>0</v>
      </c>
      <c r="G2656" s="6">
        <v>13.1785</v>
      </c>
    </row>
    <row r="2657" spans="1:7">
      <c r="A2657" s="6" t="s">
        <v>292</v>
      </c>
      <c r="B2657" s="6" t="s">
        <v>54</v>
      </c>
      <c r="C2657" s="6" t="s">
        <v>186</v>
      </c>
      <c r="D2657" s="6" t="s">
        <v>177</v>
      </c>
      <c r="E2657" s="6" t="s">
        <v>86</v>
      </c>
      <c r="F2657" s="6" t="b">
        <v>0</v>
      </c>
      <c r="G2657" s="6">
        <v>0.2150833333333333</v>
      </c>
    </row>
    <row r="2658" spans="1:7">
      <c r="A2658" s="6" t="s">
        <v>292</v>
      </c>
      <c r="B2658" s="6" t="s">
        <v>54</v>
      </c>
      <c r="C2658" s="6" t="s">
        <v>189</v>
      </c>
      <c r="D2658" s="6" t="s">
        <v>86</v>
      </c>
      <c r="E2658" s="6" t="s">
        <v>86</v>
      </c>
      <c r="F2658" s="6" t="b">
        <v>0</v>
      </c>
      <c r="G2658" s="6">
        <v>0.55325</v>
      </c>
    </row>
    <row r="2659" spans="1:7">
      <c r="A2659" s="6" t="s">
        <v>292</v>
      </c>
      <c r="B2659" s="6" t="s">
        <v>54</v>
      </c>
      <c r="C2659" s="6" t="s">
        <v>189</v>
      </c>
      <c r="D2659" s="6" t="s">
        <v>88</v>
      </c>
      <c r="E2659" s="6" t="s">
        <v>88</v>
      </c>
      <c r="F2659" s="6" t="b">
        <v>0</v>
      </c>
      <c r="G2659" s="6">
        <v>4.441833333333333</v>
      </c>
    </row>
    <row r="2660" spans="1:7">
      <c r="A2660" s="6" t="s">
        <v>292</v>
      </c>
      <c r="B2660" s="6" t="s">
        <v>54</v>
      </c>
      <c r="C2660" s="6" t="s">
        <v>189</v>
      </c>
      <c r="D2660" s="6" t="s">
        <v>90</v>
      </c>
      <c r="E2660" s="6" t="s">
        <v>90</v>
      </c>
      <c r="F2660" s="6" t="b">
        <v>0</v>
      </c>
      <c r="G2660" s="6">
        <v>0.2074166666666667</v>
      </c>
    </row>
    <row r="2661" spans="1:7">
      <c r="A2661" s="6" t="s">
        <v>292</v>
      </c>
      <c r="B2661" s="6" t="s">
        <v>54</v>
      </c>
      <c r="C2661" s="6" t="s">
        <v>190</v>
      </c>
      <c r="D2661" s="6" t="s">
        <v>44</v>
      </c>
      <c r="E2661" s="6" t="s">
        <v>44</v>
      </c>
      <c r="F2661" s="6" t="b">
        <v>0</v>
      </c>
      <c r="G2661" s="6">
        <v>16.38675</v>
      </c>
    </row>
    <row r="2662" spans="1:7">
      <c r="A2662" s="6" t="s">
        <v>292</v>
      </c>
      <c r="B2662" s="6" t="s">
        <v>54</v>
      </c>
      <c r="C2662" s="6" t="s">
        <v>190</v>
      </c>
      <c r="D2662" s="6" t="s">
        <v>86</v>
      </c>
      <c r="E2662" s="6" t="s">
        <v>86</v>
      </c>
      <c r="F2662" s="6" t="b">
        <v>0</v>
      </c>
      <c r="G2662" s="6">
        <v>0.1171666666666667</v>
      </c>
    </row>
    <row r="2663" spans="1:7">
      <c r="A2663" s="6" t="s">
        <v>292</v>
      </c>
      <c r="B2663" s="6" t="s">
        <v>54</v>
      </c>
      <c r="C2663" s="6" t="s">
        <v>190</v>
      </c>
      <c r="D2663" s="6" t="s">
        <v>90</v>
      </c>
      <c r="E2663" s="6" t="s">
        <v>44</v>
      </c>
      <c r="F2663" s="6" t="b">
        <v>0</v>
      </c>
      <c r="G2663" s="6">
        <v>0.0615</v>
      </c>
    </row>
    <row r="2664" spans="1:7">
      <c r="A2664" s="6" t="s">
        <v>292</v>
      </c>
      <c r="B2664" s="6" t="s">
        <v>54</v>
      </c>
      <c r="C2664" s="6" t="s">
        <v>190</v>
      </c>
      <c r="D2664" s="6" t="s">
        <v>90</v>
      </c>
      <c r="E2664" s="6" t="s">
        <v>90</v>
      </c>
      <c r="F2664" s="6" t="b">
        <v>0</v>
      </c>
      <c r="G2664" s="6">
        <v>1.046166666666667</v>
      </c>
    </row>
    <row r="2665" spans="1:7">
      <c r="A2665" s="6" t="s">
        <v>292</v>
      </c>
      <c r="B2665" s="6" t="s">
        <v>54</v>
      </c>
      <c r="C2665" s="6" t="s">
        <v>190</v>
      </c>
      <c r="D2665" s="6" t="s">
        <v>177</v>
      </c>
      <c r="E2665" s="6" t="s">
        <v>44</v>
      </c>
      <c r="F2665" s="6" t="b">
        <v>0</v>
      </c>
      <c r="G2665" s="6">
        <v>1.948</v>
      </c>
    </row>
    <row r="2666" spans="1:7">
      <c r="A2666" s="6" t="s">
        <v>292</v>
      </c>
      <c r="B2666" s="6" t="s">
        <v>54</v>
      </c>
      <c r="C2666" s="6" t="s">
        <v>190</v>
      </c>
      <c r="D2666" s="6" t="s">
        <v>177</v>
      </c>
      <c r="E2666" s="6" t="s">
        <v>86</v>
      </c>
      <c r="F2666" s="6" t="b">
        <v>0</v>
      </c>
      <c r="G2666" s="6">
        <v>0.1303333333333333</v>
      </c>
    </row>
    <row r="2667" spans="1:7">
      <c r="A2667" s="6" t="s">
        <v>293</v>
      </c>
      <c r="B2667" s="6" t="s">
        <v>53</v>
      </c>
      <c r="C2667" s="6" t="s">
        <v>181</v>
      </c>
      <c r="D2667" s="6" t="s">
        <v>88</v>
      </c>
      <c r="E2667" s="6" t="s">
        <v>88</v>
      </c>
      <c r="F2667" s="6" t="b">
        <v>0</v>
      </c>
      <c r="G2667" s="6">
        <v>101.4409166666667</v>
      </c>
    </row>
    <row r="2668" spans="1:7">
      <c r="A2668" s="6" t="s">
        <v>293</v>
      </c>
      <c r="B2668" s="6" t="s">
        <v>53</v>
      </c>
      <c r="C2668" s="6" t="s">
        <v>181</v>
      </c>
      <c r="D2668" s="6" t="s">
        <v>90</v>
      </c>
      <c r="E2668" s="6" t="s">
        <v>90</v>
      </c>
      <c r="F2668" s="6" t="b">
        <v>0</v>
      </c>
      <c r="G2668" s="6">
        <v>0.7456666666666667</v>
      </c>
    </row>
    <row r="2669" spans="1:7">
      <c r="A2669" s="6" t="s">
        <v>293</v>
      </c>
      <c r="B2669" s="6" t="s">
        <v>53</v>
      </c>
      <c r="C2669" s="6" t="s">
        <v>183</v>
      </c>
      <c r="D2669" s="6" t="s">
        <v>86</v>
      </c>
      <c r="E2669" s="6" t="s">
        <v>86</v>
      </c>
      <c r="F2669" s="6" t="b">
        <v>0</v>
      </c>
      <c r="G2669" s="6">
        <v>0.2905</v>
      </c>
    </row>
    <row r="2670" spans="1:7">
      <c r="A2670" s="6" t="s">
        <v>293</v>
      </c>
      <c r="B2670" s="6" t="s">
        <v>53</v>
      </c>
      <c r="C2670" s="6" t="s">
        <v>183</v>
      </c>
      <c r="D2670" s="6" t="s">
        <v>88</v>
      </c>
      <c r="E2670" s="6" t="s">
        <v>88</v>
      </c>
      <c r="F2670" s="6" t="b">
        <v>0</v>
      </c>
      <c r="G2670" s="6">
        <v>5.576333333333333</v>
      </c>
    </row>
    <row r="2671" spans="1:7">
      <c r="A2671" s="6" t="s">
        <v>293</v>
      </c>
      <c r="B2671" s="6" t="s">
        <v>53</v>
      </c>
      <c r="C2671" s="6" t="s">
        <v>183</v>
      </c>
      <c r="D2671" s="6" t="s">
        <v>90</v>
      </c>
      <c r="E2671" s="6" t="s">
        <v>86</v>
      </c>
      <c r="F2671" s="6" t="b">
        <v>0</v>
      </c>
      <c r="G2671" s="6">
        <v>0.3668333333333333</v>
      </c>
    </row>
    <row r="2672" spans="1:7">
      <c r="A2672" s="6" t="s">
        <v>293</v>
      </c>
      <c r="B2672" s="6" t="s">
        <v>53</v>
      </c>
      <c r="C2672" s="6" t="s">
        <v>183</v>
      </c>
      <c r="D2672" s="6" t="s">
        <v>90</v>
      </c>
      <c r="E2672" s="6" t="s">
        <v>90</v>
      </c>
      <c r="F2672" s="6" t="b">
        <v>0</v>
      </c>
      <c r="G2672" s="6">
        <v>1.187083333333333</v>
      </c>
    </row>
    <row r="2673" spans="1:7">
      <c r="A2673" s="6" t="s">
        <v>293</v>
      </c>
      <c r="B2673" s="6" t="s">
        <v>53</v>
      </c>
      <c r="C2673" s="6" t="s">
        <v>183</v>
      </c>
      <c r="D2673" s="6" t="s">
        <v>177</v>
      </c>
      <c r="E2673" s="6" t="s">
        <v>86</v>
      </c>
      <c r="F2673" s="6" t="b">
        <v>0</v>
      </c>
      <c r="G2673" s="6">
        <v>0.04549999999999999</v>
      </c>
    </row>
    <row r="2674" spans="1:7">
      <c r="A2674" s="6" t="s">
        <v>293</v>
      </c>
      <c r="B2674" s="6" t="s">
        <v>53</v>
      </c>
      <c r="C2674" s="6" t="s">
        <v>183</v>
      </c>
      <c r="D2674" s="6" t="s">
        <v>177</v>
      </c>
      <c r="E2674" s="6" t="s">
        <v>685</v>
      </c>
      <c r="F2674" s="6" t="b">
        <v>1</v>
      </c>
      <c r="G2674" s="6">
        <v>0.21025</v>
      </c>
    </row>
    <row r="2675" spans="1:7">
      <c r="A2675" s="6" t="s">
        <v>293</v>
      </c>
      <c r="B2675" s="6" t="s">
        <v>53</v>
      </c>
      <c r="C2675" s="6" t="s">
        <v>184</v>
      </c>
      <c r="D2675" s="6" t="s">
        <v>44</v>
      </c>
      <c r="E2675" s="6" t="s">
        <v>44</v>
      </c>
      <c r="F2675" s="6" t="b">
        <v>0</v>
      </c>
      <c r="G2675" s="6">
        <v>76.62233333333333</v>
      </c>
    </row>
    <row r="2676" spans="1:7">
      <c r="A2676" s="6" t="s">
        <v>293</v>
      </c>
      <c r="B2676" s="6" t="s">
        <v>53</v>
      </c>
      <c r="C2676" s="6" t="s">
        <v>184</v>
      </c>
      <c r="D2676" s="6" t="s">
        <v>88</v>
      </c>
      <c r="E2676" s="6" t="s">
        <v>88</v>
      </c>
      <c r="F2676" s="6" t="b">
        <v>0</v>
      </c>
      <c r="G2676" s="6">
        <v>0.4224166666666667</v>
      </c>
    </row>
    <row r="2677" spans="1:7">
      <c r="A2677" s="6" t="s">
        <v>293</v>
      </c>
      <c r="B2677" s="6" t="s">
        <v>53</v>
      </c>
      <c r="C2677" s="6" t="s">
        <v>184</v>
      </c>
      <c r="D2677" s="6" t="s">
        <v>90</v>
      </c>
      <c r="E2677" s="6" t="s">
        <v>90</v>
      </c>
      <c r="F2677" s="6" t="b">
        <v>0</v>
      </c>
      <c r="G2677" s="6">
        <v>108.2213333333333</v>
      </c>
    </row>
    <row r="2678" spans="1:7">
      <c r="A2678" s="6" t="s">
        <v>293</v>
      </c>
      <c r="B2678" s="6" t="s">
        <v>53</v>
      </c>
      <c r="C2678" s="6" t="s">
        <v>184</v>
      </c>
      <c r="D2678" s="6" t="s">
        <v>90</v>
      </c>
      <c r="E2678" s="6" t="s">
        <v>685</v>
      </c>
      <c r="F2678" s="6" t="b">
        <v>1</v>
      </c>
      <c r="G2678" s="6">
        <v>0.7030833333333333</v>
      </c>
    </row>
    <row r="2679" spans="1:7">
      <c r="A2679" s="6" t="s">
        <v>293</v>
      </c>
      <c r="B2679" s="6" t="s">
        <v>53</v>
      </c>
      <c r="C2679" s="6" t="s">
        <v>184</v>
      </c>
      <c r="D2679" s="6" t="s">
        <v>177</v>
      </c>
      <c r="E2679" s="6" t="s">
        <v>44</v>
      </c>
      <c r="F2679" s="6" t="b">
        <v>0</v>
      </c>
      <c r="G2679" s="6">
        <v>63.01150000000001</v>
      </c>
    </row>
    <row r="2680" spans="1:7">
      <c r="A2680" s="6" t="s">
        <v>293</v>
      </c>
      <c r="B2680" s="6" t="s">
        <v>53</v>
      </c>
      <c r="C2680" s="6" t="s">
        <v>184</v>
      </c>
      <c r="D2680" s="6" t="s">
        <v>177</v>
      </c>
      <c r="E2680" s="6" t="s">
        <v>86</v>
      </c>
      <c r="F2680" s="6" t="b">
        <v>0</v>
      </c>
      <c r="G2680" s="6">
        <v>0.3615</v>
      </c>
    </row>
    <row r="2681" spans="1:7">
      <c r="A2681" s="6" t="s">
        <v>293</v>
      </c>
      <c r="B2681" s="6" t="s">
        <v>53</v>
      </c>
      <c r="C2681" s="6" t="s">
        <v>184</v>
      </c>
      <c r="D2681" s="6" t="s">
        <v>177</v>
      </c>
      <c r="E2681" s="6" t="s">
        <v>685</v>
      </c>
      <c r="F2681" s="6" t="b">
        <v>1</v>
      </c>
      <c r="G2681" s="6">
        <v>7.628083333333334</v>
      </c>
    </row>
    <row r="2682" spans="1:7">
      <c r="A2682" s="6" t="s">
        <v>293</v>
      </c>
      <c r="B2682" s="6" t="s">
        <v>53</v>
      </c>
      <c r="C2682" s="6" t="s">
        <v>185</v>
      </c>
      <c r="D2682" s="6" t="s">
        <v>44</v>
      </c>
      <c r="E2682" s="6" t="s">
        <v>44</v>
      </c>
      <c r="F2682" s="6" t="b">
        <v>0</v>
      </c>
      <c r="G2682" s="6">
        <v>0.0035</v>
      </c>
    </row>
    <row r="2683" spans="1:7">
      <c r="A2683" s="6" t="s">
        <v>293</v>
      </c>
      <c r="B2683" s="6" t="s">
        <v>53</v>
      </c>
      <c r="C2683" s="6" t="s">
        <v>186</v>
      </c>
      <c r="D2683" s="6" t="s">
        <v>86</v>
      </c>
      <c r="E2683" s="6" t="s">
        <v>86</v>
      </c>
      <c r="F2683" s="6" t="b">
        <v>0</v>
      </c>
      <c r="G2683" s="6">
        <v>232.2481666666667</v>
      </c>
    </row>
    <row r="2684" spans="1:7">
      <c r="A2684" s="6" t="s">
        <v>293</v>
      </c>
      <c r="B2684" s="6" t="s">
        <v>53</v>
      </c>
      <c r="C2684" s="6" t="s">
        <v>186</v>
      </c>
      <c r="D2684" s="6" t="s">
        <v>88</v>
      </c>
      <c r="E2684" s="6" t="s">
        <v>88</v>
      </c>
      <c r="F2684" s="6" t="b">
        <v>0</v>
      </c>
      <c r="G2684" s="6">
        <v>4.496666666666667</v>
      </c>
    </row>
    <row r="2685" spans="1:7">
      <c r="A2685" s="6" t="s">
        <v>293</v>
      </c>
      <c r="B2685" s="6" t="s">
        <v>53</v>
      </c>
      <c r="C2685" s="6" t="s">
        <v>186</v>
      </c>
      <c r="D2685" s="6" t="s">
        <v>90</v>
      </c>
      <c r="E2685" s="6" t="s">
        <v>86</v>
      </c>
      <c r="F2685" s="6" t="b">
        <v>0</v>
      </c>
      <c r="G2685" s="6">
        <v>0.01275</v>
      </c>
    </row>
    <row r="2686" spans="1:7">
      <c r="A2686" s="6" t="s">
        <v>293</v>
      </c>
      <c r="B2686" s="6" t="s">
        <v>53</v>
      </c>
      <c r="C2686" s="6" t="s">
        <v>186</v>
      </c>
      <c r="D2686" s="6" t="s">
        <v>90</v>
      </c>
      <c r="E2686" s="6" t="s">
        <v>90</v>
      </c>
      <c r="F2686" s="6" t="b">
        <v>0</v>
      </c>
      <c r="G2686" s="6">
        <v>300.8150833333333</v>
      </c>
    </row>
    <row r="2687" spans="1:7">
      <c r="A2687" s="6" t="s">
        <v>293</v>
      </c>
      <c r="B2687" s="6" t="s">
        <v>53</v>
      </c>
      <c r="C2687" s="6" t="s">
        <v>186</v>
      </c>
      <c r="D2687" s="6" t="s">
        <v>177</v>
      </c>
      <c r="E2687" s="6" t="s">
        <v>86</v>
      </c>
      <c r="F2687" s="6" t="b">
        <v>0</v>
      </c>
      <c r="G2687" s="6">
        <v>19.95591666666667</v>
      </c>
    </row>
    <row r="2688" spans="1:7">
      <c r="A2688" s="6" t="s">
        <v>293</v>
      </c>
      <c r="B2688" s="6" t="s">
        <v>53</v>
      </c>
      <c r="C2688" s="6" t="s">
        <v>187</v>
      </c>
      <c r="D2688" s="6" t="s">
        <v>86</v>
      </c>
      <c r="E2688" s="6" t="s">
        <v>86</v>
      </c>
      <c r="F2688" s="6" t="b">
        <v>0</v>
      </c>
      <c r="G2688" s="6">
        <v>0.06183333333333333</v>
      </c>
    </row>
    <row r="2689" spans="1:7">
      <c r="A2689" s="6" t="s">
        <v>293</v>
      </c>
      <c r="B2689" s="6" t="s">
        <v>53</v>
      </c>
      <c r="C2689" s="6" t="s">
        <v>187</v>
      </c>
      <c r="D2689" s="6" t="s">
        <v>88</v>
      </c>
      <c r="E2689" s="6" t="s">
        <v>88</v>
      </c>
      <c r="F2689" s="6" t="b">
        <v>0</v>
      </c>
      <c r="G2689" s="6">
        <v>0.003666666666666667</v>
      </c>
    </row>
    <row r="2690" spans="1:7">
      <c r="A2690" s="6" t="s">
        <v>293</v>
      </c>
      <c r="B2690" s="6" t="s">
        <v>53</v>
      </c>
      <c r="C2690" s="6" t="s">
        <v>187</v>
      </c>
      <c r="D2690" s="6" t="s">
        <v>90</v>
      </c>
      <c r="E2690" s="6" t="s">
        <v>90</v>
      </c>
      <c r="F2690" s="6" t="b">
        <v>0</v>
      </c>
      <c r="G2690" s="6">
        <v>0.5273333333333333</v>
      </c>
    </row>
    <row r="2691" spans="1:7">
      <c r="A2691" s="6" t="s">
        <v>293</v>
      </c>
      <c r="B2691" s="6" t="s">
        <v>53</v>
      </c>
      <c r="C2691" s="6" t="s">
        <v>188</v>
      </c>
      <c r="D2691" s="6" t="s">
        <v>86</v>
      </c>
      <c r="E2691" s="6" t="s">
        <v>86</v>
      </c>
      <c r="F2691" s="6" t="b">
        <v>0</v>
      </c>
      <c r="G2691" s="6">
        <v>0.0175</v>
      </c>
    </row>
    <row r="2692" spans="1:7">
      <c r="A2692" s="6" t="s">
        <v>293</v>
      </c>
      <c r="B2692" s="6" t="s">
        <v>53</v>
      </c>
      <c r="C2692" s="6" t="s">
        <v>188</v>
      </c>
      <c r="D2692" s="6" t="s">
        <v>88</v>
      </c>
      <c r="E2692" s="6" t="s">
        <v>88</v>
      </c>
      <c r="F2692" s="6" t="b">
        <v>0</v>
      </c>
      <c r="G2692" s="6">
        <v>0.22325</v>
      </c>
    </row>
    <row r="2693" spans="1:7">
      <c r="A2693" s="6" t="s">
        <v>293</v>
      </c>
      <c r="B2693" s="6" t="s">
        <v>53</v>
      </c>
      <c r="C2693" s="6" t="s">
        <v>188</v>
      </c>
      <c r="D2693" s="6" t="s">
        <v>90</v>
      </c>
      <c r="E2693" s="6" t="s">
        <v>90</v>
      </c>
      <c r="F2693" s="6" t="b">
        <v>0</v>
      </c>
      <c r="G2693" s="6">
        <v>0.04033333333333333</v>
      </c>
    </row>
    <row r="2694" spans="1:7">
      <c r="A2694" s="6" t="s">
        <v>293</v>
      </c>
      <c r="B2694" s="6" t="s">
        <v>53</v>
      </c>
      <c r="C2694" s="6" t="s">
        <v>189</v>
      </c>
      <c r="D2694" s="6" t="s">
        <v>44</v>
      </c>
      <c r="E2694" s="6" t="s">
        <v>44</v>
      </c>
      <c r="F2694" s="6" t="b">
        <v>0</v>
      </c>
      <c r="G2694" s="6">
        <v>0.008916666666666668</v>
      </c>
    </row>
    <row r="2695" spans="1:7">
      <c r="A2695" s="6" t="s">
        <v>293</v>
      </c>
      <c r="B2695" s="6" t="s">
        <v>53</v>
      </c>
      <c r="C2695" s="6" t="s">
        <v>189</v>
      </c>
      <c r="D2695" s="6" t="s">
        <v>86</v>
      </c>
      <c r="E2695" s="6" t="s">
        <v>86</v>
      </c>
      <c r="F2695" s="6" t="b">
        <v>0</v>
      </c>
      <c r="G2695" s="6">
        <v>3.611916666666666</v>
      </c>
    </row>
    <row r="2696" spans="1:7">
      <c r="A2696" s="6" t="s">
        <v>293</v>
      </c>
      <c r="B2696" s="6" t="s">
        <v>53</v>
      </c>
      <c r="C2696" s="6" t="s">
        <v>189</v>
      </c>
      <c r="D2696" s="6" t="s">
        <v>88</v>
      </c>
      <c r="E2696" s="6" t="s">
        <v>88</v>
      </c>
      <c r="F2696" s="6" t="b">
        <v>0</v>
      </c>
      <c r="G2696" s="6">
        <v>62.57091666666667</v>
      </c>
    </row>
    <row r="2697" spans="1:7">
      <c r="A2697" s="6" t="s">
        <v>293</v>
      </c>
      <c r="B2697" s="6" t="s">
        <v>53</v>
      </c>
      <c r="C2697" s="6" t="s">
        <v>189</v>
      </c>
      <c r="D2697" s="6" t="s">
        <v>90</v>
      </c>
      <c r="E2697" s="6" t="s">
        <v>90</v>
      </c>
      <c r="F2697" s="6" t="b">
        <v>0</v>
      </c>
      <c r="G2697" s="6">
        <v>15.95466666666667</v>
      </c>
    </row>
    <row r="2698" spans="1:7">
      <c r="A2698" s="6" t="s">
        <v>293</v>
      </c>
      <c r="B2698" s="6" t="s">
        <v>53</v>
      </c>
      <c r="C2698" s="6" t="s">
        <v>190</v>
      </c>
      <c r="D2698" s="6" t="s">
        <v>44</v>
      </c>
      <c r="E2698" s="6" t="s">
        <v>44</v>
      </c>
      <c r="F2698" s="6" t="b">
        <v>0</v>
      </c>
      <c r="G2698" s="6">
        <v>8.173583333333333</v>
      </c>
    </row>
    <row r="2699" spans="1:7">
      <c r="A2699" s="6" t="s">
        <v>293</v>
      </c>
      <c r="B2699" s="6" t="s">
        <v>53</v>
      </c>
      <c r="C2699" s="6" t="s">
        <v>190</v>
      </c>
      <c r="D2699" s="6" t="s">
        <v>86</v>
      </c>
      <c r="E2699" s="6" t="s">
        <v>44</v>
      </c>
      <c r="F2699" s="6" t="b">
        <v>0</v>
      </c>
      <c r="G2699" s="6">
        <v>0.041</v>
      </c>
    </row>
    <row r="2700" spans="1:7">
      <c r="A2700" s="6" t="s">
        <v>293</v>
      </c>
      <c r="B2700" s="6" t="s">
        <v>53</v>
      </c>
      <c r="C2700" s="6" t="s">
        <v>190</v>
      </c>
      <c r="D2700" s="6" t="s">
        <v>86</v>
      </c>
      <c r="E2700" s="6" t="s">
        <v>86</v>
      </c>
      <c r="F2700" s="6" t="b">
        <v>0</v>
      </c>
      <c r="G2700" s="6">
        <v>0.057</v>
      </c>
    </row>
    <row r="2701" spans="1:7">
      <c r="A2701" s="6" t="s">
        <v>293</v>
      </c>
      <c r="B2701" s="6" t="s">
        <v>53</v>
      </c>
      <c r="C2701" s="6" t="s">
        <v>190</v>
      </c>
      <c r="D2701" s="6" t="s">
        <v>88</v>
      </c>
      <c r="E2701" s="6" t="s">
        <v>88</v>
      </c>
      <c r="F2701" s="6" t="b">
        <v>0</v>
      </c>
      <c r="G2701" s="6">
        <v>0.006916666666666666</v>
      </c>
    </row>
    <row r="2702" spans="1:7">
      <c r="A2702" s="6" t="s">
        <v>293</v>
      </c>
      <c r="B2702" s="6" t="s">
        <v>53</v>
      </c>
      <c r="C2702" s="6" t="s">
        <v>190</v>
      </c>
      <c r="D2702" s="6" t="s">
        <v>90</v>
      </c>
      <c r="E2702" s="6" t="s">
        <v>44</v>
      </c>
      <c r="F2702" s="6" t="b">
        <v>0</v>
      </c>
      <c r="G2702" s="6">
        <v>0.17425</v>
      </c>
    </row>
    <row r="2703" spans="1:7">
      <c r="A2703" s="6" t="s">
        <v>293</v>
      </c>
      <c r="B2703" s="6" t="s">
        <v>53</v>
      </c>
      <c r="C2703" s="6" t="s">
        <v>190</v>
      </c>
      <c r="D2703" s="6" t="s">
        <v>90</v>
      </c>
      <c r="E2703" s="6" t="s">
        <v>90</v>
      </c>
      <c r="F2703" s="6" t="b">
        <v>0</v>
      </c>
      <c r="G2703" s="6">
        <v>2.8415</v>
      </c>
    </row>
    <row r="2704" spans="1:7">
      <c r="A2704" s="6" t="s">
        <v>293</v>
      </c>
      <c r="B2704" s="6" t="s">
        <v>53</v>
      </c>
      <c r="C2704" s="6" t="s">
        <v>190</v>
      </c>
      <c r="D2704" s="6" t="s">
        <v>177</v>
      </c>
      <c r="E2704" s="6" t="s">
        <v>44</v>
      </c>
      <c r="F2704" s="6" t="b">
        <v>0</v>
      </c>
      <c r="G2704" s="6">
        <v>1.71475</v>
      </c>
    </row>
    <row r="2705" spans="1:7">
      <c r="A2705" s="6" t="s">
        <v>293</v>
      </c>
      <c r="B2705" s="6" t="s">
        <v>53</v>
      </c>
      <c r="C2705" s="6" t="s">
        <v>190</v>
      </c>
      <c r="D2705" s="6" t="s">
        <v>177</v>
      </c>
      <c r="E2705" s="6" t="s">
        <v>86</v>
      </c>
      <c r="F2705" s="6" t="b">
        <v>0</v>
      </c>
      <c r="G2705" s="6">
        <v>0.1645833333333333</v>
      </c>
    </row>
    <row r="2706" spans="1:7">
      <c r="A2706" s="6" t="s">
        <v>293</v>
      </c>
      <c r="B2706" s="6" t="s">
        <v>53</v>
      </c>
      <c r="C2706" s="6" t="s">
        <v>190</v>
      </c>
      <c r="D2706" s="6" t="s">
        <v>177</v>
      </c>
      <c r="E2706" s="6" t="s">
        <v>685</v>
      </c>
      <c r="F2706" s="6" t="b">
        <v>1</v>
      </c>
      <c r="G2706" s="6">
        <v>0.03683333333333334</v>
      </c>
    </row>
    <row r="2707" spans="1:7">
      <c r="A2707" s="6" t="s">
        <v>293</v>
      </c>
      <c r="B2707" s="6" t="s">
        <v>53</v>
      </c>
      <c r="C2707" s="6" t="s">
        <v>190</v>
      </c>
      <c r="D2707" s="6" t="s">
        <v>92</v>
      </c>
      <c r="E2707" s="6" t="s">
        <v>92</v>
      </c>
      <c r="F2707" s="6" t="b">
        <v>0</v>
      </c>
      <c r="G2707" s="6">
        <v>0.01916666666666667</v>
      </c>
    </row>
    <row r="2708" spans="1:7">
      <c r="A2708" s="6" t="s">
        <v>371</v>
      </c>
      <c r="B2708" s="6" t="s">
        <v>55</v>
      </c>
      <c r="C2708" s="6" t="s">
        <v>181</v>
      </c>
      <c r="D2708" s="6" t="s">
        <v>88</v>
      </c>
      <c r="E2708" s="6" t="s">
        <v>88</v>
      </c>
      <c r="F2708" s="6" t="b">
        <v>0</v>
      </c>
      <c r="G2708" s="6">
        <v>0.3333333333333333</v>
      </c>
    </row>
    <row r="2709" spans="1:7">
      <c r="A2709" s="6" t="s">
        <v>371</v>
      </c>
      <c r="B2709" s="6" t="s">
        <v>55</v>
      </c>
      <c r="C2709" s="6" t="s">
        <v>183</v>
      </c>
      <c r="D2709" s="6" t="s">
        <v>88</v>
      </c>
      <c r="E2709" s="6" t="s">
        <v>88</v>
      </c>
      <c r="F2709" s="6" t="b">
        <v>0</v>
      </c>
      <c r="G2709" s="6">
        <v>0.024</v>
      </c>
    </row>
    <row r="2710" spans="1:7">
      <c r="A2710" s="6" t="s">
        <v>371</v>
      </c>
      <c r="B2710" s="6" t="s">
        <v>55</v>
      </c>
      <c r="C2710" s="6" t="s">
        <v>183</v>
      </c>
      <c r="D2710" s="6" t="s">
        <v>90</v>
      </c>
      <c r="E2710" s="6" t="s">
        <v>86</v>
      </c>
      <c r="F2710" s="6" t="b">
        <v>0</v>
      </c>
      <c r="G2710" s="6">
        <v>0.01191666666666667</v>
      </c>
    </row>
    <row r="2711" spans="1:7">
      <c r="A2711" s="6" t="s">
        <v>371</v>
      </c>
      <c r="B2711" s="6" t="s">
        <v>55</v>
      </c>
      <c r="C2711" s="6" t="s">
        <v>183</v>
      </c>
      <c r="D2711" s="6" t="s">
        <v>90</v>
      </c>
      <c r="E2711" s="6" t="s">
        <v>90</v>
      </c>
      <c r="F2711" s="6" t="b">
        <v>0</v>
      </c>
      <c r="G2711" s="6">
        <v>0.0045</v>
      </c>
    </row>
    <row r="2712" spans="1:7">
      <c r="A2712" s="6" t="s">
        <v>371</v>
      </c>
      <c r="B2712" s="6" t="s">
        <v>55</v>
      </c>
      <c r="C2712" s="6" t="s">
        <v>183</v>
      </c>
      <c r="D2712" s="6" t="s">
        <v>177</v>
      </c>
      <c r="E2712" s="6" t="s">
        <v>685</v>
      </c>
      <c r="F2712" s="6" t="b">
        <v>1</v>
      </c>
      <c r="G2712" s="6">
        <v>0.0015</v>
      </c>
    </row>
    <row r="2713" spans="1:7">
      <c r="A2713" s="6" t="s">
        <v>371</v>
      </c>
      <c r="B2713" s="6" t="s">
        <v>55</v>
      </c>
      <c r="C2713" s="6" t="s">
        <v>184</v>
      </c>
      <c r="D2713" s="6" t="s">
        <v>44</v>
      </c>
      <c r="E2713" s="6" t="s">
        <v>44</v>
      </c>
      <c r="F2713" s="6" t="b">
        <v>0</v>
      </c>
      <c r="G2713" s="6">
        <v>0.7984166666666667</v>
      </c>
    </row>
    <row r="2714" spans="1:7">
      <c r="A2714" s="6" t="s">
        <v>371</v>
      </c>
      <c r="B2714" s="6" t="s">
        <v>55</v>
      </c>
      <c r="C2714" s="6" t="s">
        <v>184</v>
      </c>
      <c r="D2714" s="6" t="s">
        <v>88</v>
      </c>
      <c r="E2714" s="6" t="s">
        <v>88</v>
      </c>
      <c r="F2714" s="6" t="b">
        <v>0</v>
      </c>
      <c r="G2714" s="6">
        <v>0.0105</v>
      </c>
    </row>
    <row r="2715" spans="1:7">
      <c r="A2715" s="6" t="s">
        <v>371</v>
      </c>
      <c r="B2715" s="6" t="s">
        <v>55</v>
      </c>
      <c r="C2715" s="6" t="s">
        <v>184</v>
      </c>
      <c r="D2715" s="6" t="s">
        <v>177</v>
      </c>
      <c r="E2715" s="6" t="s">
        <v>44</v>
      </c>
      <c r="F2715" s="6" t="b">
        <v>0</v>
      </c>
      <c r="G2715" s="6">
        <v>3.429083333333333</v>
      </c>
    </row>
    <row r="2716" spans="1:7">
      <c r="A2716" s="6" t="s">
        <v>371</v>
      </c>
      <c r="B2716" s="6" t="s">
        <v>55</v>
      </c>
      <c r="C2716" s="6" t="s">
        <v>184</v>
      </c>
      <c r="D2716" s="6" t="s">
        <v>177</v>
      </c>
      <c r="E2716" s="6" t="s">
        <v>685</v>
      </c>
      <c r="F2716" s="6" t="b">
        <v>1</v>
      </c>
      <c r="G2716" s="6">
        <v>0.21125</v>
      </c>
    </row>
    <row r="2717" spans="1:7">
      <c r="A2717" s="6" t="s">
        <v>371</v>
      </c>
      <c r="B2717" s="6" t="s">
        <v>55</v>
      </c>
      <c r="C2717" s="6" t="s">
        <v>186</v>
      </c>
      <c r="D2717" s="6" t="s">
        <v>86</v>
      </c>
      <c r="E2717" s="6" t="s">
        <v>86</v>
      </c>
      <c r="F2717" s="6" t="b">
        <v>0</v>
      </c>
      <c r="G2717" s="6">
        <v>1.21725</v>
      </c>
    </row>
    <row r="2718" spans="1:7">
      <c r="A2718" s="6" t="s">
        <v>371</v>
      </c>
      <c r="B2718" s="6" t="s">
        <v>55</v>
      </c>
      <c r="C2718" s="6" t="s">
        <v>186</v>
      </c>
      <c r="D2718" s="6" t="s">
        <v>88</v>
      </c>
      <c r="E2718" s="6" t="s">
        <v>88</v>
      </c>
      <c r="F2718" s="6" t="b">
        <v>0</v>
      </c>
      <c r="G2718" s="6">
        <v>0.03091666666666667</v>
      </c>
    </row>
    <row r="2719" spans="1:7">
      <c r="A2719" s="6" t="s">
        <v>371</v>
      </c>
      <c r="B2719" s="6" t="s">
        <v>55</v>
      </c>
      <c r="C2719" s="6" t="s">
        <v>186</v>
      </c>
      <c r="D2719" s="6" t="s">
        <v>90</v>
      </c>
      <c r="E2719" s="6" t="s">
        <v>90</v>
      </c>
      <c r="F2719" s="6" t="b">
        <v>0</v>
      </c>
      <c r="G2719" s="6">
        <v>0.3803333333333334</v>
      </c>
    </row>
    <row r="2720" spans="1:7">
      <c r="A2720" s="6" t="s">
        <v>371</v>
      </c>
      <c r="B2720" s="6" t="s">
        <v>55</v>
      </c>
      <c r="C2720" s="6" t="s">
        <v>186</v>
      </c>
      <c r="D2720" s="6" t="s">
        <v>177</v>
      </c>
      <c r="E2720" s="6" t="s">
        <v>86</v>
      </c>
      <c r="F2720" s="6" t="b">
        <v>0</v>
      </c>
      <c r="G2720" s="6">
        <v>0.012</v>
      </c>
    </row>
    <row r="2721" spans="1:7">
      <c r="A2721" s="6" t="s">
        <v>371</v>
      </c>
      <c r="B2721" s="6" t="s">
        <v>55</v>
      </c>
      <c r="C2721" s="6" t="s">
        <v>189</v>
      </c>
      <c r="D2721" s="6" t="s">
        <v>86</v>
      </c>
      <c r="E2721" s="6" t="s">
        <v>86</v>
      </c>
      <c r="F2721" s="6" t="b">
        <v>0</v>
      </c>
      <c r="G2721" s="6">
        <v>0.174</v>
      </c>
    </row>
    <row r="2722" spans="1:7">
      <c r="A2722" s="6" t="s">
        <v>371</v>
      </c>
      <c r="B2722" s="6" t="s">
        <v>55</v>
      </c>
      <c r="C2722" s="6" t="s">
        <v>189</v>
      </c>
      <c r="D2722" s="6" t="s">
        <v>88</v>
      </c>
      <c r="E2722" s="6" t="s">
        <v>88</v>
      </c>
      <c r="F2722" s="6" t="b">
        <v>0</v>
      </c>
      <c r="G2722" s="6">
        <v>0.019</v>
      </c>
    </row>
    <row r="2723" spans="1:7">
      <c r="A2723" s="6" t="s">
        <v>371</v>
      </c>
      <c r="B2723" s="6" t="s">
        <v>55</v>
      </c>
      <c r="C2723" s="6" t="s">
        <v>189</v>
      </c>
      <c r="D2723" s="6" t="s">
        <v>90</v>
      </c>
      <c r="E2723" s="6" t="s">
        <v>90</v>
      </c>
      <c r="F2723" s="6" t="b">
        <v>0</v>
      </c>
      <c r="G2723" s="6">
        <v>0.02925</v>
      </c>
    </row>
    <row r="2724" spans="1:7">
      <c r="A2724" s="6" t="s">
        <v>294</v>
      </c>
      <c r="B2724" s="6" t="s">
        <v>54</v>
      </c>
      <c r="C2724" s="6" t="s">
        <v>181</v>
      </c>
      <c r="D2724" s="6" t="s">
        <v>88</v>
      </c>
      <c r="E2724" s="6" t="s">
        <v>88</v>
      </c>
      <c r="F2724" s="6" t="b">
        <v>0</v>
      </c>
      <c r="G2724" s="6">
        <v>0.13575</v>
      </c>
    </row>
    <row r="2725" spans="1:7">
      <c r="A2725" s="6" t="s">
        <v>294</v>
      </c>
      <c r="B2725" s="6" t="s">
        <v>54</v>
      </c>
      <c r="C2725" s="6" t="s">
        <v>181</v>
      </c>
      <c r="D2725" s="6" t="s">
        <v>90</v>
      </c>
      <c r="E2725" s="6" t="s">
        <v>90</v>
      </c>
      <c r="F2725" s="6" t="b">
        <v>0</v>
      </c>
      <c r="G2725" s="6">
        <v>0.00825</v>
      </c>
    </row>
    <row r="2726" spans="1:7">
      <c r="A2726" s="6" t="s">
        <v>294</v>
      </c>
      <c r="B2726" s="6" t="s">
        <v>54</v>
      </c>
      <c r="C2726" s="6" t="s">
        <v>183</v>
      </c>
      <c r="D2726" s="6" t="s">
        <v>88</v>
      </c>
      <c r="E2726" s="6" t="s">
        <v>88</v>
      </c>
      <c r="F2726" s="6" t="b">
        <v>0</v>
      </c>
      <c r="G2726" s="6">
        <v>0.0005833333333333334</v>
      </c>
    </row>
    <row r="2727" spans="1:7">
      <c r="A2727" s="6" t="s">
        <v>294</v>
      </c>
      <c r="B2727" s="6" t="s">
        <v>54</v>
      </c>
      <c r="C2727" s="6" t="s">
        <v>183</v>
      </c>
      <c r="D2727" s="6" t="s">
        <v>90</v>
      </c>
      <c r="E2727" s="6" t="s">
        <v>90</v>
      </c>
      <c r="F2727" s="6" t="b">
        <v>0</v>
      </c>
      <c r="G2727" s="6">
        <v>0.005083333333333333</v>
      </c>
    </row>
    <row r="2728" spans="1:7">
      <c r="A2728" s="6" t="s">
        <v>294</v>
      </c>
      <c r="B2728" s="6" t="s">
        <v>54</v>
      </c>
      <c r="C2728" s="6" t="s">
        <v>184</v>
      </c>
      <c r="D2728" s="6" t="s">
        <v>44</v>
      </c>
      <c r="E2728" s="6" t="s">
        <v>44</v>
      </c>
      <c r="F2728" s="6" t="b">
        <v>0</v>
      </c>
      <c r="G2728" s="6">
        <v>0.8288333333333333</v>
      </c>
    </row>
    <row r="2729" spans="1:7">
      <c r="A2729" s="6" t="s">
        <v>294</v>
      </c>
      <c r="B2729" s="6" t="s">
        <v>54</v>
      </c>
      <c r="C2729" s="6" t="s">
        <v>184</v>
      </c>
      <c r="D2729" s="6" t="s">
        <v>88</v>
      </c>
      <c r="E2729" s="6" t="s">
        <v>88</v>
      </c>
      <c r="F2729" s="6" t="b">
        <v>0</v>
      </c>
      <c r="G2729" s="6">
        <v>0.009916666666666666</v>
      </c>
    </row>
    <row r="2730" spans="1:7">
      <c r="A2730" s="6" t="s">
        <v>294</v>
      </c>
      <c r="B2730" s="6" t="s">
        <v>54</v>
      </c>
      <c r="C2730" s="6" t="s">
        <v>184</v>
      </c>
      <c r="D2730" s="6" t="s">
        <v>90</v>
      </c>
      <c r="E2730" s="6" t="s">
        <v>90</v>
      </c>
      <c r="F2730" s="6" t="b">
        <v>0</v>
      </c>
      <c r="G2730" s="6">
        <v>0.006833333333333334</v>
      </c>
    </row>
    <row r="2731" spans="1:7">
      <c r="A2731" s="6" t="s">
        <v>294</v>
      </c>
      <c r="B2731" s="6" t="s">
        <v>54</v>
      </c>
      <c r="C2731" s="6" t="s">
        <v>184</v>
      </c>
      <c r="D2731" s="6" t="s">
        <v>177</v>
      </c>
      <c r="E2731" s="6" t="s">
        <v>44</v>
      </c>
      <c r="F2731" s="6" t="b">
        <v>0</v>
      </c>
      <c r="G2731" s="6">
        <v>0.52225</v>
      </c>
    </row>
    <row r="2732" spans="1:7">
      <c r="A2732" s="6" t="s">
        <v>294</v>
      </c>
      <c r="B2732" s="6" t="s">
        <v>54</v>
      </c>
      <c r="C2732" s="6" t="s">
        <v>184</v>
      </c>
      <c r="D2732" s="6" t="s">
        <v>177</v>
      </c>
      <c r="E2732" s="6" t="s">
        <v>86</v>
      </c>
      <c r="F2732" s="6" t="b">
        <v>0</v>
      </c>
      <c r="G2732" s="6">
        <v>0.0035</v>
      </c>
    </row>
    <row r="2733" spans="1:7">
      <c r="A2733" s="6" t="s">
        <v>294</v>
      </c>
      <c r="B2733" s="6" t="s">
        <v>54</v>
      </c>
      <c r="C2733" s="6" t="s">
        <v>184</v>
      </c>
      <c r="D2733" s="6" t="s">
        <v>177</v>
      </c>
      <c r="E2733" s="6" t="s">
        <v>685</v>
      </c>
      <c r="F2733" s="6" t="b">
        <v>1</v>
      </c>
      <c r="G2733" s="6">
        <v>0.06125</v>
      </c>
    </row>
    <row r="2734" spans="1:7">
      <c r="A2734" s="6" t="s">
        <v>294</v>
      </c>
      <c r="B2734" s="6" t="s">
        <v>54</v>
      </c>
      <c r="C2734" s="6" t="s">
        <v>186</v>
      </c>
      <c r="D2734" s="6" t="s">
        <v>86</v>
      </c>
      <c r="E2734" s="6" t="s">
        <v>86</v>
      </c>
      <c r="F2734" s="6" t="b">
        <v>0</v>
      </c>
      <c r="G2734" s="6">
        <v>0.2093333333333333</v>
      </c>
    </row>
    <row r="2735" spans="1:7">
      <c r="A2735" s="6" t="s">
        <v>294</v>
      </c>
      <c r="B2735" s="6" t="s">
        <v>54</v>
      </c>
      <c r="C2735" s="6" t="s">
        <v>186</v>
      </c>
      <c r="D2735" s="6" t="s">
        <v>88</v>
      </c>
      <c r="E2735" s="6" t="s">
        <v>88</v>
      </c>
      <c r="F2735" s="6" t="b">
        <v>0</v>
      </c>
      <c r="G2735" s="6">
        <v>0.01958333333333333</v>
      </c>
    </row>
    <row r="2736" spans="1:7">
      <c r="A2736" s="6" t="s">
        <v>294</v>
      </c>
      <c r="B2736" s="6" t="s">
        <v>54</v>
      </c>
      <c r="C2736" s="6" t="s">
        <v>186</v>
      </c>
      <c r="D2736" s="6" t="s">
        <v>90</v>
      </c>
      <c r="E2736" s="6" t="s">
        <v>90</v>
      </c>
      <c r="F2736" s="6" t="b">
        <v>0</v>
      </c>
      <c r="G2736" s="6">
        <v>0.1905833333333333</v>
      </c>
    </row>
    <row r="2737" spans="1:7">
      <c r="A2737" s="6" t="s">
        <v>294</v>
      </c>
      <c r="B2737" s="6" t="s">
        <v>54</v>
      </c>
      <c r="C2737" s="6" t="s">
        <v>186</v>
      </c>
      <c r="D2737" s="6" t="s">
        <v>177</v>
      </c>
      <c r="E2737" s="6" t="s">
        <v>86</v>
      </c>
      <c r="F2737" s="6" t="b">
        <v>0</v>
      </c>
      <c r="G2737" s="6">
        <v>0.01116666666666667</v>
      </c>
    </row>
    <row r="2738" spans="1:7">
      <c r="A2738" s="6" t="s">
        <v>294</v>
      </c>
      <c r="B2738" s="6" t="s">
        <v>54</v>
      </c>
      <c r="C2738" s="6" t="s">
        <v>189</v>
      </c>
      <c r="D2738" s="6" t="s">
        <v>86</v>
      </c>
      <c r="E2738" s="6" t="s">
        <v>86</v>
      </c>
      <c r="F2738" s="6" t="b">
        <v>0</v>
      </c>
      <c r="G2738" s="6">
        <v>0.0505</v>
      </c>
    </row>
    <row r="2739" spans="1:7">
      <c r="A2739" s="6" t="s">
        <v>294</v>
      </c>
      <c r="B2739" s="6" t="s">
        <v>54</v>
      </c>
      <c r="C2739" s="6" t="s">
        <v>189</v>
      </c>
      <c r="D2739" s="6" t="s">
        <v>88</v>
      </c>
      <c r="E2739" s="6" t="s">
        <v>88</v>
      </c>
      <c r="F2739" s="6" t="b">
        <v>0</v>
      </c>
      <c r="G2739" s="6">
        <v>0.08983333333333333</v>
      </c>
    </row>
    <row r="2740" spans="1:7">
      <c r="A2740" s="6" t="s">
        <v>295</v>
      </c>
      <c r="B2740" s="6" t="s">
        <v>53</v>
      </c>
      <c r="C2740" s="6" t="s">
        <v>181</v>
      </c>
      <c r="D2740" s="6" t="s">
        <v>88</v>
      </c>
      <c r="E2740" s="6" t="s">
        <v>88</v>
      </c>
      <c r="F2740" s="6" t="b">
        <v>0</v>
      </c>
      <c r="G2740" s="6">
        <v>5.512166666666666</v>
      </c>
    </row>
    <row r="2741" spans="1:7">
      <c r="A2741" s="6" t="s">
        <v>295</v>
      </c>
      <c r="B2741" s="6" t="s">
        <v>53</v>
      </c>
      <c r="C2741" s="6" t="s">
        <v>181</v>
      </c>
      <c r="D2741" s="6" t="s">
        <v>90</v>
      </c>
      <c r="E2741" s="6" t="s">
        <v>90</v>
      </c>
      <c r="F2741" s="6" t="b">
        <v>0</v>
      </c>
      <c r="G2741" s="6">
        <v>0.06375</v>
      </c>
    </row>
    <row r="2742" spans="1:7">
      <c r="A2742" s="6" t="s">
        <v>295</v>
      </c>
      <c r="B2742" s="6" t="s">
        <v>53</v>
      </c>
      <c r="C2742" s="6" t="s">
        <v>183</v>
      </c>
      <c r="D2742" s="6" t="s">
        <v>86</v>
      </c>
      <c r="E2742" s="6" t="s">
        <v>86</v>
      </c>
      <c r="F2742" s="6" t="b">
        <v>0</v>
      </c>
      <c r="G2742" s="6">
        <v>0.021</v>
      </c>
    </row>
    <row r="2743" spans="1:7">
      <c r="A2743" s="6" t="s">
        <v>295</v>
      </c>
      <c r="B2743" s="6" t="s">
        <v>53</v>
      </c>
      <c r="C2743" s="6" t="s">
        <v>183</v>
      </c>
      <c r="D2743" s="6" t="s">
        <v>88</v>
      </c>
      <c r="E2743" s="6" t="s">
        <v>88</v>
      </c>
      <c r="F2743" s="6" t="b">
        <v>0</v>
      </c>
      <c r="G2743" s="6">
        <v>0.2435833333333333</v>
      </c>
    </row>
    <row r="2744" spans="1:7">
      <c r="A2744" s="6" t="s">
        <v>295</v>
      </c>
      <c r="B2744" s="6" t="s">
        <v>53</v>
      </c>
      <c r="C2744" s="6" t="s">
        <v>183</v>
      </c>
      <c r="D2744" s="6" t="s">
        <v>90</v>
      </c>
      <c r="E2744" s="6" t="s">
        <v>86</v>
      </c>
      <c r="F2744" s="6" t="b">
        <v>0</v>
      </c>
      <c r="G2744" s="6">
        <v>0.1559166666666667</v>
      </c>
    </row>
    <row r="2745" spans="1:7">
      <c r="A2745" s="6" t="s">
        <v>295</v>
      </c>
      <c r="B2745" s="6" t="s">
        <v>53</v>
      </c>
      <c r="C2745" s="6" t="s">
        <v>183</v>
      </c>
      <c r="D2745" s="6" t="s">
        <v>90</v>
      </c>
      <c r="E2745" s="6" t="s">
        <v>90</v>
      </c>
      <c r="F2745" s="6" t="b">
        <v>0</v>
      </c>
      <c r="G2745" s="6">
        <v>0.1455</v>
      </c>
    </row>
    <row r="2746" spans="1:7">
      <c r="A2746" s="6" t="s">
        <v>295</v>
      </c>
      <c r="B2746" s="6" t="s">
        <v>53</v>
      </c>
      <c r="C2746" s="6" t="s">
        <v>183</v>
      </c>
      <c r="D2746" s="6" t="s">
        <v>177</v>
      </c>
      <c r="E2746" s="6" t="s">
        <v>86</v>
      </c>
      <c r="F2746" s="6" t="b">
        <v>0</v>
      </c>
      <c r="G2746" s="6">
        <v>0.0225</v>
      </c>
    </row>
    <row r="2747" spans="1:7">
      <c r="A2747" s="6" t="s">
        <v>295</v>
      </c>
      <c r="B2747" s="6" t="s">
        <v>53</v>
      </c>
      <c r="C2747" s="6" t="s">
        <v>183</v>
      </c>
      <c r="D2747" s="6" t="s">
        <v>177</v>
      </c>
      <c r="E2747" s="6" t="s">
        <v>685</v>
      </c>
      <c r="F2747" s="6" t="b">
        <v>1</v>
      </c>
      <c r="G2747" s="6">
        <v>0.003</v>
      </c>
    </row>
    <row r="2748" spans="1:7">
      <c r="A2748" s="6" t="s">
        <v>295</v>
      </c>
      <c r="B2748" s="6" t="s">
        <v>53</v>
      </c>
      <c r="C2748" s="6" t="s">
        <v>184</v>
      </c>
      <c r="D2748" s="6" t="s">
        <v>44</v>
      </c>
      <c r="E2748" s="6" t="s">
        <v>44</v>
      </c>
      <c r="F2748" s="6" t="b">
        <v>0</v>
      </c>
      <c r="G2748" s="6">
        <v>23.71258333333333</v>
      </c>
    </row>
    <row r="2749" spans="1:7">
      <c r="A2749" s="6" t="s">
        <v>295</v>
      </c>
      <c r="B2749" s="6" t="s">
        <v>53</v>
      </c>
      <c r="C2749" s="6" t="s">
        <v>184</v>
      </c>
      <c r="D2749" s="6" t="s">
        <v>88</v>
      </c>
      <c r="E2749" s="6" t="s">
        <v>88</v>
      </c>
      <c r="F2749" s="6" t="b">
        <v>0</v>
      </c>
      <c r="G2749" s="6">
        <v>0.3311666666666667</v>
      </c>
    </row>
    <row r="2750" spans="1:7">
      <c r="A2750" s="6" t="s">
        <v>295</v>
      </c>
      <c r="B2750" s="6" t="s">
        <v>53</v>
      </c>
      <c r="C2750" s="6" t="s">
        <v>184</v>
      </c>
      <c r="D2750" s="6" t="s">
        <v>90</v>
      </c>
      <c r="E2750" s="6" t="s">
        <v>90</v>
      </c>
      <c r="F2750" s="6" t="b">
        <v>0</v>
      </c>
      <c r="G2750" s="6">
        <v>0.316</v>
      </c>
    </row>
    <row r="2751" spans="1:7">
      <c r="A2751" s="6" t="s">
        <v>295</v>
      </c>
      <c r="B2751" s="6" t="s">
        <v>53</v>
      </c>
      <c r="C2751" s="6" t="s">
        <v>184</v>
      </c>
      <c r="D2751" s="6" t="s">
        <v>90</v>
      </c>
      <c r="E2751" s="6" t="s">
        <v>685</v>
      </c>
      <c r="F2751" s="6" t="b">
        <v>1</v>
      </c>
      <c r="G2751" s="6">
        <v>0.403</v>
      </c>
    </row>
    <row r="2752" spans="1:7">
      <c r="A2752" s="6" t="s">
        <v>295</v>
      </c>
      <c r="B2752" s="6" t="s">
        <v>53</v>
      </c>
      <c r="C2752" s="6" t="s">
        <v>184</v>
      </c>
      <c r="D2752" s="6" t="s">
        <v>177</v>
      </c>
      <c r="E2752" s="6" t="s">
        <v>44</v>
      </c>
      <c r="F2752" s="6" t="b">
        <v>0</v>
      </c>
      <c r="G2752" s="6">
        <v>26.27908333333333</v>
      </c>
    </row>
    <row r="2753" spans="1:7">
      <c r="A2753" s="6" t="s">
        <v>295</v>
      </c>
      <c r="B2753" s="6" t="s">
        <v>53</v>
      </c>
      <c r="C2753" s="6" t="s">
        <v>184</v>
      </c>
      <c r="D2753" s="6" t="s">
        <v>177</v>
      </c>
      <c r="E2753" s="6" t="s">
        <v>86</v>
      </c>
      <c r="F2753" s="6" t="b">
        <v>0</v>
      </c>
      <c r="G2753" s="6">
        <v>0.16425</v>
      </c>
    </row>
    <row r="2754" spans="1:7">
      <c r="A2754" s="6" t="s">
        <v>295</v>
      </c>
      <c r="B2754" s="6" t="s">
        <v>53</v>
      </c>
      <c r="C2754" s="6" t="s">
        <v>184</v>
      </c>
      <c r="D2754" s="6" t="s">
        <v>177</v>
      </c>
      <c r="E2754" s="6" t="s">
        <v>685</v>
      </c>
      <c r="F2754" s="6" t="b">
        <v>1</v>
      </c>
      <c r="G2754" s="6">
        <v>4.144083333333334</v>
      </c>
    </row>
    <row r="2755" spans="1:7">
      <c r="A2755" s="6" t="s">
        <v>295</v>
      </c>
      <c r="B2755" s="6" t="s">
        <v>53</v>
      </c>
      <c r="C2755" s="6" t="s">
        <v>186</v>
      </c>
      <c r="D2755" s="6" t="s">
        <v>86</v>
      </c>
      <c r="E2755" s="6" t="s">
        <v>86</v>
      </c>
      <c r="F2755" s="6" t="b">
        <v>0</v>
      </c>
      <c r="G2755" s="6">
        <v>8.730833333333333</v>
      </c>
    </row>
    <row r="2756" spans="1:7">
      <c r="A2756" s="6" t="s">
        <v>295</v>
      </c>
      <c r="B2756" s="6" t="s">
        <v>53</v>
      </c>
      <c r="C2756" s="6" t="s">
        <v>186</v>
      </c>
      <c r="D2756" s="6" t="s">
        <v>88</v>
      </c>
      <c r="E2756" s="6" t="s">
        <v>88</v>
      </c>
      <c r="F2756" s="6" t="b">
        <v>0</v>
      </c>
      <c r="G2756" s="6">
        <v>0.6406666666666666</v>
      </c>
    </row>
    <row r="2757" spans="1:7">
      <c r="A2757" s="6" t="s">
        <v>295</v>
      </c>
      <c r="B2757" s="6" t="s">
        <v>53</v>
      </c>
      <c r="C2757" s="6" t="s">
        <v>186</v>
      </c>
      <c r="D2757" s="6" t="s">
        <v>90</v>
      </c>
      <c r="E2757" s="6" t="s">
        <v>86</v>
      </c>
      <c r="F2757" s="6" t="b">
        <v>0</v>
      </c>
      <c r="G2757" s="6">
        <v>0.00425</v>
      </c>
    </row>
    <row r="2758" spans="1:7">
      <c r="A2758" s="6" t="s">
        <v>295</v>
      </c>
      <c r="B2758" s="6" t="s">
        <v>53</v>
      </c>
      <c r="C2758" s="6" t="s">
        <v>186</v>
      </c>
      <c r="D2758" s="6" t="s">
        <v>90</v>
      </c>
      <c r="E2758" s="6" t="s">
        <v>90</v>
      </c>
      <c r="F2758" s="6" t="b">
        <v>0</v>
      </c>
      <c r="G2758" s="6">
        <v>3.374083333333333</v>
      </c>
    </row>
    <row r="2759" spans="1:7">
      <c r="A2759" s="6" t="s">
        <v>295</v>
      </c>
      <c r="B2759" s="6" t="s">
        <v>53</v>
      </c>
      <c r="C2759" s="6" t="s">
        <v>186</v>
      </c>
      <c r="D2759" s="6" t="s">
        <v>177</v>
      </c>
      <c r="E2759" s="6" t="s">
        <v>86</v>
      </c>
      <c r="F2759" s="6" t="b">
        <v>0</v>
      </c>
      <c r="G2759" s="6">
        <v>0.1779166666666667</v>
      </c>
    </row>
    <row r="2760" spans="1:7">
      <c r="A2760" s="6" t="s">
        <v>295</v>
      </c>
      <c r="B2760" s="6" t="s">
        <v>53</v>
      </c>
      <c r="C2760" s="6" t="s">
        <v>188</v>
      </c>
      <c r="D2760" s="6" t="s">
        <v>86</v>
      </c>
      <c r="E2760" s="6" t="s">
        <v>86</v>
      </c>
      <c r="F2760" s="6" t="b">
        <v>0</v>
      </c>
      <c r="G2760" s="6">
        <v>7.008666666666667</v>
      </c>
    </row>
    <row r="2761" spans="1:7">
      <c r="A2761" s="6" t="s">
        <v>295</v>
      </c>
      <c r="B2761" s="6" t="s">
        <v>53</v>
      </c>
      <c r="C2761" s="6" t="s">
        <v>188</v>
      </c>
      <c r="D2761" s="6" t="s">
        <v>88</v>
      </c>
      <c r="E2761" s="6" t="s">
        <v>88</v>
      </c>
      <c r="F2761" s="6" t="b">
        <v>0</v>
      </c>
      <c r="G2761" s="6">
        <v>30.57308333333333</v>
      </c>
    </row>
    <row r="2762" spans="1:7">
      <c r="A2762" s="6" t="s">
        <v>295</v>
      </c>
      <c r="B2762" s="6" t="s">
        <v>53</v>
      </c>
      <c r="C2762" s="6" t="s">
        <v>189</v>
      </c>
      <c r="D2762" s="6" t="s">
        <v>86</v>
      </c>
      <c r="E2762" s="6" t="s">
        <v>86</v>
      </c>
      <c r="F2762" s="6" t="b">
        <v>0</v>
      </c>
      <c r="G2762" s="6">
        <v>5.03425</v>
      </c>
    </row>
    <row r="2763" spans="1:7">
      <c r="A2763" s="6" t="s">
        <v>295</v>
      </c>
      <c r="B2763" s="6" t="s">
        <v>53</v>
      </c>
      <c r="C2763" s="6" t="s">
        <v>189</v>
      </c>
      <c r="D2763" s="6" t="s">
        <v>88</v>
      </c>
      <c r="E2763" s="6" t="s">
        <v>88</v>
      </c>
      <c r="F2763" s="6" t="b">
        <v>0</v>
      </c>
      <c r="G2763" s="6">
        <v>7.599666666666667</v>
      </c>
    </row>
    <row r="2764" spans="1:7">
      <c r="A2764" s="6" t="s">
        <v>295</v>
      </c>
      <c r="B2764" s="6" t="s">
        <v>53</v>
      </c>
      <c r="C2764" s="6" t="s">
        <v>189</v>
      </c>
      <c r="D2764" s="6" t="s">
        <v>90</v>
      </c>
      <c r="E2764" s="6" t="s">
        <v>90</v>
      </c>
      <c r="F2764" s="6" t="b">
        <v>0</v>
      </c>
      <c r="G2764" s="6">
        <v>1.514666666666667</v>
      </c>
    </row>
    <row r="2765" spans="1:7">
      <c r="A2765" s="6" t="s">
        <v>295</v>
      </c>
      <c r="B2765" s="6" t="s">
        <v>53</v>
      </c>
      <c r="C2765" s="6" t="s">
        <v>190</v>
      </c>
      <c r="D2765" s="6" t="s">
        <v>44</v>
      </c>
      <c r="E2765" s="6" t="s">
        <v>44</v>
      </c>
      <c r="F2765" s="6" t="b">
        <v>0</v>
      </c>
      <c r="G2765" s="6">
        <v>80.27525</v>
      </c>
    </row>
    <row r="2766" spans="1:7">
      <c r="A2766" s="6" t="s">
        <v>295</v>
      </c>
      <c r="B2766" s="6" t="s">
        <v>53</v>
      </c>
      <c r="C2766" s="6" t="s">
        <v>190</v>
      </c>
      <c r="D2766" s="6" t="s">
        <v>86</v>
      </c>
      <c r="E2766" s="6" t="s">
        <v>44</v>
      </c>
      <c r="F2766" s="6" t="b">
        <v>0</v>
      </c>
      <c r="G2766" s="6">
        <v>0.246</v>
      </c>
    </row>
    <row r="2767" spans="1:7">
      <c r="A2767" s="6" t="s">
        <v>295</v>
      </c>
      <c r="B2767" s="6" t="s">
        <v>53</v>
      </c>
      <c r="C2767" s="6" t="s">
        <v>190</v>
      </c>
      <c r="D2767" s="6" t="s">
        <v>86</v>
      </c>
      <c r="E2767" s="6" t="s">
        <v>86</v>
      </c>
      <c r="F2767" s="6" t="b">
        <v>0</v>
      </c>
      <c r="G2767" s="6">
        <v>0.5921666666666666</v>
      </c>
    </row>
    <row r="2768" spans="1:7">
      <c r="A2768" s="6" t="s">
        <v>295</v>
      </c>
      <c r="B2768" s="6" t="s">
        <v>53</v>
      </c>
      <c r="C2768" s="6" t="s">
        <v>190</v>
      </c>
      <c r="D2768" s="6" t="s">
        <v>90</v>
      </c>
      <c r="E2768" s="6" t="s">
        <v>44</v>
      </c>
      <c r="F2768" s="6" t="b">
        <v>0</v>
      </c>
      <c r="G2768" s="6">
        <v>0.041</v>
      </c>
    </row>
    <row r="2769" spans="1:7">
      <c r="A2769" s="6" t="s">
        <v>295</v>
      </c>
      <c r="B2769" s="6" t="s">
        <v>53</v>
      </c>
      <c r="C2769" s="6" t="s">
        <v>190</v>
      </c>
      <c r="D2769" s="6" t="s">
        <v>90</v>
      </c>
      <c r="E2769" s="6" t="s">
        <v>90</v>
      </c>
      <c r="F2769" s="6" t="b">
        <v>0</v>
      </c>
      <c r="G2769" s="6">
        <v>2.559166666666667</v>
      </c>
    </row>
    <row r="2770" spans="1:7">
      <c r="A2770" s="6" t="s">
        <v>295</v>
      </c>
      <c r="B2770" s="6" t="s">
        <v>53</v>
      </c>
      <c r="C2770" s="6" t="s">
        <v>190</v>
      </c>
      <c r="D2770" s="6" t="s">
        <v>177</v>
      </c>
      <c r="E2770" s="6" t="s">
        <v>44</v>
      </c>
      <c r="F2770" s="6" t="b">
        <v>0</v>
      </c>
      <c r="G2770" s="6">
        <v>14.92925</v>
      </c>
    </row>
    <row r="2771" spans="1:7">
      <c r="A2771" s="6" t="s">
        <v>295</v>
      </c>
      <c r="B2771" s="6" t="s">
        <v>53</v>
      </c>
      <c r="C2771" s="6" t="s">
        <v>190</v>
      </c>
      <c r="D2771" s="6" t="s">
        <v>177</v>
      </c>
      <c r="E2771" s="6" t="s">
        <v>86</v>
      </c>
      <c r="F2771" s="6" t="b">
        <v>0</v>
      </c>
      <c r="G2771" s="6">
        <v>0.003333333333333334</v>
      </c>
    </row>
    <row r="2772" spans="1:7">
      <c r="A2772" s="6" t="s">
        <v>295</v>
      </c>
      <c r="B2772" s="6" t="s">
        <v>53</v>
      </c>
      <c r="C2772" s="6" t="s">
        <v>190</v>
      </c>
      <c r="D2772" s="6" t="s">
        <v>92</v>
      </c>
      <c r="E2772" s="6" t="s">
        <v>92</v>
      </c>
      <c r="F2772" s="6" t="b">
        <v>0</v>
      </c>
      <c r="G2772" s="6">
        <v>0.2248333333333333</v>
      </c>
    </row>
    <row r="2773" spans="1:7">
      <c r="A2773" s="6" t="s">
        <v>296</v>
      </c>
      <c r="B2773" s="6" t="s">
        <v>61</v>
      </c>
      <c r="C2773" s="6" t="s">
        <v>190</v>
      </c>
      <c r="D2773" s="6" t="s">
        <v>86</v>
      </c>
      <c r="E2773" s="6" t="s">
        <v>86</v>
      </c>
      <c r="F2773" s="6" t="b">
        <v>0</v>
      </c>
      <c r="G2773" s="6">
        <v>0.0235</v>
      </c>
    </row>
    <row r="2774" spans="1:7">
      <c r="A2774" s="6" t="s">
        <v>296</v>
      </c>
      <c r="B2774" s="6" t="s">
        <v>61</v>
      </c>
      <c r="C2774" s="6" t="s">
        <v>190</v>
      </c>
      <c r="D2774" s="6" t="s">
        <v>90</v>
      </c>
      <c r="E2774" s="6" t="s">
        <v>90</v>
      </c>
      <c r="F2774" s="6" t="b">
        <v>0</v>
      </c>
      <c r="G2774" s="6">
        <v>24.66691666666667</v>
      </c>
    </row>
    <row r="2775" spans="1:7">
      <c r="A2775" s="6" t="s">
        <v>296</v>
      </c>
      <c r="B2775" s="6" t="s">
        <v>61</v>
      </c>
      <c r="C2775" s="6" t="s">
        <v>190</v>
      </c>
      <c r="D2775" s="6" t="s">
        <v>92</v>
      </c>
      <c r="E2775" s="6" t="s">
        <v>92</v>
      </c>
      <c r="F2775" s="6" t="b">
        <v>0</v>
      </c>
      <c r="G2775" s="6">
        <v>15.191</v>
      </c>
    </row>
    <row r="2776" spans="1:7">
      <c r="A2776" s="6" t="s">
        <v>296</v>
      </c>
      <c r="B2776" s="6" t="s">
        <v>54</v>
      </c>
      <c r="C2776" s="6" t="s">
        <v>181</v>
      </c>
      <c r="D2776" s="6" t="s">
        <v>88</v>
      </c>
      <c r="E2776" s="6" t="s">
        <v>88</v>
      </c>
      <c r="F2776" s="6" t="b">
        <v>0</v>
      </c>
      <c r="G2776" s="6">
        <v>30.62825</v>
      </c>
    </row>
    <row r="2777" spans="1:7">
      <c r="A2777" s="6" t="s">
        <v>296</v>
      </c>
      <c r="B2777" s="6" t="s">
        <v>54</v>
      </c>
      <c r="C2777" s="6" t="s">
        <v>183</v>
      </c>
      <c r="D2777" s="6" t="s">
        <v>86</v>
      </c>
      <c r="E2777" s="6" t="s">
        <v>86</v>
      </c>
      <c r="F2777" s="6" t="b">
        <v>0</v>
      </c>
      <c r="G2777" s="6">
        <v>0.06533333333333334</v>
      </c>
    </row>
    <row r="2778" spans="1:7">
      <c r="A2778" s="6" t="s">
        <v>296</v>
      </c>
      <c r="B2778" s="6" t="s">
        <v>54</v>
      </c>
      <c r="C2778" s="6" t="s">
        <v>183</v>
      </c>
      <c r="D2778" s="6" t="s">
        <v>88</v>
      </c>
      <c r="E2778" s="6" t="s">
        <v>88</v>
      </c>
      <c r="F2778" s="6" t="b">
        <v>0</v>
      </c>
      <c r="G2778" s="6">
        <v>0.1666666666666667</v>
      </c>
    </row>
    <row r="2779" spans="1:7">
      <c r="A2779" s="6" t="s">
        <v>296</v>
      </c>
      <c r="B2779" s="6" t="s">
        <v>54</v>
      </c>
      <c r="C2779" s="6" t="s">
        <v>183</v>
      </c>
      <c r="D2779" s="6" t="s">
        <v>90</v>
      </c>
      <c r="E2779" s="6" t="s">
        <v>86</v>
      </c>
      <c r="F2779" s="6" t="b">
        <v>0</v>
      </c>
      <c r="G2779" s="6">
        <v>0.05316666666666667</v>
      </c>
    </row>
    <row r="2780" spans="1:7">
      <c r="A2780" s="6" t="s">
        <v>296</v>
      </c>
      <c r="B2780" s="6" t="s">
        <v>54</v>
      </c>
      <c r="C2780" s="6" t="s">
        <v>183</v>
      </c>
      <c r="D2780" s="6" t="s">
        <v>90</v>
      </c>
      <c r="E2780" s="6" t="s">
        <v>90</v>
      </c>
      <c r="F2780" s="6" t="b">
        <v>0</v>
      </c>
      <c r="G2780" s="6">
        <v>0.19075</v>
      </c>
    </row>
    <row r="2781" spans="1:7">
      <c r="A2781" s="6" t="s">
        <v>296</v>
      </c>
      <c r="B2781" s="6" t="s">
        <v>54</v>
      </c>
      <c r="C2781" s="6" t="s">
        <v>183</v>
      </c>
      <c r="D2781" s="6" t="s">
        <v>177</v>
      </c>
      <c r="E2781" s="6" t="s">
        <v>86</v>
      </c>
      <c r="F2781" s="6" t="b">
        <v>0</v>
      </c>
      <c r="G2781" s="6">
        <v>0.02383333333333333</v>
      </c>
    </row>
    <row r="2782" spans="1:7">
      <c r="A2782" s="6" t="s">
        <v>296</v>
      </c>
      <c r="B2782" s="6" t="s">
        <v>54</v>
      </c>
      <c r="C2782" s="6" t="s">
        <v>183</v>
      </c>
      <c r="D2782" s="6" t="s">
        <v>177</v>
      </c>
      <c r="E2782" s="6" t="s">
        <v>685</v>
      </c>
      <c r="F2782" s="6" t="b">
        <v>1</v>
      </c>
      <c r="G2782" s="6">
        <v>0.032</v>
      </c>
    </row>
    <row r="2783" spans="1:7">
      <c r="A2783" s="6" t="s">
        <v>296</v>
      </c>
      <c r="B2783" s="6" t="s">
        <v>54</v>
      </c>
      <c r="C2783" s="6" t="s">
        <v>184</v>
      </c>
      <c r="D2783" s="6" t="s">
        <v>44</v>
      </c>
      <c r="E2783" s="6" t="s">
        <v>44</v>
      </c>
      <c r="F2783" s="6" t="b">
        <v>0</v>
      </c>
      <c r="G2783" s="6">
        <v>135.42575</v>
      </c>
    </row>
    <row r="2784" spans="1:7">
      <c r="A2784" s="6" t="s">
        <v>296</v>
      </c>
      <c r="B2784" s="6" t="s">
        <v>54</v>
      </c>
      <c r="C2784" s="6" t="s">
        <v>184</v>
      </c>
      <c r="D2784" s="6" t="s">
        <v>88</v>
      </c>
      <c r="E2784" s="6" t="s">
        <v>88</v>
      </c>
      <c r="F2784" s="6" t="b">
        <v>0</v>
      </c>
      <c r="G2784" s="6">
        <v>0.2109166666666667</v>
      </c>
    </row>
    <row r="2785" spans="1:7">
      <c r="A2785" s="6" t="s">
        <v>296</v>
      </c>
      <c r="B2785" s="6" t="s">
        <v>54</v>
      </c>
      <c r="C2785" s="6" t="s">
        <v>184</v>
      </c>
      <c r="D2785" s="6" t="s">
        <v>90</v>
      </c>
      <c r="E2785" s="6" t="s">
        <v>90</v>
      </c>
      <c r="F2785" s="6" t="b">
        <v>0</v>
      </c>
      <c r="G2785" s="6">
        <v>0.4316666666666667</v>
      </c>
    </row>
    <row r="2786" spans="1:7">
      <c r="A2786" s="6" t="s">
        <v>296</v>
      </c>
      <c r="B2786" s="6" t="s">
        <v>54</v>
      </c>
      <c r="C2786" s="6" t="s">
        <v>184</v>
      </c>
      <c r="D2786" s="6" t="s">
        <v>177</v>
      </c>
      <c r="E2786" s="6" t="s">
        <v>44</v>
      </c>
      <c r="F2786" s="6" t="b">
        <v>0</v>
      </c>
      <c r="G2786" s="6">
        <v>170.9550833333333</v>
      </c>
    </row>
    <row r="2787" spans="1:7">
      <c r="A2787" s="6" t="s">
        <v>296</v>
      </c>
      <c r="B2787" s="6" t="s">
        <v>54</v>
      </c>
      <c r="C2787" s="6" t="s">
        <v>184</v>
      </c>
      <c r="D2787" s="6" t="s">
        <v>177</v>
      </c>
      <c r="E2787" s="6" t="s">
        <v>86</v>
      </c>
      <c r="F2787" s="6" t="b">
        <v>0</v>
      </c>
      <c r="G2787" s="6">
        <v>0.5570000000000001</v>
      </c>
    </row>
    <row r="2788" spans="1:7">
      <c r="A2788" s="6" t="s">
        <v>296</v>
      </c>
      <c r="B2788" s="6" t="s">
        <v>54</v>
      </c>
      <c r="C2788" s="6" t="s">
        <v>184</v>
      </c>
      <c r="D2788" s="6" t="s">
        <v>177</v>
      </c>
      <c r="E2788" s="6" t="s">
        <v>685</v>
      </c>
      <c r="F2788" s="6" t="b">
        <v>1</v>
      </c>
      <c r="G2788" s="6">
        <v>5.282</v>
      </c>
    </row>
    <row r="2789" spans="1:7">
      <c r="A2789" s="6" t="s">
        <v>296</v>
      </c>
      <c r="B2789" s="6" t="s">
        <v>54</v>
      </c>
      <c r="C2789" s="6" t="s">
        <v>186</v>
      </c>
      <c r="D2789" s="6" t="s">
        <v>86</v>
      </c>
      <c r="E2789" s="6" t="s">
        <v>86</v>
      </c>
      <c r="F2789" s="6" t="b">
        <v>0</v>
      </c>
      <c r="G2789" s="6">
        <v>27.58775</v>
      </c>
    </row>
    <row r="2790" spans="1:7">
      <c r="A2790" s="6" t="s">
        <v>296</v>
      </c>
      <c r="B2790" s="6" t="s">
        <v>54</v>
      </c>
      <c r="C2790" s="6" t="s">
        <v>186</v>
      </c>
      <c r="D2790" s="6" t="s">
        <v>88</v>
      </c>
      <c r="E2790" s="6" t="s">
        <v>88</v>
      </c>
      <c r="F2790" s="6" t="b">
        <v>0</v>
      </c>
      <c r="G2790" s="6">
        <v>1.149666666666667</v>
      </c>
    </row>
    <row r="2791" spans="1:7">
      <c r="A2791" s="6" t="s">
        <v>296</v>
      </c>
      <c r="B2791" s="6" t="s">
        <v>54</v>
      </c>
      <c r="C2791" s="6" t="s">
        <v>186</v>
      </c>
      <c r="D2791" s="6" t="s">
        <v>90</v>
      </c>
      <c r="E2791" s="6" t="s">
        <v>90</v>
      </c>
      <c r="F2791" s="6" t="b">
        <v>0</v>
      </c>
      <c r="G2791" s="6">
        <v>10.11375</v>
      </c>
    </row>
    <row r="2792" spans="1:7">
      <c r="A2792" s="6" t="s">
        <v>296</v>
      </c>
      <c r="B2792" s="6" t="s">
        <v>54</v>
      </c>
      <c r="C2792" s="6" t="s">
        <v>186</v>
      </c>
      <c r="D2792" s="6" t="s">
        <v>177</v>
      </c>
      <c r="E2792" s="6" t="s">
        <v>86</v>
      </c>
      <c r="F2792" s="6" t="b">
        <v>0</v>
      </c>
      <c r="G2792" s="6">
        <v>0.3738333333333333</v>
      </c>
    </row>
    <row r="2793" spans="1:7">
      <c r="A2793" s="6" t="s">
        <v>296</v>
      </c>
      <c r="B2793" s="6" t="s">
        <v>54</v>
      </c>
      <c r="C2793" s="6" t="s">
        <v>189</v>
      </c>
      <c r="D2793" s="6" t="s">
        <v>86</v>
      </c>
      <c r="E2793" s="6" t="s">
        <v>86</v>
      </c>
      <c r="F2793" s="6" t="b">
        <v>0</v>
      </c>
      <c r="G2793" s="6">
        <v>3.699666666666667</v>
      </c>
    </row>
    <row r="2794" spans="1:7">
      <c r="A2794" s="6" t="s">
        <v>296</v>
      </c>
      <c r="B2794" s="6" t="s">
        <v>54</v>
      </c>
      <c r="C2794" s="6" t="s">
        <v>189</v>
      </c>
      <c r="D2794" s="6" t="s">
        <v>88</v>
      </c>
      <c r="E2794" s="6" t="s">
        <v>88</v>
      </c>
      <c r="F2794" s="6" t="b">
        <v>0</v>
      </c>
      <c r="G2794" s="6">
        <v>5.323416666666667</v>
      </c>
    </row>
    <row r="2795" spans="1:7">
      <c r="A2795" s="6" t="s">
        <v>296</v>
      </c>
      <c r="B2795" s="6" t="s">
        <v>54</v>
      </c>
      <c r="C2795" s="6" t="s">
        <v>189</v>
      </c>
      <c r="D2795" s="6" t="s">
        <v>90</v>
      </c>
      <c r="E2795" s="6" t="s">
        <v>90</v>
      </c>
      <c r="F2795" s="6" t="b">
        <v>0</v>
      </c>
      <c r="G2795" s="6">
        <v>1.269416666666667</v>
      </c>
    </row>
    <row r="2796" spans="1:7">
      <c r="A2796" s="6" t="s">
        <v>296</v>
      </c>
      <c r="B2796" s="6" t="s">
        <v>54</v>
      </c>
      <c r="C2796" s="6" t="s">
        <v>190</v>
      </c>
      <c r="D2796" s="6" t="s">
        <v>44</v>
      </c>
      <c r="E2796" s="6" t="s">
        <v>44</v>
      </c>
      <c r="F2796" s="6" t="b">
        <v>0</v>
      </c>
      <c r="G2796" s="6">
        <v>152.9176666666667</v>
      </c>
    </row>
    <row r="2797" spans="1:7">
      <c r="A2797" s="6" t="s">
        <v>296</v>
      </c>
      <c r="B2797" s="6" t="s">
        <v>54</v>
      </c>
      <c r="C2797" s="6" t="s">
        <v>190</v>
      </c>
      <c r="D2797" s="6" t="s">
        <v>86</v>
      </c>
      <c r="E2797" s="6" t="s">
        <v>44</v>
      </c>
      <c r="F2797" s="6" t="b">
        <v>0</v>
      </c>
      <c r="G2797" s="6">
        <v>1.769833333333333</v>
      </c>
    </row>
    <row r="2798" spans="1:7">
      <c r="A2798" s="6" t="s">
        <v>296</v>
      </c>
      <c r="B2798" s="6" t="s">
        <v>54</v>
      </c>
      <c r="C2798" s="6" t="s">
        <v>190</v>
      </c>
      <c r="D2798" s="6" t="s">
        <v>86</v>
      </c>
      <c r="E2798" s="6" t="s">
        <v>86</v>
      </c>
      <c r="F2798" s="6" t="b">
        <v>0</v>
      </c>
      <c r="G2798" s="6">
        <v>1.000833333333333</v>
      </c>
    </row>
    <row r="2799" spans="1:7">
      <c r="A2799" s="6" t="s">
        <v>296</v>
      </c>
      <c r="B2799" s="6" t="s">
        <v>54</v>
      </c>
      <c r="C2799" s="6" t="s">
        <v>190</v>
      </c>
      <c r="D2799" s="6" t="s">
        <v>88</v>
      </c>
      <c r="E2799" s="6" t="s">
        <v>88</v>
      </c>
      <c r="F2799" s="6" t="b">
        <v>0</v>
      </c>
      <c r="G2799" s="6">
        <v>0.017</v>
      </c>
    </row>
    <row r="2800" spans="1:7">
      <c r="A2800" s="6" t="s">
        <v>296</v>
      </c>
      <c r="B2800" s="6" t="s">
        <v>54</v>
      </c>
      <c r="C2800" s="6" t="s">
        <v>190</v>
      </c>
      <c r="D2800" s="6" t="s">
        <v>90</v>
      </c>
      <c r="E2800" s="6" t="s">
        <v>44</v>
      </c>
      <c r="F2800" s="6" t="b">
        <v>0</v>
      </c>
      <c r="G2800" s="6">
        <v>1.305166666666667</v>
      </c>
    </row>
    <row r="2801" spans="1:7">
      <c r="A2801" s="6" t="s">
        <v>296</v>
      </c>
      <c r="B2801" s="6" t="s">
        <v>54</v>
      </c>
      <c r="C2801" s="6" t="s">
        <v>190</v>
      </c>
      <c r="D2801" s="6" t="s">
        <v>90</v>
      </c>
      <c r="E2801" s="6" t="s">
        <v>90</v>
      </c>
      <c r="F2801" s="6" t="b">
        <v>0</v>
      </c>
      <c r="G2801" s="6">
        <v>12.40625</v>
      </c>
    </row>
    <row r="2802" spans="1:7">
      <c r="A2802" s="6" t="s">
        <v>296</v>
      </c>
      <c r="B2802" s="6" t="s">
        <v>54</v>
      </c>
      <c r="C2802" s="6" t="s">
        <v>190</v>
      </c>
      <c r="D2802" s="6" t="s">
        <v>177</v>
      </c>
      <c r="E2802" s="6" t="s">
        <v>44</v>
      </c>
      <c r="F2802" s="6" t="b">
        <v>0</v>
      </c>
      <c r="G2802" s="6">
        <v>41.59408333333334</v>
      </c>
    </row>
    <row r="2803" spans="1:7">
      <c r="A2803" s="6" t="s">
        <v>296</v>
      </c>
      <c r="B2803" s="6" t="s">
        <v>54</v>
      </c>
      <c r="C2803" s="6" t="s">
        <v>190</v>
      </c>
      <c r="D2803" s="6" t="s">
        <v>177</v>
      </c>
      <c r="E2803" s="6" t="s">
        <v>86</v>
      </c>
      <c r="F2803" s="6" t="b">
        <v>0</v>
      </c>
      <c r="G2803" s="6">
        <v>13.63625</v>
      </c>
    </row>
    <row r="2804" spans="1:7">
      <c r="A2804" s="6" t="s">
        <v>296</v>
      </c>
      <c r="B2804" s="6" t="s">
        <v>54</v>
      </c>
      <c r="C2804" s="6" t="s">
        <v>190</v>
      </c>
      <c r="D2804" s="6" t="s">
        <v>177</v>
      </c>
      <c r="E2804" s="6" t="s">
        <v>685</v>
      </c>
      <c r="F2804" s="6" t="b">
        <v>1</v>
      </c>
      <c r="G2804" s="6">
        <v>4.975333333333333</v>
      </c>
    </row>
    <row r="2805" spans="1:7">
      <c r="A2805" s="6" t="s">
        <v>296</v>
      </c>
      <c r="B2805" s="6" t="s">
        <v>54</v>
      </c>
      <c r="C2805" s="6" t="s">
        <v>190</v>
      </c>
      <c r="D2805" s="6" t="s">
        <v>92</v>
      </c>
      <c r="E2805" s="6" t="s">
        <v>92</v>
      </c>
      <c r="F2805" s="6" t="b">
        <v>0</v>
      </c>
      <c r="G2805" s="6">
        <v>0.5643333333333334</v>
      </c>
    </row>
    <row r="2806" spans="1:7">
      <c r="A2806" s="6" t="s">
        <v>297</v>
      </c>
      <c r="B2806" s="6" t="s">
        <v>52</v>
      </c>
      <c r="C2806" s="6" t="s">
        <v>181</v>
      </c>
      <c r="D2806" s="6" t="s">
        <v>88</v>
      </c>
      <c r="E2806" s="6" t="s">
        <v>88</v>
      </c>
      <c r="F2806" s="6" t="b">
        <v>0</v>
      </c>
      <c r="G2806" s="6">
        <v>0.6886666666666666</v>
      </c>
    </row>
    <row r="2807" spans="1:7">
      <c r="A2807" s="6" t="s">
        <v>297</v>
      </c>
      <c r="B2807" s="6" t="s">
        <v>52</v>
      </c>
      <c r="C2807" s="6" t="s">
        <v>184</v>
      </c>
      <c r="D2807" s="6" t="s">
        <v>44</v>
      </c>
      <c r="E2807" s="6" t="s">
        <v>44</v>
      </c>
      <c r="F2807" s="6" t="b">
        <v>0</v>
      </c>
      <c r="G2807" s="6">
        <v>11.19316666666666</v>
      </c>
    </row>
    <row r="2808" spans="1:7">
      <c r="A2808" s="6" t="s">
        <v>297</v>
      </c>
      <c r="B2808" s="6" t="s">
        <v>52</v>
      </c>
      <c r="C2808" s="6" t="s">
        <v>184</v>
      </c>
      <c r="D2808" s="6" t="s">
        <v>44</v>
      </c>
      <c r="E2808" s="6" t="s">
        <v>685</v>
      </c>
      <c r="F2808" s="6" t="b">
        <v>1</v>
      </c>
      <c r="G2808" s="6">
        <v>2.29875</v>
      </c>
    </row>
    <row r="2809" spans="1:7">
      <c r="A2809" s="6" t="s">
        <v>297</v>
      </c>
      <c r="B2809" s="6" t="s">
        <v>52</v>
      </c>
      <c r="C2809" s="6" t="s">
        <v>184</v>
      </c>
      <c r="D2809" s="6" t="s">
        <v>177</v>
      </c>
      <c r="E2809" s="6" t="s">
        <v>685</v>
      </c>
      <c r="F2809" s="6" t="b">
        <v>1</v>
      </c>
      <c r="G2809" s="6">
        <v>0.16125</v>
      </c>
    </row>
    <row r="2810" spans="1:7">
      <c r="A2810" s="6" t="s">
        <v>297</v>
      </c>
      <c r="B2810" s="6" t="s">
        <v>52</v>
      </c>
      <c r="C2810" s="6" t="s">
        <v>186</v>
      </c>
      <c r="D2810" s="6" t="s">
        <v>86</v>
      </c>
      <c r="E2810" s="6" t="s">
        <v>86</v>
      </c>
      <c r="F2810" s="6" t="b">
        <v>0</v>
      </c>
      <c r="G2810" s="6">
        <v>13.51283333333333</v>
      </c>
    </row>
    <row r="2811" spans="1:7">
      <c r="A2811" s="6" t="s">
        <v>297</v>
      </c>
      <c r="B2811" s="6" t="s">
        <v>52</v>
      </c>
      <c r="C2811" s="6" t="s">
        <v>186</v>
      </c>
      <c r="D2811" s="6" t="s">
        <v>88</v>
      </c>
      <c r="E2811" s="6" t="s">
        <v>88</v>
      </c>
      <c r="F2811" s="6" t="b">
        <v>0</v>
      </c>
      <c r="G2811" s="6">
        <v>0.2019166666666667</v>
      </c>
    </row>
    <row r="2812" spans="1:7">
      <c r="A2812" s="6" t="s">
        <v>297</v>
      </c>
      <c r="B2812" s="6" t="s">
        <v>52</v>
      </c>
      <c r="C2812" s="6" t="s">
        <v>186</v>
      </c>
      <c r="D2812" s="6" t="s">
        <v>90</v>
      </c>
      <c r="E2812" s="6" t="s">
        <v>86</v>
      </c>
      <c r="F2812" s="6" t="b">
        <v>0</v>
      </c>
      <c r="G2812" s="6">
        <v>0.016</v>
      </c>
    </row>
    <row r="2813" spans="1:7">
      <c r="A2813" s="6" t="s">
        <v>297</v>
      </c>
      <c r="B2813" s="6" t="s">
        <v>52</v>
      </c>
      <c r="C2813" s="6" t="s">
        <v>186</v>
      </c>
      <c r="D2813" s="6" t="s">
        <v>90</v>
      </c>
      <c r="E2813" s="6" t="s">
        <v>90</v>
      </c>
      <c r="F2813" s="6" t="b">
        <v>0</v>
      </c>
      <c r="G2813" s="6">
        <v>0.04833333333333334</v>
      </c>
    </row>
    <row r="2814" spans="1:7">
      <c r="A2814" s="6" t="s">
        <v>297</v>
      </c>
      <c r="B2814" s="6" t="s">
        <v>52</v>
      </c>
      <c r="C2814" s="6" t="s">
        <v>186</v>
      </c>
      <c r="D2814" s="6" t="s">
        <v>177</v>
      </c>
      <c r="E2814" s="6" t="s">
        <v>86</v>
      </c>
      <c r="F2814" s="6" t="b">
        <v>0</v>
      </c>
      <c r="G2814" s="6">
        <v>0.07466666666666667</v>
      </c>
    </row>
    <row r="2815" spans="1:7">
      <c r="A2815" s="6" t="s">
        <v>297</v>
      </c>
      <c r="B2815" s="6" t="s">
        <v>52</v>
      </c>
      <c r="C2815" s="6" t="s">
        <v>189</v>
      </c>
      <c r="D2815" s="6" t="s">
        <v>86</v>
      </c>
      <c r="E2815" s="6" t="s">
        <v>86</v>
      </c>
      <c r="F2815" s="6" t="b">
        <v>0</v>
      </c>
      <c r="G2815" s="6">
        <v>0.2485</v>
      </c>
    </row>
    <row r="2816" spans="1:7">
      <c r="A2816" s="6" t="s">
        <v>297</v>
      </c>
      <c r="B2816" s="6" t="s">
        <v>52</v>
      </c>
      <c r="C2816" s="6" t="s">
        <v>189</v>
      </c>
      <c r="D2816" s="6" t="s">
        <v>88</v>
      </c>
      <c r="E2816" s="6" t="s">
        <v>88</v>
      </c>
      <c r="F2816" s="6" t="b">
        <v>0</v>
      </c>
      <c r="G2816" s="6">
        <v>0.06291666666666666</v>
      </c>
    </row>
    <row r="2817" spans="1:7">
      <c r="A2817" s="6" t="s">
        <v>298</v>
      </c>
      <c r="B2817" s="6" t="s">
        <v>56</v>
      </c>
      <c r="C2817" s="6" t="s">
        <v>181</v>
      </c>
      <c r="D2817" s="6" t="s">
        <v>88</v>
      </c>
      <c r="E2817" s="6" t="s">
        <v>88</v>
      </c>
      <c r="F2817" s="6" t="b">
        <v>0</v>
      </c>
      <c r="G2817" s="6">
        <v>19.11025</v>
      </c>
    </row>
    <row r="2818" spans="1:7">
      <c r="A2818" s="6" t="s">
        <v>298</v>
      </c>
      <c r="B2818" s="6" t="s">
        <v>56</v>
      </c>
      <c r="C2818" s="6" t="s">
        <v>183</v>
      </c>
      <c r="D2818" s="6" t="s">
        <v>86</v>
      </c>
      <c r="E2818" s="6" t="s">
        <v>86</v>
      </c>
      <c r="F2818" s="6" t="b">
        <v>0</v>
      </c>
      <c r="G2818" s="6">
        <v>0.0075</v>
      </c>
    </row>
    <row r="2819" spans="1:7">
      <c r="A2819" s="6" t="s">
        <v>298</v>
      </c>
      <c r="B2819" s="6" t="s">
        <v>56</v>
      </c>
      <c r="C2819" s="6" t="s">
        <v>183</v>
      </c>
      <c r="D2819" s="6" t="s">
        <v>88</v>
      </c>
      <c r="E2819" s="6" t="s">
        <v>88</v>
      </c>
      <c r="F2819" s="6" t="b">
        <v>0</v>
      </c>
      <c r="G2819" s="6">
        <v>0.3641666666666667</v>
      </c>
    </row>
    <row r="2820" spans="1:7">
      <c r="A2820" s="6" t="s">
        <v>298</v>
      </c>
      <c r="B2820" s="6" t="s">
        <v>56</v>
      </c>
      <c r="C2820" s="6" t="s">
        <v>183</v>
      </c>
      <c r="D2820" s="6" t="s">
        <v>90</v>
      </c>
      <c r="E2820" s="6" t="s">
        <v>86</v>
      </c>
      <c r="F2820" s="6" t="b">
        <v>0</v>
      </c>
      <c r="G2820" s="6">
        <v>0.3295833333333333</v>
      </c>
    </row>
    <row r="2821" spans="1:7">
      <c r="A2821" s="6" t="s">
        <v>298</v>
      </c>
      <c r="B2821" s="6" t="s">
        <v>56</v>
      </c>
      <c r="C2821" s="6" t="s">
        <v>183</v>
      </c>
      <c r="D2821" s="6" t="s">
        <v>90</v>
      </c>
      <c r="E2821" s="6" t="s">
        <v>90</v>
      </c>
      <c r="F2821" s="6" t="b">
        <v>0</v>
      </c>
      <c r="G2821" s="6">
        <v>0.09658333333333334</v>
      </c>
    </row>
    <row r="2822" spans="1:7">
      <c r="A2822" s="6" t="s">
        <v>298</v>
      </c>
      <c r="B2822" s="6" t="s">
        <v>56</v>
      </c>
      <c r="C2822" s="6" t="s">
        <v>183</v>
      </c>
      <c r="D2822" s="6" t="s">
        <v>177</v>
      </c>
      <c r="E2822" s="6" t="s">
        <v>86</v>
      </c>
      <c r="F2822" s="6" t="b">
        <v>0</v>
      </c>
      <c r="G2822" s="6">
        <v>0.03466666666666667</v>
      </c>
    </row>
    <row r="2823" spans="1:7">
      <c r="A2823" s="6" t="s">
        <v>298</v>
      </c>
      <c r="B2823" s="6" t="s">
        <v>56</v>
      </c>
      <c r="C2823" s="6" t="s">
        <v>183</v>
      </c>
      <c r="D2823" s="6" t="s">
        <v>177</v>
      </c>
      <c r="E2823" s="6" t="s">
        <v>685</v>
      </c>
      <c r="F2823" s="6" t="b">
        <v>1</v>
      </c>
      <c r="G2823" s="6">
        <v>0.0075</v>
      </c>
    </row>
    <row r="2824" spans="1:7">
      <c r="A2824" s="6" t="s">
        <v>298</v>
      </c>
      <c r="B2824" s="6" t="s">
        <v>56</v>
      </c>
      <c r="C2824" s="6" t="s">
        <v>184</v>
      </c>
      <c r="D2824" s="6" t="s">
        <v>44</v>
      </c>
      <c r="E2824" s="6" t="s">
        <v>44</v>
      </c>
      <c r="F2824" s="6" t="b">
        <v>0</v>
      </c>
      <c r="G2824" s="6">
        <v>205.9428333333333</v>
      </c>
    </row>
    <row r="2825" spans="1:7">
      <c r="A2825" s="6" t="s">
        <v>298</v>
      </c>
      <c r="B2825" s="6" t="s">
        <v>56</v>
      </c>
      <c r="C2825" s="6" t="s">
        <v>184</v>
      </c>
      <c r="D2825" s="6" t="s">
        <v>88</v>
      </c>
      <c r="E2825" s="6" t="s">
        <v>88</v>
      </c>
      <c r="F2825" s="6" t="b">
        <v>0</v>
      </c>
      <c r="G2825" s="6">
        <v>0.2351666666666667</v>
      </c>
    </row>
    <row r="2826" spans="1:7">
      <c r="A2826" s="6" t="s">
        <v>298</v>
      </c>
      <c r="B2826" s="6" t="s">
        <v>56</v>
      </c>
      <c r="C2826" s="6" t="s">
        <v>184</v>
      </c>
      <c r="D2826" s="6" t="s">
        <v>90</v>
      </c>
      <c r="E2826" s="6" t="s">
        <v>90</v>
      </c>
      <c r="F2826" s="6" t="b">
        <v>0</v>
      </c>
      <c r="G2826" s="6">
        <v>0.5756666666666667</v>
      </c>
    </row>
    <row r="2827" spans="1:7">
      <c r="A2827" s="6" t="s">
        <v>298</v>
      </c>
      <c r="B2827" s="6" t="s">
        <v>56</v>
      </c>
      <c r="C2827" s="6" t="s">
        <v>184</v>
      </c>
      <c r="D2827" s="6" t="s">
        <v>90</v>
      </c>
      <c r="E2827" s="6" t="s">
        <v>685</v>
      </c>
      <c r="F2827" s="6" t="b">
        <v>1</v>
      </c>
      <c r="G2827" s="6">
        <v>0.5773333333333334</v>
      </c>
    </row>
    <row r="2828" spans="1:7">
      <c r="A2828" s="6" t="s">
        <v>298</v>
      </c>
      <c r="B2828" s="6" t="s">
        <v>56</v>
      </c>
      <c r="C2828" s="6" t="s">
        <v>184</v>
      </c>
      <c r="D2828" s="6" t="s">
        <v>177</v>
      </c>
      <c r="E2828" s="6" t="s">
        <v>44</v>
      </c>
      <c r="F2828" s="6" t="b">
        <v>0</v>
      </c>
      <c r="G2828" s="6">
        <v>119.40275</v>
      </c>
    </row>
    <row r="2829" spans="1:7">
      <c r="A2829" s="6" t="s">
        <v>298</v>
      </c>
      <c r="B2829" s="6" t="s">
        <v>56</v>
      </c>
      <c r="C2829" s="6" t="s">
        <v>184</v>
      </c>
      <c r="D2829" s="6" t="s">
        <v>177</v>
      </c>
      <c r="E2829" s="6" t="s">
        <v>86</v>
      </c>
      <c r="F2829" s="6" t="b">
        <v>0</v>
      </c>
      <c r="G2829" s="6">
        <v>0.2045</v>
      </c>
    </row>
    <row r="2830" spans="1:7">
      <c r="A2830" s="6" t="s">
        <v>298</v>
      </c>
      <c r="B2830" s="6" t="s">
        <v>56</v>
      </c>
      <c r="C2830" s="6" t="s">
        <v>184</v>
      </c>
      <c r="D2830" s="6" t="s">
        <v>177</v>
      </c>
      <c r="E2830" s="6" t="s">
        <v>685</v>
      </c>
      <c r="F2830" s="6" t="b">
        <v>1</v>
      </c>
      <c r="G2830" s="6">
        <v>2.108</v>
      </c>
    </row>
    <row r="2831" spans="1:7">
      <c r="A2831" s="6" t="s">
        <v>298</v>
      </c>
      <c r="B2831" s="6" t="s">
        <v>56</v>
      </c>
      <c r="C2831" s="6" t="s">
        <v>186</v>
      </c>
      <c r="D2831" s="6" t="s">
        <v>86</v>
      </c>
      <c r="E2831" s="6" t="s">
        <v>86</v>
      </c>
      <c r="F2831" s="6" t="b">
        <v>0</v>
      </c>
      <c r="G2831" s="6">
        <v>37.3905</v>
      </c>
    </row>
    <row r="2832" spans="1:7">
      <c r="A2832" s="6" t="s">
        <v>298</v>
      </c>
      <c r="B2832" s="6" t="s">
        <v>56</v>
      </c>
      <c r="C2832" s="6" t="s">
        <v>186</v>
      </c>
      <c r="D2832" s="6" t="s">
        <v>88</v>
      </c>
      <c r="E2832" s="6" t="s">
        <v>88</v>
      </c>
      <c r="F2832" s="6" t="b">
        <v>0</v>
      </c>
      <c r="G2832" s="6">
        <v>2.9145</v>
      </c>
    </row>
    <row r="2833" spans="1:7">
      <c r="A2833" s="6" t="s">
        <v>298</v>
      </c>
      <c r="B2833" s="6" t="s">
        <v>56</v>
      </c>
      <c r="C2833" s="6" t="s">
        <v>186</v>
      </c>
      <c r="D2833" s="6" t="s">
        <v>90</v>
      </c>
      <c r="E2833" s="6" t="s">
        <v>86</v>
      </c>
      <c r="F2833" s="6" t="b">
        <v>0</v>
      </c>
      <c r="G2833" s="6">
        <v>0.005666666666666667</v>
      </c>
    </row>
    <row r="2834" spans="1:7">
      <c r="A2834" s="6" t="s">
        <v>298</v>
      </c>
      <c r="B2834" s="6" t="s">
        <v>56</v>
      </c>
      <c r="C2834" s="6" t="s">
        <v>186</v>
      </c>
      <c r="D2834" s="6" t="s">
        <v>90</v>
      </c>
      <c r="E2834" s="6" t="s">
        <v>90</v>
      </c>
      <c r="F2834" s="6" t="b">
        <v>0</v>
      </c>
      <c r="G2834" s="6">
        <v>13.74266666666667</v>
      </c>
    </row>
    <row r="2835" spans="1:7">
      <c r="A2835" s="6" t="s">
        <v>298</v>
      </c>
      <c r="B2835" s="6" t="s">
        <v>56</v>
      </c>
      <c r="C2835" s="6" t="s">
        <v>186</v>
      </c>
      <c r="D2835" s="6" t="s">
        <v>177</v>
      </c>
      <c r="E2835" s="6" t="s">
        <v>86</v>
      </c>
      <c r="F2835" s="6" t="b">
        <v>0</v>
      </c>
      <c r="G2835" s="6">
        <v>0.4383333333333333</v>
      </c>
    </row>
    <row r="2836" spans="1:7">
      <c r="A2836" s="6" t="s">
        <v>298</v>
      </c>
      <c r="B2836" s="6" t="s">
        <v>56</v>
      </c>
      <c r="C2836" s="6" t="s">
        <v>189</v>
      </c>
      <c r="D2836" s="6" t="s">
        <v>86</v>
      </c>
      <c r="E2836" s="6" t="s">
        <v>86</v>
      </c>
      <c r="F2836" s="6" t="b">
        <v>0</v>
      </c>
      <c r="G2836" s="6">
        <v>2.611166666666667</v>
      </c>
    </row>
    <row r="2837" spans="1:7">
      <c r="A2837" s="6" t="s">
        <v>298</v>
      </c>
      <c r="B2837" s="6" t="s">
        <v>56</v>
      </c>
      <c r="C2837" s="6" t="s">
        <v>189</v>
      </c>
      <c r="D2837" s="6" t="s">
        <v>88</v>
      </c>
      <c r="E2837" s="6" t="s">
        <v>88</v>
      </c>
      <c r="F2837" s="6" t="b">
        <v>0</v>
      </c>
      <c r="G2837" s="6">
        <v>1.871166666666667</v>
      </c>
    </row>
    <row r="2838" spans="1:7">
      <c r="A2838" s="6" t="s">
        <v>298</v>
      </c>
      <c r="B2838" s="6" t="s">
        <v>56</v>
      </c>
      <c r="C2838" s="6" t="s">
        <v>189</v>
      </c>
      <c r="D2838" s="6" t="s">
        <v>90</v>
      </c>
      <c r="E2838" s="6" t="s">
        <v>90</v>
      </c>
      <c r="F2838" s="6" t="b">
        <v>0</v>
      </c>
      <c r="G2838" s="6">
        <v>0.473</v>
      </c>
    </row>
    <row r="2839" spans="1:7">
      <c r="A2839" s="6" t="s">
        <v>298</v>
      </c>
      <c r="B2839" s="6" t="s">
        <v>56</v>
      </c>
      <c r="C2839" s="6" t="s">
        <v>190</v>
      </c>
      <c r="D2839" s="6" t="s">
        <v>44</v>
      </c>
      <c r="E2839" s="6" t="s">
        <v>44</v>
      </c>
      <c r="F2839" s="6" t="b">
        <v>0</v>
      </c>
      <c r="G2839" s="6">
        <v>1.139583333333333</v>
      </c>
    </row>
    <row r="2840" spans="1:7">
      <c r="A2840" s="6" t="s">
        <v>298</v>
      </c>
      <c r="B2840" s="6" t="s">
        <v>56</v>
      </c>
      <c r="C2840" s="6" t="s">
        <v>190</v>
      </c>
      <c r="D2840" s="6" t="s">
        <v>90</v>
      </c>
      <c r="E2840" s="6" t="s">
        <v>44</v>
      </c>
      <c r="F2840" s="6" t="b">
        <v>0</v>
      </c>
      <c r="G2840" s="6">
        <v>0.4680833333333334</v>
      </c>
    </row>
    <row r="2841" spans="1:7">
      <c r="A2841" s="6" t="s">
        <v>298</v>
      </c>
      <c r="B2841" s="6" t="s">
        <v>56</v>
      </c>
      <c r="C2841" s="6" t="s">
        <v>190</v>
      </c>
      <c r="D2841" s="6" t="s">
        <v>90</v>
      </c>
      <c r="E2841" s="6" t="s">
        <v>90</v>
      </c>
      <c r="F2841" s="6" t="b">
        <v>0</v>
      </c>
      <c r="G2841" s="6">
        <v>0.07733333333333332</v>
      </c>
    </row>
    <row r="2842" spans="1:7">
      <c r="A2842" s="6" t="s">
        <v>298</v>
      </c>
      <c r="B2842" s="6" t="s">
        <v>56</v>
      </c>
      <c r="C2842" s="6" t="s">
        <v>190</v>
      </c>
      <c r="D2842" s="6" t="s">
        <v>177</v>
      </c>
      <c r="E2842" s="6" t="s">
        <v>44</v>
      </c>
      <c r="F2842" s="6" t="b">
        <v>0</v>
      </c>
      <c r="G2842" s="6">
        <v>1.32425</v>
      </c>
    </row>
    <row r="2843" spans="1:7">
      <c r="A2843" s="6" t="s">
        <v>298</v>
      </c>
      <c r="B2843" s="6" t="s">
        <v>56</v>
      </c>
      <c r="C2843" s="6" t="s">
        <v>190</v>
      </c>
      <c r="D2843" s="6" t="s">
        <v>92</v>
      </c>
      <c r="E2843" s="6" t="s">
        <v>92</v>
      </c>
      <c r="F2843" s="6" t="b">
        <v>0</v>
      </c>
      <c r="G2843" s="6">
        <v>0.02333333333333333</v>
      </c>
    </row>
    <row r="2844" spans="1:7">
      <c r="A2844" s="6" t="s">
        <v>299</v>
      </c>
      <c r="B2844" s="6" t="s">
        <v>53</v>
      </c>
      <c r="C2844" s="6" t="s">
        <v>181</v>
      </c>
      <c r="D2844" s="6" t="s">
        <v>88</v>
      </c>
      <c r="E2844" s="6" t="s">
        <v>88</v>
      </c>
      <c r="F2844" s="6" t="b">
        <v>0</v>
      </c>
      <c r="G2844" s="6">
        <v>0.3565833333333333</v>
      </c>
    </row>
    <row r="2845" spans="1:7">
      <c r="A2845" s="6" t="s">
        <v>299</v>
      </c>
      <c r="B2845" s="6" t="s">
        <v>53</v>
      </c>
      <c r="C2845" s="6" t="s">
        <v>181</v>
      </c>
      <c r="D2845" s="6" t="s">
        <v>90</v>
      </c>
      <c r="E2845" s="6" t="s">
        <v>90</v>
      </c>
      <c r="F2845" s="6" t="b">
        <v>0</v>
      </c>
      <c r="G2845" s="6">
        <v>0.022</v>
      </c>
    </row>
    <row r="2846" spans="1:7">
      <c r="A2846" s="6" t="s">
        <v>299</v>
      </c>
      <c r="B2846" s="6" t="s">
        <v>53</v>
      </c>
      <c r="C2846" s="6" t="s">
        <v>184</v>
      </c>
      <c r="D2846" s="6" t="s">
        <v>44</v>
      </c>
      <c r="E2846" s="6" t="s">
        <v>44</v>
      </c>
      <c r="F2846" s="6" t="b">
        <v>0</v>
      </c>
      <c r="G2846" s="6">
        <v>2.038833333333333</v>
      </c>
    </row>
    <row r="2847" spans="1:7">
      <c r="A2847" s="6" t="s">
        <v>299</v>
      </c>
      <c r="B2847" s="6" t="s">
        <v>53</v>
      </c>
      <c r="C2847" s="6" t="s">
        <v>184</v>
      </c>
      <c r="D2847" s="6" t="s">
        <v>88</v>
      </c>
      <c r="E2847" s="6" t="s">
        <v>88</v>
      </c>
      <c r="F2847" s="6" t="b">
        <v>0</v>
      </c>
      <c r="G2847" s="6">
        <v>0.01983333333333333</v>
      </c>
    </row>
    <row r="2848" spans="1:7">
      <c r="A2848" s="6" t="s">
        <v>299</v>
      </c>
      <c r="B2848" s="6" t="s">
        <v>53</v>
      </c>
      <c r="C2848" s="6" t="s">
        <v>184</v>
      </c>
      <c r="D2848" s="6" t="s">
        <v>90</v>
      </c>
      <c r="E2848" s="6" t="s">
        <v>90</v>
      </c>
      <c r="F2848" s="6" t="b">
        <v>0</v>
      </c>
      <c r="G2848" s="6">
        <v>0.012</v>
      </c>
    </row>
    <row r="2849" spans="1:7">
      <c r="A2849" s="6" t="s">
        <v>299</v>
      </c>
      <c r="B2849" s="6" t="s">
        <v>53</v>
      </c>
      <c r="C2849" s="6" t="s">
        <v>184</v>
      </c>
      <c r="D2849" s="6" t="s">
        <v>90</v>
      </c>
      <c r="E2849" s="6" t="s">
        <v>685</v>
      </c>
      <c r="F2849" s="6" t="b">
        <v>1</v>
      </c>
      <c r="G2849" s="6">
        <v>0.002666666666666667</v>
      </c>
    </row>
    <row r="2850" spans="1:7">
      <c r="A2850" s="6" t="s">
        <v>299</v>
      </c>
      <c r="B2850" s="6" t="s">
        <v>53</v>
      </c>
      <c r="C2850" s="6" t="s">
        <v>184</v>
      </c>
      <c r="D2850" s="6" t="s">
        <v>177</v>
      </c>
      <c r="E2850" s="6" t="s">
        <v>44</v>
      </c>
      <c r="F2850" s="6" t="b">
        <v>0</v>
      </c>
      <c r="G2850" s="6">
        <v>1.668666666666667</v>
      </c>
    </row>
    <row r="2851" spans="1:7">
      <c r="A2851" s="6" t="s">
        <v>299</v>
      </c>
      <c r="B2851" s="6" t="s">
        <v>53</v>
      </c>
      <c r="C2851" s="6" t="s">
        <v>184</v>
      </c>
      <c r="D2851" s="6" t="s">
        <v>177</v>
      </c>
      <c r="E2851" s="6" t="s">
        <v>86</v>
      </c>
      <c r="F2851" s="6" t="b">
        <v>0</v>
      </c>
      <c r="G2851" s="6">
        <v>0.00725</v>
      </c>
    </row>
    <row r="2852" spans="1:7">
      <c r="A2852" s="6" t="s">
        <v>299</v>
      </c>
      <c r="B2852" s="6" t="s">
        <v>53</v>
      </c>
      <c r="C2852" s="6" t="s">
        <v>184</v>
      </c>
      <c r="D2852" s="6" t="s">
        <v>177</v>
      </c>
      <c r="E2852" s="6" t="s">
        <v>685</v>
      </c>
      <c r="F2852" s="6" t="b">
        <v>1</v>
      </c>
      <c r="G2852" s="6">
        <v>0.1296666666666667</v>
      </c>
    </row>
    <row r="2853" spans="1:7">
      <c r="A2853" s="6" t="s">
        <v>299</v>
      </c>
      <c r="B2853" s="6" t="s">
        <v>53</v>
      </c>
      <c r="C2853" s="6" t="s">
        <v>186</v>
      </c>
      <c r="D2853" s="6" t="s">
        <v>86</v>
      </c>
      <c r="E2853" s="6" t="s">
        <v>86</v>
      </c>
      <c r="F2853" s="6" t="b">
        <v>0</v>
      </c>
      <c r="G2853" s="6">
        <v>0.3043333333333333</v>
      </c>
    </row>
    <row r="2854" spans="1:7">
      <c r="A2854" s="6" t="s">
        <v>299</v>
      </c>
      <c r="B2854" s="6" t="s">
        <v>53</v>
      </c>
      <c r="C2854" s="6" t="s">
        <v>186</v>
      </c>
      <c r="D2854" s="6" t="s">
        <v>88</v>
      </c>
      <c r="E2854" s="6" t="s">
        <v>88</v>
      </c>
      <c r="F2854" s="6" t="b">
        <v>0</v>
      </c>
      <c r="G2854" s="6">
        <v>0.05408333333333334</v>
      </c>
    </row>
    <row r="2855" spans="1:7">
      <c r="A2855" s="6" t="s">
        <v>299</v>
      </c>
      <c r="B2855" s="6" t="s">
        <v>53</v>
      </c>
      <c r="C2855" s="6" t="s">
        <v>186</v>
      </c>
      <c r="D2855" s="6" t="s">
        <v>90</v>
      </c>
      <c r="E2855" s="6" t="s">
        <v>90</v>
      </c>
      <c r="F2855" s="6" t="b">
        <v>0</v>
      </c>
      <c r="G2855" s="6">
        <v>0.3123333333333334</v>
      </c>
    </row>
    <row r="2856" spans="1:7">
      <c r="A2856" s="6" t="s">
        <v>299</v>
      </c>
      <c r="B2856" s="6" t="s">
        <v>53</v>
      </c>
      <c r="C2856" s="6" t="s">
        <v>186</v>
      </c>
      <c r="D2856" s="6" t="s">
        <v>177</v>
      </c>
      <c r="E2856" s="6" t="s">
        <v>86</v>
      </c>
      <c r="F2856" s="6" t="b">
        <v>0</v>
      </c>
      <c r="G2856" s="6">
        <v>0.009333333333333334</v>
      </c>
    </row>
    <row r="2857" spans="1:7">
      <c r="A2857" s="6" t="s">
        <v>299</v>
      </c>
      <c r="B2857" s="6" t="s">
        <v>53</v>
      </c>
      <c r="C2857" s="6" t="s">
        <v>189</v>
      </c>
      <c r="D2857" s="6" t="s">
        <v>86</v>
      </c>
      <c r="E2857" s="6" t="s">
        <v>86</v>
      </c>
      <c r="F2857" s="6" t="b">
        <v>0</v>
      </c>
      <c r="G2857" s="6">
        <v>0.1151666666666667</v>
      </c>
    </row>
    <row r="2858" spans="1:7">
      <c r="A2858" s="6" t="s">
        <v>299</v>
      </c>
      <c r="B2858" s="6" t="s">
        <v>53</v>
      </c>
      <c r="C2858" s="6" t="s">
        <v>189</v>
      </c>
      <c r="D2858" s="6" t="s">
        <v>88</v>
      </c>
      <c r="E2858" s="6" t="s">
        <v>88</v>
      </c>
      <c r="F2858" s="6" t="b">
        <v>0</v>
      </c>
      <c r="G2858" s="6">
        <v>0.0555</v>
      </c>
    </row>
    <row r="2859" spans="1:7">
      <c r="A2859" s="6" t="s">
        <v>299</v>
      </c>
      <c r="B2859" s="6" t="s">
        <v>53</v>
      </c>
      <c r="C2859" s="6" t="s">
        <v>189</v>
      </c>
      <c r="D2859" s="6" t="s">
        <v>90</v>
      </c>
      <c r="E2859" s="6" t="s">
        <v>90</v>
      </c>
      <c r="F2859" s="6" t="b">
        <v>0</v>
      </c>
      <c r="G2859" s="6">
        <v>0.01516666666666667</v>
      </c>
    </row>
    <row r="2860" spans="1:7">
      <c r="A2860" s="6" t="s">
        <v>300</v>
      </c>
      <c r="B2860" s="6" t="s">
        <v>52</v>
      </c>
      <c r="C2860" s="6" t="s">
        <v>184</v>
      </c>
      <c r="D2860" s="6" t="s">
        <v>44</v>
      </c>
      <c r="E2860" s="6" t="s">
        <v>44</v>
      </c>
      <c r="F2860" s="6" t="b">
        <v>0</v>
      </c>
      <c r="G2860" s="6">
        <v>540.0613333333333</v>
      </c>
    </row>
    <row r="2861" spans="1:7">
      <c r="A2861" s="6" t="s">
        <v>300</v>
      </c>
      <c r="B2861" s="6" t="s">
        <v>52</v>
      </c>
      <c r="C2861" s="6" t="s">
        <v>184</v>
      </c>
      <c r="D2861" s="6" t="s">
        <v>44</v>
      </c>
      <c r="E2861" s="6" t="s">
        <v>685</v>
      </c>
      <c r="F2861" s="6" t="b">
        <v>1</v>
      </c>
      <c r="G2861" s="6">
        <v>1747.817416666667</v>
      </c>
    </row>
    <row r="2862" spans="1:7">
      <c r="A2862" s="6" t="s">
        <v>300</v>
      </c>
      <c r="B2862" s="6" t="s">
        <v>52</v>
      </c>
      <c r="C2862" s="6" t="s">
        <v>189</v>
      </c>
      <c r="D2862" s="6" t="s">
        <v>86</v>
      </c>
      <c r="E2862" s="6" t="s">
        <v>86</v>
      </c>
      <c r="F2862" s="6" t="b">
        <v>0</v>
      </c>
      <c r="G2862" s="6">
        <v>56.0885</v>
      </c>
    </row>
    <row r="2863" spans="1:7">
      <c r="A2863" s="6" t="s">
        <v>301</v>
      </c>
      <c r="B2863" s="6" t="s">
        <v>59</v>
      </c>
      <c r="C2863" s="6" t="s">
        <v>181</v>
      </c>
      <c r="D2863" s="6" t="s">
        <v>88</v>
      </c>
      <c r="E2863" s="6" t="s">
        <v>88</v>
      </c>
      <c r="F2863" s="6" t="b">
        <v>0</v>
      </c>
      <c r="G2863" s="6">
        <v>3.978916666666667</v>
      </c>
    </row>
    <row r="2864" spans="1:7">
      <c r="A2864" s="6" t="s">
        <v>301</v>
      </c>
      <c r="B2864" s="6" t="s">
        <v>59</v>
      </c>
      <c r="C2864" s="6" t="s">
        <v>183</v>
      </c>
      <c r="D2864" s="6" t="s">
        <v>88</v>
      </c>
      <c r="E2864" s="6" t="s">
        <v>88</v>
      </c>
      <c r="F2864" s="6" t="b">
        <v>0</v>
      </c>
      <c r="G2864" s="6">
        <v>0.01333333333333333</v>
      </c>
    </row>
    <row r="2865" spans="1:7">
      <c r="A2865" s="6" t="s">
        <v>301</v>
      </c>
      <c r="B2865" s="6" t="s">
        <v>59</v>
      </c>
      <c r="C2865" s="6" t="s">
        <v>183</v>
      </c>
      <c r="D2865" s="6" t="s">
        <v>90</v>
      </c>
      <c r="E2865" s="6" t="s">
        <v>86</v>
      </c>
      <c r="F2865" s="6" t="b">
        <v>0</v>
      </c>
      <c r="G2865" s="6">
        <v>0.01008333333333333</v>
      </c>
    </row>
    <row r="2866" spans="1:7">
      <c r="A2866" s="6" t="s">
        <v>301</v>
      </c>
      <c r="B2866" s="6" t="s">
        <v>59</v>
      </c>
      <c r="C2866" s="6" t="s">
        <v>183</v>
      </c>
      <c r="D2866" s="6" t="s">
        <v>90</v>
      </c>
      <c r="E2866" s="6" t="s">
        <v>90</v>
      </c>
      <c r="F2866" s="6" t="b">
        <v>0</v>
      </c>
      <c r="G2866" s="6">
        <v>0.001</v>
      </c>
    </row>
    <row r="2867" spans="1:7">
      <c r="A2867" s="6" t="s">
        <v>301</v>
      </c>
      <c r="B2867" s="6" t="s">
        <v>59</v>
      </c>
      <c r="C2867" s="6" t="s">
        <v>183</v>
      </c>
      <c r="D2867" s="6" t="s">
        <v>177</v>
      </c>
      <c r="E2867" s="6" t="s">
        <v>685</v>
      </c>
      <c r="F2867" s="6" t="b">
        <v>1</v>
      </c>
      <c r="G2867" s="6">
        <v>0.008</v>
      </c>
    </row>
    <row r="2868" spans="1:7">
      <c r="A2868" s="6" t="s">
        <v>301</v>
      </c>
      <c r="B2868" s="6" t="s">
        <v>59</v>
      </c>
      <c r="C2868" s="6" t="s">
        <v>184</v>
      </c>
      <c r="D2868" s="6" t="s">
        <v>44</v>
      </c>
      <c r="E2868" s="6" t="s">
        <v>44</v>
      </c>
      <c r="F2868" s="6" t="b">
        <v>0</v>
      </c>
      <c r="G2868" s="6">
        <v>104.9703333333333</v>
      </c>
    </row>
    <row r="2869" spans="1:7">
      <c r="A2869" s="6" t="s">
        <v>301</v>
      </c>
      <c r="B2869" s="6" t="s">
        <v>59</v>
      </c>
      <c r="C2869" s="6" t="s">
        <v>184</v>
      </c>
      <c r="D2869" s="6" t="s">
        <v>88</v>
      </c>
      <c r="E2869" s="6" t="s">
        <v>88</v>
      </c>
      <c r="F2869" s="6" t="b">
        <v>0</v>
      </c>
      <c r="G2869" s="6">
        <v>0.0009166666666666666</v>
      </c>
    </row>
    <row r="2870" spans="1:7">
      <c r="A2870" s="6" t="s">
        <v>301</v>
      </c>
      <c r="B2870" s="6" t="s">
        <v>59</v>
      </c>
      <c r="C2870" s="6" t="s">
        <v>184</v>
      </c>
      <c r="D2870" s="6" t="s">
        <v>90</v>
      </c>
      <c r="E2870" s="6" t="s">
        <v>90</v>
      </c>
      <c r="F2870" s="6" t="b">
        <v>0</v>
      </c>
      <c r="G2870" s="6">
        <v>0.02158333333333333</v>
      </c>
    </row>
    <row r="2871" spans="1:7">
      <c r="A2871" s="6" t="s">
        <v>301</v>
      </c>
      <c r="B2871" s="6" t="s">
        <v>59</v>
      </c>
      <c r="C2871" s="6" t="s">
        <v>184</v>
      </c>
      <c r="D2871" s="6" t="s">
        <v>90</v>
      </c>
      <c r="E2871" s="6" t="s">
        <v>685</v>
      </c>
      <c r="F2871" s="6" t="b">
        <v>1</v>
      </c>
      <c r="G2871" s="6">
        <v>0.01866666666666667</v>
      </c>
    </row>
    <row r="2872" spans="1:7">
      <c r="A2872" s="6" t="s">
        <v>301</v>
      </c>
      <c r="B2872" s="6" t="s">
        <v>59</v>
      </c>
      <c r="C2872" s="6" t="s">
        <v>184</v>
      </c>
      <c r="D2872" s="6" t="s">
        <v>177</v>
      </c>
      <c r="E2872" s="6" t="s">
        <v>44</v>
      </c>
      <c r="F2872" s="6" t="b">
        <v>0</v>
      </c>
      <c r="G2872" s="6">
        <v>35.30016666666666</v>
      </c>
    </row>
    <row r="2873" spans="1:7">
      <c r="A2873" s="6" t="s">
        <v>301</v>
      </c>
      <c r="B2873" s="6" t="s">
        <v>59</v>
      </c>
      <c r="C2873" s="6" t="s">
        <v>186</v>
      </c>
      <c r="D2873" s="6" t="s">
        <v>86</v>
      </c>
      <c r="E2873" s="6" t="s">
        <v>86</v>
      </c>
      <c r="F2873" s="6" t="b">
        <v>0</v>
      </c>
      <c r="G2873" s="6">
        <v>6.769666666666667</v>
      </c>
    </row>
    <row r="2874" spans="1:7">
      <c r="A2874" s="6" t="s">
        <v>301</v>
      </c>
      <c r="B2874" s="6" t="s">
        <v>59</v>
      </c>
      <c r="C2874" s="6" t="s">
        <v>186</v>
      </c>
      <c r="D2874" s="6" t="s">
        <v>88</v>
      </c>
      <c r="E2874" s="6" t="s">
        <v>88</v>
      </c>
      <c r="F2874" s="6" t="b">
        <v>0</v>
      </c>
      <c r="G2874" s="6">
        <v>0.5360833333333334</v>
      </c>
    </row>
    <row r="2875" spans="1:7">
      <c r="A2875" s="6" t="s">
        <v>301</v>
      </c>
      <c r="B2875" s="6" t="s">
        <v>59</v>
      </c>
      <c r="C2875" s="6" t="s">
        <v>186</v>
      </c>
      <c r="D2875" s="6" t="s">
        <v>90</v>
      </c>
      <c r="E2875" s="6" t="s">
        <v>90</v>
      </c>
      <c r="F2875" s="6" t="b">
        <v>0</v>
      </c>
      <c r="G2875" s="6">
        <v>2.164</v>
      </c>
    </row>
    <row r="2876" spans="1:7">
      <c r="A2876" s="6" t="s">
        <v>301</v>
      </c>
      <c r="B2876" s="6" t="s">
        <v>59</v>
      </c>
      <c r="C2876" s="6" t="s">
        <v>186</v>
      </c>
      <c r="D2876" s="6" t="s">
        <v>177</v>
      </c>
      <c r="E2876" s="6" t="s">
        <v>86</v>
      </c>
      <c r="F2876" s="6" t="b">
        <v>0</v>
      </c>
      <c r="G2876" s="6">
        <v>0.1154166666666667</v>
      </c>
    </row>
    <row r="2877" spans="1:7">
      <c r="A2877" s="6" t="s">
        <v>301</v>
      </c>
      <c r="B2877" s="6" t="s">
        <v>59</v>
      </c>
      <c r="C2877" s="6" t="s">
        <v>189</v>
      </c>
      <c r="D2877" s="6" t="s">
        <v>86</v>
      </c>
      <c r="E2877" s="6" t="s">
        <v>86</v>
      </c>
      <c r="F2877" s="6" t="b">
        <v>0</v>
      </c>
      <c r="G2877" s="6">
        <v>0.03983333333333333</v>
      </c>
    </row>
    <row r="2878" spans="1:7">
      <c r="A2878" s="6" t="s">
        <v>301</v>
      </c>
      <c r="B2878" s="6" t="s">
        <v>59</v>
      </c>
      <c r="C2878" s="6" t="s">
        <v>189</v>
      </c>
      <c r="D2878" s="6" t="s">
        <v>88</v>
      </c>
      <c r="E2878" s="6" t="s">
        <v>88</v>
      </c>
      <c r="F2878" s="6" t="b">
        <v>0</v>
      </c>
      <c r="G2878" s="6">
        <v>0.96125</v>
      </c>
    </row>
    <row r="2879" spans="1:7">
      <c r="A2879" s="6" t="s">
        <v>301</v>
      </c>
      <c r="B2879" s="6" t="s">
        <v>59</v>
      </c>
      <c r="C2879" s="6" t="s">
        <v>189</v>
      </c>
      <c r="D2879" s="6" t="s">
        <v>90</v>
      </c>
      <c r="E2879" s="6" t="s">
        <v>90</v>
      </c>
      <c r="F2879" s="6" t="b">
        <v>0</v>
      </c>
      <c r="G2879" s="6">
        <v>0.17325</v>
      </c>
    </row>
    <row r="2880" spans="1:7">
      <c r="A2880" s="6" t="s">
        <v>302</v>
      </c>
      <c r="B2880" s="6" t="s">
        <v>52</v>
      </c>
      <c r="C2880" s="6" t="s">
        <v>181</v>
      </c>
      <c r="D2880" s="6" t="s">
        <v>88</v>
      </c>
      <c r="E2880" s="6" t="s">
        <v>88</v>
      </c>
      <c r="F2880" s="6" t="b">
        <v>0</v>
      </c>
      <c r="G2880" s="6">
        <v>10.62558333333333</v>
      </c>
    </row>
    <row r="2881" spans="1:7">
      <c r="A2881" s="6" t="s">
        <v>302</v>
      </c>
      <c r="B2881" s="6" t="s">
        <v>52</v>
      </c>
      <c r="C2881" s="6" t="s">
        <v>184</v>
      </c>
      <c r="D2881" s="6" t="s">
        <v>44</v>
      </c>
      <c r="E2881" s="6" t="s">
        <v>44</v>
      </c>
      <c r="F2881" s="6" t="b">
        <v>0</v>
      </c>
      <c r="G2881" s="6">
        <v>342.5074166666666</v>
      </c>
    </row>
    <row r="2882" spans="1:7">
      <c r="A2882" s="6" t="s">
        <v>302</v>
      </c>
      <c r="B2882" s="6" t="s">
        <v>52</v>
      </c>
      <c r="C2882" s="6" t="s">
        <v>184</v>
      </c>
      <c r="D2882" s="6" t="s">
        <v>44</v>
      </c>
      <c r="E2882" s="6" t="s">
        <v>685</v>
      </c>
      <c r="F2882" s="6" t="b">
        <v>1</v>
      </c>
      <c r="G2882" s="6">
        <v>153.9409166666667</v>
      </c>
    </row>
    <row r="2883" spans="1:7">
      <c r="A2883" s="6" t="s">
        <v>302</v>
      </c>
      <c r="B2883" s="6" t="s">
        <v>52</v>
      </c>
      <c r="C2883" s="6" t="s">
        <v>184</v>
      </c>
      <c r="D2883" s="6" t="s">
        <v>177</v>
      </c>
      <c r="E2883" s="6" t="s">
        <v>44</v>
      </c>
      <c r="F2883" s="6" t="b">
        <v>0</v>
      </c>
      <c r="G2883" s="6">
        <v>22.46408333333333</v>
      </c>
    </row>
    <row r="2884" spans="1:7">
      <c r="A2884" s="6" t="s">
        <v>302</v>
      </c>
      <c r="B2884" s="6" t="s">
        <v>52</v>
      </c>
      <c r="C2884" s="6" t="s">
        <v>184</v>
      </c>
      <c r="D2884" s="6" t="s">
        <v>177</v>
      </c>
      <c r="E2884" s="6" t="s">
        <v>685</v>
      </c>
      <c r="F2884" s="6" t="b">
        <v>1</v>
      </c>
      <c r="G2884" s="6">
        <v>0.5946666666666667</v>
      </c>
    </row>
    <row r="2885" spans="1:7">
      <c r="A2885" s="6" t="s">
        <v>302</v>
      </c>
      <c r="B2885" s="6" t="s">
        <v>52</v>
      </c>
      <c r="C2885" s="6" t="s">
        <v>186</v>
      </c>
      <c r="D2885" s="6" t="s">
        <v>86</v>
      </c>
      <c r="E2885" s="6" t="s">
        <v>86</v>
      </c>
      <c r="F2885" s="6" t="b">
        <v>0</v>
      </c>
      <c r="G2885" s="6">
        <v>441.44375</v>
      </c>
    </row>
    <row r="2886" spans="1:7">
      <c r="A2886" s="6" t="s">
        <v>302</v>
      </c>
      <c r="B2886" s="6" t="s">
        <v>52</v>
      </c>
      <c r="C2886" s="6" t="s">
        <v>186</v>
      </c>
      <c r="D2886" s="6" t="s">
        <v>88</v>
      </c>
      <c r="E2886" s="6" t="s">
        <v>88</v>
      </c>
      <c r="F2886" s="6" t="b">
        <v>0</v>
      </c>
      <c r="G2886" s="6">
        <v>8.631416666666667</v>
      </c>
    </row>
    <row r="2887" spans="1:7">
      <c r="A2887" s="6" t="s">
        <v>302</v>
      </c>
      <c r="B2887" s="6" t="s">
        <v>52</v>
      </c>
      <c r="C2887" s="6" t="s">
        <v>186</v>
      </c>
      <c r="D2887" s="6" t="s">
        <v>90</v>
      </c>
      <c r="E2887" s="6" t="s">
        <v>90</v>
      </c>
      <c r="F2887" s="6" t="b">
        <v>0</v>
      </c>
      <c r="G2887" s="6">
        <v>104.7683333333333</v>
      </c>
    </row>
    <row r="2888" spans="1:7">
      <c r="A2888" s="6" t="s">
        <v>302</v>
      </c>
      <c r="B2888" s="6" t="s">
        <v>52</v>
      </c>
      <c r="C2888" s="6" t="s">
        <v>186</v>
      </c>
      <c r="D2888" s="6" t="s">
        <v>177</v>
      </c>
      <c r="E2888" s="6" t="s">
        <v>86</v>
      </c>
      <c r="F2888" s="6" t="b">
        <v>0</v>
      </c>
      <c r="G2888" s="6">
        <v>5.299333333333333</v>
      </c>
    </row>
    <row r="2889" spans="1:7">
      <c r="A2889" s="6" t="s">
        <v>302</v>
      </c>
      <c r="B2889" s="6" t="s">
        <v>52</v>
      </c>
      <c r="C2889" s="6" t="s">
        <v>188</v>
      </c>
      <c r="D2889" s="6" t="s">
        <v>86</v>
      </c>
      <c r="E2889" s="6" t="s">
        <v>86</v>
      </c>
      <c r="F2889" s="6" t="b">
        <v>0</v>
      </c>
      <c r="G2889" s="6">
        <v>74.99966666666667</v>
      </c>
    </row>
    <row r="2890" spans="1:7">
      <c r="A2890" s="6" t="s">
        <v>302</v>
      </c>
      <c r="B2890" s="6" t="s">
        <v>52</v>
      </c>
      <c r="C2890" s="6" t="s">
        <v>188</v>
      </c>
      <c r="D2890" s="6" t="s">
        <v>88</v>
      </c>
      <c r="E2890" s="6" t="s">
        <v>88</v>
      </c>
      <c r="F2890" s="6" t="b">
        <v>0</v>
      </c>
      <c r="G2890" s="6">
        <v>543.0758333333333</v>
      </c>
    </row>
    <row r="2891" spans="1:7">
      <c r="A2891" s="6" t="s">
        <v>302</v>
      </c>
      <c r="B2891" s="6" t="s">
        <v>52</v>
      </c>
      <c r="C2891" s="6" t="s">
        <v>188</v>
      </c>
      <c r="D2891" s="6" t="s">
        <v>90</v>
      </c>
      <c r="E2891" s="6" t="s">
        <v>90</v>
      </c>
      <c r="F2891" s="6" t="b">
        <v>0</v>
      </c>
      <c r="G2891" s="6">
        <v>0.4583333333333333</v>
      </c>
    </row>
    <row r="2892" spans="1:7">
      <c r="A2892" s="6" t="s">
        <v>302</v>
      </c>
      <c r="B2892" s="6" t="s">
        <v>52</v>
      </c>
      <c r="C2892" s="6" t="s">
        <v>189</v>
      </c>
      <c r="D2892" s="6" t="s">
        <v>86</v>
      </c>
      <c r="E2892" s="6" t="s">
        <v>86</v>
      </c>
      <c r="F2892" s="6" t="b">
        <v>0</v>
      </c>
      <c r="G2892" s="6">
        <v>162.5745</v>
      </c>
    </row>
    <row r="2893" spans="1:7">
      <c r="A2893" s="6" t="s">
        <v>302</v>
      </c>
      <c r="B2893" s="6" t="s">
        <v>52</v>
      </c>
      <c r="C2893" s="6" t="s">
        <v>189</v>
      </c>
      <c r="D2893" s="6" t="s">
        <v>88</v>
      </c>
      <c r="E2893" s="6" t="s">
        <v>88</v>
      </c>
      <c r="F2893" s="6" t="b">
        <v>0</v>
      </c>
      <c r="G2893" s="6">
        <v>506.338</v>
      </c>
    </row>
    <row r="2894" spans="1:7">
      <c r="A2894" s="6" t="s">
        <v>302</v>
      </c>
      <c r="B2894" s="6" t="s">
        <v>52</v>
      </c>
      <c r="C2894" s="6" t="s">
        <v>189</v>
      </c>
      <c r="D2894" s="6" t="s">
        <v>90</v>
      </c>
      <c r="E2894" s="6" t="s">
        <v>90</v>
      </c>
      <c r="F2894" s="6" t="b">
        <v>0</v>
      </c>
      <c r="G2894" s="6">
        <v>1.519666666666667</v>
      </c>
    </row>
    <row r="2895" spans="1:7">
      <c r="A2895" s="6" t="s">
        <v>303</v>
      </c>
      <c r="B2895" s="6" t="s">
        <v>53</v>
      </c>
      <c r="C2895" s="6" t="s">
        <v>181</v>
      </c>
      <c r="D2895" s="6" t="s">
        <v>88</v>
      </c>
      <c r="E2895" s="6" t="s">
        <v>88</v>
      </c>
      <c r="F2895" s="6" t="b">
        <v>0</v>
      </c>
      <c r="G2895" s="6">
        <v>0.1220833333333333</v>
      </c>
    </row>
    <row r="2896" spans="1:7">
      <c r="A2896" s="6" t="s">
        <v>303</v>
      </c>
      <c r="B2896" s="6" t="s">
        <v>53</v>
      </c>
      <c r="C2896" s="6" t="s">
        <v>181</v>
      </c>
      <c r="D2896" s="6" t="s">
        <v>90</v>
      </c>
      <c r="E2896" s="6" t="s">
        <v>90</v>
      </c>
      <c r="F2896" s="6" t="b">
        <v>0</v>
      </c>
      <c r="G2896" s="6">
        <v>0.00825</v>
      </c>
    </row>
    <row r="2897" spans="1:7">
      <c r="A2897" s="6" t="s">
        <v>303</v>
      </c>
      <c r="B2897" s="6" t="s">
        <v>53</v>
      </c>
      <c r="C2897" s="6" t="s">
        <v>183</v>
      </c>
      <c r="D2897" s="6" t="s">
        <v>90</v>
      </c>
      <c r="E2897" s="6" t="s">
        <v>86</v>
      </c>
      <c r="F2897" s="6" t="b">
        <v>0</v>
      </c>
      <c r="G2897" s="6">
        <v>0.001833333333333333</v>
      </c>
    </row>
    <row r="2898" spans="1:7">
      <c r="A2898" s="6" t="s">
        <v>303</v>
      </c>
      <c r="B2898" s="6" t="s">
        <v>53</v>
      </c>
      <c r="C2898" s="6" t="s">
        <v>183</v>
      </c>
      <c r="D2898" s="6" t="s">
        <v>90</v>
      </c>
      <c r="E2898" s="6" t="s">
        <v>90</v>
      </c>
      <c r="F2898" s="6" t="b">
        <v>0</v>
      </c>
      <c r="G2898" s="6">
        <v>0.005750000000000001</v>
      </c>
    </row>
    <row r="2899" spans="1:7">
      <c r="A2899" s="6" t="s">
        <v>303</v>
      </c>
      <c r="B2899" s="6" t="s">
        <v>53</v>
      </c>
      <c r="C2899" s="6" t="s">
        <v>184</v>
      </c>
      <c r="D2899" s="6" t="s">
        <v>44</v>
      </c>
      <c r="E2899" s="6" t="s">
        <v>44</v>
      </c>
      <c r="F2899" s="6" t="b">
        <v>0</v>
      </c>
      <c r="G2899" s="6">
        <v>1.155666666666667</v>
      </c>
    </row>
    <row r="2900" spans="1:7">
      <c r="A2900" s="6" t="s">
        <v>303</v>
      </c>
      <c r="B2900" s="6" t="s">
        <v>53</v>
      </c>
      <c r="C2900" s="6" t="s">
        <v>184</v>
      </c>
      <c r="D2900" s="6" t="s">
        <v>88</v>
      </c>
      <c r="E2900" s="6" t="s">
        <v>88</v>
      </c>
      <c r="F2900" s="6" t="b">
        <v>0</v>
      </c>
      <c r="G2900" s="6">
        <v>0.00825</v>
      </c>
    </row>
    <row r="2901" spans="1:7">
      <c r="A2901" s="6" t="s">
        <v>303</v>
      </c>
      <c r="B2901" s="6" t="s">
        <v>53</v>
      </c>
      <c r="C2901" s="6" t="s">
        <v>184</v>
      </c>
      <c r="D2901" s="6" t="s">
        <v>90</v>
      </c>
      <c r="E2901" s="6" t="s">
        <v>90</v>
      </c>
      <c r="F2901" s="6" t="b">
        <v>0</v>
      </c>
      <c r="G2901" s="6">
        <v>0.008999999999999999</v>
      </c>
    </row>
    <row r="2902" spans="1:7">
      <c r="A2902" s="6" t="s">
        <v>303</v>
      </c>
      <c r="B2902" s="6" t="s">
        <v>53</v>
      </c>
      <c r="C2902" s="6" t="s">
        <v>184</v>
      </c>
      <c r="D2902" s="6" t="s">
        <v>90</v>
      </c>
      <c r="E2902" s="6" t="s">
        <v>685</v>
      </c>
      <c r="F2902" s="6" t="b">
        <v>1</v>
      </c>
      <c r="G2902" s="6">
        <v>0.002666666666666667</v>
      </c>
    </row>
    <row r="2903" spans="1:7">
      <c r="A2903" s="6" t="s">
        <v>303</v>
      </c>
      <c r="B2903" s="6" t="s">
        <v>53</v>
      </c>
      <c r="C2903" s="6" t="s">
        <v>184</v>
      </c>
      <c r="D2903" s="6" t="s">
        <v>177</v>
      </c>
      <c r="E2903" s="6" t="s">
        <v>44</v>
      </c>
      <c r="F2903" s="6" t="b">
        <v>0</v>
      </c>
      <c r="G2903" s="6">
        <v>0.6806666666666666</v>
      </c>
    </row>
    <row r="2904" spans="1:7">
      <c r="A2904" s="6" t="s">
        <v>303</v>
      </c>
      <c r="B2904" s="6" t="s">
        <v>53</v>
      </c>
      <c r="C2904" s="6" t="s">
        <v>184</v>
      </c>
      <c r="D2904" s="6" t="s">
        <v>177</v>
      </c>
      <c r="E2904" s="6" t="s">
        <v>86</v>
      </c>
      <c r="F2904" s="6" t="b">
        <v>0</v>
      </c>
      <c r="G2904" s="6">
        <v>0.0035</v>
      </c>
    </row>
    <row r="2905" spans="1:7">
      <c r="A2905" s="6" t="s">
        <v>303</v>
      </c>
      <c r="B2905" s="6" t="s">
        <v>53</v>
      </c>
      <c r="C2905" s="6" t="s">
        <v>184</v>
      </c>
      <c r="D2905" s="6" t="s">
        <v>177</v>
      </c>
      <c r="E2905" s="6" t="s">
        <v>685</v>
      </c>
      <c r="F2905" s="6" t="b">
        <v>1</v>
      </c>
      <c r="G2905" s="6">
        <v>0.1035833333333333</v>
      </c>
    </row>
    <row r="2906" spans="1:7">
      <c r="A2906" s="6" t="s">
        <v>303</v>
      </c>
      <c r="B2906" s="6" t="s">
        <v>53</v>
      </c>
      <c r="C2906" s="6" t="s">
        <v>186</v>
      </c>
      <c r="D2906" s="6" t="s">
        <v>86</v>
      </c>
      <c r="E2906" s="6" t="s">
        <v>86</v>
      </c>
      <c r="F2906" s="6" t="b">
        <v>0</v>
      </c>
      <c r="G2906" s="6">
        <v>0.195</v>
      </c>
    </row>
    <row r="2907" spans="1:7">
      <c r="A2907" s="6" t="s">
        <v>303</v>
      </c>
      <c r="B2907" s="6" t="s">
        <v>53</v>
      </c>
      <c r="C2907" s="6" t="s">
        <v>186</v>
      </c>
      <c r="D2907" s="6" t="s">
        <v>88</v>
      </c>
      <c r="E2907" s="6" t="s">
        <v>88</v>
      </c>
      <c r="F2907" s="6" t="b">
        <v>0</v>
      </c>
      <c r="G2907" s="6">
        <v>0.02183333333333333</v>
      </c>
    </row>
    <row r="2908" spans="1:7">
      <c r="A2908" s="6" t="s">
        <v>303</v>
      </c>
      <c r="B2908" s="6" t="s">
        <v>53</v>
      </c>
      <c r="C2908" s="6" t="s">
        <v>186</v>
      </c>
      <c r="D2908" s="6" t="s">
        <v>90</v>
      </c>
      <c r="E2908" s="6" t="s">
        <v>90</v>
      </c>
      <c r="F2908" s="6" t="b">
        <v>0</v>
      </c>
      <c r="G2908" s="6">
        <v>0.1285</v>
      </c>
    </row>
    <row r="2909" spans="1:7">
      <c r="A2909" s="6" t="s">
        <v>303</v>
      </c>
      <c r="B2909" s="6" t="s">
        <v>53</v>
      </c>
      <c r="C2909" s="6" t="s">
        <v>186</v>
      </c>
      <c r="D2909" s="6" t="s">
        <v>177</v>
      </c>
      <c r="E2909" s="6" t="s">
        <v>86</v>
      </c>
      <c r="F2909" s="6" t="b">
        <v>0</v>
      </c>
      <c r="G2909" s="6">
        <v>0.007666666666666666</v>
      </c>
    </row>
    <row r="2910" spans="1:7">
      <c r="A2910" s="6" t="s">
        <v>303</v>
      </c>
      <c r="B2910" s="6" t="s">
        <v>53</v>
      </c>
      <c r="C2910" s="6" t="s">
        <v>189</v>
      </c>
      <c r="D2910" s="6" t="s">
        <v>86</v>
      </c>
      <c r="E2910" s="6" t="s">
        <v>86</v>
      </c>
      <c r="F2910" s="6" t="b">
        <v>0</v>
      </c>
      <c r="G2910" s="6">
        <v>0.05725</v>
      </c>
    </row>
    <row r="2911" spans="1:7">
      <c r="A2911" s="6" t="s">
        <v>303</v>
      </c>
      <c r="B2911" s="6" t="s">
        <v>53</v>
      </c>
      <c r="C2911" s="6" t="s">
        <v>189</v>
      </c>
      <c r="D2911" s="6" t="s">
        <v>88</v>
      </c>
      <c r="E2911" s="6" t="s">
        <v>88</v>
      </c>
      <c r="F2911" s="6" t="b">
        <v>0</v>
      </c>
      <c r="G2911" s="6">
        <v>0.03358333333333333</v>
      </c>
    </row>
    <row r="2912" spans="1:7">
      <c r="A2912" s="6" t="s">
        <v>303</v>
      </c>
      <c r="B2912" s="6" t="s">
        <v>53</v>
      </c>
      <c r="C2912" s="6" t="s">
        <v>189</v>
      </c>
      <c r="D2912" s="6" t="s">
        <v>90</v>
      </c>
      <c r="E2912" s="6" t="s">
        <v>90</v>
      </c>
      <c r="F2912" s="6" t="b">
        <v>0</v>
      </c>
      <c r="G2912" s="6">
        <v>0.0205</v>
      </c>
    </row>
    <row r="2913" spans="1:7">
      <c r="A2913" s="6" t="s">
        <v>304</v>
      </c>
      <c r="B2913" s="6" t="s">
        <v>52</v>
      </c>
      <c r="C2913" s="6" t="s">
        <v>186</v>
      </c>
      <c r="D2913" s="6" t="s">
        <v>86</v>
      </c>
      <c r="E2913" s="6" t="s">
        <v>86</v>
      </c>
      <c r="F2913" s="6" t="b">
        <v>0</v>
      </c>
      <c r="G2913" s="6">
        <v>139.6424166666667</v>
      </c>
    </row>
    <row r="2914" spans="1:7">
      <c r="A2914" s="6" t="s">
        <v>304</v>
      </c>
      <c r="B2914" s="6" t="s">
        <v>52</v>
      </c>
      <c r="C2914" s="6" t="s">
        <v>189</v>
      </c>
      <c r="D2914" s="6" t="s">
        <v>86</v>
      </c>
      <c r="E2914" s="6" t="s">
        <v>86</v>
      </c>
      <c r="F2914" s="6" t="b">
        <v>0</v>
      </c>
      <c r="G2914" s="6">
        <v>9.856666666666667</v>
      </c>
    </row>
    <row r="2915" spans="1:7">
      <c r="A2915" s="6" t="s">
        <v>304</v>
      </c>
      <c r="B2915" s="6" t="s">
        <v>52</v>
      </c>
      <c r="C2915" s="6" t="s">
        <v>190</v>
      </c>
      <c r="D2915" s="6" t="s">
        <v>44</v>
      </c>
      <c r="E2915" s="6" t="s">
        <v>44</v>
      </c>
      <c r="F2915" s="6" t="b">
        <v>0</v>
      </c>
      <c r="G2915" s="6">
        <v>6.078166666666665</v>
      </c>
    </row>
    <row r="2916" spans="1:7">
      <c r="A2916" s="6" t="s">
        <v>361</v>
      </c>
      <c r="B2916" s="6" t="s">
        <v>52</v>
      </c>
      <c r="C2916" s="6" t="s">
        <v>181</v>
      </c>
      <c r="D2916" s="6" t="s">
        <v>88</v>
      </c>
      <c r="E2916" s="6" t="s">
        <v>88</v>
      </c>
      <c r="F2916" s="6" t="b">
        <v>0</v>
      </c>
      <c r="G2916" s="6">
        <v>15.623</v>
      </c>
    </row>
    <row r="2917" spans="1:7">
      <c r="A2917" s="6" t="s">
        <v>361</v>
      </c>
      <c r="B2917" s="6" t="s">
        <v>52</v>
      </c>
      <c r="C2917" s="6" t="s">
        <v>186</v>
      </c>
      <c r="D2917" s="6" t="s">
        <v>86</v>
      </c>
      <c r="E2917" s="6" t="s">
        <v>86</v>
      </c>
      <c r="F2917" s="6" t="b">
        <v>0</v>
      </c>
      <c r="G2917" s="6">
        <v>619.5118333333334</v>
      </c>
    </row>
    <row r="2918" spans="1:7">
      <c r="A2918" s="6" t="s">
        <v>361</v>
      </c>
      <c r="B2918" s="6" t="s">
        <v>52</v>
      </c>
      <c r="C2918" s="6" t="s">
        <v>186</v>
      </c>
      <c r="D2918" s="6" t="s">
        <v>88</v>
      </c>
      <c r="E2918" s="6" t="s">
        <v>88</v>
      </c>
      <c r="F2918" s="6" t="b">
        <v>0</v>
      </c>
      <c r="G2918" s="6">
        <v>17.53525</v>
      </c>
    </row>
    <row r="2919" spans="1:7">
      <c r="A2919" s="6" t="s">
        <v>361</v>
      </c>
      <c r="B2919" s="6" t="s">
        <v>52</v>
      </c>
      <c r="C2919" s="6" t="s">
        <v>186</v>
      </c>
      <c r="D2919" s="6" t="s">
        <v>90</v>
      </c>
      <c r="E2919" s="6" t="s">
        <v>90</v>
      </c>
      <c r="F2919" s="6" t="b">
        <v>0</v>
      </c>
      <c r="G2919" s="6">
        <v>1.493</v>
      </c>
    </row>
    <row r="2920" spans="1:7">
      <c r="A2920" s="6" t="s">
        <v>361</v>
      </c>
      <c r="B2920" s="6" t="s">
        <v>52</v>
      </c>
      <c r="C2920" s="6" t="s">
        <v>186</v>
      </c>
      <c r="D2920" s="6" t="s">
        <v>177</v>
      </c>
      <c r="E2920" s="6" t="s">
        <v>86</v>
      </c>
      <c r="F2920" s="6" t="b">
        <v>0</v>
      </c>
      <c r="G2920" s="6">
        <v>1.535666666666667</v>
      </c>
    </row>
    <row r="2921" spans="1:7">
      <c r="A2921" s="6" t="s">
        <v>361</v>
      </c>
      <c r="B2921" s="6" t="s">
        <v>52</v>
      </c>
      <c r="C2921" s="6" t="s">
        <v>189</v>
      </c>
      <c r="D2921" s="6" t="s">
        <v>86</v>
      </c>
      <c r="E2921" s="6" t="s">
        <v>86</v>
      </c>
      <c r="F2921" s="6" t="b">
        <v>0</v>
      </c>
      <c r="G2921" s="6">
        <v>8.513499999999999</v>
      </c>
    </row>
    <row r="2922" spans="1:7">
      <c r="A2922" s="6" t="s">
        <v>361</v>
      </c>
      <c r="B2922" s="6" t="s">
        <v>52</v>
      </c>
      <c r="C2922" s="6" t="s">
        <v>189</v>
      </c>
      <c r="D2922" s="6" t="s">
        <v>88</v>
      </c>
      <c r="E2922" s="6" t="s">
        <v>88</v>
      </c>
      <c r="F2922" s="6" t="b">
        <v>0</v>
      </c>
      <c r="G2922" s="6">
        <v>26.4845</v>
      </c>
    </row>
    <row r="2923" spans="1:7">
      <c r="A2923" s="6" t="s">
        <v>361</v>
      </c>
      <c r="B2923" s="6" t="s">
        <v>52</v>
      </c>
      <c r="C2923" s="6" t="s">
        <v>189</v>
      </c>
      <c r="D2923" s="6" t="s">
        <v>90</v>
      </c>
      <c r="E2923" s="6" t="s">
        <v>90</v>
      </c>
      <c r="F2923" s="6" t="b">
        <v>0</v>
      </c>
      <c r="G2923" s="6">
        <v>0.165</v>
      </c>
    </row>
    <row r="2924" spans="1:7">
      <c r="A2924" s="6" t="s">
        <v>361</v>
      </c>
      <c r="B2924" s="6" t="s">
        <v>52</v>
      </c>
      <c r="C2924" s="6" t="s">
        <v>190</v>
      </c>
      <c r="D2924" s="6" t="s">
        <v>90</v>
      </c>
      <c r="E2924" s="6" t="s">
        <v>90</v>
      </c>
      <c r="F2924" s="6" t="b">
        <v>0</v>
      </c>
      <c r="G2924" s="6">
        <v>3.064</v>
      </c>
    </row>
    <row r="2925" spans="1:7">
      <c r="A2925" s="6" t="s">
        <v>361</v>
      </c>
      <c r="B2925" s="6" t="s">
        <v>52</v>
      </c>
      <c r="C2925" s="6" t="s">
        <v>190</v>
      </c>
      <c r="D2925" s="6" t="s">
        <v>177</v>
      </c>
      <c r="E2925" s="6" t="s">
        <v>44</v>
      </c>
      <c r="F2925" s="6" t="b">
        <v>0</v>
      </c>
      <c r="G2925" s="6">
        <v>5.93775</v>
      </c>
    </row>
    <row r="2926" spans="1:7">
      <c r="A2926" s="6" t="s">
        <v>361</v>
      </c>
      <c r="B2926" s="6" t="s">
        <v>52</v>
      </c>
      <c r="C2926" s="6" t="s">
        <v>190</v>
      </c>
      <c r="D2926" s="6" t="s">
        <v>177</v>
      </c>
      <c r="E2926" s="6" t="s">
        <v>86</v>
      </c>
      <c r="F2926" s="6" t="b">
        <v>0</v>
      </c>
      <c r="G2926" s="6">
        <v>0.03</v>
      </c>
    </row>
    <row r="2927" spans="1:7">
      <c r="A2927" s="6" t="s">
        <v>361</v>
      </c>
      <c r="B2927" s="6" t="s">
        <v>52</v>
      </c>
      <c r="C2927" s="6" t="s">
        <v>190</v>
      </c>
      <c r="D2927" s="6" t="s">
        <v>92</v>
      </c>
      <c r="E2927" s="6" t="s">
        <v>92</v>
      </c>
      <c r="F2927" s="6" t="b">
        <v>0</v>
      </c>
      <c r="G2927" s="6">
        <v>0.021</v>
      </c>
    </row>
    <row r="2928" spans="1:7">
      <c r="A2928" s="6" t="s">
        <v>305</v>
      </c>
      <c r="B2928" s="6" t="s">
        <v>54</v>
      </c>
      <c r="C2928" s="6" t="s">
        <v>181</v>
      </c>
      <c r="D2928" s="6" t="s">
        <v>88</v>
      </c>
      <c r="E2928" s="6" t="s">
        <v>88</v>
      </c>
      <c r="F2928" s="6" t="b">
        <v>0</v>
      </c>
      <c r="G2928" s="6">
        <v>21.50591666666667</v>
      </c>
    </row>
    <row r="2929" spans="1:7">
      <c r="A2929" s="6" t="s">
        <v>305</v>
      </c>
      <c r="B2929" s="6" t="s">
        <v>54</v>
      </c>
      <c r="C2929" s="6" t="s">
        <v>181</v>
      </c>
      <c r="D2929" s="6" t="s">
        <v>90</v>
      </c>
      <c r="E2929" s="6" t="s">
        <v>90</v>
      </c>
      <c r="F2929" s="6" t="b">
        <v>0</v>
      </c>
      <c r="G2929" s="6">
        <v>0.055</v>
      </c>
    </row>
    <row r="2930" spans="1:7">
      <c r="A2930" s="6" t="s">
        <v>305</v>
      </c>
      <c r="B2930" s="6" t="s">
        <v>54</v>
      </c>
      <c r="C2930" s="6" t="s">
        <v>182</v>
      </c>
      <c r="D2930" s="6" t="s">
        <v>88</v>
      </c>
      <c r="E2930" s="6" t="s">
        <v>88</v>
      </c>
      <c r="F2930" s="6" t="b">
        <v>0</v>
      </c>
      <c r="G2930" s="6">
        <v>0.321</v>
      </c>
    </row>
    <row r="2931" spans="1:7">
      <c r="A2931" s="6" t="s">
        <v>305</v>
      </c>
      <c r="B2931" s="6" t="s">
        <v>54</v>
      </c>
      <c r="C2931" s="6" t="s">
        <v>183</v>
      </c>
      <c r="D2931" s="6" t="s">
        <v>86</v>
      </c>
      <c r="E2931" s="6" t="s">
        <v>86</v>
      </c>
      <c r="F2931" s="6" t="b">
        <v>0</v>
      </c>
      <c r="G2931" s="6">
        <v>0.01266666666666667</v>
      </c>
    </row>
    <row r="2932" spans="1:7">
      <c r="A2932" s="6" t="s">
        <v>305</v>
      </c>
      <c r="B2932" s="6" t="s">
        <v>54</v>
      </c>
      <c r="C2932" s="6" t="s">
        <v>183</v>
      </c>
      <c r="D2932" s="6" t="s">
        <v>88</v>
      </c>
      <c r="E2932" s="6" t="s">
        <v>88</v>
      </c>
      <c r="F2932" s="6" t="b">
        <v>0</v>
      </c>
      <c r="G2932" s="6">
        <v>0.12125</v>
      </c>
    </row>
    <row r="2933" spans="1:7">
      <c r="A2933" s="6" t="s">
        <v>305</v>
      </c>
      <c r="B2933" s="6" t="s">
        <v>54</v>
      </c>
      <c r="C2933" s="6" t="s">
        <v>183</v>
      </c>
      <c r="D2933" s="6" t="s">
        <v>90</v>
      </c>
      <c r="E2933" s="6" t="s">
        <v>86</v>
      </c>
      <c r="F2933" s="6" t="b">
        <v>0</v>
      </c>
      <c r="G2933" s="6">
        <v>0.1210833333333333</v>
      </c>
    </row>
    <row r="2934" spans="1:7">
      <c r="A2934" s="6" t="s">
        <v>305</v>
      </c>
      <c r="B2934" s="6" t="s">
        <v>54</v>
      </c>
      <c r="C2934" s="6" t="s">
        <v>183</v>
      </c>
      <c r="D2934" s="6" t="s">
        <v>90</v>
      </c>
      <c r="E2934" s="6" t="s">
        <v>90</v>
      </c>
      <c r="F2934" s="6" t="b">
        <v>0</v>
      </c>
      <c r="G2934" s="6">
        <v>0.2083333333333333</v>
      </c>
    </row>
    <row r="2935" spans="1:7">
      <c r="A2935" s="6" t="s">
        <v>305</v>
      </c>
      <c r="B2935" s="6" t="s">
        <v>54</v>
      </c>
      <c r="C2935" s="6" t="s">
        <v>183</v>
      </c>
      <c r="D2935" s="6" t="s">
        <v>177</v>
      </c>
      <c r="E2935" s="6" t="s">
        <v>86</v>
      </c>
      <c r="F2935" s="6" t="b">
        <v>0</v>
      </c>
      <c r="G2935" s="6">
        <v>0.0115</v>
      </c>
    </row>
    <row r="2936" spans="1:7">
      <c r="A2936" s="6" t="s">
        <v>305</v>
      </c>
      <c r="B2936" s="6" t="s">
        <v>54</v>
      </c>
      <c r="C2936" s="6" t="s">
        <v>184</v>
      </c>
      <c r="D2936" s="6" t="s">
        <v>44</v>
      </c>
      <c r="E2936" s="6" t="s">
        <v>44</v>
      </c>
      <c r="F2936" s="6" t="b">
        <v>0</v>
      </c>
      <c r="G2936" s="6">
        <v>323.6955833333333</v>
      </c>
    </row>
    <row r="2937" spans="1:7">
      <c r="A2937" s="6" t="s">
        <v>305</v>
      </c>
      <c r="B2937" s="6" t="s">
        <v>54</v>
      </c>
      <c r="C2937" s="6" t="s">
        <v>184</v>
      </c>
      <c r="D2937" s="6" t="s">
        <v>88</v>
      </c>
      <c r="E2937" s="6" t="s">
        <v>88</v>
      </c>
      <c r="F2937" s="6" t="b">
        <v>0</v>
      </c>
      <c r="G2937" s="6">
        <v>0.31225</v>
      </c>
    </row>
    <row r="2938" spans="1:7">
      <c r="A2938" s="6" t="s">
        <v>305</v>
      </c>
      <c r="B2938" s="6" t="s">
        <v>54</v>
      </c>
      <c r="C2938" s="6" t="s">
        <v>184</v>
      </c>
      <c r="D2938" s="6" t="s">
        <v>90</v>
      </c>
      <c r="E2938" s="6" t="s">
        <v>90</v>
      </c>
      <c r="F2938" s="6" t="b">
        <v>0</v>
      </c>
      <c r="G2938" s="6">
        <v>0.7671666666666667</v>
      </c>
    </row>
    <row r="2939" spans="1:7">
      <c r="A2939" s="6" t="s">
        <v>305</v>
      </c>
      <c r="B2939" s="6" t="s">
        <v>54</v>
      </c>
      <c r="C2939" s="6" t="s">
        <v>184</v>
      </c>
      <c r="D2939" s="6" t="s">
        <v>90</v>
      </c>
      <c r="E2939" s="6" t="s">
        <v>685</v>
      </c>
      <c r="F2939" s="6" t="b">
        <v>1</v>
      </c>
      <c r="G2939" s="6">
        <v>0.5170833333333333</v>
      </c>
    </row>
    <row r="2940" spans="1:7">
      <c r="A2940" s="6" t="s">
        <v>305</v>
      </c>
      <c r="B2940" s="6" t="s">
        <v>54</v>
      </c>
      <c r="C2940" s="6" t="s">
        <v>184</v>
      </c>
      <c r="D2940" s="6" t="s">
        <v>177</v>
      </c>
      <c r="E2940" s="6" t="s">
        <v>44</v>
      </c>
      <c r="F2940" s="6" t="b">
        <v>0</v>
      </c>
      <c r="G2940" s="6">
        <v>309.6155</v>
      </c>
    </row>
    <row r="2941" spans="1:7">
      <c r="A2941" s="6" t="s">
        <v>305</v>
      </c>
      <c r="B2941" s="6" t="s">
        <v>54</v>
      </c>
      <c r="C2941" s="6" t="s">
        <v>184</v>
      </c>
      <c r="D2941" s="6" t="s">
        <v>177</v>
      </c>
      <c r="E2941" s="6" t="s">
        <v>86</v>
      </c>
      <c r="F2941" s="6" t="b">
        <v>0</v>
      </c>
      <c r="G2941" s="6">
        <v>0.3145</v>
      </c>
    </row>
    <row r="2942" spans="1:7">
      <c r="A2942" s="6" t="s">
        <v>305</v>
      </c>
      <c r="B2942" s="6" t="s">
        <v>54</v>
      </c>
      <c r="C2942" s="6" t="s">
        <v>184</v>
      </c>
      <c r="D2942" s="6" t="s">
        <v>177</v>
      </c>
      <c r="E2942" s="6" t="s">
        <v>685</v>
      </c>
      <c r="F2942" s="6" t="b">
        <v>1</v>
      </c>
      <c r="G2942" s="6">
        <v>4.340583333333334</v>
      </c>
    </row>
    <row r="2943" spans="1:7">
      <c r="A2943" s="6" t="s">
        <v>305</v>
      </c>
      <c r="B2943" s="6" t="s">
        <v>54</v>
      </c>
      <c r="C2943" s="6" t="s">
        <v>185</v>
      </c>
      <c r="D2943" s="6" t="s">
        <v>44</v>
      </c>
      <c r="E2943" s="6" t="s">
        <v>685</v>
      </c>
      <c r="F2943" s="6" t="b">
        <v>1</v>
      </c>
      <c r="G2943" s="6">
        <v>21.00983333333333</v>
      </c>
    </row>
    <row r="2944" spans="1:7">
      <c r="A2944" s="6" t="s">
        <v>305</v>
      </c>
      <c r="B2944" s="6" t="s">
        <v>54</v>
      </c>
      <c r="C2944" s="6" t="s">
        <v>186</v>
      </c>
      <c r="D2944" s="6" t="s">
        <v>86</v>
      </c>
      <c r="E2944" s="6" t="s">
        <v>86</v>
      </c>
      <c r="F2944" s="6" t="b">
        <v>0</v>
      </c>
      <c r="G2944" s="6">
        <v>86.66133333333333</v>
      </c>
    </row>
    <row r="2945" spans="1:7">
      <c r="A2945" s="6" t="s">
        <v>305</v>
      </c>
      <c r="B2945" s="6" t="s">
        <v>54</v>
      </c>
      <c r="C2945" s="6" t="s">
        <v>186</v>
      </c>
      <c r="D2945" s="6" t="s">
        <v>88</v>
      </c>
      <c r="E2945" s="6" t="s">
        <v>88</v>
      </c>
      <c r="F2945" s="6" t="b">
        <v>0</v>
      </c>
      <c r="G2945" s="6">
        <v>2.857666666666667</v>
      </c>
    </row>
    <row r="2946" spans="1:7">
      <c r="A2946" s="6" t="s">
        <v>305</v>
      </c>
      <c r="B2946" s="6" t="s">
        <v>54</v>
      </c>
      <c r="C2946" s="6" t="s">
        <v>186</v>
      </c>
      <c r="D2946" s="6" t="s">
        <v>90</v>
      </c>
      <c r="E2946" s="6" t="s">
        <v>86</v>
      </c>
      <c r="F2946" s="6" t="b">
        <v>0</v>
      </c>
      <c r="G2946" s="6">
        <v>0.007083333333333334</v>
      </c>
    </row>
    <row r="2947" spans="1:7">
      <c r="A2947" s="6" t="s">
        <v>305</v>
      </c>
      <c r="B2947" s="6" t="s">
        <v>54</v>
      </c>
      <c r="C2947" s="6" t="s">
        <v>186</v>
      </c>
      <c r="D2947" s="6" t="s">
        <v>90</v>
      </c>
      <c r="E2947" s="6" t="s">
        <v>90</v>
      </c>
      <c r="F2947" s="6" t="b">
        <v>0</v>
      </c>
      <c r="G2947" s="6">
        <v>54.4515</v>
      </c>
    </row>
    <row r="2948" spans="1:7">
      <c r="A2948" s="6" t="s">
        <v>305</v>
      </c>
      <c r="B2948" s="6" t="s">
        <v>54</v>
      </c>
      <c r="C2948" s="6" t="s">
        <v>186</v>
      </c>
      <c r="D2948" s="6" t="s">
        <v>177</v>
      </c>
      <c r="E2948" s="6" t="s">
        <v>86</v>
      </c>
      <c r="F2948" s="6" t="b">
        <v>0</v>
      </c>
      <c r="G2948" s="6">
        <v>0.6884166666666668</v>
      </c>
    </row>
    <row r="2949" spans="1:7">
      <c r="A2949" s="6" t="s">
        <v>305</v>
      </c>
      <c r="B2949" s="6" t="s">
        <v>54</v>
      </c>
      <c r="C2949" s="6" t="s">
        <v>189</v>
      </c>
      <c r="D2949" s="6" t="s">
        <v>86</v>
      </c>
      <c r="E2949" s="6" t="s">
        <v>86</v>
      </c>
      <c r="F2949" s="6" t="b">
        <v>0</v>
      </c>
      <c r="G2949" s="6">
        <v>3.671416666666667</v>
      </c>
    </row>
    <row r="2950" spans="1:7">
      <c r="A2950" s="6" t="s">
        <v>305</v>
      </c>
      <c r="B2950" s="6" t="s">
        <v>54</v>
      </c>
      <c r="C2950" s="6" t="s">
        <v>189</v>
      </c>
      <c r="D2950" s="6" t="s">
        <v>88</v>
      </c>
      <c r="E2950" s="6" t="s">
        <v>88</v>
      </c>
      <c r="F2950" s="6" t="b">
        <v>0</v>
      </c>
      <c r="G2950" s="6">
        <v>10.2915</v>
      </c>
    </row>
    <row r="2951" spans="1:7">
      <c r="A2951" s="6" t="s">
        <v>305</v>
      </c>
      <c r="B2951" s="6" t="s">
        <v>54</v>
      </c>
      <c r="C2951" s="6" t="s">
        <v>189</v>
      </c>
      <c r="D2951" s="6" t="s">
        <v>90</v>
      </c>
      <c r="E2951" s="6" t="s">
        <v>90</v>
      </c>
      <c r="F2951" s="6" t="b">
        <v>0</v>
      </c>
      <c r="G2951" s="6">
        <v>1.68725</v>
      </c>
    </row>
    <row r="2952" spans="1:7">
      <c r="A2952" s="6" t="s">
        <v>305</v>
      </c>
      <c r="B2952" s="6" t="s">
        <v>54</v>
      </c>
      <c r="C2952" s="6" t="s">
        <v>190</v>
      </c>
      <c r="D2952" s="6" t="s">
        <v>44</v>
      </c>
      <c r="E2952" s="6" t="s">
        <v>44</v>
      </c>
      <c r="F2952" s="6" t="b">
        <v>0</v>
      </c>
      <c r="G2952" s="6">
        <v>112.6108333333333</v>
      </c>
    </row>
    <row r="2953" spans="1:7">
      <c r="A2953" s="6" t="s">
        <v>305</v>
      </c>
      <c r="B2953" s="6" t="s">
        <v>54</v>
      </c>
      <c r="C2953" s="6" t="s">
        <v>190</v>
      </c>
      <c r="D2953" s="6" t="s">
        <v>86</v>
      </c>
      <c r="E2953" s="6" t="s">
        <v>44</v>
      </c>
      <c r="F2953" s="6" t="b">
        <v>0</v>
      </c>
      <c r="G2953" s="6">
        <v>1.821083333333333</v>
      </c>
    </row>
    <row r="2954" spans="1:7">
      <c r="A2954" s="6" t="s">
        <v>305</v>
      </c>
      <c r="B2954" s="6" t="s">
        <v>54</v>
      </c>
      <c r="C2954" s="6" t="s">
        <v>190</v>
      </c>
      <c r="D2954" s="6" t="s">
        <v>86</v>
      </c>
      <c r="E2954" s="6" t="s">
        <v>86</v>
      </c>
      <c r="F2954" s="6" t="b">
        <v>0</v>
      </c>
      <c r="G2954" s="6">
        <v>2.922166666666667</v>
      </c>
    </row>
    <row r="2955" spans="1:7">
      <c r="A2955" s="6" t="s">
        <v>305</v>
      </c>
      <c r="B2955" s="6" t="s">
        <v>54</v>
      </c>
      <c r="C2955" s="6" t="s">
        <v>190</v>
      </c>
      <c r="D2955" s="6" t="s">
        <v>90</v>
      </c>
      <c r="E2955" s="6" t="s">
        <v>44</v>
      </c>
      <c r="F2955" s="6" t="b">
        <v>0</v>
      </c>
      <c r="G2955" s="6">
        <v>2.005583333333333</v>
      </c>
    </row>
    <row r="2956" spans="1:7">
      <c r="A2956" s="6" t="s">
        <v>305</v>
      </c>
      <c r="B2956" s="6" t="s">
        <v>54</v>
      </c>
      <c r="C2956" s="6" t="s">
        <v>190</v>
      </c>
      <c r="D2956" s="6" t="s">
        <v>90</v>
      </c>
      <c r="E2956" s="6" t="s">
        <v>90</v>
      </c>
      <c r="F2956" s="6" t="b">
        <v>0</v>
      </c>
      <c r="G2956" s="6">
        <v>10.80208333333333</v>
      </c>
    </row>
    <row r="2957" spans="1:7">
      <c r="A2957" s="6" t="s">
        <v>305</v>
      </c>
      <c r="B2957" s="6" t="s">
        <v>54</v>
      </c>
      <c r="C2957" s="6" t="s">
        <v>190</v>
      </c>
      <c r="D2957" s="6" t="s">
        <v>177</v>
      </c>
      <c r="E2957" s="6" t="s">
        <v>44</v>
      </c>
      <c r="F2957" s="6" t="b">
        <v>0</v>
      </c>
      <c r="G2957" s="6">
        <v>38.99066666666666</v>
      </c>
    </row>
    <row r="2958" spans="1:7">
      <c r="A2958" s="6" t="s">
        <v>305</v>
      </c>
      <c r="B2958" s="6" t="s">
        <v>54</v>
      </c>
      <c r="C2958" s="6" t="s">
        <v>190</v>
      </c>
      <c r="D2958" s="6" t="s">
        <v>177</v>
      </c>
      <c r="E2958" s="6" t="s">
        <v>86</v>
      </c>
      <c r="F2958" s="6" t="b">
        <v>0</v>
      </c>
      <c r="G2958" s="6">
        <v>7.988916666666667</v>
      </c>
    </row>
    <row r="2959" spans="1:7">
      <c r="A2959" s="6" t="s">
        <v>305</v>
      </c>
      <c r="B2959" s="6" t="s">
        <v>54</v>
      </c>
      <c r="C2959" s="6" t="s">
        <v>190</v>
      </c>
      <c r="D2959" s="6" t="s">
        <v>177</v>
      </c>
      <c r="E2959" s="6" t="s">
        <v>685</v>
      </c>
      <c r="F2959" s="6" t="b">
        <v>1</v>
      </c>
      <c r="G2959" s="6">
        <v>12.376</v>
      </c>
    </row>
    <row r="2960" spans="1:7">
      <c r="A2960" s="6" t="s">
        <v>305</v>
      </c>
      <c r="B2960" s="6" t="s">
        <v>54</v>
      </c>
      <c r="C2960" s="6" t="s">
        <v>190</v>
      </c>
      <c r="D2960" s="6" t="s">
        <v>92</v>
      </c>
      <c r="E2960" s="6" t="s">
        <v>92</v>
      </c>
      <c r="F2960" s="6" t="b">
        <v>0</v>
      </c>
      <c r="G2960" s="6">
        <v>0.1513333333333333</v>
      </c>
    </row>
    <row r="2961" spans="1:7">
      <c r="A2961" s="6" t="s">
        <v>306</v>
      </c>
      <c r="B2961" s="6" t="s">
        <v>57</v>
      </c>
      <c r="C2961" s="6" t="s">
        <v>181</v>
      </c>
      <c r="D2961" s="6" t="s">
        <v>88</v>
      </c>
      <c r="E2961" s="6" t="s">
        <v>88</v>
      </c>
      <c r="F2961" s="6" t="b">
        <v>0</v>
      </c>
      <c r="G2961" s="6">
        <v>3.41</v>
      </c>
    </row>
    <row r="2962" spans="1:7">
      <c r="A2962" s="6" t="s">
        <v>306</v>
      </c>
      <c r="B2962" s="6" t="s">
        <v>57</v>
      </c>
      <c r="C2962" s="6" t="s">
        <v>181</v>
      </c>
      <c r="D2962" s="6" t="s">
        <v>90</v>
      </c>
      <c r="E2962" s="6" t="s">
        <v>90</v>
      </c>
      <c r="F2962" s="6" t="b">
        <v>0</v>
      </c>
      <c r="G2962" s="6">
        <v>0.005500000000000001</v>
      </c>
    </row>
    <row r="2963" spans="1:7">
      <c r="A2963" s="6" t="s">
        <v>306</v>
      </c>
      <c r="B2963" s="6" t="s">
        <v>57</v>
      </c>
      <c r="C2963" s="6" t="s">
        <v>183</v>
      </c>
      <c r="D2963" s="6" t="s">
        <v>86</v>
      </c>
      <c r="E2963" s="6" t="s">
        <v>86</v>
      </c>
      <c r="F2963" s="6" t="b">
        <v>0</v>
      </c>
      <c r="G2963" s="6">
        <v>0.0075</v>
      </c>
    </row>
    <row r="2964" spans="1:7">
      <c r="A2964" s="6" t="s">
        <v>306</v>
      </c>
      <c r="B2964" s="6" t="s">
        <v>57</v>
      </c>
      <c r="C2964" s="6" t="s">
        <v>183</v>
      </c>
      <c r="D2964" s="6" t="s">
        <v>88</v>
      </c>
      <c r="E2964" s="6" t="s">
        <v>88</v>
      </c>
      <c r="F2964" s="6" t="b">
        <v>0</v>
      </c>
      <c r="G2964" s="6">
        <v>0.09733333333333333</v>
      </c>
    </row>
    <row r="2965" spans="1:7">
      <c r="A2965" s="6" t="s">
        <v>306</v>
      </c>
      <c r="B2965" s="6" t="s">
        <v>57</v>
      </c>
      <c r="C2965" s="6" t="s">
        <v>183</v>
      </c>
      <c r="D2965" s="6" t="s">
        <v>90</v>
      </c>
      <c r="E2965" s="6" t="s">
        <v>86</v>
      </c>
      <c r="F2965" s="6" t="b">
        <v>0</v>
      </c>
      <c r="G2965" s="6">
        <v>0.05</v>
      </c>
    </row>
    <row r="2966" spans="1:7">
      <c r="A2966" s="6" t="s">
        <v>306</v>
      </c>
      <c r="B2966" s="6" t="s">
        <v>57</v>
      </c>
      <c r="C2966" s="6" t="s">
        <v>183</v>
      </c>
      <c r="D2966" s="6" t="s">
        <v>90</v>
      </c>
      <c r="E2966" s="6" t="s">
        <v>90</v>
      </c>
      <c r="F2966" s="6" t="b">
        <v>0</v>
      </c>
      <c r="G2966" s="6">
        <v>0.03058333333333333</v>
      </c>
    </row>
    <row r="2967" spans="1:7">
      <c r="A2967" s="6" t="s">
        <v>306</v>
      </c>
      <c r="B2967" s="6" t="s">
        <v>57</v>
      </c>
      <c r="C2967" s="6" t="s">
        <v>183</v>
      </c>
      <c r="D2967" s="6" t="s">
        <v>177</v>
      </c>
      <c r="E2967" s="6" t="s">
        <v>86</v>
      </c>
      <c r="F2967" s="6" t="b">
        <v>0</v>
      </c>
      <c r="G2967" s="6">
        <v>0.01166666666666667</v>
      </c>
    </row>
    <row r="2968" spans="1:7">
      <c r="A2968" s="6" t="s">
        <v>306</v>
      </c>
      <c r="B2968" s="6" t="s">
        <v>57</v>
      </c>
      <c r="C2968" s="6" t="s">
        <v>183</v>
      </c>
      <c r="D2968" s="6" t="s">
        <v>177</v>
      </c>
      <c r="E2968" s="6" t="s">
        <v>685</v>
      </c>
      <c r="F2968" s="6" t="b">
        <v>1</v>
      </c>
      <c r="G2968" s="6">
        <v>0.005</v>
      </c>
    </row>
    <row r="2969" spans="1:7">
      <c r="A2969" s="6" t="s">
        <v>306</v>
      </c>
      <c r="B2969" s="6" t="s">
        <v>57</v>
      </c>
      <c r="C2969" s="6" t="s">
        <v>184</v>
      </c>
      <c r="D2969" s="6" t="s">
        <v>44</v>
      </c>
      <c r="E2969" s="6" t="s">
        <v>44</v>
      </c>
      <c r="F2969" s="6" t="b">
        <v>0</v>
      </c>
      <c r="G2969" s="6">
        <v>10.77275</v>
      </c>
    </row>
    <row r="2970" spans="1:7">
      <c r="A2970" s="6" t="s">
        <v>306</v>
      </c>
      <c r="B2970" s="6" t="s">
        <v>57</v>
      </c>
      <c r="C2970" s="6" t="s">
        <v>184</v>
      </c>
      <c r="D2970" s="6" t="s">
        <v>88</v>
      </c>
      <c r="E2970" s="6" t="s">
        <v>88</v>
      </c>
      <c r="F2970" s="6" t="b">
        <v>0</v>
      </c>
      <c r="G2970" s="6">
        <v>0.0585</v>
      </c>
    </row>
    <row r="2971" spans="1:7">
      <c r="A2971" s="6" t="s">
        <v>306</v>
      </c>
      <c r="B2971" s="6" t="s">
        <v>57</v>
      </c>
      <c r="C2971" s="6" t="s">
        <v>184</v>
      </c>
      <c r="D2971" s="6" t="s">
        <v>90</v>
      </c>
      <c r="E2971" s="6" t="s">
        <v>90</v>
      </c>
      <c r="F2971" s="6" t="b">
        <v>0</v>
      </c>
      <c r="G2971" s="6">
        <v>0.04891666666666667</v>
      </c>
    </row>
    <row r="2972" spans="1:7">
      <c r="A2972" s="6" t="s">
        <v>306</v>
      </c>
      <c r="B2972" s="6" t="s">
        <v>57</v>
      </c>
      <c r="C2972" s="6" t="s">
        <v>184</v>
      </c>
      <c r="D2972" s="6" t="s">
        <v>90</v>
      </c>
      <c r="E2972" s="6" t="s">
        <v>685</v>
      </c>
      <c r="F2972" s="6" t="b">
        <v>1</v>
      </c>
      <c r="G2972" s="6">
        <v>0.111</v>
      </c>
    </row>
    <row r="2973" spans="1:7">
      <c r="A2973" s="6" t="s">
        <v>306</v>
      </c>
      <c r="B2973" s="6" t="s">
        <v>57</v>
      </c>
      <c r="C2973" s="6" t="s">
        <v>184</v>
      </c>
      <c r="D2973" s="6" t="s">
        <v>177</v>
      </c>
      <c r="E2973" s="6" t="s">
        <v>44</v>
      </c>
      <c r="F2973" s="6" t="b">
        <v>0</v>
      </c>
      <c r="G2973" s="6">
        <v>14.79133333333333</v>
      </c>
    </row>
    <row r="2974" spans="1:7">
      <c r="A2974" s="6" t="s">
        <v>306</v>
      </c>
      <c r="B2974" s="6" t="s">
        <v>57</v>
      </c>
      <c r="C2974" s="6" t="s">
        <v>184</v>
      </c>
      <c r="D2974" s="6" t="s">
        <v>177</v>
      </c>
      <c r="E2974" s="6" t="s">
        <v>86</v>
      </c>
      <c r="F2974" s="6" t="b">
        <v>0</v>
      </c>
      <c r="G2974" s="6">
        <v>0.104</v>
      </c>
    </row>
    <row r="2975" spans="1:7">
      <c r="A2975" s="6" t="s">
        <v>306</v>
      </c>
      <c r="B2975" s="6" t="s">
        <v>57</v>
      </c>
      <c r="C2975" s="6" t="s">
        <v>184</v>
      </c>
      <c r="D2975" s="6" t="s">
        <v>177</v>
      </c>
      <c r="E2975" s="6" t="s">
        <v>685</v>
      </c>
      <c r="F2975" s="6" t="b">
        <v>1</v>
      </c>
      <c r="G2975" s="6">
        <v>0.8093333333333333</v>
      </c>
    </row>
    <row r="2976" spans="1:7">
      <c r="A2976" s="6" t="s">
        <v>306</v>
      </c>
      <c r="B2976" s="6" t="s">
        <v>57</v>
      </c>
      <c r="C2976" s="6" t="s">
        <v>186</v>
      </c>
      <c r="D2976" s="6" t="s">
        <v>86</v>
      </c>
      <c r="E2976" s="6" t="s">
        <v>86</v>
      </c>
      <c r="F2976" s="6" t="b">
        <v>0</v>
      </c>
      <c r="G2976" s="6">
        <v>4.803833333333333</v>
      </c>
    </row>
    <row r="2977" spans="1:7">
      <c r="A2977" s="6" t="s">
        <v>306</v>
      </c>
      <c r="B2977" s="6" t="s">
        <v>57</v>
      </c>
      <c r="C2977" s="6" t="s">
        <v>186</v>
      </c>
      <c r="D2977" s="6" t="s">
        <v>88</v>
      </c>
      <c r="E2977" s="6" t="s">
        <v>88</v>
      </c>
      <c r="F2977" s="6" t="b">
        <v>0</v>
      </c>
      <c r="G2977" s="6">
        <v>0.1615</v>
      </c>
    </row>
    <row r="2978" spans="1:7">
      <c r="A2978" s="6" t="s">
        <v>306</v>
      </c>
      <c r="B2978" s="6" t="s">
        <v>57</v>
      </c>
      <c r="C2978" s="6" t="s">
        <v>186</v>
      </c>
      <c r="D2978" s="6" t="s">
        <v>90</v>
      </c>
      <c r="E2978" s="6" t="s">
        <v>86</v>
      </c>
      <c r="F2978" s="6" t="b">
        <v>0</v>
      </c>
      <c r="G2978" s="6">
        <v>0.0003333333333333333</v>
      </c>
    </row>
    <row r="2979" spans="1:7">
      <c r="A2979" s="6" t="s">
        <v>306</v>
      </c>
      <c r="B2979" s="6" t="s">
        <v>57</v>
      </c>
      <c r="C2979" s="6" t="s">
        <v>186</v>
      </c>
      <c r="D2979" s="6" t="s">
        <v>90</v>
      </c>
      <c r="E2979" s="6" t="s">
        <v>90</v>
      </c>
      <c r="F2979" s="6" t="b">
        <v>0</v>
      </c>
      <c r="G2979" s="6">
        <v>1.90075</v>
      </c>
    </row>
    <row r="2980" spans="1:7">
      <c r="A2980" s="6" t="s">
        <v>306</v>
      </c>
      <c r="B2980" s="6" t="s">
        <v>57</v>
      </c>
      <c r="C2980" s="6" t="s">
        <v>186</v>
      </c>
      <c r="D2980" s="6" t="s">
        <v>177</v>
      </c>
      <c r="E2980" s="6" t="s">
        <v>86</v>
      </c>
      <c r="F2980" s="6" t="b">
        <v>0</v>
      </c>
      <c r="G2980" s="6">
        <v>0.09433333333333334</v>
      </c>
    </row>
    <row r="2981" spans="1:7">
      <c r="A2981" s="6" t="s">
        <v>306</v>
      </c>
      <c r="B2981" s="6" t="s">
        <v>57</v>
      </c>
      <c r="C2981" s="6" t="s">
        <v>189</v>
      </c>
      <c r="D2981" s="6" t="s">
        <v>86</v>
      </c>
      <c r="E2981" s="6" t="s">
        <v>86</v>
      </c>
      <c r="F2981" s="6" t="b">
        <v>0</v>
      </c>
      <c r="G2981" s="6">
        <v>1.60125</v>
      </c>
    </row>
    <row r="2982" spans="1:7">
      <c r="A2982" s="6" t="s">
        <v>306</v>
      </c>
      <c r="B2982" s="6" t="s">
        <v>57</v>
      </c>
      <c r="C2982" s="6" t="s">
        <v>189</v>
      </c>
      <c r="D2982" s="6" t="s">
        <v>88</v>
      </c>
      <c r="E2982" s="6" t="s">
        <v>88</v>
      </c>
      <c r="F2982" s="6" t="b">
        <v>0</v>
      </c>
      <c r="G2982" s="6">
        <v>2.17475</v>
      </c>
    </row>
    <row r="2983" spans="1:7">
      <c r="A2983" s="6" t="s">
        <v>306</v>
      </c>
      <c r="B2983" s="6" t="s">
        <v>57</v>
      </c>
      <c r="C2983" s="6" t="s">
        <v>189</v>
      </c>
      <c r="D2983" s="6" t="s">
        <v>90</v>
      </c>
      <c r="E2983" s="6" t="s">
        <v>90</v>
      </c>
      <c r="F2983" s="6" t="b">
        <v>0</v>
      </c>
      <c r="G2983" s="6">
        <v>0.1915833333333333</v>
      </c>
    </row>
    <row r="2984" spans="1:7">
      <c r="A2984" s="6" t="s">
        <v>307</v>
      </c>
      <c r="B2984" s="6" t="s">
        <v>53</v>
      </c>
      <c r="C2984" s="6" t="s">
        <v>181</v>
      </c>
      <c r="D2984" s="6" t="s">
        <v>88</v>
      </c>
      <c r="E2984" s="6" t="s">
        <v>88</v>
      </c>
      <c r="F2984" s="6" t="b">
        <v>0</v>
      </c>
      <c r="G2984" s="6">
        <v>0.08383333333333333</v>
      </c>
    </row>
    <row r="2985" spans="1:7">
      <c r="A2985" s="6" t="s">
        <v>307</v>
      </c>
      <c r="B2985" s="6" t="s">
        <v>53</v>
      </c>
      <c r="C2985" s="6" t="s">
        <v>183</v>
      </c>
      <c r="D2985" s="6" t="s">
        <v>88</v>
      </c>
      <c r="E2985" s="6" t="s">
        <v>88</v>
      </c>
      <c r="F2985" s="6" t="b">
        <v>0</v>
      </c>
      <c r="G2985" s="6">
        <v>0.00525</v>
      </c>
    </row>
    <row r="2986" spans="1:7">
      <c r="A2986" s="6" t="s">
        <v>307</v>
      </c>
      <c r="B2986" s="6" t="s">
        <v>53</v>
      </c>
      <c r="C2986" s="6" t="s">
        <v>183</v>
      </c>
      <c r="D2986" s="6" t="s">
        <v>90</v>
      </c>
      <c r="E2986" s="6" t="s">
        <v>86</v>
      </c>
      <c r="F2986" s="6" t="b">
        <v>0</v>
      </c>
      <c r="G2986" s="6">
        <v>0.00275</v>
      </c>
    </row>
    <row r="2987" spans="1:7">
      <c r="A2987" s="6" t="s">
        <v>307</v>
      </c>
      <c r="B2987" s="6" t="s">
        <v>53</v>
      </c>
      <c r="C2987" s="6" t="s">
        <v>184</v>
      </c>
      <c r="D2987" s="6" t="s">
        <v>44</v>
      </c>
      <c r="E2987" s="6" t="s">
        <v>44</v>
      </c>
      <c r="F2987" s="6" t="b">
        <v>0</v>
      </c>
      <c r="G2987" s="6">
        <v>0.7673333333333333</v>
      </c>
    </row>
    <row r="2988" spans="1:7">
      <c r="A2988" s="6" t="s">
        <v>307</v>
      </c>
      <c r="B2988" s="6" t="s">
        <v>53</v>
      </c>
      <c r="C2988" s="6" t="s">
        <v>184</v>
      </c>
      <c r="D2988" s="6" t="s">
        <v>88</v>
      </c>
      <c r="E2988" s="6" t="s">
        <v>88</v>
      </c>
      <c r="F2988" s="6" t="b">
        <v>0</v>
      </c>
      <c r="G2988" s="6">
        <v>0.00125</v>
      </c>
    </row>
    <row r="2989" spans="1:7">
      <c r="A2989" s="6" t="s">
        <v>307</v>
      </c>
      <c r="B2989" s="6" t="s">
        <v>53</v>
      </c>
      <c r="C2989" s="6" t="s">
        <v>184</v>
      </c>
      <c r="D2989" s="6" t="s">
        <v>90</v>
      </c>
      <c r="E2989" s="6" t="s">
        <v>90</v>
      </c>
      <c r="F2989" s="6" t="b">
        <v>0</v>
      </c>
      <c r="G2989" s="6">
        <v>0.00725</v>
      </c>
    </row>
    <row r="2990" spans="1:7">
      <c r="A2990" s="6" t="s">
        <v>307</v>
      </c>
      <c r="B2990" s="6" t="s">
        <v>53</v>
      </c>
      <c r="C2990" s="6" t="s">
        <v>184</v>
      </c>
      <c r="D2990" s="6" t="s">
        <v>90</v>
      </c>
      <c r="E2990" s="6" t="s">
        <v>685</v>
      </c>
      <c r="F2990" s="6" t="b">
        <v>1</v>
      </c>
      <c r="G2990" s="6">
        <v>0.002666666666666667</v>
      </c>
    </row>
    <row r="2991" spans="1:7">
      <c r="A2991" s="6" t="s">
        <v>307</v>
      </c>
      <c r="B2991" s="6" t="s">
        <v>53</v>
      </c>
      <c r="C2991" s="6" t="s">
        <v>184</v>
      </c>
      <c r="D2991" s="6" t="s">
        <v>177</v>
      </c>
      <c r="E2991" s="6" t="s">
        <v>44</v>
      </c>
      <c r="F2991" s="6" t="b">
        <v>0</v>
      </c>
      <c r="G2991" s="6">
        <v>0.8262499999999999</v>
      </c>
    </row>
    <row r="2992" spans="1:7">
      <c r="A2992" s="6" t="s">
        <v>307</v>
      </c>
      <c r="B2992" s="6" t="s">
        <v>53</v>
      </c>
      <c r="C2992" s="6" t="s">
        <v>184</v>
      </c>
      <c r="D2992" s="6" t="s">
        <v>177</v>
      </c>
      <c r="E2992" s="6" t="s">
        <v>86</v>
      </c>
      <c r="F2992" s="6" t="b">
        <v>0</v>
      </c>
      <c r="G2992" s="6">
        <v>0.00175</v>
      </c>
    </row>
    <row r="2993" spans="1:7">
      <c r="A2993" s="6" t="s">
        <v>307</v>
      </c>
      <c r="B2993" s="6" t="s">
        <v>53</v>
      </c>
      <c r="C2993" s="6" t="s">
        <v>184</v>
      </c>
      <c r="D2993" s="6" t="s">
        <v>177</v>
      </c>
      <c r="E2993" s="6" t="s">
        <v>685</v>
      </c>
      <c r="F2993" s="6" t="b">
        <v>1</v>
      </c>
      <c r="G2993" s="6">
        <v>0.08841666666666666</v>
      </c>
    </row>
    <row r="2994" spans="1:7">
      <c r="A2994" s="6" t="s">
        <v>307</v>
      </c>
      <c r="B2994" s="6" t="s">
        <v>53</v>
      </c>
      <c r="C2994" s="6" t="s">
        <v>186</v>
      </c>
      <c r="D2994" s="6" t="s">
        <v>86</v>
      </c>
      <c r="E2994" s="6" t="s">
        <v>86</v>
      </c>
      <c r="F2994" s="6" t="b">
        <v>0</v>
      </c>
      <c r="G2994" s="6">
        <v>0.1164166666666667</v>
      </c>
    </row>
    <row r="2995" spans="1:7">
      <c r="A2995" s="6" t="s">
        <v>307</v>
      </c>
      <c r="B2995" s="6" t="s">
        <v>53</v>
      </c>
      <c r="C2995" s="6" t="s">
        <v>186</v>
      </c>
      <c r="D2995" s="6" t="s">
        <v>88</v>
      </c>
      <c r="E2995" s="6" t="s">
        <v>88</v>
      </c>
      <c r="F2995" s="6" t="b">
        <v>0</v>
      </c>
      <c r="G2995" s="6">
        <v>0.007333333333333333</v>
      </c>
    </row>
    <row r="2996" spans="1:7">
      <c r="A2996" s="6" t="s">
        <v>307</v>
      </c>
      <c r="B2996" s="6" t="s">
        <v>53</v>
      </c>
      <c r="C2996" s="6" t="s">
        <v>186</v>
      </c>
      <c r="D2996" s="6" t="s">
        <v>90</v>
      </c>
      <c r="E2996" s="6" t="s">
        <v>90</v>
      </c>
      <c r="F2996" s="6" t="b">
        <v>0</v>
      </c>
      <c r="G2996" s="6">
        <v>0.09108333333333334</v>
      </c>
    </row>
    <row r="2997" spans="1:7">
      <c r="A2997" s="6" t="s">
        <v>307</v>
      </c>
      <c r="B2997" s="6" t="s">
        <v>53</v>
      </c>
      <c r="C2997" s="6" t="s">
        <v>186</v>
      </c>
      <c r="D2997" s="6" t="s">
        <v>177</v>
      </c>
      <c r="E2997" s="6" t="s">
        <v>86</v>
      </c>
      <c r="F2997" s="6" t="b">
        <v>0</v>
      </c>
      <c r="G2997" s="6">
        <v>0.003666666666666667</v>
      </c>
    </row>
    <row r="2998" spans="1:7">
      <c r="A2998" s="6" t="s">
        <v>307</v>
      </c>
      <c r="B2998" s="6" t="s">
        <v>53</v>
      </c>
      <c r="C2998" s="6" t="s">
        <v>189</v>
      </c>
      <c r="D2998" s="6" t="s">
        <v>86</v>
      </c>
      <c r="E2998" s="6" t="s">
        <v>86</v>
      </c>
      <c r="F2998" s="6" t="b">
        <v>0</v>
      </c>
      <c r="G2998" s="6">
        <v>0.03791666666666667</v>
      </c>
    </row>
    <row r="2999" spans="1:7">
      <c r="A2999" s="6" t="s">
        <v>362</v>
      </c>
      <c r="B2999" s="6" t="s">
        <v>52</v>
      </c>
      <c r="C2999" s="6" t="s">
        <v>186</v>
      </c>
      <c r="D2999" s="6" t="s">
        <v>86</v>
      </c>
      <c r="E2999" s="6" t="s">
        <v>86</v>
      </c>
      <c r="F2999" s="6" t="b">
        <v>0</v>
      </c>
      <c r="G2999" s="6">
        <v>2187.219</v>
      </c>
    </row>
    <row r="3000" spans="1:7">
      <c r="A3000" s="6" t="s">
        <v>362</v>
      </c>
      <c r="B3000" s="6" t="s">
        <v>52</v>
      </c>
      <c r="C3000" s="6" t="s">
        <v>186</v>
      </c>
      <c r="D3000" s="6" t="s">
        <v>88</v>
      </c>
      <c r="E3000" s="6" t="s">
        <v>88</v>
      </c>
      <c r="F3000" s="6" t="b">
        <v>0</v>
      </c>
      <c r="G3000" s="6">
        <v>135.1099166666667</v>
      </c>
    </row>
    <row r="3001" spans="1:7">
      <c r="A3001" s="6" t="s">
        <v>362</v>
      </c>
      <c r="B3001" s="6" t="s">
        <v>52</v>
      </c>
      <c r="C3001" s="6" t="s">
        <v>186</v>
      </c>
      <c r="D3001" s="6" t="s">
        <v>90</v>
      </c>
      <c r="E3001" s="6" t="s">
        <v>90</v>
      </c>
      <c r="F3001" s="6" t="b">
        <v>0</v>
      </c>
      <c r="G3001" s="6">
        <v>98.25525</v>
      </c>
    </row>
    <row r="3002" spans="1:7">
      <c r="A3002" s="6" t="s">
        <v>362</v>
      </c>
      <c r="B3002" s="6" t="s">
        <v>52</v>
      </c>
      <c r="C3002" s="6" t="s">
        <v>186</v>
      </c>
      <c r="D3002" s="6" t="s">
        <v>177</v>
      </c>
      <c r="E3002" s="6" t="s">
        <v>86</v>
      </c>
      <c r="F3002" s="6" t="b">
        <v>0</v>
      </c>
      <c r="G3002" s="6">
        <v>18.58333333333333</v>
      </c>
    </row>
    <row r="3003" spans="1:7">
      <c r="A3003" s="6" t="s">
        <v>362</v>
      </c>
      <c r="B3003" s="6" t="s">
        <v>52</v>
      </c>
      <c r="C3003" s="6" t="s">
        <v>189</v>
      </c>
      <c r="D3003" s="6" t="s">
        <v>86</v>
      </c>
      <c r="E3003" s="6" t="s">
        <v>86</v>
      </c>
      <c r="F3003" s="6" t="b">
        <v>0</v>
      </c>
      <c r="G3003" s="6">
        <v>686.4535000000001</v>
      </c>
    </row>
    <row r="3004" spans="1:7">
      <c r="A3004" s="6" t="s">
        <v>362</v>
      </c>
      <c r="B3004" s="6" t="s">
        <v>52</v>
      </c>
      <c r="C3004" s="6" t="s">
        <v>189</v>
      </c>
      <c r="D3004" s="6" t="s">
        <v>88</v>
      </c>
      <c r="E3004" s="6" t="s">
        <v>88</v>
      </c>
      <c r="F3004" s="6" t="b">
        <v>0</v>
      </c>
      <c r="G3004" s="6">
        <v>46.64441666666666</v>
      </c>
    </row>
    <row r="3005" spans="1:7">
      <c r="A3005" s="6" t="s">
        <v>362</v>
      </c>
      <c r="B3005" s="6" t="s">
        <v>52</v>
      </c>
      <c r="C3005" s="6" t="s">
        <v>189</v>
      </c>
      <c r="D3005" s="6" t="s">
        <v>90</v>
      </c>
      <c r="E3005" s="6" t="s">
        <v>90</v>
      </c>
      <c r="F3005" s="6" t="b">
        <v>0</v>
      </c>
      <c r="G3005" s="6">
        <v>40.878</v>
      </c>
    </row>
    <row r="3006" spans="1:7">
      <c r="A3006" s="6" t="s">
        <v>362</v>
      </c>
      <c r="B3006" s="6" t="s">
        <v>52</v>
      </c>
      <c r="C3006" s="6" t="s">
        <v>190</v>
      </c>
      <c r="D3006" s="6" t="s">
        <v>177</v>
      </c>
      <c r="E3006" s="6" t="s">
        <v>685</v>
      </c>
      <c r="F3006" s="6" t="b">
        <v>1</v>
      </c>
      <c r="G3006" s="6">
        <v>4.9875</v>
      </c>
    </row>
    <row r="3007" spans="1:7">
      <c r="A3007" s="6" t="s">
        <v>362</v>
      </c>
      <c r="B3007" s="6" t="s">
        <v>52</v>
      </c>
      <c r="C3007" s="6" t="s">
        <v>190</v>
      </c>
      <c r="D3007" s="6" t="s">
        <v>92</v>
      </c>
      <c r="E3007" s="6" t="s">
        <v>92</v>
      </c>
      <c r="F3007" s="6" t="b">
        <v>0</v>
      </c>
      <c r="G3007" s="6">
        <v>0.4080000000000001</v>
      </c>
    </row>
    <row r="3008" spans="1:7">
      <c r="A3008" s="6" t="s">
        <v>308</v>
      </c>
      <c r="B3008" s="6" t="s">
        <v>54</v>
      </c>
      <c r="C3008" s="6" t="s">
        <v>181</v>
      </c>
      <c r="D3008" s="6" t="s">
        <v>88</v>
      </c>
      <c r="E3008" s="6" t="s">
        <v>88</v>
      </c>
      <c r="F3008" s="6" t="b">
        <v>0</v>
      </c>
      <c r="G3008" s="6">
        <v>0.1699166666666667</v>
      </c>
    </row>
    <row r="3009" spans="1:7">
      <c r="A3009" s="6" t="s">
        <v>308</v>
      </c>
      <c r="B3009" s="6" t="s">
        <v>54</v>
      </c>
      <c r="C3009" s="6" t="s">
        <v>181</v>
      </c>
      <c r="D3009" s="6" t="s">
        <v>90</v>
      </c>
      <c r="E3009" s="6" t="s">
        <v>90</v>
      </c>
      <c r="F3009" s="6" t="b">
        <v>0</v>
      </c>
      <c r="G3009" s="6">
        <v>0.011</v>
      </c>
    </row>
    <row r="3010" spans="1:7">
      <c r="A3010" s="6" t="s">
        <v>308</v>
      </c>
      <c r="B3010" s="6" t="s">
        <v>54</v>
      </c>
      <c r="C3010" s="6" t="s">
        <v>183</v>
      </c>
      <c r="D3010" s="6" t="s">
        <v>88</v>
      </c>
      <c r="E3010" s="6" t="s">
        <v>88</v>
      </c>
      <c r="F3010" s="6" t="b">
        <v>0</v>
      </c>
      <c r="G3010" s="6">
        <v>0.0005833333333333334</v>
      </c>
    </row>
    <row r="3011" spans="1:7">
      <c r="A3011" s="6" t="s">
        <v>308</v>
      </c>
      <c r="B3011" s="6" t="s">
        <v>54</v>
      </c>
      <c r="C3011" s="6" t="s">
        <v>183</v>
      </c>
      <c r="D3011" s="6" t="s">
        <v>90</v>
      </c>
      <c r="E3011" s="6" t="s">
        <v>86</v>
      </c>
      <c r="F3011" s="6" t="b">
        <v>0</v>
      </c>
      <c r="G3011" s="6">
        <v>0.0009166666666666666</v>
      </c>
    </row>
    <row r="3012" spans="1:7">
      <c r="A3012" s="6" t="s">
        <v>308</v>
      </c>
      <c r="B3012" s="6" t="s">
        <v>54</v>
      </c>
      <c r="C3012" s="6" t="s">
        <v>183</v>
      </c>
      <c r="D3012" s="6" t="s">
        <v>90</v>
      </c>
      <c r="E3012" s="6" t="s">
        <v>90</v>
      </c>
      <c r="F3012" s="6" t="b">
        <v>0</v>
      </c>
      <c r="G3012" s="6">
        <v>0.007166666666666666</v>
      </c>
    </row>
    <row r="3013" spans="1:7">
      <c r="A3013" s="6" t="s">
        <v>308</v>
      </c>
      <c r="B3013" s="6" t="s">
        <v>54</v>
      </c>
      <c r="C3013" s="6" t="s">
        <v>184</v>
      </c>
      <c r="D3013" s="6" t="s">
        <v>44</v>
      </c>
      <c r="E3013" s="6" t="s">
        <v>44</v>
      </c>
      <c r="F3013" s="6" t="b">
        <v>0</v>
      </c>
      <c r="G3013" s="6">
        <v>1.113166666666667</v>
      </c>
    </row>
    <row r="3014" spans="1:7">
      <c r="A3014" s="6" t="s">
        <v>308</v>
      </c>
      <c r="B3014" s="6" t="s">
        <v>54</v>
      </c>
      <c r="C3014" s="6" t="s">
        <v>184</v>
      </c>
      <c r="D3014" s="6" t="s">
        <v>88</v>
      </c>
      <c r="E3014" s="6" t="s">
        <v>88</v>
      </c>
      <c r="F3014" s="6" t="b">
        <v>0</v>
      </c>
      <c r="G3014" s="6">
        <v>0.02308333333333333</v>
      </c>
    </row>
    <row r="3015" spans="1:7">
      <c r="A3015" s="6" t="s">
        <v>308</v>
      </c>
      <c r="B3015" s="6" t="s">
        <v>54</v>
      </c>
      <c r="C3015" s="6" t="s">
        <v>184</v>
      </c>
      <c r="D3015" s="6" t="s">
        <v>90</v>
      </c>
      <c r="E3015" s="6" t="s">
        <v>90</v>
      </c>
      <c r="F3015" s="6" t="b">
        <v>0</v>
      </c>
      <c r="G3015" s="6">
        <v>0.003666666666666667</v>
      </c>
    </row>
    <row r="3016" spans="1:7">
      <c r="A3016" s="6" t="s">
        <v>308</v>
      </c>
      <c r="B3016" s="6" t="s">
        <v>54</v>
      </c>
      <c r="C3016" s="6" t="s">
        <v>184</v>
      </c>
      <c r="D3016" s="6" t="s">
        <v>90</v>
      </c>
      <c r="E3016" s="6" t="s">
        <v>685</v>
      </c>
      <c r="F3016" s="6" t="b">
        <v>1</v>
      </c>
      <c r="G3016" s="6">
        <v>0.002666666666666667</v>
      </c>
    </row>
    <row r="3017" spans="1:7">
      <c r="A3017" s="6" t="s">
        <v>308</v>
      </c>
      <c r="B3017" s="6" t="s">
        <v>54</v>
      </c>
      <c r="C3017" s="6" t="s">
        <v>184</v>
      </c>
      <c r="D3017" s="6" t="s">
        <v>177</v>
      </c>
      <c r="E3017" s="6" t="s">
        <v>44</v>
      </c>
      <c r="F3017" s="6" t="b">
        <v>0</v>
      </c>
      <c r="G3017" s="6">
        <v>1.00875</v>
      </c>
    </row>
    <row r="3018" spans="1:7">
      <c r="A3018" s="6" t="s">
        <v>308</v>
      </c>
      <c r="B3018" s="6" t="s">
        <v>54</v>
      </c>
      <c r="C3018" s="6" t="s">
        <v>184</v>
      </c>
      <c r="D3018" s="6" t="s">
        <v>177</v>
      </c>
      <c r="E3018" s="6" t="s">
        <v>86</v>
      </c>
      <c r="F3018" s="6" t="b">
        <v>0</v>
      </c>
      <c r="G3018" s="6">
        <v>0.0125</v>
      </c>
    </row>
    <row r="3019" spans="1:7">
      <c r="A3019" s="6" t="s">
        <v>308</v>
      </c>
      <c r="B3019" s="6" t="s">
        <v>54</v>
      </c>
      <c r="C3019" s="6" t="s">
        <v>184</v>
      </c>
      <c r="D3019" s="6" t="s">
        <v>177</v>
      </c>
      <c r="E3019" s="6" t="s">
        <v>685</v>
      </c>
      <c r="F3019" s="6" t="b">
        <v>1</v>
      </c>
      <c r="G3019" s="6">
        <v>0.1070833333333333</v>
      </c>
    </row>
    <row r="3020" spans="1:7">
      <c r="A3020" s="6" t="s">
        <v>308</v>
      </c>
      <c r="B3020" s="6" t="s">
        <v>54</v>
      </c>
      <c r="C3020" s="6" t="s">
        <v>186</v>
      </c>
      <c r="D3020" s="6" t="s">
        <v>86</v>
      </c>
      <c r="E3020" s="6" t="s">
        <v>86</v>
      </c>
      <c r="F3020" s="6" t="b">
        <v>0</v>
      </c>
      <c r="G3020" s="6">
        <v>0.17875</v>
      </c>
    </row>
    <row r="3021" spans="1:7">
      <c r="A3021" s="6" t="s">
        <v>308</v>
      </c>
      <c r="B3021" s="6" t="s">
        <v>54</v>
      </c>
      <c r="C3021" s="6" t="s">
        <v>186</v>
      </c>
      <c r="D3021" s="6" t="s">
        <v>88</v>
      </c>
      <c r="E3021" s="6" t="s">
        <v>88</v>
      </c>
      <c r="F3021" s="6" t="b">
        <v>0</v>
      </c>
      <c r="G3021" s="6">
        <v>0.03483333333333333</v>
      </c>
    </row>
    <row r="3022" spans="1:7">
      <c r="A3022" s="6" t="s">
        <v>308</v>
      </c>
      <c r="B3022" s="6" t="s">
        <v>54</v>
      </c>
      <c r="C3022" s="6" t="s">
        <v>186</v>
      </c>
      <c r="D3022" s="6" t="s">
        <v>90</v>
      </c>
      <c r="E3022" s="6" t="s">
        <v>90</v>
      </c>
      <c r="F3022" s="6" t="b">
        <v>0</v>
      </c>
      <c r="G3022" s="6">
        <v>0.11625</v>
      </c>
    </row>
    <row r="3023" spans="1:7">
      <c r="A3023" s="6" t="s">
        <v>308</v>
      </c>
      <c r="B3023" s="6" t="s">
        <v>54</v>
      </c>
      <c r="C3023" s="6" t="s">
        <v>186</v>
      </c>
      <c r="D3023" s="6" t="s">
        <v>177</v>
      </c>
      <c r="E3023" s="6" t="s">
        <v>86</v>
      </c>
      <c r="F3023" s="6" t="b">
        <v>0</v>
      </c>
      <c r="G3023" s="6">
        <v>0.005333333333333333</v>
      </c>
    </row>
    <row r="3024" spans="1:7">
      <c r="A3024" s="6" t="s">
        <v>308</v>
      </c>
      <c r="B3024" s="6" t="s">
        <v>54</v>
      </c>
      <c r="C3024" s="6" t="s">
        <v>189</v>
      </c>
      <c r="D3024" s="6" t="s">
        <v>86</v>
      </c>
      <c r="E3024" s="6" t="s">
        <v>86</v>
      </c>
      <c r="F3024" s="6" t="b">
        <v>0</v>
      </c>
      <c r="G3024" s="6">
        <v>0.07325</v>
      </c>
    </row>
    <row r="3025" spans="1:7">
      <c r="A3025" s="6" t="s">
        <v>308</v>
      </c>
      <c r="B3025" s="6" t="s">
        <v>54</v>
      </c>
      <c r="C3025" s="6" t="s">
        <v>189</v>
      </c>
      <c r="D3025" s="6" t="s">
        <v>88</v>
      </c>
      <c r="E3025" s="6" t="s">
        <v>88</v>
      </c>
      <c r="F3025" s="6" t="b">
        <v>0</v>
      </c>
      <c r="G3025" s="6">
        <v>0.01725</v>
      </c>
    </row>
    <row r="3026" spans="1:7">
      <c r="A3026" s="6" t="s">
        <v>308</v>
      </c>
      <c r="B3026" s="6" t="s">
        <v>54</v>
      </c>
      <c r="C3026" s="6" t="s">
        <v>189</v>
      </c>
      <c r="D3026" s="6" t="s">
        <v>90</v>
      </c>
      <c r="E3026" s="6" t="s">
        <v>90</v>
      </c>
      <c r="F3026" s="6" t="b">
        <v>0</v>
      </c>
      <c r="G3026" s="6">
        <v>0.002083333333333333</v>
      </c>
    </row>
    <row r="3027" spans="1:7">
      <c r="A3027" s="6" t="s">
        <v>309</v>
      </c>
      <c r="B3027" s="6" t="s">
        <v>52</v>
      </c>
      <c r="C3027" s="6" t="s">
        <v>181</v>
      </c>
      <c r="D3027" s="6" t="s">
        <v>88</v>
      </c>
      <c r="E3027" s="6" t="s">
        <v>88</v>
      </c>
      <c r="F3027" s="6" t="b">
        <v>0</v>
      </c>
      <c r="G3027" s="6">
        <v>145.3010833333333</v>
      </c>
    </row>
    <row r="3028" spans="1:7">
      <c r="A3028" s="6" t="s">
        <v>309</v>
      </c>
      <c r="B3028" s="6" t="s">
        <v>52</v>
      </c>
      <c r="C3028" s="6" t="s">
        <v>181</v>
      </c>
      <c r="D3028" s="6" t="s">
        <v>90</v>
      </c>
      <c r="E3028" s="6" t="s">
        <v>90</v>
      </c>
      <c r="F3028" s="6" t="b">
        <v>0</v>
      </c>
      <c r="G3028" s="6">
        <v>0.007</v>
      </c>
    </row>
    <row r="3029" spans="1:7">
      <c r="A3029" s="6" t="s">
        <v>309</v>
      </c>
      <c r="B3029" s="6" t="s">
        <v>52</v>
      </c>
      <c r="C3029" s="6" t="s">
        <v>184</v>
      </c>
      <c r="D3029" s="6" t="s">
        <v>44</v>
      </c>
      <c r="E3029" s="6" t="s">
        <v>44</v>
      </c>
      <c r="F3029" s="6" t="b">
        <v>0</v>
      </c>
      <c r="G3029" s="6">
        <v>145.0423333333333</v>
      </c>
    </row>
    <row r="3030" spans="1:7">
      <c r="A3030" s="6" t="s">
        <v>309</v>
      </c>
      <c r="B3030" s="6" t="s">
        <v>52</v>
      </c>
      <c r="C3030" s="6" t="s">
        <v>184</v>
      </c>
      <c r="D3030" s="6" t="s">
        <v>88</v>
      </c>
      <c r="E3030" s="6" t="s">
        <v>88</v>
      </c>
      <c r="F3030" s="6" t="b">
        <v>0</v>
      </c>
      <c r="G3030" s="6">
        <v>6.667083333333333</v>
      </c>
    </row>
    <row r="3031" spans="1:7">
      <c r="A3031" s="6" t="s">
        <v>309</v>
      </c>
      <c r="B3031" s="6" t="s">
        <v>52</v>
      </c>
      <c r="C3031" s="6" t="s">
        <v>184</v>
      </c>
      <c r="D3031" s="6" t="s">
        <v>177</v>
      </c>
      <c r="E3031" s="6" t="s">
        <v>44</v>
      </c>
      <c r="F3031" s="6" t="b">
        <v>0</v>
      </c>
      <c r="G3031" s="6">
        <v>131.7791666666667</v>
      </c>
    </row>
    <row r="3032" spans="1:7">
      <c r="A3032" s="6" t="s">
        <v>309</v>
      </c>
      <c r="B3032" s="6" t="s">
        <v>52</v>
      </c>
      <c r="C3032" s="6" t="s">
        <v>184</v>
      </c>
      <c r="D3032" s="6" t="s">
        <v>177</v>
      </c>
      <c r="E3032" s="6" t="s">
        <v>86</v>
      </c>
      <c r="F3032" s="6" t="b">
        <v>0</v>
      </c>
      <c r="G3032" s="6">
        <v>9.086</v>
      </c>
    </row>
    <row r="3033" spans="1:7">
      <c r="A3033" s="6" t="s">
        <v>309</v>
      </c>
      <c r="B3033" s="6" t="s">
        <v>52</v>
      </c>
      <c r="C3033" s="6" t="s">
        <v>184</v>
      </c>
      <c r="D3033" s="6" t="s">
        <v>177</v>
      </c>
      <c r="E3033" s="6" t="s">
        <v>685</v>
      </c>
      <c r="F3033" s="6" t="b">
        <v>1</v>
      </c>
      <c r="G3033" s="6">
        <v>24.57283333333334</v>
      </c>
    </row>
    <row r="3034" spans="1:7">
      <c r="A3034" s="6" t="s">
        <v>309</v>
      </c>
      <c r="B3034" s="6" t="s">
        <v>52</v>
      </c>
      <c r="C3034" s="6" t="s">
        <v>186</v>
      </c>
      <c r="D3034" s="6" t="s">
        <v>86</v>
      </c>
      <c r="E3034" s="6" t="s">
        <v>86</v>
      </c>
      <c r="F3034" s="6" t="b">
        <v>0</v>
      </c>
      <c r="G3034" s="6">
        <v>786.399</v>
      </c>
    </row>
    <row r="3035" spans="1:7">
      <c r="A3035" s="6" t="s">
        <v>309</v>
      </c>
      <c r="B3035" s="6" t="s">
        <v>52</v>
      </c>
      <c r="C3035" s="6" t="s">
        <v>186</v>
      </c>
      <c r="D3035" s="6" t="s">
        <v>88</v>
      </c>
      <c r="E3035" s="6" t="s">
        <v>88</v>
      </c>
      <c r="F3035" s="6" t="b">
        <v>0</v>
      </c>
      <c r="G3035" s="6">
        <v>41.70341666666666</v>
      </c>
    </row>
    <row r="3036" spans="1:7">
      <c r="A3036" s="6" t="s">
        <v>309</v>
      </c>
      <c r="B3036" s="6" t="s">
        <v>52</v>
      </c>
      <c r="C3036" s="6" t="s">
        <v>186</v>
      </c>
      <c r="D3036" s="6" t="s">
        <v>90</v>
      </c>
      <c r="E3036" s="6" t="s">
        <v>90</v>
      </c>
      <c r="F3036" s="6" t="b">
        <v>0</v>
      </c>
      <c r="G3036" s="6">
        <v>288.4050833333333</v>
      </c>
    </row>
    <row r="3037" spans="1:7">
      <c r="A3037" s="6" t="s">
        <v>309</v>
      </c>
      <c r="B3037" s="6" t="s">
        <v>52</v>
      </c>
      <c r="C3037" s="6" t="s">
        <v>186</v>
      </c>
      <c r="D3037" s="6" t="s">
        <v>177</v>
      </c>
      <c r="E3037" s="6" t="s">
        <v>86</v>
      </c>
      <c r="F3037" s="6" t="b">
        <v>0</v>
      </c>
      <c r="G3037" s="6">
        <v>20.87433333333333</v>
      </c>
    </row>
    <row r="3038" spans="1:7">
      <c r="A3038" s="6" t="s">
        <v>309</v>
      </c>
      <c r="B3038" s="6" t="s">
        <v>52</v>
      </c>
      <c r="C3038" s="6" t="s">
        <v>189</v>
      </c>
      <c r="D3038" s="6" t="s">
        <v>86</v>
      </c>
      <c r="E3038" s="6" t="s">
        <v>86</v>
      </c>
      <c r="F3038" s="6" t="b">
        <v>0</v>
      </c>
      <c r="G3038" s="6">
        <v>67.04583333333333</v>
      </c>
    </row>
    <row r="3039" spans="1:7">
      <c r="A3039" s="6" t="s">
        <v>309</v>
      </c>
      <c r="B3039" s="6" t="s">
        <v>52</v>
      </c>
      <c r="C3039" s="6" t="s">
        <v>189</v>
      </c>
      <c r="D3039" s="6" t="s">
        <v>88</v>
      </c>
      <c r="E3039" s="6" t="s">
        <v>88</v>
      </c>
      <c r="F3039" s="6" t="b">
        <v>0</v>
      </c>
      <c r="G3039" s="6">
        <v>167.0510833333333</v>
      </c>
    </row>
    <row r="3040" spans="1:7">
      <c r="A3040" s="6" t="s">
        <v>309</v>
      </c>
      <c r="B3040" s="6" t="s">
        <v>52</v>
      </c>
      <c r="C3040" s="6" t="s">
        <v>189</v>
      </c>
      <c r="D3040" s="6" t="s">
        <v>90</v>
      </c>
      <c r="E3040" s="6" t="s">
        <v>90</v>
      </c>
      <c r="F3040" s="6" t="b">
        <v>0</v>
      </c>
      <c r="G3040" s="6">
        <v>0.4301666666666666</v>
      </c>
    </row>
    <row r="3041" spans="1:7">
      <c r="A3041" s="6" t="s">
        <v>309</v>
      </c>
      <c r="B3041" s="6" t="s">
        <v>52</v>
      </c>
      <c r="C3041" s="6" t="s">
        <v>190</v>
      </c>
      <c r="D3041" s="6" t="s">
        <v>44</v>
      </c>
      <c r="E3041" s="6" t="s">
        <v>44</v>
      </c>
      <c r="F3041" s="6" t="b">
        <v>0</v>
      </c>
      <c r="G3041" s="6">
        <v>1045.169333333333</v>
      </c>
    </row>
    <row r="3042" spans="1:7">
      <c r="A3042" s="6" t="s">
        <v>309</v>
      </c>
      <c r="B3042" s="6" t="s">
        <v>52</v>
      </c>
      <c r="C3042" s="6" t="s">
        <v>190</v>
      </c>
      <c r="D3042" s="6" t="s">
        <v>86</v>
      </c>
      <c r="E3042" s="6" t="s">
        <v>86</v>
      </c>
      <c r="F3042" s="6" t="b">
        <v>0</v>
      </c>
      <c r="G3042" s="6">
        <v>0.04116666666666666</v>
      </c>
    </row>
    <row r="3043" spans="1:7">
      <c r="A3043" s="6" t="s">
        <v>309</v>
      </c>
      <c r="B3043" s="6" t="s">
        <v>52</v>
      </c>
      <c r="C3043" s="6" t="s">
        <v>190</v>
      </c>
      <c r="D3043" s="6" t="s">
        <v>90</v>
      </c>
      <c r="E3043" s="6" t="s">
        <v>90</v>
      </c>
      <c r="F3043" s="6" t="b">
        <v>0</v>
      </c>
      <c r="G3043" s="6">
        <v>33.56808333333333</v>
      </c>
    </row>
    <row r="3044" spans="1:7">
      <c r="A3044" s="6" t="s">
        <v>309</v>
      </c>
      <c r="B3044" s="6" t="s">
        <v>52</v>
      </c>
      <c r="C3044" s="6" t="s">
        <v>190</v>
      </c>
      <c r="D3044" s="6" t="s">
        <v>177</v>
      </c>
      <c r="E3044" s="6" t="s">
        <v>44</v>
      </c>
      <c r="F3044" s="6" t="b">
        <v>0</v>
      </c>
      <c r="G3044" s="6">
        <v>34.1145</v>
      </c>
    </row>
    <row r="3045" spans="1:7">
      <c r="A3045" s="6" t="s">
        <v>309</v>
      </c>
      <c r="B3045" s="6" t="s">
        <v>52</v>
      </c>
      <c r="C3045" s="6" t="s">
        <v>190</v>
      </c>
      <c r="D3045" s="6" t="s">
        <v>92</v>
      </c>
      <c r="E3045" s="6" t="s">
        <v>92</v>
      </c>
      <c r="F3045" s="6" t="b">
        <v>0</v>
      </c>
      <c r="G3045" s="6">
        <v>8.154</v>
      </c>
    </row>
    <row r="3046" spans="1:7">
      <c r="A3046" s="6" t="s">
        <v>310</v>
      </c>
      <c r="B3046" s="6" t="s">
        <v>52</v>
      </c>
      <c r="C3046" s="6" t="s">
        <v>181</v>
      </c>
      <c r="D3046" s="6" t="s">
        <v>88</v>
      </c>
      <c r="E3046" s="6" t="s">
        <v>88</v>
      </c>
      <c r="F3046" s="6" t="b">
        <v>0</v>
      </c>
      <c r="G3046" s="6">
        <v>5.582</v>
      </c>
    </row>
    <row r="3047" spans="1:7">
      <c r="A3047" s="6" t="s">
        <v>310</v>
      </c>
      <c r="B3047" s="6" t="s">
        <v>52</v>
      </c>
      <c r="C3047" s="6" t="s">
        <v>186</v>
      </c>
      <c r="D3047" s="6" t="s">
        <v>86</v>
      </c>
      <c r="E3047" s="6" t="s">
        <v>86</v>
      </c>
      <c r="F3047" s="6" t="b">
        <v>0</v>
      </c>
      <c r="G3047" s="6">
        <v>66.18966666666667</v>
      </c>
    </row>
    <row r="3048" spans="1:7">
      <c r="A3048" s="6" t="s">
        <v>310</v>
      </c>
      <c r="B3048" s="6" t="s">
        <v>52</v>
      </c>
      <c r="C3048" s="6" t="s">
        <v>186</v>
      </c>
      <c r="D3048" s="6" t="s">
        <v>90</v>
      </c>
      <c r="E3048" s="6" t="s">
        <v>90</v>
      </c>
      <c r="F3048" s="6" t="b">
        <v>0</v>
      </c>
      <c r="G3048" s="6">
        <v>17.1535</v>
      </c>
    </row>
    <row r="3049" spans="1:7">
      <c r="A3049" s="6" t="s">
        <v>310</v>
      </c>
      <c r="B3049" s="6" t="s">
        <v>52</v>
      </c>
      <c r="C3049" s="6" t="s">
        <v>186</v>
      </c>
      <c r="D3049" s="6" t="s">
        <v>177</v>
      </c>
      <c r="E3049" s="6" t="s">
        <v>86</v>
      </c>
      <c r="F3049" s="6" t="b">
        <v>0</v>
      </c>
      <c r="G3049" s="6">
        <v>1.20175</v>
      </c>
    </row>
    <row r="3050" spans="1:7">
      <c r="A3050" s="6" t="s">
        <v>310</v>
      </c>
      <c r="B3050" s="6" t="s">
        <v>52</v>
      </c>
      <c r="C3050" s="6" t="s">
        <v>189</v>
      </c>
      <c r="D3050" s="6" t="s">
        <v>86</v>
      </c>
      <c r="E3050" s="6" t="s">
        <v>86</v>
      </c>
      <c r="F3050" s="6" t="b">
        <v>0</v>
      </c>
      <c r="G3050" s="6">
        <v>3.66525</v>
      </c>
    </row>
    <row r="3051" spans="1:7">
      <c r="A3051" s="6" t="s">
        <v>310</v>
      </c>
      <c r="B3051" s="6" t="s">
        <v>52</v>
      </c>
      <c r="C3051" s="6" t="s">
        <v>189</v>
      </c>
      <c r="D3051" s="6" t="s">
        <v>88</v>
      </c>
      <c r="E3051" s="6" t="s">
        <v>88</v>
      </c>
      <c r="F3051" s="6" t="b">
        <v>0</v>
      </c>
      <c r="G3051" s="6">
        <v>29.72458333333333</v>
      </c>
    </row>
    <row r="3052" spans="1:7">
      <c r="A3052" s="6" t="s">
        <v>310</v>
      </c>
      <c r="B3052" s="6" t="s">
        <v>52</v>
      </c>
      <c r="C3052" s="6" t="s">
        <v>190</v>
      </c>
      <c r="D3052" s="6" t="s">
        <v>44</v>
      </c>
      <c r="E3052" s="6" t="s">
        <v>44</v>
      </c>
      <c r="F3052" s="6" t="b">
        <v>0</v>
      </c>
      <c r="G3052" s="6">
        <v>253.6210833333333</v>
      </c>
    </row>
    <row r="3053" spans="1:7">
      <c r="A3053" s="6" t="s">
        <v>310</v>
      </c>
      <c r="B3053" s="6" t="s">
        <v>52</v>
      </c>
      <c r="C3053" s="6" t="s">
        <v>190</v>
      </c>
      <c r="D3053" s="6" t="s">
        <v>90</v>
      </c>
      <c r="E3053" s="6" t="s">
        <v>90</v>
      </c>
      <c r="F3053" s="6" t="b">
        <v>0</v>
      </c>
      <c r="G3053" s="6">
        <v>1.78125</v>
      </c>
    </row>
    <row r="3054" spans="1:7">
      <c r="A3054" s="6" t="s">
        <v>310</v>
      </c>
      <c r="B3054" s="6" t="s">
        <v>52</v>
      </c>
      <c r="C3054" s="6" t="s">
        <v>190</v>
      </c>
      <c r="D3054" s="6" t="s">
        <v>177</v>
      </c>
      <c r="E3054" s="6" t="s">
        <v>86</v>
      </c>
      <c r="F3054" s="6" t="b">
        <v>0</v>
      </c>
      <c r="G3054" s="6">
        <v>1.39</v>
      </c>
    </row>
    <row r="3055" spans="1:7">
      <c r="A3055" s="6" t="s">
        <v>311</v>
      </c>
      <c r="B3055" s="6" t="s">
        <v>51</v>
      </c>
      <c r="C3055" s="6" t="s">
        <v>184</v>
      </c>
      <c r="D3055" s="6" t="s">
        <v>44</v>
      </c>
      <c r="E3055" s="6" t="s">
        <v>44</v>
      </c>
      <c r="F3055" s="6" t="b">
        <v>0</v>
      </c>
      <c r="G3055" s="6">
        <v>59.3705</v>
      </c>
    </row>
    <row r="3056" spans="1:7">
      <c r="A3056" s="6" t="s">
        <v>311</v>
      </c>
      <c r="B3056" s="6" t="s">
        <v>51</v>
      </c>
      <c r="C3056" s="6" t="s">
        <v>186</v>
      </c>
      <c r="D3056" s="6" t="s">
        <v>86</v>
      </c>
      <c r="E3056" s="6" t="s">
        <v>86</v>
      </c>
      <c r="F3056" s="6" t="b">
        <v>0</v>
      </c>
      <c r="G3056" s="6">
        <v>76.19183333333334</v>
      </c>
    </row>
    <row r="3057" spans="1:7">
      <c r="A3057" s="6" t="s">
        <v>311</v>
      </c>
      <c r="B3057" s="6" t="s">
        <v>51</v>
      </c>
      <c r="C3057" s="6" t="s">
        <v>186</v>
      </c>
      <c r="D3057" s="6" t="s">
        <v>90</v>
      </c>
      <c r="E3057" s="6" t="s">
        <v>90</v>
      </c>
      <c r="F3057" s="6" t="b">
        <v>0</v>
      </c>
      <c r="G3057" s="6">
        <v>2.588916666666667</v>
      </c>
    </row>
    <row r="3058" spans="1:7">
      <c r="A3058" s="6" t="s">
        <v>311</v>
      </c>
      <c r="B3058" s="6" t="s">
        <v>51</v>
      </c>
      <c r="C3058" s="6" t="s">
        <v>187</v>
      </c>
      <c r="D3058" s="6" t="s">
        <v>86</v>
      </c>
      <c r="E3058" s="6" t="s">
        <v>86</v>
      </c>
      <c r="F3058" s="6" t="b">
        <v>0</v>
      </c>
      <c r="G3058" s="6">
        <v>81.60016666666667</v>
      </c>
    </row>
    <row r="3059" spans="1:7">
      <c r="A3059" s="6" t="s">
        <v>311</v>
      </c>
      <c r="B3059" s="6" t="s">
        <v>51</v>
      </c>
      <c r="C3059" s="6" t="s">
        <v>187</v>
      </c>
      <c r="D3059" s="6" t="s">
        <v>88</v>
      </c>
      <c r="E3059" s="6" t="s">
        <v>88</v>
      </c>
      <c r="F3059" s="6" t="b">
        <v>0</v>
      </c>
      <c r="G3059" s="6">
        <v>222.953</v>
      </c>
    </row>
    <row r="3060" spans="1:7">
      <c r="A3060" s="6" t="s">
        <v>312</v>
      </c>
      <c r="B3060" s="6" t="s">
        <v>54</v>
      </c>
      <c r="C3060" s="6" t="s">
        <v>181</v>
      </c>
      <c r="D3060" s="6" t="s">
        <v>88</v>
      </c>
      <c r="E3060" s="6" t="s">
        <v>88</v>
      </c>
      <c r="F3060" s="6" t="b">
        <v>0</v>
      </c>
      <c r="G3060" s="6">
        <v>15.93683333333333</v>
      </c>
    </row>
    <row r="3061" spans="1:7">
      <c r="A3061" s="6" t="s">
        <v>312</v>
      </c>
      <c r="B3061" s="6" t="s">
        <v>54</v>
      </c>
      <c r="C3061" s="6" t="s">
        <v>181</v>
      </c>
      <c r="D3061" s="6" t="s">
        <v>90</v>
      </c>
      <c r="E3061" s="6" t="s">
        <v>90</v>
      </c>
      <c r="F3061" s="6" t="b">
        <v>0</v>
      </c>
      <c r="G3061" s="6">
        <v>0.03025</v>
      </c>
    </row>
    <row r="3062" spans="1:7">
      <c r="A3062" s="6" t="s">
        <v>312</v>
      </c>
      <c r="B3062" s="6" t="s">
        <v>54</v>
      </c>
      <c r="C3062" s="6" t="s">
        <v>182</v>
      </c>
      <c r="D3062" s="6" t="s">
        <v>88</v>
      </c>
      <c r="E3062" s="6" t="s">
        <v>88</v>
      </c>
      <c r="F3062" s="6" t="b">
        <v>0</v>
      </c>
      <c r="G3062" s="6">
        <v>0.275</v>
      </c>
    </row>
    <row r="3063" spans="1:7">
      <c r="A3063" s="6" t="s">
        <v>312</v>
      </c>
      <c r="B3063" s="6" t="s">
        <v>54</v>
      </c>
      <c r="C3063" s="6" t="s">
        <v>183</v>
      </c>
      <c r="D3063" s="6" t="s">
        <v>86</v>
      </c>
      <c r="E3063" s="6" t="s">
        <v>86</v>
      </c>
      <c r="F3063" s="6" t="b">
        <v>0</v>
      </c>
      <c r="G3063" s="6">
        <v>0.00425</v>
      </c>
    </row>
    <row r="3064" spans="1:7">
      <c r="A3064" s="6" t="s">
        <v>312</v>
      </c>
      <c r="B3064" s="6" t="s">
        <v>54</v>
      </c>
      <c r="C3064" s="6" t="s">
        <v>183</v>
      </c>
      <c r="D3064" s="6" t="s">
        <v>88</v>
      </c>
      <c r="E3064" s="6" t="s">
        <v>88</v>
      </c>
      <c r="F3064" s="6" t="b">
        <v>0</v>
      </c>
      <c r="G3064" s="6">
        <v>0.04308333333333333</v>
      </c>
    </row>
    <row r="3065" spans="1:7">
      <c r="A3065" s="6" t="s">
        <v>312</v>
      </c>
      <c r="B3065" s="6" t="s">
        <v>54</v>
      </c>
      <c r="C3065" s="6" t="s">
        <v>183</v>
      </c>
      <c r="D3065" s="6" t="s">
        <v>90</v>
      </c>
      <c r="E3065" s="6" t="s">
        <v>86</v>
      </c>
      <c r="F3065" s="6" t="b">
        <v>0</v>
      </c>
      <c r="G3065" s="6">
        <v>0.057</v>
      </c>
    </row>
    <row r="3066" spans="1:7">
      <c r="A3066" s="6" t="s">
        <v>312</v>
      </c>
      <c r="B3066" s="6" t="s">
        <v>54</v>
      </c>
      <c r="C3066" s="6" t="s">
        <v>183</v>
      </c>
      <c r="D3066" s="6" t="s">
        <v>90</v>
      </c>
      <c r="E3066" s="6" t="s">
        <v>90</v>
      </c>
      <c r="F3066" s="6" t="b">
        <v>0</v>
      </c>
      <c r="G3066" s="6">
        <v>0.1570833333333333</v>
      </c>
    </row>
    <row r="3067" spans="1:7">
      <c r="A3067" s="6" t="s">
        <v>312</v>
      </c>
      <c r="B3067" s="6" t="s">
        <v>54</v>
      </c>
      <c r="C3067" s="6" t="s">
        <v>183</v>
      </c>
      <c r="D3067" s="6" t="s">
        <v>177</v>
      </c>
      <c r="E3067" s="6" t="s">
        <v>86</v>
      </c>
      <c r="F3067" s="6" t="b">
        <v>0</v>
      </c>
      <c r="G3067" s="6">
        <v>0.005999999999999999</v>
      </c>
    </row>
    <row r="3068" spans="1:7">
      <c r="A3068" s="6" t="s">
        <v>312</v>
      </c>
      <c r="B3068" s="6" t="s">
        <v>54</v>
      </c>
      <c r="C3068" s="6" t="s">
        <v>183</v>
      </c>
      <c r="D3068" s="6" t="s">
        <v>177</v>
      </c>
      <c r="E3068" s="6" t="s">
        <v>685</v>
      </c>
      <c r="F3068" s="6" t="b">
        <v>1</v>
      </c>
      <c r="G3068" s="6">
        <v>0.002</v>
      </c>
    </row>
    <row r="3069" spans="1:7">
      <c r="A3069" s="6" t="s">
        <v>312</v>
      </c>
      <c r="B3069" s="6" t="s">
        <v>54</v>
      </c>
      <c r="C3069" s="6" t="s">
        <v>184</v>
      </c>
      <c r="D3069" s="6" t="s">
        <v>44</v>
      </c>
      <c r="E3069" s="6" t="s">
        <v>44</v>
      </c>
      <c r="F3069" s="6" t="b">
        <v>0</v>
      </c>
      <c r="G3069" s="6">
        <v>123.5623333333333</v>
      </c>
    </row>
    <row r="3070" spans="1:7">
      <c r="A3070" s="6" t="s">
        <v>312</v>
      </c>
      <c r="B3070" s="6" t="s">
        <v>54</v>
      </c>
      <c r="C3070" s="6" t="s">
        <v>184</v>
      </c>
      <c r="D3070" s="6" t="s">
        <v>86</v>
      </c>
      <c r="E3070" s="6" t="s">
        <v>86</v>
      </c>
      <c r="F3070" s="6" t="b">
        <v>0</v>
      </c>
      <c r="G3070" s="6">
        <v>1.25</v>
      </c>
    </row>
    <row r="3071" spans="1:7">
      <c r="A3071" s="6" t="s">
        <v>312</v>
      </c>
      <c r="B3071" s="6" t="s">
        <v>54</v>
      </c>
      <c r="C3071" s="6" t="s">
        <v>184</v>
      </c>
      <c r="D3071" s="6" t="s">
        <v>88</v>
      </c>
      <c r="E3071" s="6" t="s">
        <v>88</v>
      </c>
      <c r="F3071" s="6" t="b">
        <v>0</v>
      </c>
      <c r="G3071" s="6">
        <v>0.02416666666666667</v>
      </c>
    </row>
    <row r="3072" spans="1:7">
      <c r="A3072" s="6" t="s">
        <v>312</v>
      </c>
      <c r="B3072" s="6" t="s">
        <v>54</v>
      </c>
      <c r="C3072" s="6" t="s">
        <v>184</v>
      </c>
      <c r="D3072" s="6" t="s">
        <v>90</v>
      </c>
      <c r="E3072" s="6" t="s">
        <v>90</v>
      </c>
      <c r="F3072" s="6" t="b">
        <v>0</v>
      </c>
      <c r="G3072" s="6">
        <v>0.1719166666666667</v>
      </c>
    </row>
    <row r="3073" spans="1:7">
      <c r="A3073" s="6" t="s">
        <v>312</v>
      </c>
      <c r="B3073" s="6" t="s">
        <v>54</v>
      </c>
      <c r="C3073" s="6" t="s">
        <v>184</v>
      </c>
      <c r="D3073" s="6" t="s">
        <v>90</v>
      </c>
      <c r="E3073" s="6" t="s">
        <v>685</v>
      </c>
      <c r="F3073" s="6" t="b">
        <v>1</v>
      </c>
      <c r="G3073" s="6">
        <v>0.1130833333333333</v>
      </c>
    </row>
    <row r="3074" spans="1:7">
      <c r="A3074" s="6" t="s">
        <v>312</v>
      </c>
      <c r="B3074" s="6" t="s">
        <v>54</v>
      </c>
      <c r="C3074" s="6" t="s">
        <v>184</v>
      </c>
      <c r="D3074" s="6" t="s">
        <v>177</v>
      </c>
      <c r="E3074" s="6" t="s">
        <v>44</v>
      </c>
      <c r="F3074" s="6" t="b">
        <v>0</v>
      </c>
      <c r="G3074" s="6">
        <v>216.0863333333333</v>
      </c>
    </row>
    <row r="3075" spans="1:7">
      <c r="A3075" s="6" t="s">
        <v>312</v>
      </c>
      <c r="B3075" s="6" t="s">
        <v>54</v>
      </c>
      <c r="C3075" s="6" t="s">
        <v>184</v>
      </c>
      <c r="D3075" s="6" t="s">
        <v>177</v>
      </c>
      <c r="E3075" s="6" t="s">
        <v>86</v>
      </c>
      <c r="F3075" s="6" t="b">
        <v>0</v>
      </c>
      <c r="G3075" s="6">
        <v>0.0355</v>
      </c>
    </row>
    <row r="3076" spans="1:7">
      <c r="A3076" s="6" t="s">
        <v>312</v>
      </c>
      <c r="B3076" s="6" t="s">
        <v>54</v>
      </c>
      <c r="C3076" s="6" t="s">
        <v>184</v>
      </c>
      <c r="D3076" s="6" t="s">
        <v>177</v>
      </c>
      <c r="E3076" s="6" t="s">
        <v>685</v>
      </c>
      <c r="F3076" s="6" t="b">
        <v>1</v>
      </c>
      <c r="G3076" s="6">
        <v>0.55375</v>
      </c>
    </row>
    <row r="3077" spans="1:7">
      <c r="A3077" s="6" t="s">
        <v>312</v>
      </c>
      <c r="B3077" s="6" t="s">
        <v>54</v>
      </c>
      <c r="C3077" s="6" t="s">
        <v>186</v>
      </c>
      <c r="D3077" s="6" t="s">
        <v>86</v>
      </c>
      <c r="E3077" s="6" t="s">
        <v>86</v>
      </c>
      <c r="F3077" s="6" t="b">
        <v>0</v>
      </c>
      <c r="G3077" s="6">
        <v>89.22808333333334</v>
      </c>
    </row>
    <row r="3078" spans="1:7">
      <c r="A3078" s="6" t="s">
        <v>312</v>
      </c>
      <c r="B3078" s="6" t="s">
        <v>54</v>
      </c>
      <c r="C3078" s="6" t="s">
        <v>186</v>
      </c>
      <c r="D3078" s="6" t="s">
        <v>88</v>
      </c>
      <c r="E3078" s="6" t="s">
        <v>88</v>
      </c>
      <c r="F3078" s="6" t="b">
        <v>0</v>
      </c>
      <c r="G3078" s="6">
        <v>1.485333333333333</v>
      </c>
    </row>
    <row r="3079" spans="1:7">
      <c r="A3079" s="6" t="s">
        <v>312</v>
      </c>
      <c r="B3079" s="6" t="s">
        <v>54</v>
      </c>
      <c r="C3079" s="6" t="s">
        <v>186</v>
      </c>
      <c r="D3079" s="6" t="s">
        <v>90</v>
      </c>
      <c r="E3079" s="6" t="s">
        <v>86</v>
      </c>
      <c r="F3079" s="6" t="b">
        <v>0</v>
      </c>
      <c r="G3079" s="6">
        <v>0.01275</v>
      </c>
    </row>
    <row r="3080" spans="1:7">
      <c r="A3080" s="6" t="s">
        <v>312</v>
      </c>
      <c r="B3080" s="6" t="s">
        <v>54</v>
      </c>
      <c r="C3080" s="6" t="s">
        <v>186</v>
      </c>
      <c r="D3080" s="6" t="s">
        <v>90</v>
      </c>
      <c r="E3080" s="6" t="s">
        <v>90</v>
      </c>
      <c r="F3080" s="6" t="b">
        <v>0</v>
      </c>
      <c r="G3080" s="6">
        <v>32.45066666666667</v>
      </c>
    </row>
    <row r="3081" spans="1:7">
      <c r="A3081" s="6" t="s">
        <v>312</v>
      </c>
      <c r="B3081" s="6" t="s">
        <v>54</v>
      </c>
      <c r="C3081" s="6" t="s">
        <v>186</v>
      </c>
      <c r="D3081" s="6" t="s">
        <v>177</v>
      </c>
      <c r="E3081" s="6" t="s">
        <v>86</v>
      </c>
      <c r="F3081" s="6" t="b">
        <v>0</v>
      </c>
      <c r="G3081" s="6">
        <v>0.3093333333333333</v>
      </c>
    </row>
    <row r="3082" spans="1:7">
      <c r="A3082" s="6" t="s">
        <v>312</v>
      </c>
      <c r="B3082" s="6" t="s">
        <v>54</v>
      </c>
      <c r="C3082" s="6" t="s">
        <v>189</v>
      </c>
      <c r="D3082" s="6" t="s">
        <v>86</v>
      </c>
      <c r="E3082" s="6" t="s">
        <v>86</v>
      </c>
      <c r="F3082" s="6" t="b">
        <v>0</v>
      </c>
      <c r="G3082" s="6">
        <v>5.783416666666667</v>
      </c>
    </row>
    <row r="3083" spans="1:7">
      <c r="A3083" s="6" t="s">
        <v>312</v>
      </c>
      <c r="B3083" s="6" t="s">
        <v>54</v>
      </c>
      <c r="C3083" s="6" t="s">
        <v>189</v>
      </c>
      <c r="D3083" s="6" t="s">
        <v>88</v>
      </c>
      <c r="E3083" s="6" t="s">
        <v>88</v>
      </c>
      <c r="F3083" s="6" t="b">
        <v>0</v>
      </c>
      <c r="G3083" s="6">
        <v>36.2865</v>
      </c>
    </row>
    <row r="3084" spans="1:7">
      <c r="A3084" s="6" t="s">
        <v>312</v>
      </c>
      <c r="B3084" s="6" t="s">
        <v>54</v>
      </c>
      <c r="C3084" s="6" t="s">
        <v>189</v>
      </c>
      <c r="D3084" s="6" t="s">
        <v>90</v>
      </c>
      <c r="E3084" s="6" t="s">
        <v>90</v>
      </c>
      <c r="F3084" s="6" t="b">
        <v>0</v>
      </c>
      <c r="G3084" s="6">
        <v>3.426916666666667</v>
      </c>
    </row>
    <row r="3085" spans="1:7">
      <c r="A3085" s="6" t="s">
        <v>312</v>
      </c>
      <c r="B3085" s="6" t="s">
        <v>54</v>
      </c>
      <c r="C3085" s="6" t="s">
        <v>190</v>
      </c>
      <c r="D3085" s="6" t="s">
        <v>44</v>
      </c>
      <c r="E3085" s="6" t="s">
        <v>44</v>
      </c>
      <c r="F3085" s="6" t="b">
        <v>0</v>
      </c>
      <c r="G3085" s="6">
        <v>29.89291666666666</v>
      </c>
    </row>
    <row r="3086" spans="1:7">
      <c r="A3086" s="6" t="s">
        <v>312</v>
      </c>
      <c r="B3086" s="6" t="s">
        <v>54</v>
      </c>
      <c r="C3086" s="6" t="s">
        <v>190</v>
      </c>
      <c r="D3086" s="6" t="s">
        <v>86</v>
      </c>
      <c r="E3086" s="6" t="s">
        <v>86</v>
      </c>
      <c r="F3086" s="6" t="b">
        <v>0</v>
      </c>
      <c r="G3086" s="6">
        <v>1.73375</v>
      </c>
    </row>
    <row r="3087" spans="1:7">
      <c r="A3087" s="6" t="s">
        <v>312</v>
      </c>
      <c r="B3087" s="6" t="s">
        <v>54</v>
      </c>
      <c r="C3087" s="6" t="s">
        <v>190</v>
      </c>
      <c r="D3087" s="6" t="s">
        <v>90</v>
      </c>
      <c r="E3087" s="6" t="s">
        <v>44</v>
      </c>
      <c r="F3087" s="6" t="b">
        <v>0</v>
      </c>
      <c r="G3087" s="6">
        <v>0.3416666666666666</v>
      </c>
    </row>
    <row r="3088" spans="1:7">
      <c r="A3088" s="6" t="s">
        <v>312</v>
      </c>
      <c r="B3088" s="6" t="s">
        <v>54</v>
      </c>
      <c r="C3088" s="6" t="s">
        <v>190</v>
      </c>
      <c r="D3088" s="6" t="s">
        <v>90</v>
      </c>
      <c r="E3088" s="6" t="s">
        <v>90</v>
      </c>
      <c r="F3088" s="6" t="b">
        <v>0</v>
      </c>
      <c r="G3088" s="6">
        <v>0.7511666666666666</v>
      </c>
    </row>
    <row r="3089" spans="1:7">
      <c r="A3089" s="6" t="s">
        <v>312</v>
      </c>
      <c r="B3089" s="6" t="s">
        <v>54</v>
      </c>
      <c r="C3089" s="6" t="s">
        <v>190</v>
      </c>
      <c r="D3089" s="6" t="s">
        <v>177</v>
      </c>
      <c r="E3089" s="6" t="s">
        <v>44</v>
      </c>
      <c r="F3089" s="6" t="b">
        <v>0</v>
      </c>
      <c r="G3089" s="6">
        <v>6.114833333333333</v>
      </c>
    </row>
    <row r="3090" spans="1:7">
      <c r="A3090" s="6" t="s">
        <v>312</v>
      </c>
      <c r="B3090" s="6" t="s">
        <v>54</v>
      </c>
      <c r="C3090" s="6" t="s">
        <v>190</v>
      </c>
      <c r="D3090" s="6" t="s">
        <v>177</v>
      </c>
      <c r="E3090" s="6" t="s">
        <v>86</v>
      </c>
      <c r="F3090" s="6" t="b">
        <v>0</v>
      </c>
      <c r="G3090" s="6">
        <v>0.06333333333333334</v>
      </c>
    </row>
    <row r="3091" spans="1:7">
      <c r="A3091" s="6" t="s">
        <v>312</v>
      </c>
      <c r="B3091" s="6" t="s">
        <v>54</v>
      </c>
      <c r="C3091" s="6" t="s">
        <v>190</v>
      </c>
      <c r="D3091" s="6" t="s">
        <v>92</v>
      </c>
      <c r="E3091" s="6" t="s">
        <v>92</v>
      </c>
      <c r="F3091" s="6" t="b">
        <v>0</v>
      </c>
      <c r="G3091" s="6">
        <v>0.2688333333333333</v>
      </c>
    </row>
    <row r="3092" spans="1:7">
      <c r="A3092" s="6" t="s">
        <v>313</v>
      </c>
      <c r="B3092" s="6" t="s">
        <v>51</v>
      </c>
      <c r="C3092" s="6" t="s">
        <v>181</v>
      </c>
      <c r="D3092" s="6" t="s">
        <v>88</v>
      </c>
      <c r="E3092" s="6" t="s">
        <v>88</v>
      </c>
      <c r="F3092" s="6" t="b">
        <v>0</v>
      </c>
      <c r="G3092" s="6">
        <v>6.4815</v>
      </c>
    </row>
    <row r="3093" spans="1:7">
      <c r="A3093" s="6" t="s">
        <v>313</v>
      </c>
      <c r="B3093" s="6" t="s">
        <v>51</v>
      </c>
      <c r="C3093" s="6" t="s">
        <v>181</v>
      </c>
      <c r="D3093" s="6" t="s">
        <v>90</v>
      </c>
      <c r="E3093" s="6" t="s">
        <v>90</v>
      </c>
      <c r="F3093" s="6" t="b">
        <v>0</v>
      </c>
      <c r="G3093" s="6">
        <v>0.01008333333333333</v>
      </c>
    </row>
    <row r="3094" spans="1:7">
      <c r="A3094" s="6" t="s">
        <v>313</v>
      </c>
      <c r="B3094" s="6" t="s">
        <v>51</v>
      </c>
      <c r="C3094" s="6" t="s">
        <v>183</v>
      </c>
      <c r="D3094" s="6" t="s">
        <v>86</v>
      </c>
      <c r="E3094" s="6" t="s">
        <v>86</v>
      </c>
      <c r="F3094" s="6" t="b">
        <v>0</v>
      </c>
      <c r="G3094" s="6">
        <v>0.002833333333333334</v>
      </c>
    </row>
    <row r="3095" spans="1:7">
      <c r="A3095" s="6" t="s">
        <v>313</v>
      </c>
      <c r="B3095" s="6" t="s">
        <v>51</v>
      </c>
      <c r="C3095" s="6" t="s">
        <v>183</v>
      </c>
      <c r="D3095" s="6" t="s">
        <v>88</v>
      </c>
      <c r="E3095" s="6" t="s">
        <v>88</v>
      </c>
      <c r="F3095" s="6" t="b">
        <v>0</v>
      </c>
      <c r="G3095" s="6">
        <v>0.02933333333333333</v>
      </c>
    </row>
    <row r="3096" spans="1:7">
      <c r="A3096" s="6" t="s">
        <v>313</v>
      </c>
      <c r="B3096" s="6" t="s">
        <v>51</v>
      </c>
      <c r="C3096" s="6" t="s">
        <v>183</v>
      </c>
      <c r="D3096" s="6" t="s">
        <v>90</v>
      </c>
      <c r="E3096" s="6" t="s">
        <v>86</v>
      </c>
      <c r="F3096" s="6" t="b">
        <v>0</v>
      </c>
      <c r="G3096" s="6">
        <v>0.08825</v>
      </c>
    </row>
    <row r="3097" spans="1:7">
      <c r="A3097" s="6" t="s">
        <v>313</v>
      </c>
      <c r="B3097" s="6" t="s">
        <v>51</v>
      </c>
      <c r="C3097" s="6" t="s">
        <v>183</v>
      </c>
      <c r="D3097" s="6" t="s">
        <v>90</v>
      </c>
      <c r="E3097" s="6" t="s">
        <v>90</v>
      </c>
      <c r="F3097" s="6" t="b">
        <v>0</v>
      </c>
      <c r="G3097" s="6">
        <v>0.09000000000000001</v>
      </c>
    </row>
    <row r="3098" spans="1:7">
      <c r="A3098" s="6" t="s">
        <v>313</v>
      </c>
      <c r="B3098" s="6" t="s">
        <v>51</v>
      </c>
      <c r="C3098" s="6" t="s">
        <v>183</v>
      </c>
      <c r="D3098" s="6" t="s">
        <v>177</v>
      </c>
      <c r="E3098" s="6" t="s">
        <v>86</v>
      </c>
      <c r="F3098" s="6" t="b">
        <v>0</v>
      </c>
      <c r="G3098" s="6">
        <v>0.007583333333333333</v>
      </c>
    </row>
    <row r="3099" spans="1:7">
      <c r="A3099" s="6" t="s">
        <v>313</v>
      </c>
      <c r="B3099" s="6" t="s">
        <v>51</v>
      </c>
      <c r="C3099" s="6" t="s">
        <v>184</v>
      </c>
      <c r="D3099" s="6" t="s">
        <v>44</v>
      </c>
      <c r="E3099" s="6" t="s">
        <v>44</v>
      </c>
      <c r="F3099" s="6" t="b">
        <v>0</v>
      </c>
      <c r="G3099" s="6">
        <v>34.49341666666667</v>
      </c>
    </row>
    <row r="3100" spans="1:7">
      <c r="A3100" s="6" t="s">
        <v>313</v>
      </c>
      <c r="B3100" s="6" t="s">
        <v>51</v>
      </c>
      <c r="C3100" s="6" t="s">
        <v>184</v>
      </c>
      <c r="D3100" s="6" t="s">
        <v>88</v>
      </c>
      <c r="E3100" s="6" t="s">
        <v>88</v>
      </c>
      <c r="F3100" s="6" t="b">
        <v>0</v>
      </c>
      <c r="G3100" s="6">
        <v>0.1521666666666667</v>
      </c>
    </row>
    <row r="3101" spans="1:7">
      <c r="A3101" s="6" t="s">
        <v>313</v>
      </c>
      <c r="B3101" s="6" t="s">
        <v>51</v>
      </c>
      <c r="C3101" s="6" t="s">
        <v>184</v>
      </c>
      <c r="D3101" s="6" t="s">
        <v>90</v>
      </c>
      <c r="E3101" s="6" t="s">
        <v>90</v>
      </c>
      <c r="F3101" s="6" t="b">
        <v>0</v>
      </c>
      <c r="G3101" s="6">
        <v>0.2846666666666667</v>
      </c>
    </row>
    <row r="3102" spans="1:7">
      <c r="A3102" s="6" t="s">
        <v>313</v>
      </c>
      <c r="B3102" s="6" t="s">
        <v>51</v>
      </c>
      <c r="C3102" s="6" t="s">
        <v>184</v>
      </c>
      <c r="D3102" s="6" t="s">
        <v>90</v>
      </c>
      <c r="E3102" s="6" t="s">
        <v>685</v>
      </c>
      <c r="F3102" s="6" t="b">
        <v>1</v>
      </c>
      <c r="G3102" s="6">
        <v>0.1689166666666667</v>
      </c>
    </row>
    <row r="3103" spans="1:7">
      <c r="A3103" s="6" t="s">
        <v>313</v>
      </c>
      <c r="B3103" s="6" t="s">
        <v>51</v>
      </c>
      <c r="C3103" s="6" t="s">
        <v>184</v>
      </c>
      <c r="D3103" s="6" t="s">
        <v>177</v>
      </c>
      <c r="E3103" s="6" t="s">
        <v>44</v>
      </c>
      <c r="F3103" s="6" t="b">
        <v>0</v>
      </c>
      <c r="G3103" s="6">
        <v>19.52258333333333</v>
      </c>
    </row>
    <row r="3104" spans="1:7">
      <c r="A3104" s="6" t="s">
        <v>313</v>
      </c>
      <c r="B3104" s="6" t="s">
        <v>51</v>
      </c>
      <c r="C3104" s="6" t="s">
        <v>184</v>
      </c>
      <c r="D3104" s="6" t="s">
        <v>177</v>
      </c>
      <c r="E3104" s="6" t="s">
        <v>86</v>
      </c>
      <c r="F3104" s="6" t="b">
        <v>0</v>
      </c>
      <c r="G3104" s="6">
        <v>0.06775</v>
      </c>
    </row>
    <row r="3105" spans="1:7">
      <c r="A3105" s="6" t="s">
        <v>313</v>
      </c>
      <c r="B3105" s="6" t="s">
        <v>51</v>
      </c>
      <c r="C3105" s="6" t="s">
        <v>184</v>
      </c>
      <c r="D3105" s="6" t="s">
        <v>177</v>
      </c>
      <c r="E3105" s="6" t="s">
        <v>685</v>
      </c>
      <c r="F3105" s="6" t="b">
        <v>1</v>
      </c>
      <c r="G3105" s="6">
        <v>1.826416666666667</v>
      </c>
    </row>
    <row r="3106" spans="1:7">
      <c r="A3106" s="6" t="s">
        <v>313</v>
      </c>
      <c r="B3106" s="6" t="s">
        <v>51</v>
      </c>
      <c r="C3106" s="6" t="s">
        <v>186</v>
      </c>
      <c r="D3106" s="6" t="s">
        <v>86</v>
      </c>
      <c r="E3106" s="6" t="s">
        <v>86</v>
      </c>
      <c r="F3106" s="6" t="b">
        <v>0</v>
      </c>
      <c r="G3106" s="6">
        <v>6.081</v>
      </c>
    </row>
    <row r="3107" spans="1:7">
      <c r="A3107" s="6" t="s">
        <v>313</v>
      </c>
      <c r="B3107" s="6" t="s">
        <v>51</v>
      </c>
      <c r="C3107" s="6" t="s">
        <v>186</v>
      </c>
      <c r="D3107" s="6" t="s">
        <v>88</v>
      </c>
      <c r="E3107" s="6" t="s">
        <v>88</v>
      </c>
      <c r="F3107" s="6" t="b">
        <v>0</v>
      </c>
      <c r="G3107" s="6">
        <v>0.39075</v>
      </c>
    </row>
    <row r="3108" spans="1:7">
      <c r="A3108" s="6" t="s">
        <v>313</v>
      </c>
      <c r="B3108" s="6" t="s">
        <v>51</v>
      </c>
      <c r="C3108" s="6" t="s">
        <v>186</v>
      </c>
      <c r="D3108" s="6" t="s">
        <v>90</v>
      </c>
      <c r="E3108" s="6" t="s">
        <v>90</v>
      </c>
      <c r="F3108" s="6" t="b">
        <v>0</v>
      </c>
      <c r="G3108" s="6">
        <v>5.62775</v>
      </c>
    </row>
    <row r="3109" spans="1:7">
      <c r="A3109" s="6" t="s">
        <v>313</v>
      </c>
      <c r="B3109" s="6" t="s">
        <v>51</v>
      </c>
      <c r="C3109" s="6" t="s">
        <v>186</v>
      </c>
      <c r="D3109" s="6" t="s">
        <v>177</v>
      </c>
      <c r="E3109" s="6" t="s">
        <v>86</v>
      </c>
      <c r="F3109" s="6" t="b">
        <v>0</v>
      </c>
      <c r="G3109" s="6">
        <v>0.101</v>
      </c>
    </row>
    <row r="3110" spans="1:7">
      <c r="A3110" s="6" t="s">
        <v>313</v>
      </c>
      <c r="B3110" s="6" t="s">
        <v>51</v>
      </c>
      <c r="C3110" s="6" t="s">
        <v>189</v>
      </c>
      <c r="D3110" s="6" t="s">
        <v>86</v>
      </c>
      <c r="E3110" s="6" t="s">
        <v>86</v>
      </c>
      <c r="F3110" s="6" t="b">
        <v>0</v>
      </c>
      <c r="G3110" s="6">
        <v>2.203833333333333</v>
      </c>
    </row>
    <row r="3111" spans="1:7">
      <c r="A3111" s="6" t="s">
        <v>313</v>
      </c>
      <c r="B3111" s="6" t="s">
        <v>51</v>
      </c>
      <c r="C3111" s="6" t="s">
        <v>189</v>
      </c>
      <c r="D3111" s="6" t="s">
        <v>88</v>
      </c>
      <c r="E3111" s="6" t="s">
        <v>88</v>
      </c>
      <c r="F3111" s="6" t="b">
        <v>0</v>
      </c>
      <c r="G3111" s="6">
        <v>0.94325</v>
      </c>
    </row>
    <row r="3112" spans="1:7">
      <c r="A3112" s="6" t="s">
        <v>313</v>
      </c>
      <c r="B3112" s="6" t="s">
        <v>51</v>
      </c>
      <c r="C3112" s="6" t="s">
        <v>189</v>
      </c>
      <c r="D3112" s="6" t="s">
        <v>90</v>
      </c>
      <c r="E3112" s="6" t="s">
        <v>90</v>
      </c>
      <c r="F3112" s="6" t="b">
        <v>0</v>
      </c>
      <c r="G3112" s="6">
        <v>0.13925</v>
      </c>
    </row>
    <row r="3113" spans="1:7">
      <c r="A3113" s="6" t="s">
        <v>313</v>
      </c>
      <c r="B3113" s="6" t="s">
        <v>51</v>
      </c>
      <c r="C3113" s="6" t="s">
        <v>190</v>
      </c>
      <c r="D3113" s="6" t="s">
        <v>44</v>
      </c>
      <c r="E3113" s="6" t="s">
        <v>44</v>
      </c>
      <c r="F3113" s="6" t="b">
        <v>0</v>
      </c>
      <c r="G3113" s="6">
        <v>1.671916666666667</v>
      </c>
    </row>
    <row r="3114" spans="1:7">
      <c r="A3114" s="6" t="s">
        <v>313</v>
      </c>
      <c r="B3114" s="6" t="s">
        <v>51</v>
      </c>
      <c r="C3114" s="6" t="s">
        <v>190</v>
      </c>
      <c r="D3114" s="6" t="s">
        <v>86</v>
      </c>
      <c r="E3114" s="6" t="s">
        <v>44</v>
      </c>
      <c r="F3114" s="6" t="b">
        <v>0</v>
      </c>
      <c r="G3114" s="6">
        <v>0.05125</v>
      </c>
    </row>
    <row r="3115" spans="1:7">
      <c r="A3115" s="6" t="s">
        <v>313</v>
      </c>
      <c r="B3115" s="6" t="s">
        <v>51</v>
      </c>
      <c r="C3115" s="6" t="s">
        <v>190</v>
      </c>
      <c r="D3115" s="6" t="s">
        <v>86</v>
      </c>
      <c r="E3115" s="6" t="s">
        <v>86</v>
      </c>
      <c r="F3115" s="6" t="b">
        <v>0</v>
      </c>
      <c r="G3115" s="6">
        <v>0.005999999999999999</v>
      </c>
    </row>
    <row r="3116" spans="1:7">
      <c r="A3116" s="6" t="s">
        <v>313</v>
      </c>
      <c r="B3116" s="6" t="s">
        <v>51</v>
      </c>
      <c r="C3116" s="6" t="s">
        <v>190</v>
      </c>
      <c r="D3116" s="6" t="s">
        <v>90</v>
      </c>
      <c r="E3116" s="6" t="s">
        <v>44</v>
      </c>
      <c r="F3116" s="6" t="b">
        <v>0</v>
      </c>
      <c r="G3116" s="6">
        <v>0.03075</v>
      </c>
    </row>
    <row r="3117" spans="1:7">
      <c r="A3117" s="6" t="s">
        <v>313</v>
      </c>
      <c r="B3117" s="6" t="s">
        <v>51</v>
      </c>
      <c r="C3117" s="6" t="s">
        <v>190</v>
      </c>
      <c r="D3117" s="6" t="s">
        <v>90</v>
      </c>
      <c r="E3117" s="6" t="s">
        <v>90</v>
      </c>
      <c r="F3117" s="6" t="b">
        <v>0</v>
      </c>
      <c r="G3117" s="6">
        <v>18.35025</v>
      </c>
    </row>
    <row r="3118" spans="1:7">
      <c r="A3118" s="6" t="s">
        <v>313</v>
      </c>
      <c r="B3118" s="6" t="s">
        <v>51</v>
      </c>
      <c r="C3118" s="6" t="s">
        <v>190</v>
      </c>
      <c r="D3118" s="6" t="s">
        <v>177</v>
      </c>
      <c r="E3118" s="6" t="s">
        <v>44</v>
      </c>
      <c r="F3118" s="6" t="b">
        <v>0</v>
      </c>
      <c r="G3118" s="6">
        <v>28.86633333333333</v>
      </c>
    </row>
    <row r="3119" spans="1:7">
      <c r="A3119" s="6" t="s">
        <v>313</v>
      </c>
      <c r="B3119" s="6" t="s">
        <v>51</v>
      </c>
      <c r="C3119" s="6" t="s">
        <v>190</v>
      </c>
      <c r="D3119" s="6" t="s">
        <v>177</v>
      </c>
      <c r="E3119" s="6" t="s">
        <v>86</v>
      </c>
      <c r="F3119" s="6" t="b">
        <v>0</v>
      </c>
      <c r="G3119" s="6">
        <v>0.2465</v>
      </c>
    </row>
    <row r="3120" spans="1:7">
      <c r="A3120" s="6" t="s">
        <v>314</v>
      </c>
      <c r="B3120" s="6" t="s">
        <v>51</v>
      </c>
      <c r="C3120" s="6" t="s">
        <v>181</v>
      </c>
      <c r="D3120" s="6" t="s">
        <v>88</v>
      </c>
      <c r="E3120" s="6" t="s">
        <v>88</v>
      </c>
      <c r="F3120" s="6" t="b">
        <v>0</v>
      </c>
      <c r="G3120" s="6">
        <v>1.446</v>
      </c>
    </row>
    <row r="3121" spans="1:7">
      <c r="A3121" s="6" t="s">
        <v>314</v>
      </c>
      <c r="B3121" s="6" t="s">
        <v>51</v>
      </c>
      <c r="C3121" s="6" t="s">
        <v>183</v>
      </c>
      <c r="D3121" s="6" t="s">
        <v>88</v>
      </c>
      <c r="E3121" s="6" t="s">
        <v>88</v>
      </c>
      <c r="F3121" s="6" t="b">
        <v>0</v>
      </c>
      <c r="G3121" s="6">
        <v>0.01333333333333333</v>
      </c>
    </row>
    <row r="3122" spans="1:7">
      <c r="A3122" s="6" t="s">
        <v>314</v>
      </c>
      <c r="B3122" s="6" t="s">
        <v>51</v>
      </c>
      <c r="C3122" s="6" t="s">
        <v>183</v>
      </c>
      <c r="D3122" s="6" t="s">
        <v>90</v>
      </c>
      <c r="E3122" s="6" t="s">
        <v>86</v>
      </c>
      <c r="F3122" s="6" t="b">
        <v>0</v>
      </c>
      <c r="G3122" s="6">
        <v>0.003666666666666667</v>
      </c>
    </row>
    <row r="3123" spans="1:7">
      <c r="A3123" s="6" t="s">
        <v>314</v>
      </c>
      <c r="B3123" s="6" t="s">
        <v>51</v>
      </c>
      <c r="C3123" s="6" t="s">
        <v>183</v>
      </c>
      <c r="D3123" s="6" t="s">
        <v>90</v>
      </c>
      <c r="E3123" s="6" t="s">
        <v>90</v>
      </c>
      <c r="F3123" s="6" t="b">
        <v>0</v>
      </c>
      <c r="G3123" s="6">
        <v>0.004166666666666667</v>
      </c>
    </row>
    <row r="3124" spans="1:7">
      <c r="A3124" s="6" t="s">
        <v>314</v>
      </c>
      <c r="B3124" s="6" t="s">
        <v>51</v>
      </c>
      <c r="C3124" s="6" t="s">
        <v>183</v>
      </c>
      <c r="D3124" s="6" t="s">
        <v>177</v>
      </c>
      <c r="E3124" s="6" t="s">
        <v>685</v>
      </c>
      <c r="F3124" s="6" t="b">
        <v>1</v>
      </c>
      <c r="G3124" s="6">
        <v>0.001</v>
      </c>
    </row>
    <row r="3125" spans="1:7">
      <c r="A3125" s="6" t="s">
        <v>314</v>
      </c>
      <c r="B3125" s="6" t="s">
        <v>51</v>
      </c>
      <c r="C3125" s="6" t="s">
        <v>184</v>
      </c>
      <c r="D3125" s="6" t="s">
        <v>44</v>
      </c>
      <c r="E3125" s="6" t="s">
        <v>44</v>
      </c>
      <c r="F3125" s="6" t="b">
        <v>0</v>
      </c>
      <c r="G3125" s="6">
        <v>25.72783333333333</v>
      </c>
    </row>
    <row r="3126" spans="1:7">
      <c r="A3126" s="6" t="s">
        <v>314</v>
      </c>
      <c r="B3126" s="6" t="s">
        <v>51</v>
      </c>
      <c r="C3126" s="6" t="s">
        <v>184</v>
      </c>
      <c r="D3126" s="6" t="s">
        <v>90</v>
      </c>
      <c r="E3126" s="6" t="s">
        <v>90</v>
      </c>
      <c r="F3126" s="6" t="b">
        <v>0</v>
      </c>
      <c r="G3126" s="6">
        <v>0.04025</v>
      </c>
    </row>
    <row r="3127" spans="1:7">
      <c r="A3127" s="6" t="s">
        <v>314</v>
      </c>
      <c r="B3127" s="6" t="s">
        <v>51</v>
      </c>
      <c r="C3127" s="6" t="s">
        <v>184</v>
      </c>
      <c r="D3127" s="6" t="s">
        <v>90</v>
      </c>
      <c r="E3127" s="6" t="s">
        <v>685</v>
      </c>
      <c r="F3127" s="6" t="b">
        <v>1</v>
      </c>
      <c r="G3127" s="6">
        <v>0.15375</v>
      </c>
    </row>
    <row r="3128" spans="1:7">
      <c r="A3128" s="6" t="s">
        <v>314</v>
      </c>
      <c r="B3128" s="6" t="s">
        <v>51</v>
      </c>
      <c r="C3128" s="6" t="s">
        <v>184</v>
      </c>
      <c r="D3128" s="6" t="s">
        <v>177</v>
      </c>
      <c r="E3128" s="6" t="s">
        <v>44</v>
      </c>
      <c r="F3128" s="6" t="b">
        <v>0</v>
      </c>
      <c r="G3128" s="6">
        <v>14.44541666666667</v>
      </c>
    </row>
    <row r="3129" spans="1:7">
      <c r="A3129" s="6" t="s">
        <v>314</v>
      </c>
      <c r="B3129" s="6" t="s">
        <v>51</v>
      </c>
      <c r="C3129" s="6" t="s">
        <v>184</v>
      </c>
      <c r="D3129" s="6" t="s">
        <v>177</v>
      </c>
      <c r="E3129" s="6" t="s">
        <v>86</v>
      </c>
      <c r="F3129" s="6" t="b">
        <v>0</v>
      </c>
      <c r="G3129" s="6">
        <v>0.0525</v>
      </c>
    </row>
    <row r="3130" spans="1:7">
      <c r="A3130" s="6" t="s">
        <v>314</v>
      </c>
      <c r="B3130" s="6" t="s">
        <v>51</v>
      </c>
      <c r="C3130" s="6" t="s">
        <v>184</v>
      </c>
      <c r="D3130" s="6" t="s">
        <v>177</v>
      </c>
      <c r="E3130" s="6" t="s">
        <v>685</v>
      </c>
      <c r="F3130" s="6" t="b">
        <v>1</v>
      </c>
      <c r="G3130" s="6">
        <v>0.02166666666666667</v>
      </c>
    </row>
    <row r="3131" spans="1:7">
      <c r="A3131" s="6" t="s">
        <v>314</v>
      </c>
      <c r="B3131" s="6" t="s">
        <v>51</v>
      </c>
      <c r="C3131" s="6" t="s">
        <v>186</v>
      </c>
      <c r="D3131" s="6" t="s">
        <v>86</v>
      </c>
      <c r="E3131" s="6" t="s">
        <v>86</v>
      </c>
      <c r="F3131" s="6" t="b">
        <v>0</v>
      </c>
      <c r="G3131" s="6">
        <v>5.28475</v>
      </c>
    </row>
    <row r="3132" spans="1:7">
      <c r="A3132" s="6" t="s">
        <v>314</v>
      </c>
      <c r="B3132" s="6" t="s">
        <v>51</v>
      </c>
      <c r="C3132" s="6" t="s">
        <v>186</v>
      </c>
      <c r="D3132" s="6" t="s">
        <v>88</v>
      </c>
      <c r="E3132" s="6" t="s">
        <v>88</v>
      </c>
      <c r="F3132" s="6" t="b">
        <v>0</v>
      </c>
      <c r="G3132" s="6">
        <v>0.4805833333333334</v>
      </c>
    </row>
    <row r="3133" spans="1:7">
      <c r="A3133" s="6" t="s">
        <v>314</v>
      </c>
      <c r="B3133" s="6" t="s">
        <v>51</v>
      </c>
      <c r="C3133" s="6" t="s">
        <v>186</v>
      </c>
      <c r="D3133" s="6" t="s">
        <v>90</v>
      </c>
      <c r="E3133" s="6" t="s">
        <v>86</v>
      </c>
      <c r="F3133" s="6" t="b">
        <v>0</v>
      </c>
      <c r="G3133" s="6">
        <v>0.001416666666666667</v>
      </c>
    </row>
    <row r="3134" spans="1:7">
      <c r="A3134" s="6" t="s">
        <v>314</v>
      </c>
      <c r="B3134" s="6" t="s">
        <v>51</v>
      </c>
      <c r="C3134" s="6" t="s">
        <v>186</v>
      </c>
      <c r="D3134" s="6" t="s">
        <v>90</v>
      </c>
      <c r="E3134" s="6" t="s">
        <v>90</v>
      </c>
      <c r="F3134" s="6" t="b">
        <v>0</v>
      </c>
      <c r="G3134" s="6">
        <v>1.4815</v>
      </c>
    </row>
    <row r="3135" spans="1:7">
      <c r="A3135" s="6" t="s">
        <v>314</v>
      </c>
      <c r="B3135" s="6" t="s">
        <v>51</v>
      </c>
      <c r="C3135" s="6" t="s">
        <v>186</v>
      </c>
      <c r="D3135" s="6" t="s">
        <v>177</v>
      </c>
      <c r="E3135" s="6" t="s">
        <v>86</v>
      </c>
      <c r="F3135" s="6" t="b">
        <v>0</v>
      </c>
      <c r="G3135" s="6">
        <v>0.03533333333333333</v>
      </c>
    </row>
    <row r="3136" spans="1:7">
      <c r="A3136" s="6" t="s">
        <v>314</v>
      </c>
      <c r="B3136" s="6" t="s">
        <v>51</v>
      </c>
      <c r="C3136" s="6" t="s">
        <v>189</v>
      </c>
      <c r="D3136" s="6" t="s">
        <v>86</v>
      </c>
      <c r="E3136" s="6" t="s">
        <v>86</v>
      </c>
      <c r="F3136" s="6" t="b">
        <v>0</v>
      </c>
      <c r="G3136" s="6">
        <v>0.1163333333333333</v>
      </c>
    </row>
    <row r="3137" spans="1:7">
      <c r="A3137" s="6" t="s">
        <v>314</v>
      </c>
      <c r="B3137" s="6" t="s">
        <v>51</v>
      </c>
      <c r="C3137" s="6" t="s">
        <v>189</v>
      </c>
      <c r="D3137" s="6" t="s">
        <v>88</v>
      </c>
      <c r="E3137" s="6" t="s">
        <v>88</v>
      </c>
      <c r="F3137" s="6" t="b">
        <v>0</v>
      </c>
      <c r="G3137" s="6">
        <v>0.3535</v>
      </c>
    </row>
    <row r="3138" spans="1:7">
      <c r="A3138" s="6" t="s">
        <v>314</v>
      </c>
      <c r="B3138" s="6" t="s">
        <v>51</v>
      </c>
      <c r="C3138" s="6" t="s">
        <v>189</v>
      </c>
      <c r="D3138" s="6" t="s">
        <v>90</v>
      </c>
      <c r="E3138" s="6" t="s">
        <v>90</v>
      </c>
      <c r="F3138" s="6" t="b">
        <v>0</v>
      </c>
      <c r="G3138" s="6">
        <v>0.01266666666666667</v>
      </c>
    </row>
    <row r="3139" spans="1:7">
      <c r="A3139" s="6" t="s">
        <v>314</v>
      </c>
      <c r="B3139" s="6" t="s">
        <v>51</v>
      </c>
      <c r="C3139" s="6" t="s">
        <v>190</v>
      </c>
      <c r="D3139" s="6" t="s">
        <v>90</v>
      </c>
      <c r="E3139" s="6" t="s">
        <v>44</v>
      </c>
      <c r="F3139" s="6" t="b">
        <v>0</v>
      </c>
      <c r="G3139" s="6">
        <v>0.003416666666666667</v>
      </c>
    </row>
    <row r="3140" spans="1:7">
      <c r="A3140" s="6" t="s">
        <v>315</v>
      </c>
      <c r="B3140" s="6" t="s">
        <v>51</v>
      </c>
      <c r="C3140" s="6" t="s">
        <v>181</v>
      </c>
      <c r="D3140" s="6" t="s">
        <v>88</v>
      </c>
      <c r="E3140" s="6" t="s">
        <v>88</v>
      </c>
      <c r="F3140" s="6" t="b">
        <v>0</v>
      </c>
      <c r="G3140" s="6">
        <v>3.714416666666667</v>
      </c>
    </row>
    <row r="3141" spans="1:7">
      <c r="A3141" s="6" t="s">
        <v>315</v>
      </c>
      <c r="B3141" s="6" t="s">
        <v>51</v>
      </c>
      <c r="C3141" s="6" t="s">
        <v>181</v>
      </c>
      <c r="D3141" s="6" t="s">
        <v>90</v>
      </c>
      <c r="E3141" s="6" t="s">
        <v>90</v>
      </c>
      <c r="F3141" s="6" t="b">
        <v>0</v>
      </c>
      <c r="G3141" s="6">
        <v>0.03025</v>
      </c>
    </row>
    <row r="3142" spans="1:7">
      <c r="A3142" s="6" t="s">
        <v>315</v>
      </c>
      <c r="B3142" s="6" t="s">
        <v>51</v>
      </c>
      <c r="C3142" s="6" t="s">
        <v>183</v>
      </c>
      <c r="D3142" s="6" t="s">
        <v>86</v>
      </c>
      <c r="E3142" s="6" t="s">
        <v>86</v>
      </c>
      <c r="F3142" s="6" t="b">
        <v>0</v>
      </c>
      <c r="G3142" s="6">
        <v>0.003833333333333333</v>
      </c>
    </row>
    <row r="3143" spans="1:7">
      <c r="A3143" s="6" t="s">
        <v>315</v>
      </c>
      <c r="B3143" s="6" t="s">
        <v>51</v>
      </c>
      <c r="C3143" s="6" t="s">
        <v>183</v>
      </c>
      <c r="D3143" s="6" t="s">
        <v>88</v>
      </c>
      <c r="E3143" s="6" t="s">
        <v>88</v>
      </c>
      <c r="F3143" s="6" t="b">
        <v>0</v>
      </c>
      <c r="G3143" s="6">
        <v>0.09475</v>
      </c>
    </row>
    <row r="3144" spans="1:7">
      <c r="A3144" s="6" t="s">
        <v>315</v>
      </c>
      <c r="B3144" s="6" t="s">
        <v>51</v>
      </c>
      <c r="C3144" s="6" t="s">
        <v>183</v>
      </c>
      <c r="D3144" s="6" t="s">
        <v>90</v>
      </c>
      <c r="E3144" s="6" t="s">
        <v>86</v>
      </c>
      <c r="F3144" s="6" t="b">
        <v>0</v>
      </c>
      <c r="G3144" s="6">
        <v>0.1125</v>
      </c>
    </row>
    <row r="3145" spans="1:7">
      <c r="A3145" s="6" t="s">
        <v>315</v>
      </c>
      <c r="B3145" s="6" t="s">
        <v>51</v>
      </c>
      <c r="C3145" s="6" t="s">
        <v>183</v>
      </c>
      <c r="D3145" s="6" t="s">
        <v>90</v>
      </c>
      <c r="E3145" s="6" t="s">
        <v>90</v>
      </c>
      <c r="F3145" s="6" t="b">
        <v>0</v>
      </c>
      <c r="G3145" s="6">
        <v>0.1036666666666667</v>
      </c>
    </row>
    <row r="3146" spans="1:7">
      <c r="A3146" s="6" t="s">
        <v>315</v>
      </c>
      <c r="B3146" s="6" t="s">
        <v>51</v>
      </c>
      <c r="C3146" s="6" t="s">
        <v>183</v>
      </c>
      <c r="D3146" s="6" t="s">
        <v>177</v>
      </c>
      <c r="E3146" s="6" t="s">
        <v>86</v>
      </c>
      <c r="F3146" s="6" t="b">
        <v>0</v>
      </c>
      <c r="G3146" s="6">
        <v>0.00975</v>
      </c>
    </row>
    <row r="3147" spans="1:7">
      <c r="A3147" s="6" t="s">
        <v>315</v>
      </c>
      <c r="B3147" s="6" t="s">
        <v>51</v>
      </c>
      <c r="C3147" s="6" t="s">
        <v>184</v>
      </c>
      <c r="D3147" s="6" t="s">
        <v>44</v>
      </c>
      <c r="E3147" s="6" t="s">
        <v>44</v>
      </c>
      <c r="F3147" s="6" t="b">
        <v>0</v>
      </c>
      <c r="G3147" s="6">
        <v>33.94533333333333</v>
      </c>
    </row>
    <row r="3148" spans="1:7">
      <c r="A3148" s="6" t="s">
        <v>315</v>
      </c>
      <c r="B3148" s="6" t="s">
        <v>51</v>
      </c>
      <c r="C3148" s="6" t="s">
        <v>184</v>
      </c>
      <c r="D3148" s="6" t="s">
        <v>88</v>
      </c>
      <c r="E3148" s="6" t="s">
        <v>88</v>
      </c>
      <c r="F3148" s="6" t="b">
        <v>0</v>
      </c>
      <c r="G3148" s="6">
        <v>0.11875</v>
      </c>
    </row>
    <row r="3149" spans="1:7">
      <c r="A3149" s="6" t="s">
        <v>315</v>
      </c>
      <c r="B3149" s="6" t="s">
        <v>51</v>
      </c>
      <c r="C3149" s="6" t="s">
        <v>184</v>
      </c>
      <c r="D3149" s="6" t="s">
        <v>90</v>
      </c>
      <c r="E3149" s="6" t="s">
        <v>90</v>
      </c>
      <c r="F3149" s="6" t="b">
        <v>0</v>
      </c>
      <c r="G3149" s="6">
        <v>0.178</v>
      </c>
    </row>
    <row r="3150" spans="1:7">
      <c r="A3150" s="6" t="s">
        <v>315</v>
      </c>
      <c r="B3150" s="6" t="s">
        <v>51</v>
      </c>
      <c r="C3150" s="6" t="s">
        <v>184</v>
      </c>
      <c r="D3150" s="6" t="s">
        <v>90</v>
      </c>
      <c r="E3150" s="6" t="s">
        <v>685</v>
      </c>
      <c r="F3150" s="6" t="b">
        <v>1</v>
      </c>
      <c r="G3150" s="6">
        <v>0.3615833333333334</v>
      </c>
    </row>
    <row r="3151" spans="1:7">
      <c r="A3151" s="6" t="s">
        <v>315</v>
      </c>
      <c r="B3151" s="6" t="s">
        <v>51</v>
      </c>
      <c r="C3151" s="6" t="s">
        <v>184</v>
      </c>
      <c r="D3151" s="6" t="s">
        <v>177</v>
      </c>
      <c r="E3151" s="6" t="s">
        <v>44</v>
      </c>
      <c r="F3151" s="6" t="b">
        <v>0</v>
      </c>
      <c r="G3151" s="6">
        <v>21.6065</v>
      </c>
    </row>
    <row r="3152" spans="1:7">
      <c r="A3152" s="6" t="s">
        <v>315</v>
      </c>
      <c r="B3152" s="6" t="s">
        <v>51</v>
      </c>
      <c r="C3152" s="6" t="s">
        <v>184</v>
      </c>
      <c r="D3152" s="6" t="s">
        <v>177</v>
      </c>
      <c r="E3152" s="6" t="s">
        <v>86</v>
      </c>
      <c r="F3152" s="6" t="b">
        <v>0</v>
      </c>
      <c r="G3152" s="6">
        <v>0.144</v>
      </c>
    </row>
    <row r="3153" spans="1:7">
      <c r="A3153" s="6" t="s">
        <v>315</v>
      </c>
      <c r="B3153" s="6" t="s">
        <v>51</v>
      </c>
      <c r="C3153" s="6" t="s">
        <v>184</v>
      </c>
      <c r="D3153" s="6" t="s">
        <v>177</v>
      </c>
      <c r="E3153" s="6" t="s">
        <v>685</v>
      </c>
      <c r="F3153" s="6" t="b">
        <v>1</v>
      </c>
      <c r="G3153" s="6">
        <v>1.8285</v>
      </c>
    </row>
    <row r="3154" spans="1:7">
      <c r="A3154" s="6" t="s">
        <v>315</v>
      </c>
      <c r="B3154" s="6" t="s">
        <v>51</v>
      </c>
      <c r="C3154" s="6" t="s">
        <v>186</v>
      </c>
      <c r="D3154" s="6" t="s">
        <v>86</v>
      </c>
      <c r="E3154" s="6" t="s">
        <v>86</v>
      </c>
      <c r="F3154" s="6" t="b">
        <v>0</v>
      </c>
      <c r="G3154" s="6">
        <v>8.411333333333333</v>
      </c>
    </row>
    <row r="3155" spans="1:7">
      <c r="A3155" s="6" t="s">
        <v>315</v>
      </c>
      <c r="B3155" s="6" t="s">
        <v>51</v>
      </c>
      <c r="C3155" s="6" t="s">
        <v>186</v>
      </c>
      <c r="D3155" s="6" t="s">
        <v>88</v>
      </c>
      <c r="E3155" s="6" t="s">
        <v>88</v>
      </c>
      <c r="F3155" s="6" t="b">
        <v>0</v>
      </c>
      <c r="G3155" s="6">
        <v>0.2765833333333333</v>
      </c>
    </row>
    <row r="3156" spans="1:7">
      <c r="A3156" s="6" t="s">
        <v>315</v>
      </c>
      <c r="B3156" s="6" t="s">
        <v>51</v>
      </c>
      <c r="C3156" s="6" t="s">
        <v>186</v>
      </c>
      <c r="D3156" s="6" t="s">
        <v>90</v>
      </c>
      <c r="E3156" s="6" t="s">
        <v>90</v>
      </c>
      <c r="F3156" s="6" t="b">
        <v>0</v>
      </c>
      <c r="G3156" s="6">
        <v>3.334583333333333</v>
      </c>
    </row>
    <row r="3157" spans="1:7">
      <c r="A3157" s="6" t="s">
        <v>315</v>
      </c>
      <c r="B3157" s="6" t="s">
        <v>51</v>
      </c>
      <c r="C3157" s="6" t="s">
        <v>186</v>
      </c>
      <c r="D3157" s="6" t="s">
        <v>177</v>
      </c>
      <c r="E3157" s="6" t="s">
        <v>86</v>
      </c>
      <c r="F3157" s="6" t="b">
        <v>0</v>
      </c>
      <c r="G3157" s="6">
        <v>0.09550000000000002</v>
      </c>
    </row>
    <row r="3158" spans="1:7">
      <c r="A3158" s="6" t="s">
        <v>315</v>
      </c>
      <c r="B3158" s="6" t="s">
        <v>51</v>
      </c>
      <c r="C3158" s="6" t="s">
        <v>188</v>
      </c>
      <c r="D3158" s="6" t="s">
        <v>86</v>
      </c>
      <c r="E3158" s="6" t="s">
        <v>86</v>
      </c>
      <c r="F3158" s="6" t="b">
        <v>0</v>
      </c>
      <c r="G3158" s="6">
        <v>6.433666666666667</v>
      </c>
    </row>
    <row r="3159" spans="1:7">
      <c r="A3159" s="6" t="s">
        <v>315</v>
      </c>
      <c r="B3159" s="6" t="s">
        <v>51</v>
      </c>
      <c r="C3159" s="6" t="s">
        <v>188</v>
      </c>
      <c r="D3159" s="6" t="s">
        <v>88</v>
      </c>
      <c r="E3159" s="6" t="s">
        <v>88</v>
      </c>
      <c r="F3159" s="6" t="b">
        <v>0</v>
      </c>
      <c r="G3159" s="6">
        <v>32.15166666666666</v>
      </c>
    </row>
    <row r="3160" spans="1:7">
      <c r="A3160" s="6" t="s">
        <v>315</v>
      </c>
      <c r="B3160" s="6" t="s">
        <v>51</v>
      </c>
      <c r="C3160" s="6" t="s">
        <v>189</v>
      </c>
      <c r="D3160" s="6" t="s">
        <v>86</v>
      </c>
      <c r="E3160" s="6" t="s">
        <v>86</v>
      </c>
      <c r="F3160" s="6" t="b">
        <v>0</v>
      </c>
      <c r="G3160" s="6">
        <v>1.952416666666666</v>
      </c>
    </row>
    <row r="3161" spans="1:7">
      <c r="A3161" s="6" t="s">
        <v>315</v>
      </c>
      <c r="B3161" s="6" t="s">
        <v>51</v>
      </c>
      <c r="C3161" s="6" t="s">
        <v>189</v>
      </c>
      <c r="D3161" s="6" t="s">
        <v>88</v>
      </c>
      <c r="E3161" s="6" t="s">
        <v>88</v>
      </c>
      <c r="F3161" s="6" t="b">
        <v>0</v>
      </c>
      <c r="G3161" s="6">
        <v>0.6463333333333333</v>
      </c>
    </row>
    <row r="3162" spans="1:7">
      <c r="A3162" s="6" t="s">
        <v>315</v>
      </c>
      <c r="B3162" s="6" t="s">
        <v>51</v>
      </c>
      <c r="C3162" s="6" t="s">
        <v>189</v>
      </c>
      <c r="D3162" s="6" t="s">
        <v>90</v>
      </c>
      <c r="E3162" s="6" t="s">
        <v>90</v>
      </c>
      <c r="F3162" s="6" t="b">
        <v>0</v>
      </c>
      <c r="G3162" s="6">
        <v>0.1639166666666667</v>
      </c>
    </row>
    <row r="3163" spans="1:7">
      <c r="A3163" s="6" t="s">
        <v>315</v>
      </c>
      <c r="B3163" s="6" t="s">
        <v>51</v>
      </c>
      <c r="C3163" s="6" t="s">
        <v>190</v>
      </c>
      <c r="D3163" s="6" t="s">
        <v>44</v>
      </c>
      <c r="E3163" s="6" t="s">
        <v>44</v>
      </c>
      <c r="F3163" s="6" t="b">
        <v>0</v>
      </c>
      <c r="G3163" s="6">
        <v>0.304</v>
      </c>
    </row>
    <row r="3164" spans="1:7">
      <c r="A3164" s="6" t="s">
        <v>315</v>
      </c>
      <c r="B3164" s="6" t="s">
        <v>51</v>
      </c>
      <c r="C3164" s="6" t="s">
        <v>190</v>
      </c>
      <c r="D3164" s="6" t="s">
        <v>177</v>
      </c>
      <c r="E3164" s="6" t="s">
        <v>44</v>
      </c>
      <c r="F3164" s="6" t="b">
        <v>0</v>
      </c>
      <c r="G3164" s="6">
        <v>0.09933333333333333</v>
      </c>
    </row>
    <row r="3165" spans="1:7">
      <c r="A3165" s="6" t="s">
        <v>316</v>
      </c>
      <c r="B3165" s="6" t="s">
        <v>54</v>
      </c>
      <c r="C3165" s="6" t="s">
        <v>181</v>
      </c>
      <c r="D3165" s="6" t="s">
        <v>88</v>
      </c>
      <c r="E3165" s="6" t="s">
        <v>88</v>
      </c>
      <c r="F3165" s="6" t="b">
        <v>0</v>
      </c>
      <c r="G3165" s="6">
        <v>0.9803333333333333</v>
      </c>
    </row>
    <row r="3166" spans="1:7">
      <c r="A3166" s="6" t="s">
        <v>316</v>
      </c>
      <c r="B3166" s="6" t="s">
        <v>54</v>
      </c>
      <c r="C3166" s="6" t="s">
        <v>181</v>
      </c>
      <c r="D3166" s="6" t="s">
        <v>90</v>
      </c>
      <c r="E3166" s="6" t="s">
        <v>90</v>
      </c>
      <c r="F3166" s="6" t="b">
        <v>0</v>
      </c>
      <c r="G3166" s="6">
        <v>0.022</v>
      </c>
    </row>
    <row r="3167" spans="1:7">
      <c r="A3167" s="6" t="s">
        <v>316</v>
      </c>
      <c r="B3167" s="6" t="s">
        <v>54</v>
      </c>
      <c r="C3167" s="6" t="s">
        <v>182</v>
      </c>
      <c r="D3167" s="6" t="s">
        <v>88</v>
      </c>
      <c r="E3167" s="6" t="s">
        <v>88</v>
      </c>
      <c r="F3167" s="6" t="b">
        <v>0</v>
      </c>
      <c r="G3167" s="6">
        <v>0.321</v>
      </c>
    </row>
    <row r="3168" spans="1:7">
      <c r="A3168" s="6" t="s">
        <v>316</v>
      </c>
      <c r="B3168" s="6" t="s">
        <v>54</v>
      </c>
      <c r="C3168" s="6" t="s">
        <v>183</v>
      </c>
      <c r="D3168" s="6" t="s">
        <v>86</v>
      </c>
      <c r="E3168" s="6" t="s">
        <v>86</v>
      </c>
      <c r="F3168" s="6" t="b">
        <v>0</v>
      </c>
      <c r="G3168" s="6">
        <v>0.002833333333333334</v>
      </c>
    </row>
    <row r="3169" spans="1:7">
      <c r="A3169" s="6" t="s">
        <v>316</v>
      </c>
      <c r="B3169" s="6" t="s">
        <v>54</v>
      </c>
      <c r="C3169" s="6" t="s">
        <v>183</v>
      </c>
      <c r="D3169" s="6" t="s">
        <v>88</v>
      </c>
      <c r="E3169" s="6" t="s">
        <v>88</v>
      </c>
      <c r="F3169" s="6" t="b">
        <v>0</v>
      </c>
      <c r="G3169" s="6">
        <v>0.01083333333333333</v>
      </c>
    </row>
    <row r="3170" spans="1:7">
      <c r="A3170" s="6" t="s">
        <v>316</v>
      </c>
      <c r="B3170" s="6" t="s">
        <v>54</v>
      </c>
      <c r="C3170" s="6" t="s">
        <v>183</v>
      </c>
      <c r="D3170" s="6" t="s">
        <v>90</v>
      </c>
      <c r="E3170" s="6" t="s">
        <v>86</v>
      </c>
      <c r="F3170" s="6" t="b">
        <v>0</v>
      </c>
      <c r="G3170" s="6">
        <v>0.02316666666666667</v>
      </c>
    </row>
    <row r="3171" spans="1:7">
      <c r="A3171" s="6" t="s">
        <v>316</v>
      </c>
      <c r="B3171" s="6" t="s">
        <v>54</v>
      </c>
      <c r="C3171" s="6" t="s">
        <v>183</v>
      </c>
      <c r="D3171" s="6" t="s">
        <v>90</v>
      </c>
      <c r="E3171" s="6" t="s">
        <v>90</v>
      </c>
      <c r="F3171" s="6" t="b">
        <v>0</v>
      </c>
      <c r="G3171" s="6">
        <v>0.03383333333333333</v>
      </c>
    </row>
    <row r="3172" spans="1:7">
      <c r="A3172" s="6" t="s">
        <v>316</v>
      </c>
      <c r="B3172" s="6" t="s">
        <v>54</v>
      </c>
      <c r="C3172" s="6" t="s">
        <v>183</v>
      </c>
      <c r="D3172" s="6" t="s">
        <v>177</v>
      </c>
      <c r="E3172" s="6" t="s">
        <v>86</v>
      </c>
      <c r="F3172" s="6" t="b">
        <v>0</v>
      </c>
      <c r="G3172" s="6">
        <v>0.004333333333333333</v>
      </c>
    </row>
    <row r="3173" spans="1:7">
      <c r="A3173" s="6" t="s">
        <v>316</v>
      </c>
      <c r="B3173" s="6" t="s">
        <v>54</v>
      </c>
      <c r="C3173" s="6" t="s">
        <v>184</v>
      </c>
      <c r="D3173" s="6" t="s">
        <v>44</v>
      </c>
      <c r="E3173" s="6" t="s">
        <v>44</v>
      </c>
      <c r="F3173" s="6" t="b">
        <v>0</v>
      </c>
      <c r="G3173" s="6">
        <v>6.427499999999999</v>
      </c>
    </row>
    <row r="3174" spans="1:7">
      <c r="A3174" s="6" t="s">
        <v>316</v>
      </c>
      <c r="B3174" s="6" t="s">
        <v>54</v>
      </c>
      <c r="C3174" s="6" t="s">
        <v>184</v>
      </c>
      <c r="D3174" s="6" t="s">
        <v>88</v>
      </c>
      <c r="E3174" s="6" t="s">
        <v>88</v>
      </c>
      <c r="F3174" s="6" t="b">
        <v>0</v>
      </c>
      <c r="G3174" s="6">
        <v>0.02458333333333333</v>
      </c>
    </row>
    <row r="3175" spans="1:7">
      <c r="A3175" s="6" t="s">
        <v>316</v>
      </c>
      <c r="B3175" s="6" t="s">
        <v>54</v>
      </c>
      <c r="C3175" s="6" t="s">
        <v>184</v>
      </c>
      <c r="D3175" s="6" t="s">
        <v>90</v>
      </c>
      <c r="E3175" s="6" t="s">
        <v>90</v>
      </c>
      <c r="F3175" s="6" t="b">
        <v>0</v>
      </c>
      <c r="G3175" s="6">
        <v>0.02908333333333334</v>
      </c>
    </row>
    <row r="3176" spans="1:7">
      <c r="A3176" s="6" t="s">
        <v>316</v>
      </c>
      <c r="B3176" s="6" t="s">
        <v>54</v>
      </c>
      <c r="C3176" s="6" t="s">
        <v>184</v>
      </c>
      <c r="D3176" s="6" t="s">
        <v>90</v>
      </c>
      <c r="E3176" s="6" t="s">
        <v>685</v>
      </c>
      <c r="F3176" s="6" t="b">
        <v>1</v>
      </c>
      <c r="G3176" s="6">
        <v>0.003416666666666667</v>
      </c>
    </row>
    <row r="3177" spans="1:7">
      <c r="A3177" s="6" t="s">
        <v>316</v>
      </c>
      <c r="B3177" s="6" t="s">
        <v>54</v>
      </c>
      <c r="C3177" s="6" t="s">
        <v>184</v>
      </c>
      <c r="D3177" s="6" t="s">
        <v>177</v>
      </c>
      <c r="E3177" s="6" t="s">
        <v>44</v>
      </c>
      <c r="F3177" s="6" t="b">
        <v>0</v>
      </c>
      <c r="G3177" s="6">
        <v>5.3065</v>
      </c>
    </row>
    <row r="3178" spans="1:7">
      <c r="A3178" s="6" t="s">
        <v>316</v>
      </c>
      <c r="B3178" s="6" t="s">
        <v>54</v>
      </c>
      <c r="C3178" s="6" t="s">
        <v>184</v>
      </c>
      <c r="D3178" s="6" t="s">
        <v>177</v>
      </c>
      <c r="E3178" s="6" t="s">
        <v>86</v>
      </c>
      <c r="F3178" s="6" t="b">
        <v>0</v>
      </c>
      <c r="G3178" s="6">
        <v>0.014</v>
      </c>
    </row>
    <row r="3179" spans="1:7">
      <c r="A3179" s="6" t="s">
        <v>316</v>
      </c>
      <c r="B3179" s="6" t="s">
        <v>54</v>
      </c>
      <c r="C3179" s="6" t="s">
        <v>184</v>
      </c>
      <c r="D3179" s="6" t="s">
        <v>177</v>
      </c>
      <c r="E3179" s="6" t="s">
        <v>685</v>
      </c>
      <c r="F3179" s="6" t="b">
        <v>1</v>
      </c>
      <c r="G3179" s="6">
        <v>0.10675</v>
      </c>
    </row>
    <row r="3180" spans="1:7">
      <c r="A3180" s="6" t="s">
        <v>316</v>
      </c>
      <c r="B3180" s="6" t="s">
        <v>54</v>
      </c>
      <c r="C3180" s="6" t="s">
        <v>185</v>
      </c>
      <c r="D3180" s="6" t="s">
        <v>44</v>
      </c>
      <c r="E3180" s="6" t="s">
        <v>685</v>
      </c>
      <c r="F3180" s="6" t="b">
        <v>1</v>
      </c>
      <c r="G3180" s="6">
        <v>3.120333333333333</v>
      </c>
    </row>
    <row r="3181" spans="1:7">
      <c r="A3181" s="6" t="s">
        <v>316</v>
      </c>
      <c r="B3181" s="6" t="s">
        <v>54</v>
      </c>
      <c r="C3181" s="6" t="s">
        <v>186</v>
      </c>
      <c r="D3181" s="6" t="s">
        <v>86</v>
      </c>
      <c r="E3181" s="6" t="s">
        <v>86</v>
      </c>
      <c r="F3181" s="6" t="b">
        <v>0</v>
      </c>
      <c r="G3181" s="6">
        <v>1.531583333333334</v>
      </c>
    </row>
    <row r="3182" spans="1:7">
      <c r="A3182" s="6" t="s">
        <v>316</v>
      </c>
      <c r="B3182" s="6" t="s">
        <v>54</v>
      </c>
      <c r="C3182" s="6" t="s">
        <v>186</v>
      </c>
      <c r="D3182" s="6" t="s">
        <v>88</v>
      </c>
      <c r="E3182" s="6" t="s">
        <v>88</v>
      </c>
      <c r="F3182" s="6" t="b">
        <v>0</v>
      </c>
      <c r="G3182" s="6">
        <v>0.08341666666666665</v>
      </c>
    </row>
    <row r="3183" spans="1:7">
      <c r="A3183" s="6" t="s">
        <v>316</v>
      </c>
      <c r="B3183" s="6" t="s">
        <v>54</v>
      </c>
      <c r="C3183" s="6" t="s">
        <v>186</v>
      </c>
      <c r="D3183" s="6" t="s">
        <v>90</v>
      </c>
      <c r="E3183" s="6" t="s">
        <v>90</v>
      </c>
      <c r="F3183" s="6" t="b">
        <v>0</v>
      </c>
      <c r="G3183" s="6">
        <v>1.73</v>
      </c>
    </row>
    <row r="3184" spans="1:7">
      <c r="A3184" s="6" t="s">
        <v>316</v>
      </c>
      <c r="B3184" s="6" t="s">
        <v>54</v>
      </c>
      <c r="C3184" s="6" t="s">
        <v>186</v>
      </c>
      <c r="D3184" s="6" t="s">
        <v>177</v>
      </c>
      <c r="E3184" s="6" t="s">
        <v>86</v>
      </c>
      <c r="F3184" s="6" t="b">
        <v>0</v>
      </c>
      <c r="G3184" s="6">
        <v>0.0525</v>
      </c>
    </row>
    <row r="3185" spans="1:7">
      <c r="A3185" s="6" t="s">
        <v>316</v>
      </c>
      <c r="B3185" s="6" t="s">
        <v>54</v>
      </c>
      <c r="C3185" s="6" t="s">
        <v>189</v>
      </c>
      <c r="D3185" s="6" t="s">
        <v>86</v>
      </c>
      <c r="E3185" s="6" t="s">
        <v>86</v>
      </c>
      <c r="F3185" s="6" t="b">
        <v>0</v>
      </c>
      <c r="G3185" s="6">
        <v>0.4989166666666667</v>
      </c>
    </row>
    <row r="3186" spans="1:7">
      <c r="A3186" s="6" t="s">
        <v>316</v>
      </c>
      <c r="B3186" s="6" t="s">
        <v>54</v>
      </c>
      <c r="C3186" s="6" t="s">
        <v>189</v>
      </c>
      <c r="D3186" s="6" t="s">
        <v>88</v>
      </c>
      <c r="E3186" s="6" t="s">
        <v>88</v>
      </c>
      <c r="F3186" s="6" t="b">
        <v>0</v>
      </c>
      <c r="G3186" s="6">
        <v>0.6890000000000001</v>
      </c>
    </row>
    <row r="3187" spans="1:7">
      <c r="A3187" s="6" t="s">
        <v>316</v>
      </c>
      <c r="B3187" s="6" t="s">
        <v>54</v>
      </c>
      <c r="C3187" s="6" t="s">
        <v>189</v>
      </c>
      <c r="D3187" s="6" t="s">
        <v>90</v>
      </c>
      <c r="E3187" s="6" t="s">
        <v>90</v>
      </c>
      <c r="F3187" s="6" t="b">
        <v>0</v>
      </c>
      <c r="G3187" s="6">
        <v>0.03433333333333333</v>
      </c>
    </row>
    <row r="3188" spans="1:7">
      <c r="A3188" s="6" t="s">
        <v>316</v>
      </c>
      <c r="B3188" s="6" t="s">
        <v>54</v>
      </c>
      <c r="C3188" s="6" t="s">
        <v>190</v>
      </c>
      <c r="D3188" s="6" t="s">
        <v>44</v>
      </c>
      <c r="E3188" s="6" t="s">
        <v>44</v>
      </c>
      <c r="F3188" s="6" t="b">
        <v>0</v>
      </c>
      <c r="G3188" s="6">
        <v>0.3924166666666666</v>
      </c>
    </row>
    <row r="3189" spans="1:7">
      <c r="A3189" s="6" t="s">
        <v>316</v>
      </c>
      <c r="B3189" s="6" t="s">
        <v>54</v>
      </c>
      <c r="C3189" s="6" t="s">
        <v>190</v>
      </c>
      <c r="D3189" s="6" t="s">
        <v>86</v>
      </c>
      <c r="E3189" s="6" t="s">
        <v>44</v>
      </c>
      <c r="F3189" s="6" t="b">
        <v>0</v>
      </c>
      <c r="G3189" s="6">
        <v>0.1571666666666667</v>
      </c>
    </row>
    <row r="3190" spans="1:7">
      <c r="A3190" s="6" t="s">
        <v>316</v>
      </c>
      <c r="B3190" s="6" t="s">
        <v>54</v>
      </c>
      <c r="C3190" s="6" t="s">
        <v>190</v>
      </c>
      <c r="D3190" s="6" t="s">
        <v>86</v>
      </c>
      <c r="E3190" s="6" t="s">
        <v>86</v>
      </c>
      <c r="F3190" s="6" t="b">
        <v>0</v>
      </c>
      <c r="G3190" s="6">
        <v>0.003</v>
      </c>
    </row>
    <row r="3191" spans="1:7">
      <c r="A3191" s="6" t="s">
        <v>316</v>
      </c>
      <c r="B3191" s="6" t="s">
        <v>54</v>
      </c>
      <c r="C3191" s="6" t="s">
        <v>190</v>
      </c>
      <c r="D3191" s="6" t="s">
        <v>90</v>
      </c>
      <c r="E3191" s="6" t="s">
        <v>44</v>
      </c>
      <c r="F3191" s="6" t="b">
        <v>0</v>
      </c>
      <c r="G3191" s="6">
        <v>0.1913333333333334</v>
      </c>
    </row>
    <row r="3192" spans="1:7">
      <c r="A3192" s="6" t="s">
        <v>316</v>
      </c>
      <c r="B3192" s="6" t="s">
        <v>54</v>
      </c>
      <c r="C3192" s="6" t="s">
        <v>190</v>
      </c>
      <c r="D3192" s="6" t="s">
        <v>90</v>
      </c>
      <c r="E3192" s="6" t="s">
        <v>90</v>
      </c>
      <c r="F3192" s="6" t="b">
        <v>0</v>
      </c>
      <c r="G3192" s="6">
        <v>0.03366666666666667</v>
      </c>
    </row>
    <row r="3193" spans="1:7">
      <c r="A3193" s="6" t="s">
        <v>316</v>
      </c>
      <c r="B3193" s="6" t="s">
        <v>54</v>
      </c>
      <c r="C3193" s="6" t="s">
        <v>190</v>
      </c>
      <c r="D3193" s="6" t="s">
        <v>177</v>
      </c>
      <c r="E3193" s="6" t="s">
        <v>44</v>
      </c>
      <c r="F3193" s="6" t="b">
        <v>0</v>
      </c>
      <c r="G3193" s="6">
        <v>0.2858333333333333</v>
      </c>
    </row>
    <row r="3194" spans="1:7">
      <c r="A3194" s="6" t="s">
        <v>317</v>
      </c>
      <c r="B3194" s="6" t="s">
        <v>51</v>
      </c>
      <c r="C3194" s="6" t="s">
        <v>181</v>
      </c>
      <c r="D3194" s="6" t="s">
        <v>88</v>
      </c>
      <c r="E3194" s="6" t="s">
        <v>88</v>
      </c>
      <c r="F3194" s="6" t="b">
        <v>0</v>
      </c>
      <c r="G3194" s="6">
        <v>0.1688333333333334</v>
      </c>
    </row>
    <row r="3195" spans="1:7">
      <c r="A3195" s="6" t="s">
        <v>317</v>
      </c>
      <c r="B3195" s="6" t="s">
        <v>51</v>
      </c>
      <c r="C3195" s="6" t="s">
        <v>181</v>
      </c>
      <c r="D3195" s="6" t="s">
        <v>90</v>
      </c>
      <c r="E3195" s="6" t="s">
        <v>90</v>
      </c>
      <c r="F3195" s="6" t="b">
        <v>0</v>
      </c>
      <c r="G3195" s="6">
        <v>0.005500000000000001</v>
      </c>
    </row>
    <row r="3196" spans="1:7">
      <c r="A3196" s="6" t="s">
        <v>317</v>
      </c>
      <c r="B3196" s="6" t="s">
        <v>51</v>
      </c>
      <c r="C3196" s="6" t="s">
        <v>183</v>
      </c>
      <c r="D3196" s="6" t="s">
        <v>88</v>
      </c>
      <c r="E3196" s="6" t="s">
        <v>88</v>
      </c>
      <c r="F3196" s="6" t="b">
        <v>0</v>
      </c>
      <c r="G3196" s="6">
        <v>0.00525</v>
      </c>
    </row>
    <row r="3197" spans="1:7">
      <c r="A3197" s="6" t="s">
        <v>317</v>
      </c>
      <c r="B3197" s="6" t="s">
        <v>51</v>
      </c>
      <c r="C3197" s="6" t="s">
        <v>183</v>
      </c>
      <c r="D3197" s="6" t="s">
        <v>90</v>
      </c>
      <c r="E3197" s="6" t="s">
        <v>86</v>
      </c>
      <c r="F3197" s="6" t="b">
        <v>0</v>
      </c>
      <c r="G3197" s="6">
        <v>0.00275</v>
      </c>
    </row>
    <row r="3198" spans="1:7">
      <c r="A3198" s="6" t="s">
        <v>317</v>
      </c>
      <c r="B3198" s="6" t="s">
        <v>51</v>
      </c>
      <c r="C3198" s="6" t="s">
        <v>183</v>
      </c>
      <c r="D3198" s="6" t="s">
        <v>90</v>
      </c>
      <c r="E3198" s="6" t="s">
        <v>90</v>
      </c>
      <c r="F3198" s="6" t="b">
        <v>0</v>
      </c>
      <c r="G3198" s="6">
        <v>0.01016666666666667</v>
      </c>
    </row>
    <row r="3199" spans="1:7">
      <c r="A3199" s="6" t="s">
        <v>317</v>
      </c>
      <c r="B3199" s="6" t="s">
        <v>51</v>
      </c>
      <c r="C3199" s="6" t="s">
        <v>184</v>
      </c>
      <c r="D3199" s="6" t="s">
        <v>44</v>
      </c>
      <c r="E3199" s="6" t="s">
        <v>44</v>
      </c>
      <c r="F3199" s="6" t="b">
        <v>0</v>
      </c>
      <c r="G3199" s="6">
        <v>2.052583333333333</v>
      </c>
    </row>
    <row r="3200" spans="1:7">
      <c r="A3200" s="6" t="s">
        <v>317</v>
      </c>
      <c r="B3200" s="6" t="s">
        <v>51</v>
      </c>
      <c r="C3200" s="6" t="s">
        <v>184</v>
      </c>
      <c r="D3200" s="6" t="s">
        <v>88</v>
      </c>
      <c r="E3200" s="6" t="s">
        <v>88</v>
      </c>
      <c r="F3200" s="6" t="b">
        <v>0</v>
      </c>
      <c r="G3200" s="6">
        <v>0.01983333333333333</v>
      </c>
    </row>
    <row r="3201" spans="1:7">
      <c r="A3201" s="6" t="s">
        <v>317</v>
      </c>
      <c r="B3201" s="6" t="s">
        <v>51</v>
      </c>
      <c r="C3201" s="6" t="s">
        <v>184</v>
      </c>
      <c r="D3201" s="6" t="s">
        <v>90</v>
      </c>
      <c r="E3201" s="6" t="s">
        <v>90</v>
      </c>
      <c r="F3201" s="6" t="b">
        <v>0</v>
      </c>
      <c r="G3201" s="6">
        <v>0.02366666666666667</v>
      </c>
    </row>
    <row r="3202" spans="1:7">
      <c r="A3202" s="6" t="s">
        <v>317</v>
      </c>
      <c r="B3202" s="6" t="s">
        <v>51</v>
      </c>
      <c r="C3202" s="6" t="s">
        <v>184</v>
      </c>
      <c r="D3202" s="6" t="s">
        <v>90</v>
      </c>
      <c r="E3202" s="6" t="s">
        <v>685</v>
      </c>
      <c r="F3202" s="6" t="b">
        <v>1</v>
      </c>
      <c r="G3202" s="6">
        <v>0.07033333333333334</v>
      </c>
    </row>
    <row r="3203" spans="1:7">
      <c r="A3203" s="6" t="s">
        <v>317</v>
      </c>
      <c r="B3203" s="6" t="s">
        <v>51</v>
      </c>
      <c r="C3203" s="6" t="s">
        <v>184</v>
      </c>
      <c r="D3203" s="6" t="s">
        <v>177</v>
      </c>
      <c r="E3203" s="6" t="s">
        <v>44</v>
      </c>
      <c r="F3203" s="6" t="b">
        <v>0</v>
      </c>
      <c r="G3203" s="6">
        <v>0.6756666666666667</v>
      </c>
    </row>
    <row r="3204" spans="1:7">
      <c r="A3204" s="6" t="s">
        <v>317</v>
      </c>
      <c r="B3204" s="6" t="s">
        <v>51</v>
      </c>
      <c r="C3204" s="6" t="s">
        <v>184</v>
      </c>
      <c r="D3204" s="6" t="s">
        <v>177</v>
      </c>
      <c r="E3204" s="6" t="s">
        <v>86</v>
      </c>
      <c r="F3204" s="6" t="b">
        <v>0</v>
      </c>
      <c r="G3204" s="6">
        <v>0.01425</v>
      </c>
    </row>
    <row r="3205" spans="1:7">
      <c r="A3205" s="6" t="s">
        <v>317</v>
      </c>
      <c r="B3205" s="6" t="s">
        <v>51</v>
      </c>
      <c r="C3205" s="6" t="s">
        <v>184</v>
      </c>
      <c r="D3205" s="6" t="s">
        <v>177</v>
      </c>
      <c r="E3205" s="6" t="s">
        <v>685</v>
      </c>
      <c r="F3205" s="6" t="b">
        <v>1</v>
      </c>
      <c r="G3205" s="6">
        <v>0.3951666666666667</v>
      </c>
    </row>
    <row r="3206" spans="1:7">
      <c r="A3206" s="6" t="s">
        <v>317</v>
      </c>
      <c r="B3206" s="6" t="s">
        <v>51</v>
      </c>
      <c r="C3206" s="6" t="s">
        <v>186</v>
      </c>
      <c r="D3206" s="6" t="s">
        <v>86</v>
      </c>
      <c r="E3206" s="6" t="s">
        <v>86</v>
      </c>
      <c r="F3206" s="6" t="b">
        <v>0</v>
      </c>
      <c r="G3206" s="6">
        <v>0.3345</v>
      </c>
    </row>
    <row r="3207" spans="1:7">
      <c r="A3207" s="6" t="s">
        <v>317</v>
      </c>
      <c r="B3207" s="6" t="s">
        <v>51</v>
      </c>
      <c r="C3207" s="6" t="s">
        <v>186</v>
      </c>
      <c r="D3207" s="6" t="s">
        <v>88</v>
      </c>
      <c r="E3207" s="6" t="s">
        <v>88</v>
      </c>
      <c r="F3207" s="6" t="b">
        <v>0</v>
      </c>
      <c r="G3207" s="6">
        <v>0.03191666666666667</v>
      </c>
    </row>
    <row r="3208" spans="1:7">
      <c r="A3208" s="6" t="s">
        <v>317</v>
      </c>
      <c r="B3208" s="6" t="s">
        <v>51</v>
      </c>
      <c r="C3208" s="6" t="s">
        <v>186</v>
      </c>
      <c r="D3208" s="6" t="s">
        <v>90</v>
      </c>
      <c r="E3208" s="6" t="s">
        <v>90</v>
      </c>
      <c r="F3208" s="6" t="b">
        <v>0</v>
      </c>
      <c r="G3208" s="6">
        <v>0.16575</v>
      </c>
    </row>
    <row r="3209" spans="1:7">
      <c r="A3209" s="6" t="s">
        <v>317</v>
      </c>
      <c r="B3209" s="6" t="s">
        <v>51</v>
      </c>
      <c r="C3209" s="6" t="s">
        <v>186</v>
      </c>
      <c r="D3209" s="6" t="s">
        <v>177</v>
      </c>
      <c r="E3209" s="6" t="s">
        <v>86</v>
      </c>
      <c r="F3209" s="6" t="b">
        <v>0</v>
      </c>
      <c r="G3209" s="6">
        <v>0.007833333333333333</v>
      </c>
    </row>
    <row r="3210" spans="1:7">
      <c r="A3210" s="6" t="s">
        <v>317</v>
      </c>
      <c r="B3210" s="6" t="s">
        <v>51</v>
      </c>
      <c r="C3210" s="6" t="s">
        <v>189</v>
      </c>
      <c r="D3210" s="6" t="s">
        <v>86</v>
      </c>
      <c r="E3210" s="6" t="s">
        <v>86</v>
      </c>
      <c r="F3210" s="6" t="b">
        <v>0</v>
      </c>
      <c r="G3210" s="6">
        <v>0.10225</v>
      </c>
    </row>
    <row r="3211" spans="1:7">
      <c r="A3211" s="6" t="s">
        <v>317</v>
      </c>
      <c r="B3211" s="6" t="s">
        <v>51</v>
      </c>
      <c r="C3211" s="6" t="s">
        <v>189</v>
      </c>
      <c r="D3211" s="6" t="s">
        <v>88</v>
      </c>
      <c r="E3211" s="6" t="s">
        <v>88</v>
      </c>
      <c r="F3211" s="6" t="b">
        <v>0</v>
      </c>
      <c r="G3211" s="6">
        <v>0.07933333333333334</v>
      </c>
    </row>
    <row r="3212" spans="1:7">
      <c r="A3212" s="6" t="s">
        <v>317</v>
      </c>
      <c r="B3212" s="6" t="s">
        <v>51</v>
      </c>
      <c r="C3212" s="6" t="s">
        <v>189</v>
      </c>
      <c r="D3212" s="6" t="s">
        <v>90</v>
      </c>
      <c r="E3212" s="6" t="s">
        <v>90</v>
      </c>
      <c r="F3212" s="6" t="b">
        <v>0</v>
      </c>
      <c r="G3212" s="6">
        <v>0.02191666666666667</v>
      </c>
    </row>
    <row r="3213" spans="1:7">
      <c r="A3213" s="6" t="s">
        <v>318</v>
      </c>
      <c r="B3213" s="6" t="s">
        <v>52</v>
      </c>
      <c r="C3213" s="6" t="s">
        <v>190</v>
      </c>
      <c r="D3213" s="6" t="s">
        <v>44</v>
      </c>
      <c r="E3213" s="6" t="s">
        <v>44</v>
      </c>
      <c r="F3213" s="6" t="b">
        <v>0</v>
      </c>
      <c r="G3213" s="6">
        <v>5.7</v>
      </c>
    </row>
    <row r="3214" spans="1:7">
      <c r="A3214" s="6" t="s">
        <v>318</v>
      </c>
      <c r="B3214" s="6" t="s">
        <v>52</v>
      </c>
      <c r="C3214" s="6" t="s">
        <v>190</v>
      </c>
      <c r="D3214" s="6" t="s">
        <v>92</v>
      </c>
      <c r="E3214" s="6" t="s">
        <v>92</v>
      </c>
      <c r="F3214" s="6" t="b">
        <v>0</v>
      </c>
      <c r="G3214" s="6">
        <v>0.1245</v>
      </c>
    </row>
    <row r="3215" spans="1:7">
      <c r="A3215" s="6" t="s">
        <v>319</v>
      </c>
      <c r="B3215" s="6" t="s">
        <v>52</v>
      </c>
      <c r="C3215" s="6" t="s">
        <v>186</v>
      </c>
      <c r="D3215" s="6" t="s">
        <v>86</v>
      </c>
      <c r="E3215" s="6" t="s">
        <v>86</v>
      </c>
      <c r="F3215" s="6" t="b">
        <v>0</v>
      </c>
      <c r="G3215" s="6">
        <v>86.26975</v>
      </c>
    </row>
    <row r="3216" spans="1:7">
      <c r="A3216" s="6" t="s">
        <v>319</v>
      </c>
      <c r="B3216" s="6" t="s">
        <v>52</v>
      </c>
      <c r="C3216" s="6" t="s">
        <v>186</v>
      </c>
      <c r="D3216" s="6" t="s">
        <v>90</v>
      </c>
      <c r="E3216" s="6" t="s">
        <v>90</v>
      </c>
      <c r="F3216" s="6" t="b">
        <v>0</v>
      </c>
      <c r="G3216" s="6">
        <v>16.23158333333333</v>
      </c>
    </row>
    <row r="3217" spans="1:7">
      <c r="A3217" s="6" t="s">
        <v>319</v>
      </c>
      <c r="B3217" s="6" t="s">
        <v>52</v>
      </c>
      <c r="C3217" s="6" t="s">
        <v>189</v>
      </c>
      <c r="D3217" s="6" t="s">
        <v>86</v>
      </c>
      <c r="E3217" s="6" t="s">
        <v>86</v>
      </c>
      <c r="F3217" s="6" t="b">
        <v>0</v>
      </c>
      <c r="G3217" s="6">
        <v>2.546416666666667</v>
      </c>
    </row>
    <row r="3218" spans="1:7">
      <c r="A3218" s="6" t="s">
        <v>319</v>
      </c>
      <c r="B3218" s="6" t="s">
        <v>52</v>
      </c>
      <c r="C3218" s="6" t="s">
        <v>189</v>
      </c>
      <c r="D3218" s="6" t="s">
        <v>88</v>
      </c>
      <c r="E3218" s="6" t="s">
        <v>88</v>
      </c>
      <c r="F3218" s="6" t="b">
        <v>0</v>
      </c>
      <c r="G3218" s="6">
        <v>4.120083333333334</v>
      </c>
    </row>
    <row r="3219" spans="1:7">
      <c r="A3219" s="6" t="s">
        <v>319</v>
      </c>
      <c r="B3219" s="6" t="s">
        <v>52</v>
      </c>
      <c r="C3219" s="6" t="s">
        <v>190</v>
      </c>
      <c r="D3219" s="6" t="s">
        <v>44</v>
      </c>
      <c r="E3219" s="6" t="s">
        <v>44</v>
      </c>
      <c r="F3219" s="6" t="b">
        <v>0</v>
      </c>
      <c r="G3219" s="6">
        <v>20.0575</v>
      </c>
    </row>
    <row r="3220" spans="1:7">
      <c r="A3220" s="6" t="s">
        <v>319</v>
      </c>
      <c r="B3220" s="6" t="s">
        <v>52</v>
      </c>
      <c r="C3220" s="6" t="s">
        <v>190</v>
      </c>
      <c r="D3220" s="6" t="s">
        <v>90</v>
      </c>
      <c r="E3220" s="6" t="s">
        <v>90</v>
      </c>
      <c r="F3220" s="6" t="b">
        <v>0</v>
      </c>
      <c r="G3220" s="6">
        <v>3.321083333333334</v>
      </c>
    </row>
    <row r="3221" spans="1:7">
      <c r="A3221" s="6" t="s">
        <v>319</v>
      </c>
      <c r="B3221" s="6" t="s">
        <v>52</v>
      </c>
      <c r="C3221" s="6" t="s">
        <v>190</v>
      </c>
      <c r="D3221" s="6" t="s">
        <v>177</v>
      </c>
      <c r="E3221" s="6" t="s">
        <v>44</v>
      </c>
      <c r="F3221" s="6" t="b">
        <v>0</v>
      </c>
      <c r="G3221" s="6">
        <v>1.24575</v>
      </c>
    </row>
    <row r="3222" spans="1:7">
      <c r="A3222" s="6" t="s">
        <v>319</v>
      </c>
      <c r="B3222" s="6" t="s">
        <v>52</v>
      </c>
      <c r="C3222" s="6" t="s">
        <v>190</v>
      </c>
      <c r="D3222" s="6" t="s">
        <v>92</v>
      </c>
      <c r="E3222" s="6" t="s">
        <v>92</v>
      </c>
      <c r="F3222" s="6" t="b">
        <v>0</v>
      </c>
      <c r="G3222" s="6">
        <v>0.5333333333333333</v>
      </c>
    </row>
    <row r="3223" spans="1:7">
      <c r="A3223" s="6" t="s">
        <v>363</v>
      </c>
      <c r="B3223" s="6" t="s">
        <v>52</v>
      </c>
      <c r="C3223" s="6" t="s">
        <v>189</v>
      </c>
      <c r="D3223" s="6" t="s">
        <v>86</v>
      </c>
      <c r="E3223" s="6" t="s">
        <v>86</v>
      </c>
      <c r="F3223" s="6" t="b">
        <v>0</v>
      </c>
      <c r="G3223" s="6">
        <v>28.19275</v>
      </c>
    </row>
    <row r="3224" spans="1:7">
      <c r="A3224" s="6" t="s">
        <v>320</v>
      </c>
      <c r="B3224" s="6" t="s">
        <v>51</v>
      </c>
      <c r="C3224" s="6" t="s">
        <v>181</v>
      </c>
      <c r="D3224" s="6" t="s">
        <v>88</v>
      </c>
      <c r="E3224" s="6" t="s">
        <v>88</v>
      </c>
      <c r="F3224" s="6" t="b">
        <v>0</v>
      </c>
      <c r="G3224" s="6">
        <v>0.5691666666666667</v>
      </c>
    </row>
    <row r="3225" spans="1:7">
      <c r="A3225" s="6" t="s">
        <v>320</v>
      </c>
      <c r="B3225" s="6" t="s">
        <v>51</v>
      </c>
      <c r="C3225" s="6" t="s">
        <v>183</v>
      </c>
      <c r="D3225" s="6" t="s">
        <v>90</v>
      </c>
      <c r="E3225" s="6" t="s">
        <v>90</v>
      </c>
      <c r="F3225" s="6" t="b">
        <v>0</v>
      </c>
      <c r="G3225" s="6">
        <v>1.932</v>
      </c>
    </row>
    <row r="3226" spans="1:7">
      <c r="A3226" s="6" t="s">
        <v>320</v>
      </c>
      <c r="B3226" s="6" t="s">
        <v>51</v>
      </c>
      <c r="C3226" s="6" t="s">
        <v>184</v>
      </c>
      <c r="D3226" s="6" t="s">
        <v>44</v>
      </c>
      <c r="E3226" s="6" t="s">
        <v>44</v>
      </c>
      <c r="F3226" s="6" t="b">
        <v>0</v>
      </c>
      <c r="G3226" s="6">
        <v>58.06508333333333</v>
      </c>
    </row>
    <row r="3227" spans="1:7">
      <c r="A3227" s="6" t="s">
        <v>320</v>
      </c>
      <c r="B3227" s="6" t="s">
        <v>51</v>
      </c>
      <c r="C3227" s="6" t="s">
        <v>184</v>
      </c>
      <c r="D3227" s="6" t="s">
        <v>90</v>
      </c>
      <c r="E3227" s="6" t="s">
        <v>90</v>
      </c>
      <c r="F3227" s="6" t="b">
        <v>0</v>
      </c>
      <c r="G3227" s="6">
        <v>16.00733333333333</v>
      </c>
    </row>
    <row r="3228" spans="1:7">
      <c r="A3228" s="6" t="s">
        <v>320</v>
      </c>
      <c r="B3228" s="6" t="s">
        <v>51</v>
      </c>
      <c r="C3228" s="6" t="s">
        <v>184</v>
      </c>
      <c r="D3228" s="6" t="s">
        <v>177</v>
      </c>
      <c r="E3228" s="6" t="s">
        <v>44</v>
      </c>
      <c r="F3228" s="6" t="b">
        <v>0</v>
      </c>
      <c r="G3228" s="6">
        <v>0.013</v>
      </c>
    </row>
    <row r="3229" spans="1:7">
      <c r="A3229" s="6" t="s">
        <v>320</v>
      </c>
      <c r="B3229" s="6" t="s">
        <v>51</v>
      </c>
      <c r="C3229" s="6" t="s">
        <v>186</v>
      </c>
      <c r="D3229" s="6" t="s">
        <v>86</v>
      </c>
      <c r="E3229" s="6" t="s">
        <v>86</v>
      </c>
      <c r="F3229" s="6" t="b">
        <v>0</v>
      </c>
      <c r="G3229" s="6">
        <v>0.85925</v>
      </c>
    </row>
    <row r="3230" spans="1:7">
      <c r="A3230" s="6" t="s">
        <v>320</v>
      </c>
      <c r="B3230" s="6" t="s">
        <v>51</v>
      </c>
      <c r="C3230" s="6" t="s">
        <v>186</v>
      </c>
      <c r="D3230" s="6" t="s">
        <v>88</v>
      </c>
      <c r="E3230" s="6" t="s">
        <v>88</v>
      </c>
      <c r="F3230" s="6" t="b">
        <v>0</v>
      </c>
      <c r="G3230" s="6">
        <v>0.1895</v>
      </c>
    </row>
    <row r="3231" spans="1:7">
      <c r="A3231" s="6" t="s">
        <v>320</v>
      </c>
      <c r="B3231" s="6" t="s">
        <v>51</v>
      </c>
      <c r="C3231" s="6" t="s">
        <v>186</v>
      </c>
      <c r="D3231" s="6" t="s">
        <v>90</v>
      </c>
      <c r="E3231" s="6" t="s">
        <v>90</v>
      </c>
      <c r="F3231" s="6" t="b">
        <v>0</v>
      </c>
      <c r="G3231" s="6">
        <v>7.900416666666666</v>
      </c>
    </row>
    <row r="3232" spans="1:7">
      <c r="A3232" s="6" t="s">
        <v>320</v>
      </c>
      <c r="B3232" s="6" t="s">
        <v>51</v>
      </c>
      <c r="C3232" s="6" t="s">
        <v>188</v>
      </c>
      <c r="D3232" s="6" t="s">
        <v>86</v>
      </c>
      <c r="E3232" s="6" t="s">
        <v>86</v>
      </c>
      <c r="F3232" s="6" t="b">
        <v>0</v>
      </c>
      <c r="G3232" s="6">
        <v>61.49700000000001</v>
      </c>
    </row>
    <row r="3233" spans="1:7">
      <c r="A3233" s="6" t="s">
        <v>320</v>
      </c>
      <c r="B3233" s="6" t="s">
        <v>51</v>
      </c>
      <c r="C3233" s="6" t="s">
        <v>188</v>
      </c>
      <c r="D3233" s="6" t="s">
        <v>88</v>
      </c>
      <c r="E3233" s="6" t="s">
        <v>88</v>
      </c>
      <c r="F3233" s="6" t="b">
        <v>0</v>
      </c>
      <c r="G3233" s="6">
        <v>412.5552499999999</v>
      </c>
    </row>
    <row r="3234" spans="1:7">
      <c r="A3234" s="6" t="s">
        <v>320</v>
      </c>
      <c r="B3234" s="6" t="s">
        <v>51</v>
      </c>
      <c r="C3234" s="6" t="s">
        <v>189</v>
      </c>
      <c r="D3234" s="6" t="s">
        <v>86</v>
      </c>
      <c r="E3234" s="6" t="s">
        <v>86</v>
      </c>
      <c r="F3234" s="6" t="b">
        <v>0</v>
      </c>
      <c r="G3234" s="6">
        <v>2.23875</v>
      </c>
    </row>
    <row r="3235" spans="1:7">
      <c r="A3235" s="6" t="s">
        <v>320</v>
      </c>
      <c r="B3235" s="6" t="s">
        <v>51</v>
      </c>
      <c r="C3235" s="6" t="s">
        <v>189</v>
      </c>
      <c r="D3235" s="6" t="s">
        <v>88</v>
      </c>
      <c r="E3235" s="6" t="s">
        <v>88</v>
      </c>
      <c r="F3235" s="6" t="b">
        <v>0</v>
      </c>
      <c r="G3235" s="6">
        <v>0.2338333333333333</v>
      </c>
    </row>
    <row r="3236" spans="1:7">
      <c r="A3236" s="6" t="s">
        <v>320</v>
      </c>
      <c r="B3236" s="6" t="s">
        <v>51</v>
      </c>
      <c r="C3236" s="6" t="s">
        <v>189</v>
      </c>
      <c r="D3236" s="6" t="s">
        <v>90</v>
      </c>
      <c r="E3236" s="6" t="s">
        <v>90</v>
      </c>
      <c r="F3236" s="6" t="b">
        <v>0</v>
      </c>
      <c r="G3236" s="6">
        <v>0.1355833333333333</v>
      </c>
    </row>
    <row r="3237" spans="1:7">
      <c r="A3237" s="6" t="s">
        <v>320</v>
      </c>
      <c r="B3237" s="6" t="s">
        <v>51</v>
      </c>
      <c r="C3237" s="6" t="s">
        <v>190</v>
      </c>
      <c r="D3237" s="6" t="s">
        <v>44</v>
      </c>
      <c r="E3237" s="6" t="s">
        <v>44</v>
      </c>
      <c r="F3237" s="6" t="b">
        <v>0</v>
      </c>
      <c r="G3237" s="6">
        <v>222.3336666666667</v>
      </c>
    </row>
    <row r="3238" spans="1:7">
      <c r="A3238" s="6" t="s">
        <v>320</v>
      </c>
      <c r="B3238" s="6" t="s">
        <v>51</v>
      </c>
      <c r="C3238" s="6" t="s">
        <v>190</v>
      </c>
      <c r="D3238" s="6" t="s">
        <v>86</v>
      </c>
      <c r="E3238" s="6" t="s">
        <v>44</v>
      </c>
      <c r="F3238" s="6" t="b">
        <v>0</v>
      </c>
      <c r="G3238" s="6">
        <v>2.85975</v>
      </c>
    </row>
    <row r="3239" spans="1:7">
      <c r="A3239" s="6" t="s">
        <v>320</v>
      </c>
      <c r="B3239" s="6" t="s">
        <v>51</v>
      </c>
      <c r="C3239" s="6" t="s">
        <v>190</v>
      </c>
      <c r="D3239" s="6" t="s">
        <v>86</v>
      </c>
      <c r="E3239" s="6" t="s">
        <v>86</v>
      </c>
      <c r="F3239" s="6" t="b">
        <v>0</v>
      </c>
      <c r="G3239" s="6">
        <v>1.22425</v>
      </c>
    </row>
    <row r="3240" spans="1:7">
      <c r="A3240" s="6" t="s">
        <v>320</v>
      </c>
      <c r="B3240" s="6" t="s">
        <v>51</v>
      </c>
      <c r="C3240" s="6" t="s">
        <v>190</v>
      </c>
      <c r="D3240" s="6" t="s">
        <v>88</v>
      </c>
      <c r="E3240" s="6" t="s">
        <v>88</v>
      </c>
      <c r="F3240" s="6" t="b">
        <v>0</v>
      </c>
      <c r="G3240" s="6">
        <v>0.008500000000000001</v>
      </c>
    </row>
    <row r="3241" spans="1:7">
      <c r="A3241" s="6" t="s">
        <v>320</v>
      </c>
      <c r="B3241" s="6" t="s">
        <v>51</v>
      </c>
      <c r="C3241" s="6" t="s">
        <v>190</v>
      </c>
      <c r="D3241" s="6" t="s">
        <v>90</v>
      </c>
      <c r="E3241" s="6" t="s">
        <v>44</v>
      </c>
      <c r="F3241" s="6" t="b">
        <v>0</v>
      </c>
      <c r="G3241" s="6">
        <v>2.176416666666667</v>
      </c>
    </row>
    <row r="3242" spans="1:7">
      <c r="A3242" s="6" t="s">
        <v>320</v>
      </c>
      <c r="B3242" s="6" t="s">
        <v>51</v>
      </c>
      <c r="C3242" s="6" t="s">
        <v>190</v>
      </c>
      <c r="D3242" s="6" t="s">
        <v>90</v>
      </c>
      <c r="E3242" s="6" t="s">
        <v>90</v>
      </c>
      <c r="F3242" s="6" t="b">
        <v>0</v>
      </c>
      <c r="G3242" s="6">
        <v>4.768166666666667</v>
      </c>
    </row>
    <row r="3243" spans="1:7">
      <c r="A3243" s="6" t="s">
        <v>320</v>
      </c>
      <c r="B3243" s="6" t="s">
        <v>51</v>
      </c>
      <c r="C3243" s="6" t="s">
        <v>190</v>
      </c>
      <c r="D3243" s="6" t="s">
        <v>177</v>
      </c>
      <c r="E3243" s="6" t="s">
        <v>44</v>
      </c>
      <c r="F3243" s="6" t="b">
        <v>0</v>
      </c>
      <c r="G3243" s="6">
        <v>43.90041666666666</v>
      </c>
    </row>
    <row r="3244" spans="1:7">
      <c r="A3244" s="6" t="s">
        <v>320</v>
      </c>
      <c r="B3244" s="6" t="s">
        <v>51</v>
      </c>
      <c r="C3244" s="6" t="s">
        <v>190</v>
      </c>
      <c r="D3244" s="6" t="s">
        <v>177</v>
      </c>
      <c r="E3244" s="6" t="s">
        <v>86</v>
      </c>
      <c r="F3244" s="6" t="b">
        <v>0</v>
      </c>
      <c r="G3244" s="6">
        <v>0.469</v>
      </c>
    </row>
    <row r="3245" spans="1:7">
      <c r="A3245" s="6" t="s">
        <v>320</v>
      </c>
      <c r="B3245" s="6" t="s">
        <v>51</v>
      </c>
      <c r="C3245" s="6" t="s">
        <v>190</v>
      </c>
      <c r="D3245" s="6" t="s">
        <v>177</v>
      </c>
      <c r="E3245" s="6" t="s">
        <v>685</v>
      </c>
      <c r="F3245" s="6" t="b">
        <v>1</v>
      </c>
      <c r="G3245" s="6">
        <v>0.5836666666666667</v>
      </c>
    </row>
    <row r="3246" spans="1:7">
      <c r="A3246" s="6" t="s">
        <v>320</v>
      </c>
      <c r="B3246" s="6" t="s">
        <v>51</v>
      </c>
      <c r="C3246" s="6" t="s">
        <v>190</v>
      </c>
      <c r="D3246" s="6" t="s">
        <v>92</v>
      </c>
      <c r="E3246" s="6" t="s">
        <v>92</v>
      </c>
      <c r="F3246" s="6" t="b">
        <v>0</v>
      </c>
      <c r="G3246" s="6">
        <v>0.6767500000000001</v>
      </c>
    </row>
    <row r="3247" spans="1:7">
      <c r="A3247" s="6" t="s">
        <v>321</v>
      </c>
      <c r="B3247" s="6" t="s">
        <v>54</v>
      </c>
      <c r="C3247" s="6" t="s">
        <v>181</v>
      </c>
      <c r="D3247" s="6" t="s">
        <v>88</v>
      </c>
      <c r="E3247" s="6" t="s">
        <v>88</v>
      </c>
      <c r="F3247" s="6" t="b">
        <v>0</v>
      </c>
      <c r="G3247" s="6">
        <v>0.06991666666666667</v>
      </c>
    </row>
    <row r="3248" spans="1:7">
      <c r="A3248" s="6" t="s">
        <v>321</v>
      </c>
      <c r="B3248" s="6" t="s">
        <v>54</v>
      </c>
      <c r="C3248" s="6" t="s">
        <v>184</v>
      </c>
      <c r="D3248" s="6" t="s">
        <v>44</v>
      </c>
      <c r="E3248" s="6" t="s">
        <v>44</v>
      </c>
      <c r="F3248" s="6" t="b">
        <v>0</v>
      </c>
      <c r="G3248" s="6">
        <v>4.447083333333333</v>
      </c>
    </row>
    <row r="3249" spans="1:7">
      <c r="A3249" s="6" t="s">
        <v>321</v>
      </c>
      <c r="B3249" s="6" t="s">
        <v>54</v>
      </c>
      <c r="C3249" s="6" t="s">
        <v>184</v>
      </c>
      <c r="D3249" s="6" t="s">
        <v>177</v>
      </c>
      <c r="E3249" s="6" t="s">
        <v>44</v>
      </c>
      <c r="F3249" s="6" t="b">
        <v>0</v>
      </c>
      <c r="G3249" s="6">
        <v>22.84958333333333</v>
      </c>
    </row>
    <row r="3250" spans="1:7">
      <c r="A3250" s="6" t="s">
        <v>321</v>
      </c>
      <c r="B3250" s="6" t="s">
        <v>54</v>
      </c>
      <c r="C3250" s="6" t="s">
        <v>186</v>
      </c>
      <c r="D3250" s="6" t="s">
        <v>86</v>
      </c>
      <c r="E3250" s="6" t="s">
        <v>86</v>
      </c>
      <c r="F3250" s="6" t="b">
        <v>0</v>
      </c>
      <c r="G3250" s="6">
        <v>6.255666666666666</v>
      </c>
    </row>
    <row r="3251" spans="1:7">
      <c r="A3251" s="6" t="s">
        <v>321</v>
      </c>
      <c r="B3251" s="6" t="s">
        <v>54</v>
      </c>
      <c r="C3251" s="6" t="s">
        <v>186</v>
      </c>
      <c r="D3251" s="6" t="s">
        <v>88</v>
      </c>
      <c r="E3251" s="6" t="s">
        <v>88</v>
      </c>
      <c r="F3251" s="6" t="b">
        <v>0</v>
      </c>
      <c r="G3251" s="6">
        <v>0.03166666666666667</v>
      </c>
    </row>
    <row r="3252" spans="1:7">
      <c r="A3252" s="6" t="s">
        <v>321</v>
      </c>
      <c r="B3252" s="6" t="s">
        <v>54</v>
      </c>
      <c r="C3252" s="6" t="s">
        <v>186</v>
      </c>
      <c r="D3252" s="6" t="s">
        <v>90</v>
      </c>
      <c r="E3252" s="6" t="s">
        <v>90</v>
      </c>
      <c r="F3252" s="6" t="b">
        <v>0</v>
      </c>
      <c r="G3252" s="6">
        <v>0.2525</v>
      </c>
    </row>
    <row r="3253" spans="1:7">
      <c r="A3253" s="6" t="s">
        <v>321</v>
      </c>
      <c r="B3253" s="6" t="s">
        <v>54</v>
      </c>
      <c r="C3253" s="6" t="s">
        <v>189</v>
      </c>
      <c r="D3253" s="6" t="s">
        <v>86</v>
      </c>
      <c r="E3253" s="6" t="s">
        <v>86</v>
      </c>
      <c r="F3253" s="6" t="b">
        <v>0</v>
      </c>
      <c r="G3253" s="6">
        <v>0.01775</v>
      </c>
    </row>
    <row r="3254" spans="1:7">
      <c r="A3254" s="6" t="s">
        <v>322</v>
      </c>
      <c r="B3254" s="6" t="s">
        <v>51</v>
      </c>
      <c r="C3254" s="6" t="s">
        <v>181</v>
      </c>
      <c r="D3254" s="6" t="s">
        <v>88</v>
      </c>
      <c r="E3254" s="6" t="s">
        <v>88</v>
      </c>
      <c r="F3254" s="6" t="b">
        <v>0</v>
      </c>
      <c r="G3254" s="6">
        <v>0.09975000000000001</v>
      </c>
    </row>
    <row r="3255" spans="1:7">
      <c r="A3255" s="6" t="s">
        <v>322</v>
      </c>
      <c r="B3255" s="6" t="s">
        <v>51</v>
      </c>
      <c r="C3255" s="6" t="s">
        <v>181</v>
      </c>
      <c r="D3255" s="6" t="s">
        <v>90</v>
      </c>
      <c r="E3255" s="6" t="s">
        <v>90</v>
      </c>
      <c r="F3255" s="6" t="b">
        <v>0</v>
      </c>
      <c r="G3255" s="6">
        <v>0.011</v>
      </c>
    </row>
    <row r="3256" spans="1:7">
      <c r="A3256" s="6" t="s">
        <v>322</v>
      </c>
      <c r="B3256" s="6" t="s">
        <v>51</v>
      </c>
      <c r="C3256" s="6" t="s">
        <v>183</v>
      </c>
      <c r="D3256" s="6" t="s">
        <v>88</v>
      </c>
      <c r="E3256" s="6" t="s">
        <v>88</v>
      </c>
      <c r="F3256" s="6" t="b">
        <v>0</v>
      </c>
      <c r="G3256" s="6">
        <v>0.00175</v>
      </c>
    </row>
    <row r="3257" spans="1:7">
      <c r="A3257" s="6" t="s">
        <v>322</v>
      </c>
      <c r="B3257" s="6" t="s">
        <v>51</v>
      </c>
      <c r="C3257" s="6" t="s">
        <v>184</v>
      </c>
      <c r="D3257" s="6" t="s">
        <v>44</v>
      </c>
      <c r="E3257" s="6" t="s">
        <v>44</v>
      </c>
      <c r="F3257" s="6" t="b">
        <v>0</v>
      </c>
      <c r="G3257" s="6">
        <v>48.06549999999999</v>
      </c>
    </row>
    <row r="3258" spans="1:7">
      <c r="A3258" s="6" t="s">
        <v>322</v>
      </c>
      <c r="B3258" s="6" t="s">
        <v>51</v>
      </c>
      <c r="C3258" s="6" t="s">
        <v>184</v>
      </c>
      <c r="D3258" s="6" t="s">
        <v>90</v>
      </c>
      <c r="E3258" s="6" t="s">
        <v>90</v>
      </c>
      <c r="F3258" s="6" t="b">
        <v>0</v>
      </c>
      <c r="G3258" s="6">
        <v>0.004666666666666667</v>
      </c>
    </row>
    <row r="3259" spans="1:7">
      <c r="A3259" s="6" t="s">
        <v>322</v>
      </c>
      <c r="B3259" s="6" t="s">
        <v>51</v>
      </c>
      <c r="C3259" s="6" t="s">
        <v>184</v>
      </c>
      <c r="D3259" s="6" t="s">
        <v>90</v>
      </c>
      <c r="E3259" s="6" t="s">
        <v>685</v>
      </c>
      <c r="F3259" s="6" t="b">
        <v>1</v>
      </c>
      <c r="G3259" s="6">
        <v>0.002666666666666667</v>
      </c>
    </row>
    <row r="3260" spans="1:7">
      <c r="A3260" s="6" t="s">
        <v>322</v>
      </c>
      <c r="B3260" s="6" t="s">
        <v>51</v>
      </c>
      <c r="C3260" s="6" t="s">
        <v>184</v>
      </c>
      <c r="D3260" s="6" t="s">
        <v>177</v>
      </c>
      <c r="E3260" s="6" t="s">
        <v>44</v>
      </c>
      <c r="F3260" s="6" t="b">
        <v>0</v>
      </c>
      <c r="G3260" s="6">
        <v>0.1006666666666667</v>
      </c>
    </row>
    <row r="3261" spans="1:7">
      <c r="A3261" s="6" t="s">
        <v>322</v>
      </c>
      <c r="B3261" s="6" t="s">
        <v>51</v>
      </c>
      <c r="C3261" s="6" t="s">
        <v>184</v>
      </c>
      <c r="D3261" s="6" t="s">
        <v>177</v>
      </c>
      <c r="E3261" s="6" t="s">
        <v>685</v>
      </c>
      <c r="F3261" s="6" t="b">
        <v>1</v>
      </c>
      <c r="G3261" s="6">
        <v>0.006166666666666668</v>
      </c>
    </row>
    <row r="3262" spans="1:7">
      <c r="A3262" s="6" t="s">
        <v>322</v>
      </c>
      <c r="B3262" s="6" t="s">
        <v>51</v>
      </c>
      <c r="C3262" s="6" t="s">
        <v>185</v>
      </c>
      <c r="D3262" s="6" t="s">
        <v>44</v>
      </c>
      <c r="E3262" s="6" t="s">
        <v>685</v>
      </c>
      <c r="F3262" s="6" t="b">
        <v>1</v>
      </c>
      <c r="G3262" s="6">
        <v>126.41375</v>
      </c>
    </row>
    <row r="3263" spans="1:7">
      <c r="A3263" s="6" t="s">
        <v>322</v>
      </c>
      <c r="B3263" s="6" t="s">
        <v>51</v>
      </c>
      <c r="C3263" s="6" t="s">
        <v>186</v>
      </c>
      <c r="D3263" s="6" t="s">
        <v>86</v>
      </c>
      <c r="E3263" s="6" t="s">
        <v>86</v>
      </c>
      <c r="F3263" s="6" t="b">
        <v>0</v>
      </c>
      <c r="G3263" s="6">
        <v>34.80666666666666</v>
      </c>
    </row>
    <row r="3264" spans="1:7">
      <c r="A3264" s="6" t="s">
        <v>322</v>
      </c>
      <c r="B3264" s="6" t="s">
        <v>51</v>
      </c>
      <c r="C3264" s="6" t="s">
        <v>186</v>
      </c>
      <c r="D3264" s="6" t="s">
        <v>88</v>
      </c>
      <c r="E3264" s="6" t="s">
        <v>88</v>
      </c>
      <c r="F3264" s="6" t="b">
        <v>0</v>
      </c>
      <c r="G3264" s="6">
        <v>0.003166666666666667</v>
      </c>
    </row>
    <row r="3265" spans="1:7">
      <c r="A3265" s="6" t="s">
        <v>322</v>
      </c>
      <c r="B3265" s="6" t="s">
        <v>51</v>
      </c>
      <c r="C3265" s="6" t="s">
        <v>186</v>
      </c>
      <c r="D3265" s="6" t="s">
        <v>90</v>
      </c>
      <c r="E3265" s="6" t="s">
        <v>90</v>
      </c>
      <c r="F3265" s="6" t="b">
        <v>0</v>
      </c>
      <c r="G3265" s="6">
        <v>1.575083333333333</v>
      </c>
    </row>
    <row r="3266" spans="1:7">
      <c r="A3266" s="6" t="s">
        <v>322</v>
      </c>
      <c r="B3266" s="6" t="s">
        <v>51</v>
      </c>
      <c r="C3266" s="6" t="s">
        <v>186</v>
      </c>
      <c r="D3266" s="6" t="s">
        <v>177</v>
      </c>
      <c r="E3266" s="6" t="s">
        <v>86</v>
      </c>
      <c r="F3266" s="6" t="b">
        <v>0</v>
      </c>
      <c r="G3266" s="6">
        <v>0.002</v>
      </c>
    </row>
    <row r="3267" spans="1:7">
      <c r="A3267" s="6" t="s">
        <v>322</v>
      </c>
      <c r="B3267" s="6" t="s">
        <v>51</v>
      </c>
      <c r="C3267" s="6" t="s">
        <v>187</v>
      </c>
      <c r="D3267" s="6" t="s">
        <v>86</v>
      </c>
      <c r="E3267" s="6" t="s">
        <v>86</v>
      </c>
      <c r="F3267" s="6" t="b">
        <v>0</v>
      </c>
      <c r="G3267" s="6">
        <v>33.57875</v>
      </c>
    </row>
    <row r="3268" spans="1:7">
      <c r="A3268" s="6" t="s">
        <v>322</v>
      </c>
      <c r="B3268" s="6" t="s">
        <v>51</v>
      </c>
      <c r="C3268" s="6" t="s">
        <v>187</v>
      </c>
      <c r="D3268" s="6" t="s">
        <v>88</v>
      </c>
      <c r="E3268" s="6" t="s">
        <v>88</v>
      </c>
      <c r="F3268" s="6" t="b">
        <v>0</v>
      </c>
      <c r="G3268" s="6">
        <v>85.38783333333333</v>
      </c>
    </row>
    <row r="3269" spans="1:7">
      <c r="A3269" s="6" t="s">
        <v>322</v>
      </c>
      <c r="B3269" s="6" t="s">
        <v>51</v>
      </c>
      <c r="C3269" s="6" t="s">
        <v>189</v>
      </c>
      <c r="D3269" s="6" t="s">
        <v>86</v>
      </c>
      <c r="E3269" s="6" t="s">
        <v>86</v>
      </c>
      <c r="F3269" s="6" t="b">
        <v>0</v>
      </c>
      <c r="G3269" s="6">
        <v>0.0265</v>
      </c>
    </row>
    <row r="3270" spans="1:7">
      <c r="A3270" s="6" t="s">
        <v>322</v>
      </c>
      <c r="B3270" s="6" t="s">
        <v>51</v>
      </c>
      <c r="C3270" s="6" t="s">
        <v>189</v>
      </c>
      <c r="D3270" s="6" t="s">
        <v>88</v>
      </c>
      <c r="E3270" s="6" t="s">
        <v>88</v>
      </c>
      <c r="F3270" s="6" t="b">
        <v>0</v>
      </c>
      <c r="G3270" s="6">
        <v>0.01258333333333333</v>
      </c>
    </row>
    <row r="3271" spans="1:7">
      <c r="A3271" s="6" t="s">
        <v>322</v>
      </c>
      <c r="B3271" s="6" t="s">
        <v>51</v>
      </c>
      <c r="C3271" s="6" t="s">
        <v>189</v>
      </c>
      <c r="D3271" s="6" t="s">
        <v>90</v>
      </c>
      <c r="E3271" s="6" t="s">
        <v>90</v>
      </c>
      <c r="F3271" s="6" t="b">
        <v>0</v>
      </c>
      <c r="G3271" s="6">
        <v>0.004416666666666667</v>
      </c>
    </row>
    <row r="3272" spans="1:7">
      <c r="A3272" s="6" t="s">
        <v>323</v>
      </c>
      <c r="B3272" s="6" t="s">
        <v>55</v>
      </c>
      <c r="C3272" s="6" t="s">
        <v>181</v>
      </c>
      <c r="D3272" s="6" t="s">
        <v>88</v>
      </c>
      <c r="E3272" s="6" t="s">
        <v>88</v>
      </c>
      <c r="F3272" s="6" t="b">
        <v>0</v>
      </c>
      <c r="G3272" s="6">
        <v>15.01925</v>
      </c>
    </row>
    <row r="3273" spans="1:7">
      <c r="A3273" s="6" t="s">
        <v>323</v>
      </c>
      <c r="B3273" s="6" t="s">
        <v>55</v>
      </c>
      <c r="C3273" s="6" t="s">
        <v>181</v>
      </c>
      <c r="D3273" s="6" t="s">
        <v>90</v>
      </c>
      <c r="E3273" s="6" t="s">
        <v>90</v>
      </c>
      <c r="F3273" s="6" t="b">
        <v>0</v>
      </c>
      <c r="G3273" s="6">
        <v>0.05558333333333334</v>
      </c>
    </row>
    <row r="3274" spans="1:7">
      <c r="A3274" s="6" t="s">
        <v>323</v>
      </c>
      <c r="B3274" s="6" t="s">
        <v>55</v>
      </c>
      <c r="C3274" s="6" t="s">
        <v>183</v>
      </c>
      <c r="D3274" s="6" t="s">
        <v>86</v>
      </c>
      <c r="E3274" s="6" t="s">
        <v>86</v>
      </c>
      <c r="F3274" s="6" t="b">
        <v>0</v>
      </c>
      <c r="G3274" s="6">
        <v>0.01116666666666667</v>
      </c>
    </row>
    <row r="3275" spans="1:7">
      <c r="A3275" s="6" t="s">
        <v>323</v>
      </c>
      <c r="B3275" s="6" t="s">
        <v>55</v>
      </c>
      <c r="C3275" s="6" t="s">
        <v>183</v>
      </c>
      <c r="D3275" s="6" t="s">
        <v>88</v>
      </c>
      <c r="E3275" s="6" t="s">
        <v>88</v>
      </c>
      <c r="F3275" s="6" t="b">
        <v>0</v>
      </c>
      <c r="G3275" s="6">
        <v>0.1473333333333333</v>
      </c>
    </row>
    <row r="3276" spans="1:7">
      <c r="A3276" s="6" t="s">
        <v>323</v>
      </c>
      <c r="B3276" s="6" t="s">
        <v>55</v>
      </c>
      <c r="C3276" s="6" t="s">
        <v>183</v>
      </c>
      <c r="D3276" s="6" t="s">
        <v>90</v>
      </c>
      <c r="E3276" s="6" t="s">
        <v>86</v>
      </c>
      <c r="F3276" s="6" t="b">
        <v>0</v>
      </c>
      <c r="G3276" s="6">
        <v>0.10825</v>
      </c>
    </row>
    <row r="3277" spans="1:7">
      <c r="A3277" s="6" t="s">
        <v>323</v>
      </c>
      <c r="B3277" s="6" t="s">
        <v>55</v>
      </c>
      <c r="C3277" s="6" t="s">
        <v>183</v>
      </c>
      <c r="D3277" s="6" t="s">
        <v>90</v>
      </c>
      <c r="E3277" s="6" t="s">
        <v>90</v>
      </c>
      <c r="F3277" s="6" t="b">
        <v>0</v>
      </c>
      <c r="G3277" s="6">
        <v>0.1253333333333333</v>
      </c>
    </row>
    <row r="3278" spans="1:7">
      <c r="A3278" s="6" t="s">
        <v>323</v>
      </c>
      <c r="B3278" s="6" t="s">
        <v>55</v>
      </c>
      <c r="C3278" s="6" t="s">
        <v>183</v>
      </c>
      <c r="D3278" s="6" t="s">
        <v>177</v>
      </c>
      <c r="E3278" s="6" t="s">
        <v>86</v>
      </c>
      <c r="F3278" s="6" t="b">
        <v>0</v>
      </c>
      <c r="G3278" s="6">
        <v>0.01783333333333333</v>
      </c>
    </row>
    <row r="3279" spans="1:7">
      <c r="A3279" s="6" t="s">
        <v>323</v>
      </c>
      <c r="B3279" s="6" t="s">
        <v>55</v>
      </c>
      <c r="C3279" s="6" t="s">
        <v>183</v>
      </c>
      <c r="D3279" s="6" t="s">
        <v>177</v>
      </c>
      <c r="E3279" s="6" t="s">
        <v>685</v>
      </c>
      <c r="F3279" s="6" t="b">
        <v>1</v>
      </c>
      <c r="G3279" s="6">
        <v>0.0045</v>
      </c>
    </row>
    <row r="3280" spans="1:7">
      <c r="A3280" s="6" t="s">
        <v>323</v>
      </c>
      <c r="B3280" s="6" t="s">
        <v>55</v>
      </c>
      <c r="C3280" s="6" t="s">
        <v>184</v>
      </c>
      <c r="D3280" s="6" t="s">
        <v>44</v>
      </c>
      <c r="E3280" s="6" t="s">
        <v>44</v>
      </c>
      <c r="F3280" s="6" t="b">
        <v>0</v>
      </c>
      <c r="G3280" s="6">
        <v>285.7054166666667</v>
      </c>
    </row>
    <row r="3281" spans="1:7">
      <c r="A3281" s="6" t="s">
        <v>323</v>
      </c>
      <c r="B3281" s="6" t="s">
        <v>55</v>
      </c>
      <c r="C3281" s="6" t="s">
        <v>184</v>
      </c>
      <c r="D3281" s="6" t="s">
        <v>88</v>
      </c>
      <c r="E3281" s="6" t="s">
        <v>88</v>
      </c>
      <c r="F3281" s="6" t="b">
        <v>0</v>
      </c>
      <c r="G3281" s="6">
        <v>0.1940833333333334</v>
      </c>
    </row>
    <row r="3282" spans="1:7">
      <c r="A3282" s="6" t="s">
        <v>323</v>
      </c>
      <c r="B3282" s="6" t="s">
        <v>55</v>
      </c>
      <c r="C3282" s="6" t="s">
        <v>184</v>
      </c>
      <c r="D3282" s="6" t="s">
        <v>90</v>
      </c>
      <c r="E3282" s="6" t="s">
        <v>90</v>
      </c>
      <c r="F3282" s="6" t="b">
        <v>0</v>
      </c>
      <c r="G3282" s="6">
        <v>0.404</v>
      </c>
    </row>
    <row r="3283" spans="1:7">
      <c r="A3283" s="6" t="s">
        <v>323</v>
      </c>
      <c r="B3283" s="6" t="s">
        <v>55</v>
      </c>
      <c r="C3283" s="6" t="s">
        <v>184</v>
      </c>
      <c r="D3283" s="6" t="s">
        <v>90</v>
      </c>
      <c r="E3283" s="6" t="s">
        <v>685</v>
      </c>
      <c r="F3283" s="6" t="b">
        <v>1</v>
      </c>
      <c r="G3283" s="6">
        <v>0.3015833333333334</v>
      </c>
    </row>
    <row r="3284" spans="1:7">
      <c r="A3284" s="6" t="s">
        <v>323</v>
      </c>
      <c r="B3284" s="6" t="s">
        <v>55</v>
      </c>
      <c r="C3284" s="6" t="s">
        <v>184</v>
      </c>
      <c r="D3284" s="6" t="s">
        <v>177</v>
      </c>
      <c r="E3284" s="6" t="s">
        <v>44</v>
      </c>
      <c r="F3284" s="6" t="b">
        <v>0</v>
      </c>
      <c r="G3284" s="6">
        <v>133.8235833333333</v>
      </c>
    </row>
    <row r="3285" spans="1:7">
      <c r="A3285" s="6" t="s">
        <v>323</v>
      </c>
      <c r="B3285" s="6" t="s">
        <v>55</v>
      </c>
      <c r="C3285" s="6" t="s">
        <v>184</v>
      </c>
      <c r="D3285" s="6" t="s">
        <v>177</v>
      </c>
      <c r="E3285" s="6" t="s">
        <v>86</v>
      </c>
      <c r="F3285" s="6" t="b">
        <v>0</v>
      </c>
      <c r="G3285" s="6">
        <v>0.12275</v>
      </c>
    </row>
    <row r="3286" spans="1:7">
      <c r="A3286" s="6" t="s">
        <v>323</v>
      </c>
      <c r="B3286" s="6" t="s">
        <v>55</v>
      </c>
      <c r="C3286" s="6" t="s">
        <v>184</v>
      </c>
      <c r="D3286" s="6" t="s">
        <v>177</v>
      </c>
      <c r="E3286" s="6" t="s">
        <v>685</v>
      </c>
      <c r="F3286" s="6" t="b">
        <v>1</v>
      </c>
      <c r="G3286" s="6">
        <v>3.093916666666667</v>
      </c>
    </row>
    <row r="3287" spans="1:7">
      <c r="A3287" s="6" t="s">
        <v>323</v>
      </c>
      <c r="B3287" s="6" t="s">
        <v>55</v>
      </c>
      <c r="C3287" s="6" t="s">
        <v>186</v>
      </c>
      <c r="D3287" s="6" t="s">
        <v>86</v>
      </c>
      <c r="E3287" s="6" t="s">
        <v>86</v>
      </c>
      <c r="F3287" s="6" t="b">
        <v>0</v>
      </c>
      <c r="G3287" s="6">
        <v>44.34141666666667</v>
      </c>
    </row>
    <row r="3288" spans="1:7">
      <c r="A3288" s="6" t="s">
        <v>323</v>
      </c>
      <c r="B3288" s="6" t="s">
        <v>55</v>
      </c>
      <c r="C3288" s="6" t="s">
        <v>186</v>
      </c>
      <c r="D3288" s="6" t="s">
        <v>88</v>
      </c>
      <c r="E3288" s="6" t="s">
        <v>88</v>
      </c>
      <c r="F3288" s="6" t="b">
        <v>0</v>
      </c>
      <c r="G3288" s="6">
        <v>3.775583333333334</v>
      </c>
    </row>
    <row r="3289" spans="1:7">
      <c r="A3289" s="6" t="s">
        <v>323</v>
      </c>
      <c r="B3289" s="6" t="s">
        <v>55</v>
      </c>
      <c r="C3289" s="6" t="s">
        <v>186</v>
      </c>
      <c r="D3289" s="6" t="s">
        <v>90</v>
      </c>
      <c r="E3289" s="6" t="s">
        <v>86</v>
      </c>
      <c r="F3289" s="6" t="b">
        <v>0</v>
      </c>
      <c r="G3289" s="6">
        <v>0.02833333333333333</v>
      </c>
    </row>
    <row r="3290" spans="1:7">
      <c r="A3290" s="6" t="s">
        <v>323</v>
      </c>
      <c r="B3290" s="6" t="s">
        <v>55</v>
      </c>
      <c r="C3290" s="6" t="s">
        <v>186</v>
      </c>
      <c r="D3290" s="6" t="s">
        <v>90</v>
      </c>
      <c r="E3290" s="6" t="s">
        <v>90</v>
      </c>
      <c r="F3290" s="6" t="b">
        <v>0</v>
      </c>
      <c r="G3290" s="6">
        <v>16.13958333333333</v>
      </c>
    </row>
    <row r="3291" spans="1:7">
      <c r="A3291" s="6" t="s">
        <v>323</v>
      </c>
      <c r="B3291" s="6" t="s">
        <v>55</v>
      </c>
      <c r="C3291" s="6" t="s">
        <v>186</v>
      </c>
      <c r="D3291" s="6" t="s">
        <v>177</v>
      </c>
      <c r="E3291" s="6" t="s">
        <v>86</v>
      </c>
      <c r="F3291" s="6" t="b">
        <v>0</v>
      </c>
      <c r="G3291" s="6">
        <v>0.61</v>
      </c>
    </row>
    <row r="3292" spans="1:7">
      <c r="A3292" s="6" t="s">
        <v>323</v>
      </c>
      <c r="B3292" s="6" t="s">
        <v>55</v>
      </c>
      <c r="C3292" s="6" t="s">
        <v>188</v>
      </c>
      <c r="D3292" s="6" t="s">
        <v>86</v>
      </c>
      <c r="E3292" s="6" t="s">
        <v>86</v>
      </c>
      <c r="F3292" s="6" t="b">
        <v>0</v>
      </c>
      <c r="G3292" s="6">
        <v>0.448</v>
      </c>
    </row>
    <row r="3293" spans="1:7">
      <c r="A3293" s="6" t="s">
        <v>323</v>
      </c>
      <c r="B3293" s="6" t="s">
        <v>55</v>
      </c>
      <c r="C3293" s="6" t="s">
        <v>188</v>
      </c>
      <c r="D3293" s="6" t="s">
        <v>88</v>
      </c>
      <c r="E3293" s="6" t="s">
        <v>88</v>
      </c>
      <c r="F3293" s="6" t="b">
        <v>0</v>
      </c>
      <c r="G3293" s="6">
        <v>2.376083333333333</v>
      </c>
    </row>
    <row r="3294" spans="1:7">
      <c r="A3294" s="6" t="s">
        <v>323</v>
      </c>
      <c r="B3294" s="6" t="s">
        <v>55</v>
      </c>
      <c r="C3294" s="6" t="s">
        <v>189</v>
      </c>
      <c r="D3294" s="6" t="s">
        <v>86</v>
      </c>
      <c r="E3294" s="6" t="s">
        <v>86</v>
      </c>
      <c r="F3294" s="6" t="b">
        <v>0</v>
      </c>
      <c r="G3294" s="6">
        <v>3.718</v>
      </c>
    </row>
    <row r="3295" spans="1:7">
      <c r="A3295" s="6" t="s">
        <v>323</v>
      </c>
      <c r="B3295" s="6" t="s">
        <v>55</v>
      </c>
      <c r="C3295" s="6" t="s">
        <v>189</v>
      </c>
      <c r="D3295" s="6" t="s">
        <v>88</v>
      </c>
      <c r="E3295" s="6" t="s">
        <v>88</v>
      </c>
      <c r="F3295" s="6" t="b">
        <v>0</v>
      </c>
      <c r="G3295" s="6">
        <v>1.9435</v>
      </c>
    </row>
    <row r="3296" spans="1:7">
      <c r="A3296" s="6" t="s">
        <v>323</v>
      </c>
      <c r="B3296" s="6" t="s">
        <v>55</v>
      </c>
      <c r="C3296" s="6" t="s">
        <v>189</v>
      </c>
      <c r="D3296" s="6" t="s">
        <v>90</v>
      </c>
      <c r="E3296" s="6" t="s">
        <v>90</v>
      </c>
      <c r="F3296" s="6" t="b">
        <v>0</v>
      </c>
      <c r="G3296" s="6">
        <v>1.13675</v>
      </c>
    </row>
    <row r="3297" spans="1:7">
      <c r="A3297" s="6" t="s">
        <v>323</v>
      </c>
      <c r="B3297" s="6" t="s">
        <v>55</v>
      </c>
      <c r="C3297" s="6" t="s">
        <v>190</v>
      </c>
      <c r="D3297" s="6" t="s">
        <v>44</v>
      </c>
      <c r="E3297" s="6" t="s">
        <v>44</v>
      </c>
      <c r="F3297" s="6" t="b">
        <v>0</v>
      </c>
      <c r="G3297" s="6">
        <v>34.93008333333334</v>
      </c>
    </row>
    <row r="3298" spans="1:7">
      <c r="A3298" s="6" t="s">
        <v>323</v>
      </c>
      <c r="B3298" s="6" t="s">
        <v>55</v>
      </c>
      <c r="C3298" s="6" t="s">
        <v>190</v>
      </c>
      <c r="D3298" s="6" t="s">
        <v>86</v>
      </c>
      <c r="E3298" s="6" t="s">
        <v>44</v>
      </c>
      <c r="F3298" s="6" t="b">
        <v>0</v>
      </c>
      <c r="G3298" s="6">
        <v>1.226583333333333</v>
      </c>
    </row>
    <row r="3299" spans="1:7">
      <c r="A3299" s="6" t="s">
        <v>323</v>
      </c>
      <c r="B3299" s="6" t="s">
        <v>55</v>
      </c>
      <c r="C3299" s="6" t="s">
        <v>190</v>
      </c>
      <c r="D3299" s="6" t="s">
        <v>86</v>
      </c>
      <c r="E3299" s="6" t="s">
        <v>86</v>
      </c>
      <c r="F3299" s="6" t="b">
        <v>0</v>
      </c>
      <c r="G3299" s="6">
        <v>0.2355</v>
      </c>
    </row>
    <row r="3300" spans="1:7">
      <c r="A3300" s="6" t="s">
        <v>323</v>
      </c>
      <c r="B3300" s="6" t="s">
        <v>55</v>
      </c>
      <c r="C3300" s="6" t="s">
        <v>190</v>
      </c>
      <c r="D3300" s="6" t="s">
        <v>90</v>
      </c>
      <c r="E3300" s="6" t="s">
        <v>44</v>
      </c>
      <c r="F3300" s="6" t="b">
        <v>0</v>
      </c>
      <c r="G3300" s="6">
        <v>3.813</v>
      </c>
    </row>
    <row r="3301" spans="1:7">
      <c r="A3301" s="6" t="s">
        <v>323</v>
      </c>
      <c r="B3301" s="6" t="s">
        <v>55</v>
      </c>
      <c r="C3301" s="6" t="s">
        <v>190</v>
      </c>
      <c r="D3301" s="6" t="s">
        <v>90</v>
      </c>
      <c r="E3301" s="6" t="s">
        <v>90</v>
      </c>
      <c r="F3301" s="6" t="b">
        <v>0</v>
      </c>
      <c r="G3301" s="6">
        <v>6.192</v>
      </c>
    </row>
    <row r="3302" spans="1:7">
      <c r="A3302" s="6" t="s">
        <v>323</v>
      </c>
      <c r="B3302" s="6" t="s">
        <v>55</v>
      </c>
      <c r="C3302" s="6" t="s">
        <v>190</v>
      </c>
      <c r="D3302" s="6" t="s">
        <v>177</v>
      </c>
      <c r="E3302" s="6" t="s">
        <v>44</v>
      </c>
      <c r="F3302" s="6" t="b">
        <v>0</v>
      </c>
      <c r="G3302" s="6">
        <v>37.37366666666667</v>
      </c>
    </row>
    <row r="3303" spans="1:7">
      <c r="A3303" s="6" t="s">
        <v>323</v>
      </c>
      <c r="B3303" s="6" t="s">
        <v>55</v>
      </c>
      <c r="C3303" s="6" t="s">
        <v>190</v>
      </c>
      <c r="D3303" s="6" t="s">
        <v>177</v>
      </c>
      <c r="E3303" s="6" t="s">
        <v>86</v>
      </c>
      <c r="F3303" s="6" t="b">
        <v>0</v>
      </c>
      <c r="G3303" s="6">
        <v>0.664</v>
      </c>
    </row>
    <row r="3304" spans="1:7">
      <c r="A3304" s="6" t="s">
        <v>323</v>
      </c>
      <c r="B3304" s="6" t="s">
        <v>55</v>
      </c>
      <c r="C3304" s="6" t="s">
        <v>190</v>
      </c>
      <c r="D3304" s="6" t="s">
        <v>92</v>
      </c>
      <c r="E3304" s="6" t="s">
        <v>92</v>
      </c>
      <c r="F3304" s="6" t="b">
        <v>0</v>
      </c>
      <c r="G3304" s="6">
        <v>0.7031666666666667</v>
      </c>
    </row>
    <row r="3305" spans="1:7">
      <c r="A3305" s="6" t="s">
        <v>324</v>
      </c>
      <c r="B3305" s="6" t="s">
        <v>51</v>
      </c>
      <c r="C3305" s="6" t="s">
        <v>181</v>
      </c>
      <c r="D3305" s="6" t="s">
        <v>88</v>
      </c>
      <c r="E3305" s="6" t="s">
        <v>88</v>
      </c>
      <c r="F3305" s="6" t="b">
        <v>0</v>
      </c>
      <c r="G3305" s="6">
        <v>16.4105</v>
      </c>
    </row>
    <row r="3306" spans="1:7">
      <c r="A3306" s="6" t="s">
        <v>324</v>
      </c>
      <c r="B3306" s="6" t="s">
        <v>51</v>
      </c>
      <c r="C3306" s="6" t="s">
        <v>181</v>
      </c>
      <c r="D3306" s="6" t="s">
        <v>90</v>
      </c>
      <c r="E3306" s="6" t="s">
        <v>90</v>
      </c>
      <c r="F3306" s="6" t="b">
        <v>0</v>
      </c>
      <c r="G3306" s="6">
        <v>0.03391666666666667</v>
      </c>
    </row>
    <row r="3307" spans="1:7">
      <c r="A3307" s="6" t="s">
        <v>324</v>
      </c>
      <c r="B3307" s="6" t="s">
        <v>51</v>
      </c>
      <c r="C3307" s="6" t="s">
        <v>182</v>
      </c>
      <c r="D3307" s="6" t="s">
        <v>88</v>
      </c>
      <c r="E3307" s="6" t="s">
        <v>88</v>
      </c>
      <c r="F3307" s="6" t="b">
        <v>0</v>
      </c>
      <c r="G3307" s="6">
        <v>0.531</v>
      </c>
    </row>
    <row r="3308" spans="1:7">
      <c r="A3308" s="6" t="s">
        <v>324</v>
      </c>
      <c r="B3308" s="6" t="s">
        <v>51</v>
      </c>
      <c r="C3308" s="6" t="s">
        <v>183</v>
      </c>
      <c r="D3308" s="6" t="s">
        <v>86</v>
      </c>
      <c r="E3308" s="6" t="s">
        <v>86</v>
      </c>
      <c r="F3308" s="6" t="b">
        <v>0</v>
      </c>
      <c r="G3308" s="6">
        <v>0.01408333333333333</v>
      </c>
    </row>
    <row r="3309" spans="1:7">
      <c r="A3309" s="6" t="s">
        <v>324</v>
      </c>
      <c r="B3309" s="6" t="s">
        <v>51</v>
      </c>
      <c r="C3309" s="6" t="s">
        <v>183</v>
      </c>
      <c r="D3309" s="6" t="s">
        <v>88</v>
      </c>
      <c r="E3309" s="6" t="s">
        <v>88</v>
      </c>
      <c r="F3309" s="6" t="b">
        <v>0</v>
      </c>
      <c r="G3309" s="6">
        <v>0.30575</v>
      </c>
    </row>
    <row r="3310" spans="1:7">
      <c r="A3310" s="6" t="s">
        <v>324</v>
      </c>
      <c r="B3310" s="6" t="s">
        <v>51</v>
      </c>
      <c r="C3310" s="6" t="s">
        <v>183</v>
      </c>
      <c r="D3310" s="6" t="s">
        <v>90</v>
      </c>
      <c r="E3310" s="6" t="s">
        <v>86</v>
      </c>
      <c r="F3310" s="6" t="b">
        <v>0</v>
      </c>
      <c r="G3310" s="6">
        <v>0.3240833333333333</v>
      </c>
    </row>
    <row r="3311" spans="1:7">
      <c r="A3311" s="6" t="s">
        <v>324</v>
      </c>
      <c r="B3311" s="6" t="s">
        <v>51</v>
      </c>
      <c r="C3311" s="6" t="s">
        <v>183</v>
      </c>
      <c r="D3311" s="6" t="s">
        <v>90</v>
      </c>
      <c r="E3311" s="6" t="s">
        <v>90</v>
      </c>
      <c r="F3311" s="6" t="b">
        <v>0</v>
      </c>
      <c r="G3311" s="6">
        <v>0.2575833333333333</v>
      </c>
    </row>
    <row r="3312" spans="1:7">
      <c r="A3312" s="6" t="s">
        <v>324</v>
      </c>
      <c r="B3312" s="6" t="s">
        <v>51</v>
      </c>
      <c r="C3312" s="6" t="s">
        <v>183</v>
      </c>
      <c r="D3312" s="6" t="s">
        <v>177</v>
      </c>
      <c r="E3312" s="6" t="s">
        <v>86</v>
      </c>
      <c r="F3312" s="6" t="b">
        <v>0</v>
      </c>
      <c r="G3312" s="6">
        <v>0.02383333333333333</v>
      </c>
    </row>
    <row r="3313" spans="1:7">
      <c r="A3313" s="6" t="s">
        <v>324</v>
      </c>
      <c r="B3313" s="6" t="s">
        <v>51</v>
      </c>
      <c r="C3313" s="6" t="s">
        <v>183</v>
      </c>
      <c r="D3313" s="6" t="s">
        <v>177</v>
      </c>
      <c r="E3313" s="6" t="s">
        <v>685</v>
      </c>
      <c r="F3313" s="6" t="b">
        <v>1</v>
      </c>
      <c r="G3313" s="6">
        <v>0.015</v>
      </c>
    </row>
    <row r="3314" spans="1:7">
      <c r="A3314" s="6" t="s">
        <v>324</v>
      </c>
      <c r="B3314" s="6" t="s">
        <v>51</v>
      </c>
      <c r="C3314" s="6" t="s">
        <v>184</v>
      </c>
      <c r="D3314" s="6" t="s">
        <v>44</v>
      </c>
      <c r="E3314" s="6" t="s">
        <v>44</v>
      </c>
      <c r="F3314" s="6" t="b">
        <v>0</v>
      </c>
      <c r="G3314" s="6">
        <v>225.8266666666667</v>
      </c>
    </row>
    <row r="3315" spans="1:7">
      <c r="A3315" s="6" t="s">
        <v>324</v>
      </c>
      <c r="B3315" s="6" t="s">
        <v>51</v>
      </c>
      <c r="C3315" s="6" t="s">
        <v>184</v>
      </c>
      <c r="D3315" s="6" t="s">
        <v>88</v>
      </c>
      <c r="E3315" s="6" t="s">
        <v>88</v>
      </c>
      <c r="F3315" s="6" t="b">
        <v>0</v>
      </c>
      <c r="G3315" s="6">
        <v>0.2805833333333334</v>
      </c>
    </row>
    <row r="3316" spans="1:7">
      <c r="A3316" s="6" t="s">
        <v>324</v>
      </c>
      <c r="B3316" s="6" t="s">
        <v>51</v>
      </c>
      <c r="C3316" s="6" t="s">
        <v>184</v>
      </c>
      <c r="D3316" s="6" t="s">
        <v>90</v>
      </c>
      <c r="E3316" s="6" t="s">
        <v>90</v>
      </c>
      <c r="F3316" s="6" t="b">
        <v>0</v>
      </c>
      <c r="G3316" s="6">
        <v>1.90225</v>
      </c>
    </row>
    <row r="3317" spans="1:7">
      <c r="A3317" s="6" t="s">
        <v>324</v>
      </c>
      <c r="B3317" s="6" t="s">
        <v>51</v>
      </c>
      <c r="C3317" s="6" t="s">
        <v>184</v>
      </c>
      <c r="D3317" s="6" t="s">
        <v>90</v>
      </c>
      <c r="E3317" s="6" t="s">
        <v>685</v>
      </c>
      <c r="F3317" s="6" t="b">
        <v>1</v>
      </c>
      <c r="G3317" s="6">
        <v>2.269916666666667</v>
      </c>
    </row>
    <row r="3318" spans="1:7">
      <c r="A3318" s="6" t="s">
        <v>324</v>
      </c>
      <c r="B3318" s="6" t="s">
        <v>51</v>
      </c>
      <c r="C3318" s="6" t="s">
        <v>184</v>
      </c>
      <c r="D3318" s="6" t="s">
        <v>177</v>
      </c>
      <c r="E3318" s="6" t="s">
        <v>44</v>
      </c>
      <c r="F3318" s="6" t="b">
        <v>0</v>
      </c>
      <c r="G3318" s="6">
        <v>89.3445</v>
      </c>
    </row>
    <row r="3319" spans="1:7">
      <c r="A3319" s="6" t="s">
        <v>324</v>
      </c>
      <c r="B3319" s="6" t="s">
        <v>51</v>
      </c>
      <c r="C3319" s="6" t="s">
        <v>184</v>
      </c>
      <c r="D3319" s="6" t="s">
        <v>177</v>
      </c>
      <c r="E3319" s="6" t="s">
        <v>86</v>
      </c>
      <c r="F3319" s="6" t="b">
        <v>0</v>
      </c>
      <c r="G3319" s="6">
        <v>0.6405</v>
      </c>
    </row>
    <row r="3320" spans="1:7">
      <c r="A3320" s="6" t="s">
        <v>324</v>
      </c>
      <c r="B3320" s="6" t="s">
        <v>51</v>
      </c>
      <c r="C3320" s="6" t="s">
        <v>184</v>
      </c>
      <c r="D3320" s="6" t="s">
        <v>177</v>
      </c>
      <c r="E3320" s="6" t="s">
        <v>685</v>
      </c>
      <c r="F3320" s="6" t="b">
        <v>1</v>
      </c>
      <c r="G3320" s="6">
        <v>5.690583333333334</v>
      </c>
    </row>
    <row r="3321" spans="1:7">
      <c r="A3321" s="6" t="s">
        <v>324</v>
      </c>
      <c r="B3321" s="6" t="s">
        <v>51</v>
      </c>
      <c r="C3321" s="6" t="s">
        <v>185</v>
      </c>
      <c r="D3321" s="6" t="s">
        <v>44</v>
      </c>
      <c r="E3321" s="6" t="s">
        <v>685</v>
      </c>
      <c r="F3321" s="6" t="b">
        <v>1</v>
      </c>
      <c r="G3321" s="6">
        <v>865.00175</v>
      </c>
    </row>
    <row r="3322" spans="1:7">
      <c r="A3322" s="6" t="s">
        <v>324</v>
      </c>
      <c r="B3322" s="6" t="s">
        <v>51</v>
      </c>
      <c r="C3322" s="6" t="s">
        <v>186</v>
      </c>
      <c r="D3322" s="6" t="s">
        <v>86</v>
      </c>
      <c r="E3322" s="6" t="s">
        <v>86</v>
      </c>
      <c r="F3322" s="6" t="b">
        <v>0</v>
      </c>
      <c r="G3322" s="6">
        <v>76.48891666666667</v>
      </c>
    </row>
    <row r="3323" spans="1:7">
      <c r="A3323" s="6" t="s">
        <v>324</v>
      </c>
      <c r="B3323" s="6" t="s">
        <v>51</v>
      </c>
      <c r="C3323" s="6" t="s">
        <v>186</v>
      </c>
      <c r="D3323" s="6" t="s">
        <v>88</v>
      </c>
      <c r="E3323" s="6" t="s">
        <v>88</v>
      </c>
      <c r="F3323" s="6" t="b">
        <v>0</v>
      </c>
      <c r="G3323" s="6">
        <v>4.180083333333333</v>
      </c>
    </row>
    <row r="3324" spans="1:7">
      <c r="A3324" s="6" t="s">
        <v>324</v>
      </c>
      <c r="B3324" s="6" t="s">
        <v>51</v>
      </c>
      <c r="C3324" s="6" t="s">
        <v>186</v>
      </c>
      <c r="D3324" s="6" t="s">
        <v>90</v>
      </c>
      <c r="E3324" s="6" t="s">
        <v>86</v>
      </c>
      <c r="F3324" s="6" t="b">
        <v>0</v>
      </c>
      <c r="G3324" s="6">
        <v>0.004249999999999999</v>
      </c>
    </row>
    <row r="3325" spans="1:7">
      <c r="A3325" s="6" t="s">
        <v>324</v>
      </c>
      <c r="B3325" s="6" t="s">
        <v>51</v>
      </c>
      <c r="C3325" s="6" t="s">
        <v>186</v>
      </c>
      <c r="D3325" s="6" t="s">
        <v>90</v>
      </c>
      <c r="E3325" s="6" t="s">
        <v>90</v>
      </c>
      <c r="F3325" s="6" t="b">
        <v>0</v>
      </c>
      <c r="G3325" s="6">
        <v>19.49008333333333</v>
      </c>
    </row>
    <row r="3326" spans="1:7">
      <c r="A3326" s="6" t="s">
        <v>324</v>
      </c>
      <c r="B3326" s="6" t="s">
        <v>51</v>
      </c>
      <c r="C3326" s="6" t="s">
        <v>186</v>
      </c>
      <c r="D3326" s="6" t="s">
        <v>177</v>
      </c>
      <c r="E3326" s="6" t="s">
        <v>86</v>
      </c>
      <c r="F3326" s="6" t="b">
        <v>0</v>
      </c>
      <c r="G3326" s="6">
        <v>0.4204166666666667</v>
      </c>
    </row>
    <row r="3327" spans="1:7">
      <c r="A3327" s="6" t="s">
        <v>324</v>
      </c>
      <c r="B3327" s="6" t="s">
        <v>51</v>
      </c>
      <c r="C3327" s="6" t="s">
        <v>187</v>
      </c>
      <c r="D3327" s="6" t="s">
        <v>86</v>
      </c>
      <c r="E3327" s="6" t="s">
        <v>86</v>
      </c>
      <c r="F3327" s="6" t="b">
        <v>0</v>
      </c>
      <c r="G3327" s="6">
        <v>26.60775</v>
      </c>
    </row>
    <row r="3328" spans="1:7">
      <c r="A3328" s="6" t="s">
        <v>324</v>
      </c>
      <c r="B3328" s="6" t="s">
        <v>51</v>
      </c>
      <c r="C3328" s="6" t="s">
        <v>187</v>
      </c>
      <c r="D3328" s="6" t="s">
        <v>88</v>
      </c>
      <c r="E3328" s="6" t="s">
        <v>88</v>
      </c>
      <c r="F3328" s="6" t="b">
        <v>0</v>
      </c>
      <c r="G3328" s="6">
        <v>78.59483333333334</v>
      </c>
    </row>
    <row r="3329" spans="1:7">
      <c r="A3329" s="6" t="s">
        <v>324</v>
      </c>
      <c r="B3329" s="6" t="s">
        <v>51</v>
      </c>
      <c r="C3329" s="6" t="s">
        <v>188</v>
      </c>
      <c r="D3329" s="6" t="s">
        <v>86</v>
      </c>
      <c r="E3329" s="6" t="s">
        <v>86</v>
      </c>
      <c r="F3329" s="6" t="b">
        <v>0</v>
      </c>
      <c r="G3329" s="6">
        <v>23.699</v>
      </c>
    </row>
    <row r="3330" spans="1:7">
      <c r="A3330" s="6" t="s">
        <v>324</v>
      </c>
      <c r="B3330" s="6" t="s">
        <v>51</v>
      </c>
      <c r="C3330" s="6" t="s">
        <v>188</v>
      </c>
      <c r="D3330" s="6" t="s">
        <v>88</v>
      </c>
      <c r="E3330" s="6" t="s">
        <v>88</v>
      </c>
      <c r="F3330" s="6" t="b">
        <v>0</v>
      </c>
      <c r="G3330" s="6">
        <v>129.34375</v>
      </c>
    </row>
    <row r="3331" spans="1:7">
      <c r="A3331" s="6" t="s">
        <v>324</v>
      </c>
      <c r="B3331" s="6" t="s">
        <v>51</v>
      </c>
      <c r="C3331" s="6" t="s">
        <v>189</v>
      </c>
      <c r="D3331" s="6" t="s">
        <v>86</v>
      </c>
      <c r="E3331" s="6" t="s">
        <v>86</v>
      </c>
      <c r="F3331" s="6" t="b">
        <v>0</v>
      </c>
      <c r="G3331" s="6">
        <v>4.965833333333333</v>
      </c>
    </row>
    <row r="3332" spans="1:7">
      <c r="A3332" s="6" t="s">
        <v>324</v>
      </c>
      <c r="B3332" s="6" t="s">
        <v>51</v>
      </c>
      <c r="C3332" s="6" t="s">
        <v>189</v>
      </c>
      <c r="D3332" s="6" t="s">
        <v>88</v>
      </c>
      <c r="E3332" s="6" t="s">
        <v>88</v>
      </c>
      <c r="F3332" s="6" t="b">
        <v>0</v>
      </c>
      <c r="G3332" s="6">
        <v>7.598416666666666</v>
      </c>
    </row>
    <row r="3333" spans="1:7">
      <c r="A3333" s="6" t="s">
        <v>324</v>
      </c>
      <c r="B3333" s="6" t="s">
        <v>51</v>
      </c>
      <c r="C3333" s="6" t="s">
        <v>189</v>
      </c>
      <c r="D3333" s="6" t="s">
        <v>90</v>
      </c>
      <c r="E3333" s="6" t="s">
        <v>90</v>
      </c>
      <c r="F3333" s="6" t="b">
        <v>0</v>
      </c>
      <c r="G3333" s="6">
        <v>0.9873333333333333</v>
      </c>
    </row>
    <row r="3334" spans="1:7">
      <c r="A3334" s="6" t="s">
        <v>324</v>
      </c>
      <c r="B3334" s="6" t="s">
        <v>51</v>
      </c>
      <c r="C3334" s="6" t="s">
        <v>190</v>
      </c>
      <c r="D3334" s="6" t="s">
        <v>44</v>
      </c>
      <c r="E3334" s="6" t="s">
        <v>44</v>
      </c>
      <c r="F3334" s="6" t="b">
        <v>0</v>
      </c>
      <c r="G3334" s="6">
        <v>61.81958333333333</v>
      </c>
    </row>
    <row r="3335" spans="1:7">
      <c r="A3335" s="6" t="s">
        <v>324</v>
      </c>
      <c r="B3335" s="6" t="s">
        <v>51</v>
      </c>
      <c r="C3335" s="6" t="s">
        <v>190</v>
      </c>
      <c r="D3335" s="6" t="s">
        <v>86</v>
      </c>
      <c r="E3335" s="6" t="s">
        <v>44</v>
      </c>
      <c r="F3335" s="6" t="b">
        <v>0</v>
      </c>
      <c r="G3335" s="6">
        <v>0.9122499999999999</v>
      </c>
    </row>
    <row r="3336" spans="1:7">
      <c r="A3336" s="6" t="s">
        <v>324</v>
      </c>
      <c r="B3336" s="6" t="s">
        <v>51</v>
      </c>
      <c r="C3336" s="6" t="s">
        <v>190</v>
      </c>
      <c r="D3336" s="6" t="s">
        <v>86</v>
      </c>
      <c r="E3336" s="6" t="s">
        <v>86</v>
      </c>
      <c r="F3336" s="6" t="b">
        <v>0</v>
      </c>
      <c r="G3336" s="6">
        <v>0.05766666666666666</v>
      </c>
    </row>
    <row r="3337" spans="1:7">
      <c r="A3337" s="6" t="s">
        <v>324</v>
      </c>
      <c r="B3337" s="6" t="s">
        <v>51</v>
      </c>
      <c r="C3337" s="6" t="s">
        <v>190</v>
      </c>
      <c r="D3337" s="6" t="s">
        <v>90</v>
      </c>
      <c r="E3337" s="6" t="s">
        <v>44</v>
      </c>
      <c r="F3337" s="6" t="b">
        <v>0</v>
      </c>
      <c r="G3337" s="6">
        <v>0.2801666666666667</v>
      </c>
    </row>
    <row r="3338" spans="1:7">
      <c r="A3338" s="6" t="s">
        <v>324</v>
      </c>
      <c r="B3338" s="6" t="s">
        <v>51</v>
      </c>
      <c r="C3338" s="6" t="s">
        <v>190</v>
      </c>
      <c r="D3338" s="6" t="s">
        <v>90</v>
      </c>
      <c r="E3338" s="6" t="s">
        <v>90</v>
      </c>
      <c r="F3338" s="6" t="b">
        <v>0</v>
      </c>
      <c r="G3338" s="6">
        <v>3.368</v>
      </c>
    </row>
    <row r="3339" spans="1:7">
      <c r="A3339" s="6" t="s">
        <v>324</v>
      </c>
      <c r="B3339" s="6" t="s">
        <v>51</v>
      </c>
      <c r="C3339" s="6" t="s">
        <v>190</v>
      </c>
      <c r="D3339" s="6" t="s">
        <v>177</v>
      </c>
      <c r="E3339" s="6" t="s">
        <v>44</v>
      </c>
      <c r="F3339" s="6" t="b">
        <v>0</v>
      </c>
      <c r="G3339" s="6">
        <v>13.186</v>
      </c>
    </row>
    <row r="3340" spans="1:7">
      <c r="A3340" s="6" t="s">
        <v>324</v>
      </c>
      <c r="B3340" s="6" t="s">
        <v>51</v>
      </c>
      <c r="C3340" s="6" t="s">
        <v>190</v>
      </c>
      <c r="D3340" s="6" t="s">
        <v>177</v>
      </c>
      <c r="E3340" s="6" t="s">
        <v>86</v>
      </c>
      <c r="F3340" s="6" t="b">
        <v>0</v>
      </c>
      <c r="G3340" s="6">
        <v>1.556</v>
      </c>
    </row>
    <row r="3341" spans="1:7">
      <c r="A3341" s="6" t="s">
        <v>324</v>
      </c>
      <c r="B3341" s="6" t="s">
        <v>51</v>
      </c>
      <c r="C3341" s="6" t="s">
        <v>190</v>
      </c>
      <c r="D3341" s="6" t="s">
        <v>177</v>
      </c>
      <c r="E3341" s="6" t="s">
        <v>685</v>
      </c>
      <c r="F3341" s="6" t="b">
        <v>1</v>
      </c>
      <c r="G3341" s="6">
        <v>0.8245</v>
      </c>
    </row>
    <row r="3342" spans="1:7">
      <c r="A3342" s="6" t="s">
        <v>324</v>
      </c>
      <c r="B3342" s="6" t="s">
        <v>51</v>
      </c>
      <c r="C3342" s="6" t="s">
        <v>190</v>
      </c>
      <c r="D3342" s="6" t="s">
        <v>92</v>
      </c>
      <c r="E3342" s="6" t="s">
        <v>92</v>
      </c>
      <c r="F3342" s="6" t="b">
        <v>0</v>
      </c>
      <c r="G3342" s="6">
        <v>0.2281666666666667</v>
      </c>
    </row>
    <row r="3343" spans="1:7">
      <c r="A3343" s="6" t="s">
        <v>372</v>
      </c>
      <c r="B3343" s="6" t="s">
        <v>55</v>
      </c>
      <c r="C3343" s="6" t="s">
        <v>181</v>
      </c>
      <c r="D3343" s="6" t="s">
        <v>88</v>
      </c>
      <c r="E3343" s="6" t="s">
        <v>88</v>
      </c>
      <c r="F3343" s="6" t="b">
        <v>0</v>
      </c>
      <c r="G3343" s="6">
        <v>1.6145</v>
      </c>
    </row>
    <row r="3344" spans="1:7">
      <c r="A3344" s="6" t="s">
        <v>372</v>
      </c>
      <c r="B3344" s="6" t="s">
        <v>55</v>
      </c>
      <c r="C3344" s="6" t="s">
        <v>183</v>
      </c>
      <c r="D3344" s="6" t="s">
        <v>86</v>
      </c>
      <c r="E3344" s="6" t="s">
        <v>86</v>
      </c>
      <c r="F3344" s="6" t="b">
        <v>0</v>
      </c>
      <c r="G3344" s="6">
        <v>0.0015</v>
      </c>
    </row>
    <row r="3345" spans="1:7">
      <c r="A3345" s="6" t="s">
        <v>372</v>
      </c>
      <c r="B3345" s="6" t="s">
        <v>55</v>
      </c>
      <c r="C3345" s="6" t="s">
        <v>183</v>
      </c>
      <c r="D3345" s="6" t="s">
        <v>88</v>
      </c>
      <c r="E3345" s="6" t="s">
        <v>88</v>
      </c>
      <c r="F3345" s="6" t="b">
        <v>0</v>
      </c>
      <c r="G3345" s="6">
        <v>0.009166666666666665</v>
      </c>
    </row>
    <row r="3346" spans="1:7">
      <c r="A3346" s="6" t="s">
        <v>372</v>
      </c>
      <c r="B3346" s="6" t="s">
        <v>55</v>
      </c>
      <c r="C3346" s="6" t="s">
        <v>184</v>
      </c>
      <c r="D3346" s="6" t="s">
        <v>44</v>
      </c>
      <c r="E3346" s="6" t="s">
        <v>44</v>
      </c>
      <c r="F3346" s="6" t="b">
        <v>0</v>
      </c>
      <c r="G3346" s="6">
        <v>1.8465</v>
      </c>
    </row>
    <row r="3347" spans="1:7">
      <c r="A3347" s="6" t="s">
        <v>372</v>
      </c>
      <c r="B3347" s="6" t="s">
        <v>55</v>
      </c>
      <c r="C3347" s="6" t="s">
        <v>184</v>
      </c>
      <c r="D3347" s="6" t="s">
        <v>90</v>
      </c>
      <c r="E3347" s="6" t="s">
        <v>90</v>
      </c>
      <c r="F3347" s="6" t="b">
        <v>0</v>
      </c>
      <c r="G3347" s="6">
        <v>0.007</v>
      </c>
    </row>
    <row r="3348" spans="1:7">
      <c r="A3348" s="6" t="s">
        <v>372</v>
      </c>
      <c r="B3348" s="6" t="s">
        <v>55</v>
      </c>
      <c r="C3348" s="6" t="s">
        <v>184</v>
      </c>
      <c r="D3348" s="6" t="s">
        <v>90</v>
      </c>
      <c r="E3348" s="6" t="s">
        <v>685</v>
      </c>
      <c r="F3348" s="6" t="b">
        <v>1</v>
      </c>
      <c r="G3348" s="6">
        <v>0.0285</v>
      </c>
    </row>
    <row r="3349" spans="1:7">
      <c r="A3349" s="6" t="s">
        <v>372</v>
      </c>
      <c r="B3349" s="6" t="s">
        <v>55</v>
      </c>
      <c r="C3349" s="6" t="s">
        <v>184</v>
      </c>
      <c r="D3349" s="6" t="s">
        <v>177</v>
      </c>
      <c r="E3349" s="6" t="s">
        <v>44</v>
      </c>
      <c r="F3349" s="6" t="b">
        <v>0</v>
      </c>
      <c r="G3349" s="6">
        <v>3.754666666666667</v>
      </c>
    </row>
    <row r="3350" spans="1:7">
      <c r="A3350" s="6" t="s">
        <v>372</v>
      </c>
      <c r="B3350" s="6" t="s">
        <v>55</v>
      </c>
      <c r="C3350" s="6" t="s">
        <v>184</v>
      </c>
      <c r="D3350" s="6" t="s">
        <v>177</v>
      </c>
      <c r="E3350" s="6" t="s">
        <v>685</v>
      </c>
      <c r="F3350" s="6" t="b">
        <v>1</v>
      </c>
      <c r="G3350" s="6">
        <v>0.03983333333333333</v>
      </c>
    </row>
    <row r="3351" spans="1:7">
      <c r="A3351" s="6" t="s">
        <v>372</v>
      </c>
      <c r="B3351" s="6" t="s">
        <v>55</v>
      </c>
      <c r="C3351" s="6" t="s">
        <v>186</v>
      </c>
      <c r="D3351" s="6" t="s">
        <v>86</v>
      </c>
      <c r="E3351" s="6" t="s">
        <v>86</v>
      </c>
      <c r="F3351" s="6" t="b">
        <v>0</v>
      </c>
      <c r="G3351" s="6">
        <v>0.6025</v>
      </c>
    </row>
    <row r="3352" spans="1:7">
      <c r="A3352" s="6" t="s">
        <v>372</v>
      </c>
      <c r="B3352" s="6" t="s">
        <v>55</v>
      </c>
      <c r="C3352" s="6" t="s">
        <v>186</v>
      </c>
      <c r="D3352" s="6" t="s">
        <v>88</v>
      </c>
      <c r="E3352" s="6" t="s">
        <v>88</v>
      </c>
      <c r="F3352" s="6" t="b">
        <v>0</v>
      </c>
      <c r="G3352" s="6">
        <v>0.01675</v>
      </c>
    </row>
    <row r="3353" spans="1:7">
      <c r="A3353" s="6" t="s">
        <v>372</v>
      </c>
      <c r="B3353" s="6" t="s">
        <v>55</v>
      </c>
      <c r="C3353" s="6" t="s">
        <v>186</v>
      </c>
      <c r="D3353" s="6" t="s">
        <v>90</v>
      </c>
      <c r="E3353" s="6" t="s">
        <v>90</v>
      </c>
      <c r="F3353" s="6" t="b">
        <v>0</v>
      </c>
      <c r="G3353" s="6">
        <v>2.01925</v>
      </c>
    </row>
    <row r="3354" spans="1:7">
      <c r="A3354" s="6" t="s">
        <v>372</v>
      </c>
      <c r="B3354" s="6" t="s">
        <v>55</v>
      </c>
      <c r="C3354" s="6" t="s">
        <v>186</v>
      </c>
      <c r="D3354" s="6" t="s">
        <v>177</v>
      </c>
      <c r="E3354" s="6" t="s">
        <v>86</v>
      </c>
      <c r="F3354" s="6" t="b">
        <v>0</v>
      </c>
      <c r="G3354" s="6">
        <v>0.03266666666666667</v>
      </c>
    </row>
    <row r="3355" spans="1:7">
      <c r="A3355" s="6" t="s">
        <v>372</v>
      </c>
      <c r="B3355" s="6" t="s">
        <v>55</v>
      </c>
      <c r="C3355" s="6" t="s">
        <v>189</v>
      </c>
      <c r="D3355" s="6" t="s">
        <v>86</v>
      </c>
      <c r="E3355" s="6" t="s">
        <v>86</v>
      </c>
      <c r="F3355" s="6" t="b">
        <v>0</v>
      </c>
      <c r="G3355" s="6">
        <v>0.06533333333333334</v>
      </c>
    </row>
    <row r="3356" spans="1:7">
      <c r="A3356" s="6" t="s">
        <v>372</v>
      </c>
      <c r="B3356" s="6" t="s">
        <v>55</v>
      </c>
      <c r="C3356" s="6" t="s">
        <v>189</v>
      </c>
      <c r="D3356" s="6" t="s">
        <v>88</v>
      </c>
      <c r="E3356" s="6" t="s">
        <v>88</v>
      </c>
      <c r="F3356" s="6" t="b">
        <v>0</v>
      </c>
      <c r="G3356" s="6">
        <v>0.1210833333333333</v>
      </c>
    </row>
    <row r="3357" spans="1:7">
      <c r="A3357" s="6" t="s">
        <v>325</v>
      </c>
      <c r="B3357" s="6" t="s">
        <v>53</v>
      </c>
      <c r="C3357" s="6" t="s">
        <v>181</v>
      </c>
      <c r="D3357" s="6" t="s">
        <v>88</v>
      </c>
      <c r="E3357" s="6" t="s">
        <v>88</v>
      </c>
      <c r="F3357" s="6" t="b">
        <v>0</v>
      </c>
      <c r="G3357" s="6">
        <v>0.4571666666666667</v>
      </c>
    </row>
    <row r="3358" spans="1:7">
      <c r="A3358" s="6" t="s">
        <v>325</v>
      </c>
      <c r="B3358" s="6" t="s">
        <v>53</v>
      </c>
      <c r="C3358" s="6" t="s">
        <v>181</v>
      </c>
      <c r="D3358" s="6" t="s">
        <v>90</v>
      </c>
      <c r="E3358" s="6" t="s">
        <v>90</v>
      </c>
      <c r="F3358" s="6" t="b">
        <v>0</v>
      </c>
      <c r="G3358" s="6">
        <v>0.022</v>
      </c>
    </row>
    <row r="3359" spans="1:7">
      <c r="A3359" s="6" t="s">
        <v>325</v>
      </c>
      <c r="B3359" s="6" t="s">
        <v>53</v>
      </c>
      <c r="C3359" s="6" t="s">
        <v>183</v>
      </c>
      <c r="D3359" s="6" t="s">
        <v>88</v>
      </c>
      <c r="E3359" s="6" t="s">
        <v>88</v>
      </c>
      <c r="F3359" s="6" t="b">
        <v>0</v>
      </c>
      <c r="G3359" s="6">
        <v>0.002916666666666667</v>
      </c>
    </row>
    <row r="3360" spans="1:7">
      <c r="A3360" s="6" t="s">
        <v>325</v>
      </c>
      <c r="B3360" s="6" t="s">
        <v>53</v>
      </c>
      <c r="C3360" s="6" t="s">
        <v>183</v>
      </c>
      <c r="D3360" s="6" t="s">
        <v>90</v>
      </c>
      <c r="E3360" s="6" t="s">
        <v>86</v>
      </c>
      <c r="F3360" s="6" t="b">
        <v>0</v>
      </c>
      <c r="G3360" s="6">
        <v>0.001833333333333333</v>
      </c>
    </row>
    <row r="3361" spans="1:7">
      <c r="A3361" s="6" t="s">
        <v>325</v>
      </c>
      <c r="B3361" s="6" t="s">
        <v>53</v>
      </c>
      <c r="C3361" s="6" t="s">
        <v>183</v>
      </c>
      <c r="D3361" s="6" t="s">
        <v>90</v>
      </c>
      <c r="E3361" s="6" t="s">
        <v>90</v>
      </c>
      <c r="F3361" s="6" t="b">
        <v>0</v>
      </c>
      <c r="G3361" s="6">
        <v>0.01408333333333333</v>
      </c>
    </row>
    <row r="3362" spans="1:7">
      <c r="A3362" s="6" t="s">
        <v>325</v>
      </c>
      <c r="B3362" s="6" t="s">
        <v>53</v>
      </c>
      <c r="C3362" s="6" t="s">
        <v>184</v>
      </c>
      <c r="D3362" s="6" t="s">
        <v>44</v>
      </c>
      <c r="E3362" s="6" t="s">
        <v>44</v>
      </c>
      <c r="F3362" s="6" t="b">
        <v>0</v>
      </c>
      <c r="G3362" s="6">
        <v>1.497166666666667</v>
      </c>
    </row>
    <row r="3363" spans="1:7">
      <c r="A3363" s="6" t="s">
        <v>325</v>
      </c>
      <c r="B3363" s="6" t="s">
        <v>53</v>
      </c>
      <c r="C3363" s="6" t="s">
        <v>184</v>
      </c>
      <c r="D3363" s="6" t="s">
        <v>88</v>
      </c>
      <c r="E3363" s="6" t="s">
        <v>88</v>
      </c>
      <c r="F3363" s="6" t="b">
        <v>0</v>
      </c>
      <c r="G3363" s="6">
        <v>0.01533333333333333</v>
      </c>
    </row>
    <row r="3364" spans="1:7">
      <c r="A3364" s="6" t="s">
        <v>325</v>
      </c>
      <c r="B3364" s="6" t="s">
        <v>53</v>
      </c>
      <c r="C3364" s="6" t="s">
        <v>184</v>
      </c>
      <c r="D3364" s="6" t="s">
        <v>90</v>
      </c>
      <c r="E3364" s="6" t="s">
        <v>90</v>
      </c>
      <c r="F3364" s="6" t="b">
        <v>0</v>
      </c>
      <c r="G3364" s="6">
        <v>0.009583333333333334</v>
      </c>
    </row>
    <row r="3365" spans="1:7">
      <c r="A3365" s="6" t="s">
        <v>325</v>
      </c>
      <c r="B3365" s="6" t="s">
        <v>53</v>
      </c>
      <c r="C3365" s="6" t="s">
        <v>184</v>
      </c>
      <c r="D3365" s="6" t="s">
        <v>90</v>
      </c>
      <c r="E3365" s="6" t="s">
        <v>685</v>
      </c>
      <c r="F3365" s="6" t="b">
        <v>1</v>
      </c>
      <c r="G3365" s="6">
        <v>0.002666666666666667</v>
      </c>
    </row>
    <row r="3366" spans="1:7">
      <c r="A3366" s="6" t="s">
        <v>325</v>
      </c>
      <c r="B3366" s="6" t="s">
        <v>53</v>
      </c>
      <c r="C3366" s="6" t="s">
        <v>184</v>
      </c>
      <c r="D3366" s="6" t="s">
        <v>177</v>
      </c>
      <c r="E3366" s="6" t="s">
        <v>44</v>
      </c>
      <c r="F3366" s="6" t="b">
        <v>0</v>
      </c>
      <c r="G3366" s="6">
        <v>1.30275</v>
      </c>
    </row>
    <row r="3367" spans="1:7">
      <c r="A3367" s="6" t="s">
        <v>325</v>
      </c>
      <c r="B3367" s="6" t="s">
        <v>53</v>
      </c>
      <c r="C3367" s="6" t="s">
        <v>184</v>
      </c>
      <c r="D3367" s="6" t="s">
        <v>177</v>
      </c>
      <c r="E3367" s="6" t="s">
        <v>86</v>
      </c>
      <c r="F3367" s="6" t="b">
        <v>0</v>
      </c>
      <c r="G3367" s="6">
        <v>0.004500000000000001</v>
      </c>
    </row>
    <row r="3368" spans="1:7">
      <c r="A3368" s="6" t="s">
        <v>325</v>
      </c>
      <c r="B3368" s="6" t="s">
        <v>53</v>
      </c>
      <c r="C3368" s="6" t="s">
        <v>184</v>
      </c>
      <c r="D3368" s="6" t="s">
        <v>177</v>
      </c>
      <c r="E3368" s="6" t="s">
        <v>685</v>
      </c>
      <c r="F3368" s="6" t="b">
        <v>1</v>
      </c>
      <c r="G3368" s="6">
        <v>0.1124166666666667</v>
      </c>
    </row>
    <row r="3369" spans="1:7">
      <c r="A3369" s="6" t="s">
        <v>325</v>
      </c>
      <c r="B3369" s="6" t="s">
        <v>53</v>
      </c>
      <c r="C3369" s="6" t="s">
        <v>186</v>
      </c>
      <c r="D3369" s="6" t="s">
        <v>86</v>
      </c>
      <c r="E3369" s="6" t="s">
        <v>86</v>
      </c>
      <c r="F3369" s="6" t="b">
        <v>0</v>
      </c>
      <c r="G3369" s="6">
        <v>0.3875</v>
      </c>
    </row>
    <row r="3370" spans="1:7">
      <c r="A3370" s="6" t="s">
        <v>325</v>
      </c>
      <c r="B3370" s="6" t="s">
        <v>53</v>
      </c>
      <c r="C3370" s="6" t="s">
        <v>186</v>
      </c>
      <c r="D3370" s="6" t="s">
        <v>88</v>
      </c>
      <c r="E3370" s="6" t="s">
        <v>88</v>
      </c>
      <c r="F3370" s="6" t="b">
        <v>0</v>
      </c>
      <c r="G3370" s="6">
        <v>0.03083333333333333</v>
      </c>
    </row>
    <row r="3371" spans="1:7">
      <c r="A3371" s="6" t="s">
        <v>325</v>
      </c>
      <c r="B3371" s="6" t="s">
        <v>53</v>
      </c>
      <c r="C3371" s="6" t="s">
        <v>186</v>
      </c>
      <c r="D3371" s="6" t="s">
        <v>90</v>
      </c>
      <c r="E3371" s="6" t="s">
        <v>90</v>
      </c>
      <c r="F3371" s="6" t="b">
        <v>0</v>
      </c>
      <c r="G3371" s="6">
        <v>0.3249166666666667</v>
      </c>
    </row>
    <row r="3372" spans="1:7">
      <c r="A3372" s="6" t="s">
        <v>325</v>
      </c>
      <c r="B3372" s="6" t="s">
        <v>53</v>
      </c>
      <c r="C3372" s="6" t="s">
        <v>186</v>
      </c>
      <c r="D3372" s="6" t="s">
        <v>177</v>
      </c>
      <c r="E3372" s="6" t="s">
        <v>86</v>
      </c>
      <c r="F3372" s="6" t="b">
        <v>0</v>
      </c>
      <c r="G3372" s="6">
        <v>0.02183333333333333</v>
      </c>
    </row>
    <row r="3373" spans="1:7">
      <c r="A3373" s="6" t="s">
        <v>325</v>
      </c>
      <c r="B3373" s="6" t="s">
        <v>53</v>
      </c>
      <c r="C3373" s="6" t="s">
        <v>189</v>
      </c>
      <c r="D3373" s="6" t="s">
        <v>86</v>
      </c>
      <c r="E3373" s="6" t="s">
        <v>86</v>
      </c>
      <c r="F3373" s="6" t="b">
        <v>0</v>
      </c>
      <c r="G3373" s="6">
        <v>0.08033333333333333</v>
      </c>
    </row>
    <row r="3374" spans="1:7">
      <c r="A3374" s="6" t="s">
        <v>325</v>
      </c>
      <c r="B3374" s="6" t="s">
        <v>53</v>
      </c>
      <c r="C3374" s="6" t="s">
        <v>189</v>
      </c>
      <c r="D3374" s="6" t="s">
        <v>88</v>
      </c>
      <c r="E3374" s="6" t="s">
        <v>88</v>
      </c>
      <c r="F3374" s="6" t="b">
        <v>0</v>
      </c>
      <c r="G3374" s="6">
        <v>0.07733333333333332</v>
      </c>
    </row>
    <row r="3375" spans="1:7">
      <c r="A3375" s="6" t="s">
        <v>325</v>
      </c>
      <c r="B3375" s="6" t="s">
        <v>53</v>
      </c>
      <c r="C3375" s="6" t="s">
        <v>189</v>
      </c>
      <c r="D3375" s="6" t="s">
        <v>90</v>
      </c>
      <c r="E3375" s="6" t="s">
        <v>90</v>
      </c>
      <c r="F3375" s="6" t="b">
        <v>0</v>
      </c>
      <c r="G3375" s="6">
        <v>0.01408333333333333</v>
      </c>
    </row>
    <row r="3376" spans="1:7">
      <c r="A3376" s="6" t="s">
        <v>364</v>
      </c>
      <c r="B3376" s="6" t="s">
        <v>52</v>
      </c>
      <c r="C3376" s="6" t="s">
        <v>181</v>
      </c>
      <c r="D3376" s="6" t="s">
        <v>88</v>
      </c>
      <c r="E3376" s="6" t="s">
        <v>88</v>
      </c>
      <c r="F3376" s="6" t="b">
        <v>0</v>
      </c>
      <c r="G3376" s="6">
        <v>3.608833333333333</v>
      </c>
    </row>
    <row r="3377" spans="1:7">
      <c r="A3377" s="6" t="s">
        <v>364</v>
      </c>
      <c r="B3377" s="6" t="s">
        <v>52</v>
      </c>
      <c r="C3377" s="6" t="s">
        <v>183</v>
      </c>
      <c r="D3377" s="6" t="s">
        <v>88</v>
      </c>
      <c r="E3377" s="6" t="s">
        <v>88</v>
      </c>
      <c r="F3377" s="6" t="b">
        <v>0</v>
      </c>
      <c r="G3377" s="6">
        <v>0.01066666666666667</v>
      </c>
    </row>
    <row r="3378" spans="1:7">
      <c r="A3378" s="6" t="s">
        <v>364</v>
      </c>
      <c r="B3378" s="6" t="s">
        <v>52</v>
      </c>
      <c r="C3378" s="6" t="s">
        <v>183</v>
      </c>
      <c r="D3378" s="6" t="s">
        <v>90</v>
      </c>
      <c r="E3378" s="6" t="s">
        <v>86</v>
      </c>
      <c r="F3378" s="6" t="b">
        <v>0</v>
      </c>
      <c r="G3378" s="6">
        <v>0.0009166666666666666</v>
      </c>
    </row>
    <row r="3379" spans="1:7">
      <c r="A3379" s="6" t="s">
        <v>364</v>
      </c>
      <c r="B3379" s="6" t="s">
        <v>52</v>
      </c>
      <c r="C3379" s="6" t="s">
        <v>183</v>
      </c>
      <c r="D3379" s="6" t="s">
        <v>90</v>
      </c>
      <c r="E3379" s="6" t="s">
        <v>90</v>
      </c>
      <c r="F3379" s="6" t="b">
        <v>0</v>
      </c>
      <c r="G3379" s="6">
        <v>0.0008333333333333334</v>
      </c>
    </row>
    <row r="3380" spans="1:7">
      <c r="A3380" s="6" t="s">
        <v>364</v>
      </c>
      <c r="B3380" s="6" t="s">
        <v>52</v>
      </c>
      <c r="C3380" s="6" t="s">
        <v>183</v>
      </c>
      <c r="D3380" s="6" t="s">
        <v>177</v>
      </c>
      <c r="E3380" s="6" t="s">
        <v>86</v>
      </c>
      <c r="F3380" s="6" t="b">
        <v>0</v>
      </c>
      <c r="G3380" s="6">
        <v>0.0009166666666666666</v>
      </c>
    </row>
    <row r="3381" spans="1:7">
      <c r="A3381" s="6" t="s">
        <v>364</v>
      </c>
      <c r="B3381" s="6" t="s">
        <v>52</v>
      </c>
      <c r="C3381" s="6" t="s">
        <v>183</v>
      </c>
      <c r="D3381" s="6" t="s">
        <v>177</v>
      </c>
      <c r="E3381" s="6" t="s">
        <v>685</v>
      </c>
      <c r="F3381" s="6" t="b">
        <v>1</v>
      </c>
      <c r="G3381" s="6">
        <v>0.0005</v>
      </c>
    </row>
    <row r="3382" spans="1:7">
      <c r="A3382" s="6" t="s">
        <v>364</v>
      </c>
      <c r="B3382" s="6" t="s">
        <v>52</v>
      </c>
      <c r="C3382" s="6" t="s">
        <v>184</v>
      </c>
      <c r="D3382" s="6" t="s">
        <v>44</v>
      </c>
      <c r="E3382" s="6" t="s">
        <v>44</v>
      </c>
      <c r="F3382" s="6" t="b">
        <v>0</v>
      </c>
      <c r="G3382" s="6">
        <v>14.88658333333333</v>
      </c>
    </row>
    <row r="3383" spans="1:7">
      <c r="A3383" s="6" t="s">
        <v>364</v>
      </c>
      <c r="B3383" s="6" t="s">
        <v>52</v>
      </c>
      <c r="C3383" s="6" t="s">
        <v>184</v>
      </c>
      <c r="D3383" s="6" t="s">
        <v>86</v>
      </c>
      <c r="E3383" s="6" t="s">
        <v>86</v>
      </c>
      <c r="F3383" s="6" t="b">
        <v>0</v>
      </c>
      <c r="G3383" s="6">
        <v>0.1458333333333333</v>
      </c>
    </row>
    <row r="3384" spans="1:7">
      <c r="A3384" s="6" t="s">
        <v>364</v>
      </c>
      <c r="B3384" s="6" t="s">
        <v>52</v>
      </c>
      <c r="C3384" s="6" t="s">
        <v>184</v>
      </c>
      <c r="D3384" s="6" t="s">
        <v>90</v>
      </c>
      <c r="E3384" s="6" t="s">
        <v>685</v>
      </c>
      <c r="F3384" s="6" t="b">
        <v>1</v>
      </c>
      <c r="G3384" s="6">
        <v>0.01275</v>
      </c>
    </row>
    <row r="3385" spans="1:7">
      <c r="A3385" s="6" t="s">
        <v>364</v>
      </c>
      <c r="B3385" s="6" t="s">
        <v>52</v>
      </c>
      <c r="C3385" s="6" t="s">
        <v>184</v>
      </c>
      <c r="D3385" s="6" t="s">
        <v>177</v>
      </c>
      <c r="E3385" s="6" t="s">
        <v>44</v>
      </c>
      <c r="F3385" s="6" t="b">
        <v>0</v>
      </c>
      <c r="G3385" s="6">
        <v>68.90283333333333</v>
      </c>
    </row>
    <row r="3386" spans="1:7">
      <c r="A3386" s="6" t="s">
        <v>364</v>
      </c>
      <c r="B3386" s="6" t="s">
        <v>52</v>
      </c>
      <c r="C3386" s="6" t="s">
        <v>186</v>
      </c>
      <c r="D3386" s="6" t="s">
        <v>86</v>
      </c>
      <c r="E3386" s="6" t="s">
        <v>86</v>
      </c>
      <c r="F3386" s="6" t="b">
        <v>0</v>
      </c>
      <c r="G3386" s="6">
        <v>15.01675</v>
      </c>
    </row>
    <row r="3387" spans="1:7">
      <c r="A3387" s="6" t="s">
        <v>364</v>
      </c>
      <c r="B3387" s="6" t="s">
        <v>52</v>
      </c>
      <c r="C3387" s="6" t="s">
        <v>186</v>
      </c>
      <c r="D3387" s="6" t="s">
        <v>88</v>
      </c>
      <c r="E3387" s="6" t="s">
        <v>88</v>
      </c>
      <c r="F3387" s="6" t="b">
        <v>0</v>
      </c>
      <c r="G3387" s="6">
        <v>0.55725</v>
      </c>
    </row>
    <row r="3388" spans="1:7">
      <c r="A3388" s="6" t="s">
        <v>364</v>
      </c>
      <c r="B3388" s="6" t="s">
        <v>52</v>
      </c>
      <c r="C3388" s="6" t="s">
        <v>186</v>
      </c>
      <c r="D3388" s="6" t="s">
        <v>90</v>
      </c>
      <c r="E3388" s="6" t="s">
        <v>86</v>
      </c>
      <c r="F3388" s="6" t="b">
        <v>0</v>
      </c>
      <c r="G3388" s="6">
        <v>0.002833333333333334</v>
      </c>
    </row>
    <row r="3389" spans="1:7">
      <c r="A3389" s="6" t="s">
        <v>364</v>
      </c>
      <c r="B3389" s="6" t="s">
        <v>52</v>
      </c>
      <c r="C3389" s="6" t="s">
        <v>186</v>
      </c>
      <c r="D3389" s="6" t="s">
        <v>90</v>
      </c>
      <c r="E3389" s="6" t="s">
        <v>90</v>
      </c>
      <c r="F3389" s="6" t="b">
        <v>0</v>
      </c>
      <c r="G3389" s="6">
        <v>4.144333333333333</v>
      </c>
    </row>
    <row r="3390" spans="1:7">
      <c r="A3390" s="6" t="s">
        <v>364</v>
      </c>
      <c r="B3390" s="6" t="s">
        <v>52</v>
      </c>
      <c r="C3390" s="6" t="s">
        <v>186</v>
      </c>
      <c r="D3390" s="6" t="s">
        <v>177</v>
      </c>
      <c r="E3390" s="6" t="s">
        <v>86</v>
      </c>
      <c r="F3390" s="6" t="b">
        <v>0</v>
      </c>
      <c r="G3390" s="6">
        <v>0.1024166666666667</v>
      </c>
    </row>
    <row r="3391" spans="1:7">
      <c r="A3391" s="6" t="s">
        <v>364</v>
      </c>
      <c r="B3391" s="6" t="s">
        <v>52</v>
      </c>
      <c r="C3391" s="6" t="s">
        <v>189</v>
      </c>
      <c r="D3391" s="6" t="s">
        <v>88</v>
      </c>
      <c r="E3391" s="6" t="s">
        <v>88</v>
      </c>
      <c r="F3391" s="6" t="b">
        <v>0</v>
      </c>
      <c r="G3391" s="6">
        <v>0.6308333333333334</v>
      </c>
    </row>
    <row r="3392" spans="1:7">
      <c r="A3392" s="6" t="s">
        <v>364</v>
      </c>
      <c r="B3392" s="6" t="s">
        <v>52</v>
      </c>
      <c r="C3392" s="6" t="s">
        <v>189</v>
      </c>
      <c r="D3392" s="6" t="s">
        <v>90</v>
      </c>
      <c r="E3392" s="6" t="s">
        <v>90</v>
      </c>
      <c r="F3392" s="6" t="b">
        <v>0</v>
      </c>
      <c r="G3392" s="6">
        <v>0.2170833333333333</v>
      </c>
    </row>
    <row r="3393" spans="1:7">
      <c r="A3393" s="6" t="s">
        <v>326</v>
      </c>
      <c r="B3393" s="6" t="s">
        <v>54</v>
      </c>
      <c r="C3393" s="6" t="s">
        <v>181</v>
      </c>
      <c r="D3393" s="6" t="s">
        <v>88</v>
      </c>
      <c r="E3393" s="6" t="s">
        <v>88</v>
      </c>
      <c r="F3393" s="6" t="b">
        <v>0</v>
      </c>
      <c r="G3393" s="6">
        <v>72.55733333333333</v>
      </c>
    </row>
    <row r="3394" spans="1:7">
      <c r="A3394" s="6" t="s">
        <v>326</v>
      </c>
      <c r="B3394" s="6" t="s">
        <v>54</v>
      </c>
      <c r="C3394" s="6" t="s">
        <v>181</v>
      </c>
      <c r="D3394" s="6" t="s">
        <v>90</v>
      </c>
      <c r="E3394" s="6" t="s">
        <v>90</v>
      </c>
      <c r="F3394" s="6" t="b">
        <v>0</v>
      </c>
      <c r="G3394" s="6">
        <v>0.04216666666666666</v>
      </c>
    </row>
    <row r="3395" spans="1:7">
      <c r="A3395" s="6" t="s">
        <v>326</v>
      </c>
      <c r="B3395" s="6" t="s">
        <v>54</v>
      </c>
      <c r="C3395" s="6" t="s">
        <v>182</v>
      </c>
      <c r="D3395" s="6" t="s">
        <v>88</v>
      </c>
      <c r="E3395" s="6" t="s">
        <v>88</v>
      </c>
      <c r="F3395" s="6" t="b">
        <v>0</v>
      </c>
      <c r="G3395" s="6">
        <v>43.482</v>
      </c>
    </row>
    <row r="3396" spans="1:7">
      <c r="A3396" s="6" t="s">
        <v>326</v>
      </c>
      <c r="B3396" s="6" t="s">
        <v>54</v>
      </c>
      <c r="C3396" s="6" t="s">
        <v>183</v>
      </c>
      <c r="D3396" s="6" t="s">
        <v>86</v>
      </c>
      <c r="E3396" s="6" t="s">
        <v>86</v>
      </c>
      <c r="F3396" s="6" t="b">
        <v>0</v>
      </c>
      <c r="G3396" s="6">
        <v>0.03125</v>
      </c>
    </row>
    <row r="3397" spans="1:7">
      <c r="A3397" s="6" t="s">
        <v>326</v>
      </c>
      <c r="B3397" s="6" t="s">
        <v>54</v>
      </c>
      <c r="C3397" s="6" t="s">
        <v>183</v>
      </c>
      <c r="D3397" s="6" t="s">
        <v>88</v>
      </c>
      <c r="E3397" s="6" t="s">
        <v>88</v>
      </c>
      <c r="F3397" s="6" t="b">
        <v>0</v>
      </c>
      <c r="G3397" s="6">
        <v>0.135</v>
      </c>
    </row>
    <row r="3398" spans="1:7">
      <c r="A3398" s="6" t="s">
        <v>326</v>
      </c>
      <c r="B3398" s="6" t="s">
        <v>54</v>
      </c>
      <c r="C3398" s="6" t="s">
        <v>183</v>
      </c>
      <c r="D3398" s="6" t="s">
        <v>90</v>
      </c>
      <c r="E3398" s="6" t="s">
        <v>86</v>
      </c>
      <c r="F3398" s="6" t="b">
        <v>0</v>
      </c>
      <c r="G3398" s="6">
        <v>0.3155833333333333</v>
      </c>
    </row>
    <row r="3399" spans="1:7">
      <c r="A3399" s="6" t="s">
        <v>326</v>
      </c>
      <c r="B3399" s="6" t="s">
        <v>54</v>
      </c>
      <c r="C3399" s="6" t="s">
        <v>183</v>
      </c>
      <c r="D3399" s="6" t="s">
        <v>90</v>
      </c>
      <c r="E3399" s="6" t="s">
        <v>90</v>
      </c>
      <c r="F3399" s="6" t="b">
        <v>0</v>
      </c>
      <c r="G3399" s="6">
        <v>0.3293333333333333</v>
      </c>
    </row>
    <row r="3400" spans="1:7">
      <c r="A3400" s="6" t="s">
        <v>326</v>
      </c>
      <c r="B3400" s="6" t="s">
        <v>54</v>
      </c>
      <c r="C3400" s="6" t="s">
        <v>183</v>
      </c>
      <c r="D3400" s="6" t="s">
        <v>177</v>
      </c>
      <c r="E3400" s="6" t="s">
        <v>86</v>
      </c>
      <c r="F3400" s="6" t="b">
        <v>0</v>
      </c>
      <c r="G3400" s="6">
        <v>0.06850000000000001</v>
      </c>
    </row>
    <row r="3401" spans="1:7">
      <c r="A3401" s="6" t="s">
        <v>326</v>
      </c>
      <c r="B3401" s="6" t="s">
        <v>54</v>
      </c>
      <c r="C3401" s="6" t="s">
        <v>183</v>
      </c>
      <c r="D3401" s="6" t="s">
        <v>177</v>
      </c>
      <c r="E3401" s="6" t="s">
        <v>685</v>
      </c>
      <c r="F3401" s="6" t="b">
        <v>1</v>
      </c>
      <c r="G3401" s="6">
        <v>0.006000000000000001</v>
      </c>
    </row>
    <row r="3402" spans="1:7">
      <c r="A3402" s="6" t="s">
        <v>326</v>
      </c>
      <c r="B3402" s="6" t="s">
        <v>54</v>
      </c>
      <c r="C3402" s="6" t="s">
        <v>184</v>
      </c>
      <c r="D3402" s="6" t="s">
        <v>44</v>
      </c>
      <c r="E3402" s="6" t="s">
        <v>44</v>
      </c>
      <c r="F3402" s="6" t="b">
        <v>0</v>
      </c>
      <c r="G3402" s="6">
        <v>350.49075</v>
      </c>
    </row>
    <row r="3403" spans="1:7">
      <c r="A3403" s="6" t="s">
        <v>326</v>
      </c>
      <c r="B3403" s="6" t="s">
        <v>54</v>
      </c>
      <c r="C3403" s="6" t="s">
        <v>184</v>
      </c>
      <c r="D3403" s="6" t="s">
        <v>86</v>
      </c>
      <c r="E3403" s="6" t="s">
        <v>86</v>
      </c>
      <c r="F3403" s="6" t="b">
        <v>0</v>
      </c>
      <c r="G3403" s="6">
        <v>1.713</v>
      </c>
    </row>
    <row r="3404" spans="1:7">
      <c r="A3404" s="6" t="s">
        <v>326</v>
      </c>
      <c r="B3404" s="6" t="s">
        <v>54</v>
      </c>
      <c r="C3404" s="6" t="s">
        <v>184</v>
      </c>
      <c r="D3404" s="6" t="s">
        <v>88</v>
      </c>
      <c r="E3404" s="6" t="s">
        <v>88</v>
      </c>
      <c r="F3404" s="6" t="b">
        <v>0</v>
      </c>
      <c r="G3404" s="6">
        <v>0.2445</v>
      </c>
    </row>
    <row r="3405" spans="1:7">
      <c r="A3405" s="6" t="s">
        <v>326</v>
      </c>
      <c r="B3405" s="6" t="s">
        <v>54</v>
      </c>
      <c r="C3405" s="6" t="s">
        <v>184</v>
      </c>
      <c r="D3405" s="6" t="s">
        <v>90</v>
      </c>
      <c r="E3405" s="6" t="s">
        <v>90</v>
      </c>
      <c r="F3405" s="6" t="b">
        <v>0</v>
      </c>
      <c r="G3405" s="6">
        <v>0.3354166666666667</v>
      </c>
    </row>
    <row r="3406" spans="1:7">
      <c r="A3406" s="6" t="s">
        <v>326</v>
      </c>
      <c r="B3406" s="6" t="s">
        <v>54</v>
      </c>
      <c r="C3406" s="6" t="s">
        <v>184</v>
      </c>
      <c r="D3406" s="6" t="s">
        <v>90</v>
      </c>
      <c r="E3406" s="6" t="s">
        <v>685</v>
      </c>
      <c r="F3406" s="6" t="b">
        <v>1</v>
      </c>
      <c r="G3406" s="6">
        <v>0.2818333333333333</v>
      </c>
    </row>
    <row r="3407" spans="1:7">
      <c r="A3407" s="6" t="s">
        <v>326</v>
      </c>
      <c r="B3407" s="6" t="s">
        <v>54</v>
      </c>
      <c r="C3407" s="6" t="s">
        <v>184</v>
      </c>
      <c r="D3407" s="6" t="s">
        <v>177</v>
      </c>
      <c r="E3407" s="6" t="s">
        <v>44</v>
      </c>
      <c r="F3407" s="6" t="b">
        <v>0</v>
      </c>
      <c r="G3407" s="6">
        <v>368.2803333333333</v>
      </c>
    </row>
    <row r="3408" spans="1:7">
      <c r="A3408" s="6" t="s">
        <v>326</v>
      </c>
      <c r="B3408" s="6" t="s">
        <v>54</v>
      </c>
      <c r="C3408" s="6" t="s">
        <v>184</v>
      </c>
      <c r="D3408" s="6" t="s">
        <v>177</v>
      </c>
      <c r="E3408" s="6" t="s">
        <v>86</v>
      </c>
      <c r="F3408" s="6" t="b">
        <v>0</v>
      </c>
      <c r="G3408" s="6">
        <v>0.12725</v>
      </c>
    </row>
    <row r="3409" spans="1:7">
      <c r="A3409" s="6" t="s">
        <v>326</v>
      </c>
      <c r="B3409" s="6" t="s">
        <v>54</v>
      </c>
      <c r="C3409" s="6" t="s">
        <v>184</v>
      </c>
      <c r="D3409" s="6" t="s">
        <v>177</v>
      </c>
      <c r="E3409" s="6" t="s">
        <v>685</v>
      </c>
      <c r="F3409" s="6" t="b">
        <v>1</v>
      </c>
      <c r="G3409" s="6">
        <v>3.839666666666667</v>
      </c>
    </row>
    <row r="3410" spans="1:7">
      <c r="A3410" s="6" t="s">
        <v>326</v>
      </c>
      <c r="B3410" s="6" t="s">
        <v>54</v>
      </c>
      <c r="C3410" s="6" t="s">
        <v>185</v>
      </c>
      <c r="D3410" s="6" t="s">
        <v>44</v>
      </c>
      <c r="E3410" s="6" t="s">
        <v>44</v>
      </c>
      <c r="F3410" s="6" t="b">
        <v>0</v>
      </c>
      <c r="G3410" s="6">
        <v>139.59775</v>
      </c>
    </row>
    <row r="3411" spans="1:7">
      <c r="A3411" s="6" t="s">
        <v>326</v>
      </c>
      <c r="B3411" s="6" t="s">
        <v>54</v>
      </c>
      <c r="C3411" s="6" t="s">
        <v>185</v>
      </c>
      <c r="D3411" s="6" t="s">
        <v>44</v>
      </c>
      <c r="E3411" s="6" t="s">
        <v>685</v>
      </c>
      <c r="F3411" s="6" t="b">
        <v>1</v>
      </c>
      <c r="G3411" s="6">
        <v>55.90816666666667</v>
      </c>
    </row>
    <row r="3412" spans="1:7">
      <c r="A3412" s="6" t="s">
        <v>326</v>
      </c>
      <c r="B3412" s="6" t="s">
        <v>54</v>
      </c>
      <c r="C3412" s="6" t="s">
        <v>186</v>
      </c>
      <c r="D3412" s="6" t="s">
        <v>86</v>
      </c>
      <c r="E3412" s="6" t="s">
        <v>86</v>
      </c>
      <c r="F3412" s="6" t="b">
        <v>0</v>
      </c>
      <c r="G3412" s="6">
        <v>193.8038333333334</v>
      </c>
    </row>
    <row r="3413" spans="1:7">
      <c r="A3413" s="6" t="s">
        <v>326</v>
      </c>
      <c r="B3413" s="6" t="s">
        <v>54</v>
      </c>
      <c r="C3413" s="6" t="s">
        <v>186</v>
      </c>
      <c r="D3413" s="6" t="s">
        <v>88</v>
      </c>
      <c r="E3413" s="6" t="s">
        <v>88</v>
      </c>
      <c r="F3413" s="6" t="b">
        <v>0</v>
      </c>
      <c r="G3413" s="6">
        <v>6.879666666666666</v>
      </c>
    </row>
    <row r="3414" spans="1:7">
      <c r="A3414" s="6" t="s">
        <v>326</v>
      </c>
      <c r="B3414" s="6" t="s">
        <v>54</v>
      </c>
      <c r="C3414" s="6" t="s">
        <v>186</v>
      </c>
      <c r="D3414" s="6" t="s">
        <v>90</v>
      </c>
      <c r="E3414" s="6" t="s">
        <v>86</v>
      </c>
      <c r="F3414" s="6" t="b">
        <v>0</v>
      </c>
      <c r="G3414" s="6">
        <v>0.05383333333333334</v>
      </c>
    </row>
    <row r="3415" spans="1:7">
      <c r="A3415" s="6" t="s">
        <v>326</v>
      </c>
      <c r="B3415" s="6" t="s">
        <v>54</v>
      </c>
      <c r="C3415" s="6" t="s">
        <v>186</v>
      </c>
      <c r="D3415" s="6" t="s">
        <v>90</v>
      </c>
      <c r="E3415" s="6" t="s">
        <v>90</v>
      </c>
      <c r="F3415" s="6" t="b">
        <v>0</v>
      </c>
      <c r="G3415" s="6">
        <v>70.79533333333333</v>
      </c>
    </row>
    <row r="3416" spans="1:7">
      <c r="A3416" s="6" t="s">
        <v>326</v>
      </c>
      <c r="B3416" s="6" t="s">
        <v>54</v>
      </c>
      <c r="C3416" s="6" t="s">
        <v>186</v>
      </c>
      <c r="D3416" s="6" t="s">
        <v>177</v>
      </c>
      <c r="E3416" s="6" t="s">
        <v>86</v>
      </c>
      <c r="F3416" s="6" t="b">
        <v>0</v>
      </c>
      <c r="G3416" s="6">
        <v>0.85675</v>
      </c>
    </row>
    <row r="3417" spans="1:7">
      <c r="A3417" s="6" t="s">
        <v>326</v>
      </c>
      <c r="B3417" s="6" t="s">
        <v>54</v>
      </c>
      <c r="C3417" s="6" t="s">
        <v>187</v>
      </c>
      <c r="D3417" s="6" t="s">
        <v>86</v>
      </c>
      <c r="E3417" s="6" t="s">
        <v>86</v>
      </c>
      <c r="F3417" s="6" t="b">
        <v>0</v>
      </c>
      <c r="G3417" s="6">
        <v>31.64716666666667</v>
      </c>
    </row>
    <row r="3418" spans="1:7">
      <c r="A3418" s="6" t="s">
        <v>326</v>
      </c>
      <c r="B3418" s="6" t="s">
        <v>54</v>
      </c>
      <c r="C3418" s="6" t="s">
        <v>187</v>
      </c>
      <c r="D3418" s="6" t="s">
        <v>88</v>
      </c>
      <c r="E3418" s="6" t="s">
        <v>88</v>
      </c>
      <c r="F3418" s="6" t="b">
        <v>0</v>
      </c>
      <c r="G3418" s="6">
        <v>81.45216666666667</v>
      </c>
    </row>
    <row r="3419" spans="1:7">
      <c r="A3419" s="6" t="s">
        <v>326</v>
      </c>
      <c r="B3419" s="6" t="s">
        <v>54</v>
      </c>
      <c r="C3419" s="6" t="s">
        <v>188</v>
      </c>
      <c r="D3419" s="6" t="s">
        <v>86</v>
      </c>
      <c r="E3419" s="6" t="s">
        <v>86</v>
      </c>
      <c r="F3419" s="6" t="b">
        <v>0</v>
      </c>
      <c r="G3419" s="6">
        <v>5.406166666666667</v>
      </c>
    </row>
    <row r="3420" spans="1:7">
      <c r="A3420" s="6" t="s">
        <v>326</v>
      </c>
      <c r="B3420" s="6" t="s">
        <v>54</v>
      </c>
      <c r="C3420" s="6" t="s">
        <v>188</v>
      </c>
      <c r="D3420" s="6" t="s">
        <v>88</v>
      </c>
      <c r="E3420" s="6" t="s">
        <v>88</v>
      </c>
      <c r="F3420" s="6" t="b">
        <v>0</v>
      </c>
      <c r="G3420" s="6">
        <v>19.10291666666667</v>
      </c>
    </row>
    <row r="3421" spans="1:7">
      <c r="A3421" s="6" t="s">
        <v>326</v>
      </c>
      <c r="B3421" s="6" t="s">
        <v>54</v>
      </c>
      <c r="C3421" s="6" t="s">
        <v>189</v>
      </c>
      <c r="D3421" s="6" t="s">
        <v>86</v>
      </c>
      <c r="E3421" s="6" t="s">
        <v>86</v>
      </c>
      <c r="F3421" s="6" t="b">
        <v>0</v>
      </c>
      <c r="G3421" s="6">
        <v>9.229333333333333</v>
      </c>
    </row>
    <row r="3422" spans="1:7">
      <c r="A3422" s="6" t="s">
        <v>326</v>
      </c>
      <c r="B3422" s="6" t="s">
        <v>54</v>
      </c>
      <c r="C3422" s="6" t="s">
        <v>189</v>
      </c>
      <c r="D3422" s="6" t="s">
        <v>88</v>
      </c>
      <c r="E3422" s="6" t="s">
        <v>88</v>
      </c>
      <c r="F3422" s="6" t="b">
        <v>0</v>
      </c>
      <c r="G3422" s="6">
        <v>65.00441666666667</v>
      </c>
    </row>
    <row r="3423" spans="1:7">
      <c r="A3423" s="6" t="s">
        <v>326</v>
      </c>
      <c r="B3423" s="6" t="s">
        <v>54</v>
      </c>
      <c r="C3423" s="6" t="s">
        <v>189</v>
      </c>
      <c r="D3423" s="6" t="s">
        <v>90</v>
      </c>
      <c r="E3423" s="6" t="s">
        <v>90</v>
      </c>
      <c r="F3423" s="6" t="b">
        <v>0</v>
      </c>
      <c r="G3423" s="6">
        <v>2.867416666666667</v>
      </c>
    </row>
    <row r="3424" spans="1:7">
      <c r="A3424" s="6" t="s">
        <v>326</v>
      </c>
      <c r="B3424" s="6" t="s">
        <v>54</v>
      </c>
      <c r="C3424" s="6" t="s">
        <v>190</v>
      </c>
      <c r="D3424" s="6" t="s">
        <v>44</v>
      </c>
      <c r="E3424" s="6" t="s">
        <v>44</v>
      </c>
      <c r="F3424" s="6" t="b">
        <v>0</v>
      </c>
      <c r="G3424" s="6">
        <v>59.48991666666667</v>
      </c>
    </row>
    <row r="3425" spans="1:7">
      <c r="A3425" s="6" t="s">
        <v>326</v>
      </c>
      <c r="B3425" s="6" t="s">
        <v>54</v>
      </c>
      <c r="C3425" s="6" t="s">
        <v>190</v>
      </c>
      <c r="D3425" s="6" t="s">
        <v>86</v>
      </c>
      <c r="E3425" s="6" t="s">
        <v>44</v>
      </c>
      <c r="F3425" s="6" t="b">
        <v>0</v>
      </c>
      <c r="G3425" s="6">
        <v>0.7140833333333333</v>
      </c>
    </row>
    <row r="3426" spans="1:7">
      <c r="A3426" s="6" t="s">
        <v>326</v>
      </c>
      <c r="B3426" s="6" t="s">
        <v>54</v>
      </c>
      <c r="C3426" s="6" t="s">
        <v>190</v>
      </c>
      <c r="D3426" s="6" t="s">
        <v>86</v>
      </c>
      <c r="E3426" s="6" t="s">
        <v>86</v>
      </c>
      <c r="F3426" s="6" t="b">
        <v>0</v>
      </c>
      <c r="G3426" s="6">
        <v>1.3665</v>
      </c>
    </row>
    <row r="3427" spans="1:7">
      <c r="A3427" s="6" t="s">
        <v>326</v>
      </c>
      <c r="B3427" s="6" t="s">
        <v>54</v>
      </c>
      <c r="C3427" s="6" t="s">
        <v>190</v>
      </c>
      <c r="D3427" s="6" t="s">
        <v>90</v>
      </c>
      <c r="E3427" s="6" t="s">
        <v>44</v>
      </c>
      <c r="F3427" s="6" t="b">
        <v>0</v>
      </c>
      <c r="G3427" s="6">
        <v>0.85075</v>
      </c>
    </row>
    <row r="3428" spans="1:7">
      <c r="A3428" s="6" t="s">
        <v>326</v>
      </c>
      <c r="B3428" s="6" t="s">
        <v>54</v>
      </c>
      <c r="C3428" s="6" t="s">
        <v>190</v>
      </c>
      <c r="D3428" s="6" t="s">
        <v>90</v>
      </c>
      <c r="E3428" s="6" t="s">
        <v>90</v>
      </c>
      <c r="F3428" s="6" t="b">
        <v>0</v>
      </c>
      <c r="G3428" s="6">
        <v>6.061833333333333</v>
      </c>
    </row>
    <row r="3429" spans="1:7">
      <c r="A3429" s="6" t="s">
        <v>326</v>
      </c>
      <c r="B3429" s="6" t="s">
        <v>54</v>
      </c>
      <c r="C3429" s="6" t="s">
        <v>190</v>
      </c>
      <c r="D3429" s="6" t="s">
        <v>177</v>
      </c>
      <c r="E3429" s="6" t="s">
        <v>44</v>
      </c>
      <c r="F3429" s="6" t="b">
        <v>0</v>
      </c>
      <c r="G3429" s="6">
        <v>15.19816666666667</v>
      </c>
    </row>
    <row r="3430" spans="1:7">
      <c r="A3430" s="6" t="s">
        <v>326</v>
      </c>
      <c r="B3430" s="6" t="s">
        <v>54</v>
      </c>
      <c r="C3430" s="6" t="s">
        <v>190</v>
      </c>
      <c r="D3430" s="6" t="s">
        <v>177</v>
      </c>
      <c r="E3430" s="6" t="s">
        <v>86</v>
      </c>
      <c r="F3430" s="6" t="b">
        <v>0</v>
      </c>
      <c r="G3430" s="6">
        <v>0.9505</v>
      </c>
    </row>
    <row r="3431" spans="1:7">
      <c r="A3431" s="6" t="s">
        <v>326</v>
      </c>
      <c r="B3431" s="6" t="s">
        <v>54</v>
      </c>
      <c r="C3431" s="6" t="s">
        <v>190</v>
      </c>
      <c r="D3431" s="6" t="s">
        <v>177</v>
      </c>
      <c r="E3431" s="6" t="s">
        <v>685</v>
      </c>
      <c r="F3431" s="6" t="b">
        <v>1</v>
      </c>
      <c r="G3431" s="6">
        <v>0.4958333333333333</v>
      </c>
    </row>
    <row r="3432" spans="1:7">
      <c r="A3432" s="6" t="s">
        <v>326</v>
      </c>
      <c r="B3432" s="6" t="s">
        <v>54</v>
      </c>
      <c r="C3432" s="6" t="s">
        <v>190</v>
      </c>
      <c r="D3432" s="6" t="s">
        <v>92</v>
      </c>
      <c r="E3432" s="6" t="s">
        <v>92</v>
      </c>
      <c r="F3432" s="6" t="b">
        <v>0</v>
      </c>
      <c r="G3432" s="6">
        <v>0.1458333333333333</v>
      </c>
    </row>
    <row r="3433" spans="1:7">
      <c r="A3433" s="6" t="s">
        <v>373</v>
      </c>
      <c r="B3433" s="6" t="s">
        <v>55</v>
      </c>
      <c r="C3433" s="6" t="s">
        <v>181</v>
      </c>
      <c r="D3433" s="6" t="s">
        <v>88</v>
      </c>
      <c r="E3433" s="6" t="s">
        <v>88</v>
      </c>
      <c r="F3433" s="6" t="b">
        <v>0</v>
      </c>
      <c r="G3433" s="6">
        <v>0.2094166666666667</v>
      </c>
    </row>
    <row r="3434" spans="1:7">
      <c r="A3434" s="6" t="s">
        <v>373</v>
      </c>
      <c r="B3434" s="6" t="s">
        <v>55</v>
      </c>
      <c r="C3434" s="6" t="s">
        <v>184</v>
      </c>
      <c r="D3434" s="6" t="s">
        <v>44</v>
      </c>
      <c r="E3434" s="6" t="s">
        <v>44</v>
      </c>
      <c r="F3434" s="6" t="b">
        <v>0</v>
      </c>
      <c r="G3434" s="6">
        <v>0.6891666666666666</v>
      </c>
    </row>
    <row r="3435" spans="1:7">
      <c r="A3435" s="6" t="s">
        <v>373</v>
      </c>
      <c r="B3435" s="6" t="s">
        <v>55</v>
      </c>
      <c r="C3435" s="6" t="s">
        <v>184</v>
      </c>
      <c r="D3435" s="6" t="s">
        <v>177</v>
      </c>
      <c r="E3435" s="6" t="s">
        <v>44</v>
      </c>
      <c r="F3435" s="6" t="b">
        <v>0</v>
      </c>
      <c r="G3435" s="6">
        <v>1.390333333333333</v>
      </c>
    </row>
    <row r="3436" spans="1:7">
      <c r="A3436" s="6" t="s">
        <v>373</v>
      </c>
      <c r="B3436" s="6" t="s">
        <v>55</v>
      </c>
      <c r="C3436" s="6" t="s">
        <v>186</v>
      </c>
      <c r="D3436" s="6" t="s">
        <v>86</v>
      </c>
      <c r="E3436" s="6" t="s">
        <v>86</v>
      </c>
      <c r="F3436" s="6" t="b">
        <v>0</v>
      </c>
      <c r="G3436" s="6">
        <v>0.3115833333333333</v>
      </c>
    </row>
    <row r="3437" spans="1:7">
      <c r="A3437" s="6" t="s">
        <v>373</v>
      </c>
      <c r="B3437" s="6" t="s">
        <v>55</v>
      </c>
      <c r="C3437" s="6" t="s">
        <v>186</v>
      </c>
      <c r="D3437" s="6" t="s">
        <v>88</v>
      </c>
      <c r="E3437" s="6" t="s">
        <v>88</v>
      </c>
      <c r="F3437" s="6" t="b">
        <v>0</v>
      </c>
      <c r="G3437" s="6">
        <v>0.01591666666666667</v>
      </c>
    </row>
    <row r="3438" spans="1:7">
      <c r="A3438" s="6" t="s">
        <v>373</v>
      </c>
      <c r="B3438" s="6" t="s">
        <v>55</v>
      </c>
      <c r="C3438" s="6" t="s">
        <v>186</v>
      </c>
      <c r="D3438" s="6" t="s">
        <v>90</v>
      </c>
      <c r="E3438" s="6" t="s">
        <v>90</v>
      </c>
      <c r="F3438" s="6" t="b">
        <v>0</v>
      </c>
      <c r="G3438" s="6">
        <v>0.2643333333333334</v>
      </c>
    </row>
    <row r="3439" spans="1:7">
      <c r="A3439" s="6" t="s">
        <v>373</v>
      </c>
      <c r="B3439" s="6" t="s">
        <v>55</v>
      </c>
      <c r="C3439" s="6" t="s">
        <v>186</v>
      </c>
      <c r="D3439" s="6" t="s">
        <v>177</v>
      </c>
      <c r="E3439" s="6" t="s">
        <v>86</v>
      </c>
      <c r="F3439" s="6" t="b">
        <v>0</v>
      </c>
      <c r="G3439" s="6">
        <v>0.007333333333333333</v>
      </c>
    </row>
    <row r="3440" spans="1:7">
      <c r="A3440" s="6" t="s">
        <v>373</v>
      </c>
      <c r="B3440" s="6" t="s">
        <v>55</v>
      </c>
      <c r="C3440" s="6" t="s">
        <v>189</v>
      </c>
      <c r="D3440" s="6" t="s">
        <v>86</v>
      </c>
      <c r="E3440" s="6" t="s">
        <v>86</v>
      </c>
      <c r="F3440" s="6" t="b">
        <v>0</v>
      </c>
      <c r="G3440" s="6">
        <v>0.06225</v>
      </c>
    </row>
    <row r="3441" spans="1:7">
      <c r="A3441" s="6" t="s">
        <v>373</v>
      </c>
      <c r="B3441" s="6" t="s">
        <v>55</v>
      </c>
      <c r="C3441" s="6" t="s">
        <v>189</v>
      </c>
      <c r="D3441" s="6" t="s">
        <v>88</v>
      </c>
      <c r="E3441" s="6" t="s">
        <v>88</v>
      </c>
      <c r="F3441" s="6" t="b">
        <v>0</v>
      </c>
      <c r="G3441" s="6">
        <v>0.006333333333333333</v>
      </c>
    </row>
    <row r="3442" spans="1:7">
      <c r="A3442" s="6" t="s">
        <v>373</v>
      </c>
      <c r="B3442" s="6" t="s">
        <v>55</v>
      </c>
      <c r="C3442" s="6" t="s">
        <v>189</v>
      </c>
      <c r="D3442" s="6" t="s">
        <v>90</v>
      </c>
      <c r="E3442" s="6" t="s">
        <v>90</v>
      </c>
      <c r="F3442" s="6" t="b">
        <v>0</v>
      </c>
      <c r="G3442" s="6">
        <v>0.011</v>
      </c>
    </row>
    <row r="3443" spans="1:7">
      <c r="A3443" s="6" t="s">
        <v>374</v>
      </c>
      <c r="B3443" s="6" t="s">
        <v>55</v>
      </c>
      <c r="C3443" s="6" t="s">
        <v>181</v>
      </c>
      <c r="D3443" s="6" t="s">
        <v>88</v>
      </c>
      <c r="E3443" s="6" t="s">
        <v>88</v>
      </c>
      <c r="F3443" s="6" t="b">
        <v>0</v>
      </c>
      <c r="G3443" s="6">
        <v>0.05225</v>
      </c>
    </row>
    <row r="3444" spans="1:7">
      <c r="A3444" s="6" t="s">
        <v>374</v>
      </c>
      <c r="B3444" s="6" t="s">
        <v>55</v>
      </c>
      <c r="C3444" s="6" t="s">
        <v>184</v>
      </c>
      <c r="D3444" s="6" t="s">
        <v>44</v>
      </c>
      <c r="E3444" s="6" t="s">
        <v>44</v>
      </c>
      <c r="F3444" s="6" t="b">
        <v>0</v>
      </c>
      <c r="G3444" s="6">
        <v>0.1545833333333333</v>
      </c>
    </row>
    <row r="3445" spans="1:7">
      <c r="A3445" s="6" t="s">
        <v>374</v>
      </c>
      <c r="B3445" s="6" t="s">
        <v>55</v>
      </c>
      <c r="C3445" s="6" t="s">
        <v>184</v>
      </c>
      <c r="D3445" s="6" t="s">
        <v>177</v>
      </c>
      <c r="E3445" s="6" t="s">
        <v>44</v>
      </c>
      <c r="F3445" s="6" t="b">
        <v>0</v>
      </c>
      <c r="G3445" s="6">
        <v>0.1041666666666667</v>
      </c>
    </row>
    <row r="3446" spans="1:7">
      <c r="A3446" s="6" t="s">
        <v>374</v>
      </c>
      <c r="B3446" s="6" t="s">
        <v>55</v>
      </c>
      <c r="C3446" s="6" t="s">
        <v>186</v>
      </c>
      <c r="D3446" s="6" t="s">
        <v>86</v>
      </c>
      <c r="E3446" s="6" t="s">
        <v>86</v>
      </c>
      <c r="F3446" s="6" t="b">
        <v>0</v>
      </c>
      <c r="G3446" s="6">
        <v>0.1709166666666667</v>
      </c>
    </row>
    <row r="3447" spans="1:7">
      <c r="A3447" s="6" t="s">
        <v>374</v>
      </c>
      <c r="B3447" s="6" t="s">
        <v>55</v>
      </c>
      <c r="C3447" s="6" t="s">
        <v>186</v>
      </c>
      <c r="D3447" s="6" t="s">
        <v>88</v>
      </c>
      <c r="E3447" s="6" t="s">
        <v>88</v>
      </c>
      <c r="F3447" s="6" t="b">
        <v>0</v>
      </c>
      <c r="G3447" s="6">
        <v>0.004666666666666667</v>
      </c>
    </row>
    <row r="3448" spans="1:7">
      <c r="A3448" s="6" t="s">
        <v>374</v>
      </c>
      <c r="B3448" s="6" t="s">
        <v>55</v>
      </c>
      <c r="C3448" s="6" t="s">
        <v>186</v>
      </c>
      <c r="D3448" s="6" t="s">
        <v>90</v>
      </c>
      <c r="E3448" s="6" t="s">
        <v>90</v>
      </c>
      <c r="F3448" s="6" t="b">
        <v>0</v>
      </c>
      <c r="G3448" s="6">
        <v>0.0575</v>
      </c>
    </row>
    <row r="3449" spans="1:7">
      <c r="A3449" s="6" t="s">
        <v>374</v>
      </c>
      <c r="B3449" s="6" t="s">
        <v>55</v>
      </c>
      <c r="C3449" s="6" t="s">
        <v>189</v>
      </c>
      <c r="D3449" s="6" t="s">
        <v>86</v>
      </c>
      <c r="E3449" s="6" t="s">
        <v>86</v>
      </c>
      <c r="F3449" s="6" t="b">
        <v>0</v>
      </c>
      <c r="G3449" s="6">
        <v>0.001833333333333333</v>
      </c>
    </row>
    <row r="3450" spans="1:7">
      <c r="A3450" s="6" t="s">
        <v>327</v>
      </c>
      <c r="B3450" s="6" t="s">
        <v>57</v>
      </c>
      <c r="C3450" s="6" t="s">
        <v>181</v>
      </c>
      <c r="D3450" s="6" t="s">
        <v>88</v>
      </c>
      <c r="E3450" s="6" t="s">
        <v>88</v>
      </c>
      <c r="F3450" s="6" t="b">
        <v>0</v>
      </c>
      <c r="G3450" s="6">
        <v>34.40666666666667</v>
      </c>
    </row>
    <row r="3451" spans="1:7">
      <c r="A3451" s="6" t="s">
        <v>327</v>
      </c>
      <c r="B3451" s="6" t="s">
        <v>57</v>
      </c>
      <c r="C3451" s="6" t="s">
        <v>181</v>
      </c>
      <c r="D3451" s="6" t="s">
        <v>90</v>
      </c>
      <c r="E3451" s="6" t="s">
        <v>90</v>
      </c>
      <c r="F3451" s="6" t="b">
        <v>0</v>
      </c>
      <c r="G3451" s="6">
        <v>0.005500000000000001</v>
      </c>
    </row>
    <row r="3452" spans="1:7">
      <c r="A3452" s="6" t="s">
        <v>327</v>
      </c>
      <c r="B3452" s="6" t="s">
        <v>57</v>
      </c>
      <c r="C3452" s="6" t="s">
        <v>183</v>
      </c>
      <c r="D3452" s="6" t="s">
        <v>88</v>
      </c>
      <c r="E3452" s="6" t="s">
        <v>88</v>
      </c>
      <c r="F3452" s="6" t="b">
        <v>0</v>
      </c>
      <c r="G3452" s="6">
        <v>1.018166666666667</v>
      </c>
    </row>
    <row r="3453" spans="1:7">
      <c r="A3453" s="6" t="s">
        <v>327</v>
      </c>
      <c r="B3453" s="6" t="s">
        <v>57</v>
      </c>
      <c r="C3453" s="6" t="s">
        <v>183</v>
      </c>
      <c r="D3453" s="6" t="s">
        <v>90</v>
      </c>
      <c r="E3453" s="6" t="s">
        <v>86</v>
      </c>
      <c r="F3453" s="6" t="b">
        <v>0</v>
      </c>
      <c r="G3453" s="6">
        <v>0.3243333333333333</v>
      </c>
    </row>
    <row r="3454" spans="1:7">
      <c r="A3454" s="6" t="s">
        <v>327</v>
      </c>
      <c r="B3454" s="6" t="s">
        <v>57</v>
      </c>
      <c r="C3454" s="6" t="s">
        <v>183</v>
      </c>
      <c r="D3454" s="6" t="s">
        <v>90</v>
      </c>
      <c r="E3454" s="6" t="s">
        <v>90</v>
      </c>
      <c r="F3454" s="6" t="b">
        <v>0</v>
      </c>
      <c r="G3454" s="6">
        <v>0.07116666666666667</v>
      </c>
    </row>
    <row r="3455" spans="1:7">
      <c r="A3455" s="6" t="s">
        <v>327</v>
      </c>
      <c r="B3455" s="6" t="s">
        <v>57</v>
      </c>
      <c r="C3455" s="6" t="s">
        <v>183</v>
      </c>
      <c r="D3455" s="6" t="s">
        <v>177</v>
      </c>
      <c r="E3455" s="6" t="s">
        <v>86</v>
      </c>
      <c r="F3455" s="6" t="b">
        <v>0</v>
      </c>
      <c r="G3455" s="6">
        <v>0.05316666666666667</v>
      </c>
    </row>
    <row r="3456" spans="1:7">
      <c r="A3456" s="6" t="s">
        <v>327</v>
      </c>
      <c r="B3456" s="6" t="s">
        <v>57</v>
      </c>
      <c r="C3456" s="6" t="s">
        <v>183</v>
      </c>
      <c r="D3456" s="6" t="s">
        <v>177</v>
      </c>
      <c r="E3456" s="6" t="s">
        <v>685</v>
      </c>
      <c r="F3456" s="6" t="b">
        <v>1</v>
      </c>
      <c r="G3456" s="6">
        <v>0.0305</v>
      </c>
    </row>
    <row r="3457" spans="1:7">
      <c r="A3457" s="6" t="s">
        <v>327</v>
      </c>
      <c r="B3457" s="6" t="s">
        <v>57</v>
      </c>
      <c r="C3457" s="6" t="s">
        <v>184</v>
      </c>
      <c r="D3457" s="6" t="s">
        <v>44</v>
      </c>
      <c r="E3457" s="6" t="s">
        <v>44</v>
      </c>
      <c r="F3457" s="6" t="b">
        <v>0</v>
      </c>
      <c r="G3457" s="6">
        <v>246.50125</v>
      </c>
    </row>
    <row r="3458" spans="1:7">
      <c r="A3458" s="6" t="s">
        <v>327</v>
      </c>
      <c r="B3458" s="6" t="s">
        <v>57</v>
      </c>
      <c r="C3458" s="6" t="s">
        <v>184</v>
      </c>
      <c r="D3458" s="6" t="s">
        <v>86</v>
      </c>
      <c r="E3458" s="6" t="s">
        <v>86</v>
      </c>
      <c r="F3458" s="6" t="b">
        <v>0</v>
      </c>
      <c r="G3458" s="6">
        <v>0.3333333333333333</v>
      </c>
    </row>
    <row r="3459" spans="1:7">
      <c r="A3459" s="6" t="s">
        <v>327</v>
      </c>
      <c r="B3459" s="6" t="s">
        <v>57</v>
      </c>
      <c r="C3459" s="6" t="s">
        <v>184</v>
      </c>
      <c r="D3459" s="6" t="s">
        <v>88</v>
      </c>
      <c r="E3459" s="6" t="s">
        <v>88</v>
      </c>
      <c r="F3459" s="6" t="b">
        <v>0</v>
      </c>
      <c r="G3459" s="6">
        <v>0.1588333333333334</v>
      </c>
    </row>
    <row r="3460" spans="1:7">
      <c r="A3460" s="6" t="s">
        <v>327</v>
      </c>
      <c r="B3460" s="6" t="s">
        <v>57</v>
      </c>
      <c r="C3460" s="6" t="s">
        <v>184</v>
      </c>
      <c r="D3460" s="6" t="s">
        <v>90</v>
      </c>
      <c r="E3460" s="6" t="s">
        <v>90</v>
      </c>
      <c r="F3460" s="6" t="b">
        <v>0</v>
      </c>
      <c r="G3460" s="6">
        <v>0.7470833333333333</v>
      </c>
    </row>
    <row r="3461" spans="1:7">
      <c r="A3461" s="6" t="s">
        <v>327</v>
      </c>
      <c r="B3461" s="6" t="s">
        <v>57</v>
      </c>
      <c r="C3461" s="6" t="s">
        <v>184</v>
      </c>
      <c r="D3461" s="6" t="s">
        <v>90</v>
      </c>
      <c r="E3461" s="6" t="s">
        <v>685</v>
      </c>
      <c r="F3461" s="6" t="b">
        <v>1</v>
      </c>
      <c r="G3461" s="6">
        <v>0.4506666666666667</v>
      </c>
    </row>
    <row r="3462" spans="1:7">
      <c r="A3462" s="6" t="s">
        <v>327</v>
      </c>
      <c r="B3462" s="6" t="s">
        <v>57</v>
      </c>
      <c r="C3462" s="6" t="s">
        <v>184</v>
      </c>
      <c r="D3462" s="6" t="s">
        <v>177</v>
      </c>
      <c r="E3462" s="6" t="s">
        <v>44</v>
      </c>
      <c r="F3462" s="6" t="b">
        <v>0</v>
      </c>
      <c r="G3462" s="6">
        <v>205.02525</v>
      </c>
    </row>
    <row r="3463" spans="1:7">
      <c r="A3463" s="6" t="s">
        <v>327</v>
      </c>
      <c r="B3463" s="6" t="s">
        <v>57</v>
      </c>
      <c r="C3463" s="6" t="s">
        <v>184</v>
      </c>
      <c r="D3463" s="6" t="s">
        <v>177</v>
      </c>
      <c r="E3463" s="6" t="s">
        <v>86</v>
      </c>
      <c r="F3463" s="6" t="b">
        <v>0</v>
      </c>
      <c r="G3463" s="6">
        <v>0.36875</v>
      </c>
    </row>
    <row r="3464" spans="1:7">
      <c r="A3464" s="6" t="s">
        <v>327</v>
      </c>
      <c r="B3464" s="6" t="s">
        <v>57</v>
      </c>
      <c r="C3464" s="6" t="s">
        <v>184</v>
      </c>
      <c r="D3464" s="6" t="s">
        <v>177</v>
      </c>
      <c r="E3464" s="6" t="s">
        <v>685</v>
      </c>
      <c r="F3464" s="6" t="b">
        <v>1</v>
      </c>
      <c r="G3464" s="6">
        <v>1.378916666666667</v>
      </c>
    </row>
    <row r="3465" spans="1:7">
      <c r="A3465" s="6" t="s">
        <v>327</v>
      </c>
      <c r="B3465" s="6" t="s">
        <v>57</v>
      </c>
      <c r="C3465" s="6" t="s">
        <v>186</v>
      </c>
      <c r="D3465" s="6" t="s">
        <v>86</v>
      </c>
      <c r="E3465" s="6" t="s">
        <v>86</v>
      </c>
      <c r="F3465" s="6" t="b">
        <v>0</v>
      </c>
      <c r="G3465" s="6">
        <v>69.5735</v>
      </c>
    </row>
    <row r="3466" spans="1:7">
      <c r="A3466" s="6" t="s">
        <v>327</v>
      </c>
      <c r="B3466" s="6" t="s">
        <v>57</v>
      </c>
      <c r="C3466" s="6" t="s">
        <v>186</v>
      </c>
      <c r="D3466" s="6" t="s">
        <v>88</v>
      </c>
      <c r="E3466" s="6" t="s">
        <v>88</v>
      </c>
      <c r="F3466" s="6" t="b">
        <v>0</v>
      </c>
      <c r="G3466" s="6">
        <v>3.473166666666666</v>
      </c>
    </row>
    <row r="3467" spans="1:7">
      <c r="A3467" s="6" t="s">
        <v>327</v>
      </c>
      <c r="B3467" s="6" t="s">
        <v>57</v>
      </c>
      <c r="C3467" s="6" t="s">
        <v>186</v>
      </c>
      <c r="D3467" s="6" t="s">
        <v>90</v>
      </c>
      <c r="E3467" s="6" t="s">
        <v>86</v>
      </c>
      <c r="F3467" s="6" t="b">
        <v>0</v>
      </c>
      <c r="G3467" s="6">
        <v>0.034</v>
      </c>
    </row>
    <row r="3468" spans="1:7">
      <c r="A3468" s="6" t="s">
        <v>327</v>
      </c>
      <c r="B3468" s="6" t="s">
        <v>57</v>
      </c>
      <c r="C3468" s="6" t="s">
        <v>186</v>
      </c>
      <c r="D3468" s="6" t="s">
        <v>90</v>
      </c>
      <c r="E3468" s="6" t="s">
        <v>90</v>
      </c>
      <c r="F3468" s="6" t="b">
        <v>0</v>
      </c>
      <c r="G3468" s="6">
        <v>17.91175</v>
      </c>
    </row>
    <row r="3469" spans="1:7">
      <c r="A3469" s="6" t="s">
        <v>327</v>
      </c>
      <c r="B3469" s="6" t="s">
        <v>57</v>
      </c>
      <c r="C3469" s="6" t="s">
        <v>186</v>
      </c>
      <c r="D3469" s="6" t="s">
        <v>177</v>
      </c>
      <c r="E3469" s="6" t="s">
        <v>86</v>
      </c>
      <c r="F3469" s="6" t="b">
        <v>0</v>
      </c>
      <c r="G3469" s="6">
        <v>0.6705</v>
      </c>
    </row>
    <row r="3470" spans="1:7">
      <c r="A3470" s="6" t="s">
        <v>327</v>
      </c>
      <c r="B3470" s="6" t="s">
        <v>57</v>
      </c>
      <c r="C3470" s="6" t="s">
        <v>189</v>
      </c>
      <c r="D3470" s="6" t="s">
        <v>86</v>
      </c>
      <c r="E3470" s="6" t="s">
        <v>86</v>
      </c>
      <c r="F3470" s="6" t="b">
        <v>0</v>
      </c>
      <c r="G3470" s="6">
        <v>10.21041666666667</v>
      </c>
    </row>
    <row r="3471" spans="1:7">
      <c r="A3471" s="6" t="s">
        <v>327</v>
      </c>
      <c r="B3471" s="6" t="s">
        <v>57</v>
      </c>
      <c r="C3471" s="6" t="s">
        <v>189</v>
      </c>
      <c r="D3471" s="6" t="s">
        <v>88</v>
      </c>
      <c r="E3471" s="6" t="s">
        <v>88</v>
      </c>
      <c r="F3471" s="6" t="b">
        <v>0</v>
      </c>
      <c r="G3471" s="6">
        <v>10.24533333333333</v>
      </c>
    </row>
    <row r="3472" spans="1:7">
      <c r="A3472" s="6" t="s">
        <v>327</v>
      </c>
      <c r="B3472" s="6" t="s">
        <v>57</v>
      </c>
      <c r="C3472" s="6" t="s">
        <v>189</v>
      </c>
      <c r="D3472" s="6" t="s">
        <v>90</v>
      </c>
      <c r="E3472" s="6" t="s">
        <v>90</v>
      </c>
      <c r="F3472" s="6" t="b">
        <v>0</v>
      </c>
      <c r="G3472" s="6">
        <v>2.609833333333333</v>
      </c>
    </row>
    <row r="3473" spans="1:7">
      <c r="A3473" s="6" t="s">
        <v>328</v>
      </c>
      <c r="B3473" s="6" t="s">
        <v>58</v>
      </c>
      <c r="C3473" s="6" t="s">
        <v>181</v>
      </c>
      <c r="D3473" s="6" t="s">
        <v>88</v>
      </c>
      <c r="E3473" s="6" t="s">
        <v>88</v>
      </c>
      <c r="F3473" s="6" t="b">
        <v>0</v>
      </c>
      <c r="G3473" s="6">
        <v>0.1110833333333333</v>
      </c>
    </row>
    <row r="3474" spans="1:7">
      <c r="A3474" s="6" t="s">
        <v>328</v>
      </c>
      <c r="B3474" s="6" t="s">
        <v>58</v>
      </c>
      <c r="C3474" s="6" t="s">
        <v>184</v>
      </c>
      <c r="D3474" s="6" t="s">
        <v>44</v>
      </c>
      <c r="E3474" s="6" t="s">
        <v>44</v>
      </c>
      <c r="F3474" s="6" t="b">
        <v>0</v>
      </c>
      <c r="G3474" s="6">
        <v>1.863166666666667</v>
      </c>
    </row>
    <row r="3475" spans="1:7">
      <c r="A3475" s="6" t="s">
        <v>328</v>
      </c>
      <c r="B3475" s="6" t="s">
        <v>58</v>
      </c>
      <c r="C3475" s="6" t="s">
        <v>184</v>
      </c>
      <c r="D3475" s="6" t="s">
        <v>88</v>
      </c>
      <c r="E3475" s="6" t="s">
        <v>88</v>
      </c>
      <c r="F3475" s="6" t="b">
        <v>0</v>
      </c>
      <c r="G3475" s="6">
        <v>0.00675</v>
      </c>
    </row>
    <row r="3476" spans="1:7">
      <c r="A3476" s="6" t="s">
        <v>328</v>
      </c>
      <c r="B3476" s="6" t="s">
        <v>58</v>
      </c>
      <c r="C3476" s="6" t="s">
        <v>184</v>
      </c>
      <c r="D3476" s="6" t="s">
        <v>90</v>
      </c>
      <c r="E3476" s="6" t="s">
        <v>90</v>
      </c>
      <c r="F3476" s="6" t="b">
        <v>0</v>
      </c>
      <c r="G3476" s="6">
        <v>0.00225</v>
      </c>
    </row>
    <row r="3477" spans="1:7">
      <c r="A3477" s="6" t="s">
        <v>328</v>
      </c>
      <c r="B3477" s="6" t="s">
        <v>58</v>
      </c>
      <c r="C3477" s="6" t="s">
        <v>184</v>
      </c>
      <c r="D3477" s="6" t="s">
        <v>90</v>
      </c>
      <c r="E3477" s="6" t="s">
        <v>685</v>
      </c>
      <c r="F3477" s="6" t="b">
        <v>1</v>
      </c>
      <c r="G3477" s="6">
        <v>0.003416666666666667</v>
      </c>
    </row>
    <row r="3478" spans="1:7">
      <c r="A3478" s="6" t="s">
        <v>328</v>
      </c>
      <c r="B3478" s="6" t="s">
        <v>58</v>
      </c>
      <c r="C3478" s="6" t="s">
        <v>184</v>
      </c>
      <c r="D3478" s="6" t="s">
        <v>177</v>
      </c>
      <c r="E3478" s="6" t="s">
        <v>44</v>
      </c>
      <c r="F3478" s="6" t="b">
        <v>0</v>
      </c>
      <c r="G3478" s="6">
        <v>0.9667500000000001</v>
      </c>
    </row>
    <row r="3479" spans="1:7">
      <c r="A3479" s="6" t="s">
        <v>328</v>
      </c>
      <c r="B3479" s="6" t="s">
        <v>58</v>
      </c>
      <c r="C3479" s="6" t="s">
        <v>184</v>
      </c>
      <c r="D3479" s="6" t="s">
        <v>177</v>
      </c>
      <c r="E3479" s="6" t="s">
        <v>86</v>
      </c>
      <c r="F3479" s="6" t="b">
        <v>0</v>
      </c>
      <c r="G3479" s="6">
        <v>0.00525</v>
      </c>
    </row>
    <row r="3480" spans="1:7">
      <c r="A3480" s="6" t="s">
        <v>328</v>
      </c>
      <c r="B3480" s="6" t="s">
        <v>58</v>
      </c>
      <c r="C3480" s="6" t="s">
        <v>186</v>
      </c>
      <c r="D3480" s="6" t="s">
        <v>86</v>
      </c>
      <c r="E3480" s="6" t="s">
        <v>86</v>
      </c>
      <c r="F3480" s="6" t="b">
        <v>0</v>
      </c>
      <c r="G3480" s="6">
        <v>0.3839166666666667</v>
      </c>
    </row>
    <row r="3481" spans="1:7">
      <c r="A3481" s="6" t="s">
        <v>328</v>
      </c>
      <c r="B3481" s="6" t="s">
        <v>58</v>
      </c>
      <c r="C3481" s="6" t="s">
        <v>186</v>
      </c>
      <c r="D3481" s="6" t="s">
        <v>88</v>
      </c>
      <c r="E3481" s="6" t="s">
        <v>88</v>
      </c>
      <c r="F3481" s="6" t="b">
        <v>0</v>
      </c>
      <c r="G3481" s="6">
        <v>0.03033333333333333</v>
      </c>
    </row>
    <row r="3482" spans="1:7">
      <c r="A3482" s="6" t="s">
        <v>328</v>
      </c>
      <c r="B3482" s="6" t="s">
        <v>58</v>
      </c>
      <c r="C3482" s="6" t="s">
        <v>186</v>
      </c>
      <c r="D3482" s="6" t="s">
        <v>90</v>
      </c>
      <c r="E3482" s="6" t="s">
        <v>90</v>
      </c>
      <c r="F3482" s="6" t="b">
        <v>0</v>
      </c>
      <c r="G3482" s="6">
        <v>0.3485833333333333</v>
      </c>
    </row>
    <row r="3483" spans="1:7">
      <c r="A3483" s="6" t="s">
        <v>328</v>
      </c>
      <c r="B3483" s="6" t="s">
        <v>58</v>
      </c>
      <c r="C3483" s="6" t="s">
        <v>189</v>
      </c>
      <c r="D3483" s="6" t="s">
        <v>86</v>
      </c>
      <c r="E3483" s="6" t="s">
        <v>86</v>
      </c>
      <c r="F3483" s="6" t="b">
        <v>0</v>
      </c>
      <c r="G3483" s="6">
        <v>0.04583333333333334</v>
      </c>
    </row>
    <row r="3484" spans="1:7">
      <c r="A3484" s="6" t="s">
        <v>329</v>
      </c>
      <c r="B3484" s="6" t="s">
        <v>58</v>
      </c>
      <c r="C3484" s="6" t="s">
        <v>181</v>
      </c>
      <c r="D3484" s="6" t="s">
        <v>88</v>
      </c>
      <c r="E3484" s="6" t="s">
        <v>88</v>
      </c>
      <c r="F3484" s="6" t="b">
        <v>0</v>
      </c>
      <c r="G3484" s="6">
        <v>79.47891666666666</v>
      </c>
    </row>
    <row r="3485" spans="1:7">
      <c r="A3485" s="6" t="s">
        <v>329</v>
      </c>
      <c r="B3485" s="6" t="s">
        <v>58</v>
      </c>
      <c r="C3485" s="6" t="s">
        <v>181</v>
      </c>
      <c r="D3485" s="6" t="s">
        <v>90</v>
      </c>
      <c r="E3485" s="6" t="s">
        <v>90</v>
      </c>
      <c r="F3485" s="6" t="b">
        <v>0</v>
      </c>
      <c r="G3485" s="6">
        <v>0.082</v>
      </c>
    </row>
    <row r="3486" spans="1:7">
      <c r="A3486" s="6" t="s">
        <v>329</v>
      </c>
      <c r="B3486" s="6" t="s">
        <v>58</v>
      </c>
      <c r="C3486" s="6" t="s">
        <v>182</v>
      </c>
      <c r="D3486" s="6" t="s">
        <v>88</v>
      </c>
      <c r="E3486" s="6" t="s">
        <v>88</v>
      </c>
      <c r="F3486" s="6" t="b">
        <v>0</v>
      </c>
      <c r="G3486" s="6">
        <v>2.295</v>
      </c>
    </row>
    <row r="3487" spans="1:7">
      <c r="A3487" s="6" t="s">
        <v>329</v>
      </c>
      <c r="B3487" s="6" t="s">
        <v>58</v>
      </c>
      <c r="C3487" s="6" t="s">
        <v>183</v>
      </c>
      <c r="D3487" s="6" t="s">
        <v>86</v>
      </c>
      <c r="E3487" s="6" t="s">
        <v>86</v>
      </c>
      <c r="F3487" s="6" t="b">
        <v>0</v>
      </c>
      <c r="G3487" s="6">
        <v>0.02325</v>
      </c>
    </row>
    <row r="3488" spans="1:7">
      <c r="A3488" s="6" t="s">
        <v>329</v>
      </c>
      <c r="B3488" s="6" t="s">
        <v>58</v>
      </c>
      <c r="C3488" s="6" t="s">
        <v>183</v>
      </c>
      <c r="D3488" s="6" t="s">
        <v>88</v>
      </c>
      <c r="E3488" s="6" t="s">
        <v>88</v>
      </c>
      <c r="F3488" s="6" t="b">
        <v>0</v>
      </c>
      <c r="G3488" s="6">
        <v>0.523</v>
      </c>
    </row>
    <row r="3489" spans="1:7">
      <c r="A3489" s="6" t="s">
        <v>329</v>
      </c>
      <c r="B3489" s="6" t="s">
        <v>58</v>
      </c>
      <c r="C3489" s="6" t="s">
        <v>183</v>
      </c>
      <c r="D3489" s="6" t="s">
        <v>90</v>
      </c>
      <c r="E3489" s="6" t="s">
        <v>86</v>
      </c>
      <c r="F3489" s="6" t="b">
        <v>0</v>
      </c>
      <c r="G3489" s="6">
        <v>0.574</v>
      </c>
    </row>
    <row r="3490" spans="1:7">
      <c r="A3490" s="6" t="s">
        <v>329</v>
      </c>
      <c r="B3490" s="6" t="s">
        <v>58</v>
      </c>
      <c r="C3490" s="6" t="s">
        <v>183</v>
      </c>
      <c r="D3490" s="6" t="s">
        <v>90</v>
      </c>
      <c r="E3490" s="6" t="s">
        <v>90</v>
      </c>
      <c r="F3490" s="6" t="b">
        <v>0</v>
      </c>
      <c r="G3490" s="6">
        <v>0.4420833333333333</v>
      </c>
    </row>
    <row r="3491" spans="1:7">
      <c r="A3491" s="6" t="s">
        <v>329</v>
      </c>
      <c r="B3491" s="6" t="s">
        <v>58</v>
      </c>
      <c r="C3491" s="6" t="s">
        <v>183</v>
      </c>
      <c r="D3491" s="6" t="s">
        <v>177</v>
      </c>
      <c r="E3491" s="6" t="s">
        <v>86</v>
      </c>
      <c r="F3491" s="6" t="b">
        <v>0</v>
      </c>
      <c r="G3491" s="6">
        <v>0.05475</v>
      </c>
    </row>
    <row r="3492" spans="1:7">
      <c r="A3492" s="6" t="s">
        <v>329</v>
      </c>
      <c r="B3492" s="6" t="s">
        <v>58</v>
      </c>
      <c r="C3492" s="6" t="s">
        <v>183</v>
      </c>
      <c r="D3492" s="6" t="s">
        <v>177</v>
      </c>
      <c r="E3492" s="6" t="s">
        <v>685</v>
      </c>
      <c r="F3492" s="6" t="b">
        <v>1</v>
      </c>
      <c r="G3492" s="6">
        <v>0.0155</v>
      </c>
    </row>
    <row r="3493" spans="1:7">
      <c r="A3493" s="6" t="s">
        <v>329</v>
      </c>
      <c r="B3493" s="6" t="s">
        <v>58</v>
      </c>
      <c r="C3493" s="6" t="s">
        <v>184</v>
      </c>
      <c r="D3493" s="6" t="s">
        <v>44</v>
      </c>
      <c r="E3493" s="6" t="s">
        <v>44</v>
      </c>
      <c r="F3493" s="6" t="b">
        <v>0</v>
      </c>
      <c r="G3493" s="6">
        <v>1167.450666666667</v>
      </c>
    </row>
    <row r="3494" spans="1:7">
      <c r="A3494" s="6" t="s">
        <v>329</v>
      </c>
      <c r="B3494" s="6" t="s">
        <v>58</v>
      </c>
      <c r="C3494" s="6" t="s">
        <v>184</v>
      </c>
      <c r="D3494" s="6" t="s">
        <v>88</v>
      </c>
      <c r="E3494" s="6" t="s">
        <v>88</v>
      </c>
      <c r="F3494" s="6" t="b">
        <v>0</v>
      </c>
      <c r="G3494" s="6">
        <v>0.3649166666666667</v>
      </c>
    </row>
    <row r="3495" spans="1:7">
      <c r="A3495" s="6" t="s">
        <v>329</v>
      </c>
      <c r="B3495" s="6" t="s">
        <v>58</v>
      </c>
      <c r="C3495" s="6" t="s">
        <v>184</v>
      </c>
      <c r="D3495" s="6" t="s">
        <v>90</v>
      </c>
      <c r="E3495" s="6" t="s">
        <v>90</v>
      </c>
      <c r="F3495" s="6" t="b">
        <v>0</v>
      </c>
      <c r="G3495" s="6">
        <v>1.210666666666667</v>
      </c>
    </row>
    <row r="3496" spans="1:7">
      <c r="A3496" s="6" t="s">
        <v>329</v>
      </c>
      <c r="B3496" s="6" t="s">
        <v>58</v>
      </c>
      <c r="C3496" s="6" t="s">
        <v>184</v>
      </c>
      <c r="D3496" s="6" t="s">
        <v>90</v>
      </c>
      <c r="E3496" s="6" t="s">
        <v>685</v>
      </c>
      <c r="F3496" s="6" t="b">
        <v>1</v>
      </c>
      <c r="G3496" s="6">
        <v>0.85125</v>
      </c>
    </row>
    <row r="3497" spans="1:7">
      <c r="A3497" s="6" t="s">
        <v>329</v>
      </c>
      <c r="B3497" s="6" t="s">
        <v>58</v>
      </c>
      <c r="C3497" s="6" t="s">
        <v>184</v>
      </c>
      <c r="D3497" s="6" t="s">
        <v>177</v>
      </c>
      <c r="E3497" s="6" t="s">
        <v>44</v>
      </c>
      <c r="F3497" s="6" t="b">
        <v>0</v>
      </c>
      <c r="G3497" s="6">
        <v>485.3610833333333</v>
      </c>
    </row>
    <row r="3498" spans="1:7">
      <c r="A3498" s="6" t="s">
        <v>329</v>
      </c>
      <c r="B3498" s="6" t="s">
        <v>58</v>
      </c>
      <c r="C3498" s="6" t="s">
        <v>184</v>
      </c>
      <c r="D3498" s="6" t="s">
        <v>177</v>
      </c>
      <c r="E3498" s="6" t="s">
        <v>86</v>
      </c>
      <c r="F3498" s="6" t="b">
        <v>0</v>
      </c>
      <c r="G3498" s="6">
        <v>0.2275</v>
      </c>
    </row>
    <row r="3499" spans="1:7">
      <c r="A3499" s="6" t="s">
        <v>329</v>
      </c>
      <c r="B3499" s="6" t="s">
        <v>58</v>
      </c>
      <c r="C3499" s="6" t="s">
        <v>184</v>
      </c>
      <c r="D3499" s="6" t="s">
        <v>177</v>
      </c>
      <c r="E3499" s="6" t="s">
        <v>685</v>
      </c>
      <c r="F3499" s="6" t="b">
        <v>1</v>
      </c>
      <c r="G3499" s="6">
        <v>4.931833333333334</v>
      </c>
    </row>
    <row r="3500" spans="1:7">
      <c r="A3500" s="6" t="s">
        <v>329</v>
      </c>
      <c r="B3500" s="6" t="s">
        <v>58</v>
      </c>
      <c r="C3500" s="6" t="s">
        <v>185</v>
      </c>
      <c r="D3500" s="6" t="s">
        <v>44</v>
      </c>
      <c r="E3500" s="6" t="s">
        <v>44</v>
      </c>
      <c r="F3500" s="6" t="b">
        <v>0</v>
      </c>
      <c r="G3500" s="6">
        <v>82.28516666666667</v>
      </c>
    </row>
    <row r="3501" spans="1:7">
      <c r="A3501" s="6" t="s">
        <v>329</v>
      </c>
      <c r="B3501" s="6" t="s">
        <v>58</v>
      </c>
      <c r="C3501" s="6" t="s">
        <v>185</v>
      </c>
      <c r="D3501" s="6" t="s">
        <v>44</v>
      </c>
      <c r="E3501" s="6" t="s">
        <v>685</v>
      </c>
      <c r="F3501" s="6" t="b">
        <v>1</v>
      </c>
      <c r="G3501" s="6">
        <v>507.6876666666666</v>
      </c>
    </row>
    <row r="3502" spans="1:7">
      <c r="A3502" s="6" t="s">
        <v>329</v>
      </c>
      <c r="B3502" s="6" t="s">
        <v>58</v>
      </c>
      <c r="C3502" s="6" t="s">
        <v>186</v>
      </c>
      <c r="D3502" s="6" t="s">
        <v>86</v>
      </c>
      <c r="E3502" s="6" t="s">
        <v>86</v>
      </c>
      <c r="F3502" s="6" t="b">
        <v>0</v>
      </c>
      <c r="G3502" s="6">
        <v>204.3134166666667</v>
      </c>
    </row>
    <row r="3503" spans="1:7">
      <c r="A3503" s="6" t="s">
        <v>329</v>
      </c>
      <c r="B3503" s="6" t="s">
        <v>58</v>
      </c>
      <c r="C3503" s="6" t="s">
        <v>186</v>
      </c>
      <c r="D3503" s="6" t="s">
        <v>88</v>
      </c>
      <c r="E3503" s="6" t="s">
        <v>88</v>
      </c>
      <c r="F3503" s="6" t="b">
        <v>0</v>
      </c>
      <c r="G3503" s="6">
        <v>11.32975</v>
      </c>
    </row>
    <row r="3504" spans="1:7">
      <c r="A3504" s="6" t="s">
        <v>329</v>
      </c>
      <c r="B3504" s="6" t="s">
        <v>58</v>
      </c>
      <c r="C3504" s="6" t="s">
        <v>186</v>
      </c>
      <c r="D3504" s="6" t="s">
        <v>90</v>
      </c>
      <c r="E3504" s="6" t="s">
        <v>86</v>
      </c>
      <c r="F3504" s="6" t="b">
        <v>0</v>
      </c>
      <c r="G3504" s="6">
        <v>0.007083333333333334</v>
      </c>
    </row>
    <row r="3505" spans="1:7">
      <c r="A3505" s="6" t="s">
        <v>329</v>
      </c>
      <c r="B3505" s="6" t="s">
        <v>58</v>
      </c>
      <c r="C3505" s="6" t="s">
        <v>186</v>
      </c>
      <c r="D3505" s="6" t="s">
        <v>90</v>
      </c>
      <c r="E3505" s="6" t="s">
        <v>90</v>
      </c>
      <c r="F3505" s="6" t="b">
        <v>0</v>
      </c>
      <c r="G3505" s="6">
        <v>67.07283333333334</v>
      </c>
    </row>
    <row r="3506" spans="1:7">
      <c r="A3506" s="6" t="s">
        <v>329</v>
      </c>
      <c r="B3506" s="6" t="s">
        <v>58</v>
      </c>
      <c r="C3506" s="6" t="s">
        <v>186</v>
      </c>
      <c r="D3506" s="6" t="s">
        <v>177</v>
      </c>
      <c r="E3506" s="6" t="s">
        <v>86</v>
      </c>
      <c r="F3506" s="6" t="b">
        <v>0</v>
      </c>
      <c r="G3506" s="6">
        <v>2.2135</v>
      </c>
    </row>
    <row r="3507" spans="1:7">
      <c r="A3507" s="6" t="s">
        <v>329</v>
      </c>
      <c r="B3507" s="6" t="s">
        <v>58</v>
      </c>
      <c r="C3507" s="6" t="s">
        <v>188</v>
      </c>
      <c r="D3507" s="6" t="s">
        <v>86</v>
      </c>
      <c r="E3507" s="6" t="s">
        <v>86</v>
      </c>
      <c r="F3507" s="6" t="b">
        <v>0</v>
      </c>
      <c r="G3507" s="6">
        <v>7.952166666666667</v>
      </c>
    </row>
    <row r="3508" spans="1:7">
      <c r="A3508" s="6" t="s">
        <v>329</v>
      </c>
      <c r="B3508" s="6" t="s">
        <v>58</v>
      </c>
      <c r="C3508" s="6" t="s">
        <v>188</v>
      </c>
      <c r="D3508" s="6" t="s">
        <v>88</v>
      </c>
      <c r="E3508" s="6" t="s">
        <v>88</v>
      </c>
      <c r="F3508" s="6" t="b">
        <v>0</v>
      </c>
      <c r="G3508" s="6">
        <v>84.48491666666666</v>
      </c>
    </row>
    <row r="3509" spans="1:7">
      <c r="A3509" s="6" t="s">
        <v>329</v>
      </c>
      <c r="B3509" s="6" t="s">
        <v>58</v>
      </c>
      <c r="C3509" s="6" t="s">
        <v>189</v>
      </c>
      <c r="D3509" s="6" t="s">
        <v>86</v>
      </c>
      <c r="E3509" s="6" t="s">
        <v>86</v>
      </c>
      <c r="F3509" s="6" t="b">
        <v>0</v>
      </c>
      <c r="G3509" s="6">
        <v>10.63875</v>
      </c>
    </row>
    <row r="3510" spans="1:7">
      <c r="A3510" s="6" t="s">
        <v>329</v>
      </c>
      <c r="B3510" s="6" t="s">
        <v>58</v>
      </c>
      <c r="C3510" s="6" t="s">
        <v>189</v>
      </c>
      <c r="D3510" s="6" t="s">
        <v>88</v>
      </c>
      <c r="E3510" s="6" t="s">
        <v>88</v>
      </c>
      <c r="F3510" s="6" t="b">
        <v>0</v>
      </c>
      <c r="G3510" s="6">
        <v>13.9385</v>
      </c>
    </row>
    <row r="3511" spans="1:7">
      <c r="A3511" s="6" t="s">
        <v>329</v>
      </c>
      <c r="B3511" s="6" t="s">
        <v>58</v>
      </c>
      <c r="C3511" s="6" t="s">
        <v>189</v>
      </c>
      <c r="D3511" s="6" t="s">
        <v>90</v>
      </c>
      <c r="E3511" s="6" t="s">
        <v>90</v>
      </c>
      <c r="F3511" s="6" t="b">
        <v>0</v>
      </c>
      <c r="G3511" s="6">
        <v>2.427666666666667</v>
      </c>
    </row>
    <row r="3512" spans="1:7">
      <c r="A3512" s="6" t="s">
        <v>329</v>
      </c>
      <c r="B3512" s="6" t="s">
        <v>58</v>
      </c>
      <c r="C3512" s="6" t="s">
        <v>190</v>
      </c>
      <c r="D3512" s="6" t="s">
        <v>44</v>
      </c>
      <c r="E3512" s="6" t="s">
        <v>44</v>
      </c>
      <c r="F3512" s="6" t="b">
        <v>0</v>
      </c>
      <c r="G3512" s="6">
        <v>79.34991666666666</v>
      </c>
    </row>
    <row r="3513" spans="1:7">
      <c r="A3513" s="6" t="s">
        <v>329</v>
      </c>
      <c r="B3513" s="6" t="s">
        <v>58</v>
      </c>
      <c r="C3513" s="6" t="s">
        <v>190</v>
      </c>
      <c r="D3513" s="6" t="s">
        <v>86</v>
      </c>
      <c r="E3513" s="6" t="s">
        <v>44</v>
      </c>
      <c r="F3513" s="6" t="b">
        <v>0</v>
      </c>
      <c r="G3513" s="6">
        <v>3.936</v>
      </c>
    </row>
    <row r="3514" spans="1:7">
      <c r="A3514" s="6" t="s">
        <v>329</v>
      </c>
      <c r="B3514" s="6" t="s">
        <v>58</v>
      </c>
      <c r="C3514" s="6" t="s">
        <v>190</v>
      </c>
      <c r="D3514" s="6" t="s">
        <v>86</v>
      </c>
      <c r="E3514" s="6" t="s">
        <v>86</v>
      </c>
      <c r="F3514" s="6" t="b">
        <v>0</v>
      </c>
      <c r="G3514" s="6">
        <v>0.339</v>
      </c>
    </row>
    <row r="3515" spans="1:7">
      <c r="A3515" s="6" t="s">
        <v>329</v>
      </c>
      <c r="B3515" s="6" t="s">
        <v>58</v>
      </c>
      <c r="C3515" s="6" t="s">
        <v>190</v>
      </c>
      <c r="D3515" s="6" t="s">
        <v>88</v>
      </c>
      <c r="E3515" s="6" t="s">
        <v>88</v>
      </c>
      <c r="F3515" s="6" t="b">
        <v>0</v>
      </c>
      <c r="G3515" s="6">
        <v>0.005333333333333333</v>
      </c>
    </row>
    <row r="3516" spans="1:7">
      <c r="A3516" s="6" t="s">
        <v>329</v>
      </c>
      <c r="B3516" s="6" t="s">
        <v>58</v>
      </c>
      <c r="C3516" s="6" t="s">
        <v>190</v>
      </c>
      <c r="D3516" s="6" t="s">
        <v>90</v>
      </c>
      <c r="E3516" s="6" t="s">
        <v>44</v>
      </c>
      <c r="F3516" s="6" t="b">
        <v>0</v>
      </c>
      <c r="G3516" s="6">
        <v>3.543083333333333</v>
      </c>
    </row>
    <row r="3517" spans="1:7">
      <c r="A3517" s="6" t="s">
        <v>329</v>
      </c>
      <c r="B3517" s="6" t="s">
        <v>58</v>
      </c>
      <c r="C3517" s="6" t="s">
        <v>190</v>
      </c>
      <c r="D3517" s="6" t="s">
        <v>90</v>
      </c>
      <c r="E3517" s="6" t="s">
        <v>90</v>
      </c>
      <c r="F3517" s="6" t="b">
        <v>0</v>
      </c>
      <c r="G3517" s="6">
        <v>4.777083333333334</v>
      </c>
    </row>
    <row r="3518" spans="1:7">
      <c r="A3518" s="6" t="s">
        <v>329</v>
      </c>
      <c r="B3518" s="6" t="s">
        <v>58</v>
      </c>
      <c r="C3518" s="6" t="s">
        <v>190</v>
      </c>
      <c r="D3518" s="6" t="s">
        <v>177</v>
      </c>
      <c r="E3518" s="6" t="s">
        <v>44</v>
      </c>
      <c r="F3518" s="6" t="b">
        <v>0</v>
      </c>
      <c r="G3518" s="6">
        <v>30.8875</v>
      </c>
    </row>
    <row r="3519" spans="1:7">
      <c r="A3519" s="6" t="s">
        <v>329</v>
      </c>
      <c r="B3519" s="6" t="s">
        <v>58</v>
      </c>
      <c r="C3519" s="6" t="s">
        <v>190</v>
      </c>
      <c r="D3519" s="6" t="s">
        <v>177</v>
      </c>
      <c r="E3519" s="6" t="s">
        <v>86</v>
      </c>
      <c r="F3519" s="6" t="b">
        <v>0</v>
      </c>
      <c r="G3519" s="6">
        <v>0.4813333333333334</v>
      </c>
    </row>
    <row r="3520" spans="1:7">
      <c r="A3520" s="6" t="s">
        <v>329</v>
      </c>
      <c r="B3520" s="6" t="s">
        <v>58</v>
      </c>
      <c r="C3520" s="6" t="s">
        <v>190</v>
      </c>
      <c r="D3520" s="6" t="s">
        <v>92</v>
      </c>
      <c r="E3520" s="6" t="s">
        <v>92</v>
      </c>
      <c r="F3520" s="6" t="b">
        <v>0</v>
      </c>
      <c r="G3520" s="6">
        <v>0.5755</v>
      </c>
    </row>
    <row r="3521" spans="1:7">
      <c r="A3521" s="6" t="s">
        <v>330</v>
      </c>
      <c r="B3521" s="6" t="s">
        <v>52</v>
      </c>
      <c r="C3521" s="6" t="s">
        <v>181</v>
      </c>
      <c r="D3521" s="6" t="s">
        <v>88</v>
      </c>
      <c r="E3521" s="6" t="s">
        <v>88</v>
      </c>
      <c r="F3521" s="6" t="b">
        <v>0</v>
      </c>
      <c r="G3521" s="6">
        <v>3.363833333333333</v>
      </c>
    </row>
    <row r="3522" spans="1:7">
      <c r="A3522" s="6" t="s">
        <v>330</v>
      </c>
      <c r="B3522" s="6" t="s">
        <v>52</v>
      </c>
      <c r="C3522" s="6" t="s">
        <v>184</v>
      </c>
      <c r="D3522" s="6" t="s">
        <v>44</v>
      </c>
      <c r="E3522" s="6" t="s">
        <v>44</v>
      </c>
      <c r="F3522" s="6" t="b">
        <v>0</v>
      </c>
      <c r="G3522" s="6">
        <v>39.61641666666667</v>
      </c>
    </row>
    <row r="3523" spans="1:7">
      <c r="A3523" s="6" t="s">
        <v>330</v>
      </c>
      <c r="B3523" s="6" t="s">
        <v>52</v>
      </c>
      <c r="C3523" s="6" t="s">
        <v>184</v>
      </c>
      <c r="D3523" s="6" t="s">
        <v>44</v>
      </c>
      <c r="E3523" s="6" t="s">
        <v>685</v>
      </c>
      <c r="F3523" s="6" t="b">
        <v>1</v>
      </c>
      <c r="G3523" s="6">
        <v>14.16933333333333</v>
      </c>
    </row>
    <row r="3524" spans="1:7">
      <c r="A3524" s="6" t="s">
        <v>330</v>
      </c>
      <c r="B3524" s="6" t="s">
        <v>52</v>
      </c>
      <c r="C3524" s="6" t="s">
        <v>184</v>
      </c>
      <c r="D3524" s="6" t="s">
        <v>88</v>
      </c>
      <c r="E3524" s="6" t="s">
        <v>88</v>
      </c>
      <c r="F3524" s="6" t="b">
        <v>0</v>
      </c>
      <c r="G3524" s="6">
        <v>0.2816666666666667</v>
      </c>
    </row>
    <row r="3525" spans="1:7">
      <c r="A3525" s="6" t="s">
        <v>330</v>
      </c>
      <c r="B3525" s="6" t="s">
        <v>52</v>
      </c>
      <c r="C3525" s="6" t="s">
        <v>184</v>
      </c>
      <c r="D3525" s="6" t="s">
        <v>90</v>
      </c>
      <c r="E3525" s="6" t="s">
        <v>90</v>
      </c>
      <c r="F3525" s="6" t="b">
        <v>0</v>
      </c>
      <c r="G3525" s="6">
        <v>0.0525</v>
      </c>
    </row>
    <row r="3526" spans="1:7">
      <c r="A3526" s="6" t="s">
        <v>330</v>
      </c>
      <c r="B3526" s="6" t="s">
        <v>52</v>
      </c>
      <c r="C3526" s="6" t="s">
        <v>184</v>
      </c>
      <c r="D3526" s="6" t="s">
        <v>90</v>
      </c>
      <c r="E3526" s="6" t="s">
        <v>685</v>
      </c>
      <c r="F3526" s="6" t="b">
        <v>1</v>
      </c>
      <c r="G3526" s="6">
        <v>0.003416666666666667</v>
      </c>
    </row>
    <row r="3527" spans="1:7">
      <c r="A3527" s="6" t="s">
        <v>330</v>
      </c>
      <c r="B3527" s="6" t="s">
        <v>52</v>
      </c>
      <c r="C3527" s="6" t="s">
        <v>184</v>
      </c>
      <c r="D3527" s="6" t="s">
        <v>177</v>
      </c>
      <c r="E3527" s="6" t="s">
        <v>44</v>
      </c>
      <c r="F3527" s="6" t="b">
        <v>0</v>
      </c>
      <c r="G3527" s="6">
        <v>16.921</v>
      </c>
    </row>
    <row r="3528" spans="1:7">
      <c r="A3528" s="6" t="s">
        <v>330</v>
      </c>
      <c r="B3528" s="6" t="s">
        <v>52</v>
      </c>
      <c r="C3528" s="6" t="s">
        <v>184</v>
      </c>
      <c r="D3528" s="6" t="s">
        <v>177</v>
      </c>
      <c r="E3528" s="6" t="s">
        <v>86</v>
      </c>
      <c r="F3528" s="6" t="b">
        <v>0</v>
      </c>
      <c r="G3528" s="6">
        <v>0.055</v>
      </c>
    </row>
    <row r="3529" spans="1:7">
      <c r="A3529" s="6" t="s">
        <v>330</v>
      </c>
      <c r="B3529" s="6" t="s">
        <v>52</v>
      </c>
      <c r="C3529" s="6" t="s">
        <v>184</v>
      </c>
      <c r="D3529" s="6" t="s">
        <v>177</v>
      </c>
      <c r="E3529" s="6" t="s">
        <v>685</v>
      </c>
      <c r="F3529" s="6" t="b">
        <v>1</v>
      </c>
      <c r="G3529" s="6">
        <v>6.972833333333334</v>
      </c>
    </row>
    <row r="3530" spans="1:7">
      <c r="A3530" s="6" t="s">
        <v>330</v>
      </c>
      <c r="B3530" s="6" t="s">
        <v>52</v>
      </c>
      <c r="C3530" s="6" t="s">
        <v>186</v>
      </c>
      <c r="D3530" s="6" t="s">
        <v>86</v>
      </c>
      <c r="E3530" s="6" t="s">
        <v>86</v>
      </c>
      <c r="F3530" s="6" t="b">
        <v>0</v>
      </c>
      <c r="G3530" s="6">
        <v>20.88116666666667</v>
      </c>
    </row>
    <row r="3531" spans="1:7">
      <c r="A3531" s="6" t="s">
        <v>330</v>
      </c>
      <c r="B3531" s="6" t="s">
        <v>52</v>
      </c>
      <c r="C3531" s="6" t="s">
        <v>186</v>
      </c>
      <c r="D3531" s="6" t="s">
        <v>88</v>
      </c>
      <c r="E3531" s="6" t="s">
        <v>88</v>
      </c>
      <c r="F3531" s="6" t="b">
        <v>0</v>
      </c>
      <c r="G3531" s="6">
        <v>0.2915</v>
      </c>
    </row>
    <row r="3532" spans="1:7">
      <c r="A3532" s="6" t="s">
        <v>330</v>
      </c>
      <c r="B3532" s="6" t="s">
        <v>52</v>
      </c>
      <c r="C3532" s="6" t="s">
        <v>186</v>
      </c>
      <c r="D3532" s="6" t="s">
        <v>90</v>
      </c>
      <c r="E3532" s="6" t="s">
        <v>90</v>
      </c>
      <c r="F3532" s="6" t="b">
        <v>0</v>
      </c>
      <c r="G3532" s="6">
        <v>0.7779166666666666</v>
      </c>
    </row>
    <row r="3533" spans="1:7">
      <c r="A3533" s="6" t="s">
        <v>330</v>
      </c>
      <c r="B3533" s="6" t="s">
        <v>52</v>
      </c>
      <c r="C3533" s="6" t="s">
        <v>190</v>
      </c>
      <c r="D3533" s="6" t="s">
        <v>44</v>
      </c>
      <c r="E3533" s="6" t="s">
        <v>44</v>
      </c>
      <c r="F3533" s="6" t="b">
        <v>0</v>
      </c>
      <c r="G3533" s="6">
        <v>1.195666666666667</v>
      </c>
    </row>
    <row r="3534" spans="1:7">
      <c r="A3534" s="6" t="s">
        <v>330</v>
      </c>
      <c r="B3534" s="6" t="s">
        <v>52</v>
      </c>
      <c r="C3534" s="6" t="s">
        <v>190</v>
      </c>
      <c r="D3534" s="6" t="s">
        <v>88</v>
      </c>
      <c r="E3534" s="6" t="s">
        <v>88</v>
      </c>
      <c r="F3534" s="6" t="b">
        <v>0</v>
      </c>
      <c r="G3534" s="6">
        <v>1.322333333333333</v>
      </c>
    </row>
    <row r="3535" spans="1:7">
      <c r="A3535" s="6" t="s">
        <v>330</v>
      </c>
      <c r="B3535" s="6" t="s">
        <v>52</v>
      </c>
      <c r="C3535" s="6" t="s">
        <v>190</v>
      </c>
      <c r="D3535" s="6" t="s">
        <v>90</v>
      </c>
      <c r="E3535" s="6" t="s">
        <v>90</v>
      </c>
      <c r="F3535" s="6" t="b">
        <v>0</v>
      </c>
      <c r="G3535" s="6">
        <v>0.4846666666666666</v>
      </c>
    </row>
    <row r="3536" spans="1:7">
      <c r="A3536" s="6" t="s">
        <v>330</v>
      </c>
      <c r="B3536" s="6" t="s">
        <v>52</v>
      </c>
      <c r="C3536" s="6" t="s">
        <v>190</v>
      </c>
      <c r="D3536" s="6" t="s">
        <v>177</v>
      </c>
      <c r="E3536" s="6" t="s">
        <v>44</v>
      </c>
      <c r="F3536" s="6" t="b">
        <v>0</v>
      </c>
      <c r="G3536" s="6">
        <v>0.1286666666666667</v>
      </c>
    </row>
    <row r="3537" spans="1:7">
      <c r="A3537" s="6" t="s">
        <v>330</v>
      </c>
      <c r="B3537" s="6" t="s">
        <v>52</v>
      </c>
      <c r="C3537" s="6" t="s">
        <v>190</v>
      </c>
      <c r="D3537" s="6" t="s">
        <v>92</v>
      </c>
      <c r="E3537" s="6" t="s">
        <v>92</v>
      </c>
      <c r="F3537" s="6" t="b">
        <v>0</v>
      </c>
      <c r="G3537" s="6">
        <v>0.0375</v>
      </c>
    </row>
    <row r="3538" spans="1:7">
      <c r="A3538" s="6" t="s">
        <v>365</v>
      </c>
      <c r="B3538" s="6" t="s">
        <v>53</v>
      </c>
      <c r="C3538" s="6" t="s">
        <v>190</v>
      </c>
      <c r="D3538" s="6" t="s">
        <v>44</v>
      </c>
      <c r="E3538" s="6" t="s">
        <v>44</v>
      </c>
      <c r="F3538" s="6" t="b">
        <v>0</v>
      </c>
      <c r="G3538" s="6">
        <v>9.184833333333334</v>
      </c>
    </row>
    <row r="3539" spans="1:7">
      <c r="A3539" s="6" t="s">
        <v>365</v>
      </c>
      <c r="B3539" s="6" t="s">
        <v>53</v>
      </c>
      <c r="C3539" s="6" t="s">
        <v>190</v>
      </c>
      <c r="D3539" s="6" t="s">
        <v>86</v>
      </c>
      <c r="E3539" s="6" t="s">
        <v>44</v>
      </c>
      <c r="F3539" s="6" t="b">
        <v>0</v>
      </c>
      <c r="G3539" s="6">
        <v>1.845</v>
      </c>
    </row>
    <row r="3540" spans="1:7">
      <c r="A3540" s="6" t="s">
        <v>365</v>
      </c>
      <c r="B3540" s="6" t="s">
        <v>53</v>
      </c>
      <c r="C3540" s="6" t="s">
        <v>190</v>
      </c>
      <c r="D3540" s="6" t="s">
        <v>86</v>
      </c>
      <c r="E3540" s="6" t="s">
        <v>86</v>
      </c>
      <c r="F3540" s="6" t="b">
        <v>0</v>
      </c>
      <c r="G3540" s="6">
        <v>0.024</v>
      </c>
    </row>
    <row r="3541" spans="1:7">
      <c r="A3541" s="6" t="s">
        <v>365</v>
      </c>
      <c r="B3541" s="6" t="s">
        <v>53</v>
      </c>
      <c r="C3541" s="6" t="s">
        <v>190</v>
      </c>
      <c r="D3541" s="6" t="s">
        <v>90</v>
      </c>
      <c r="E3541" s="6" t="s">
        <v>44</v>
      </c>
      <c r="F3541" s="6" t="b">
        <v>0</v>
      </c>
      <c r="G3541" s="6">
        <v>1.551166666666667</v>
      </c>
    </row>
    <row r="3542" spans="1:7">
      <c r="A3542" s="6" t="s">
        <v>365</v>
      </c>
      <c r="B3542" s="6" t="s">
        <v>53</v>
      </c>
      <c r="C3542" s="6" t="s">
        <v>190</v>
      </c>
      <c r="D3542" s="6" t="s">
        <v>90</v>
      </c>
      <c r="E3542" s="6" t="s">
        <v>90</v>
      </c>
      <c r="F3542" s="6" t="b">
        <v>0</v>
      </c>
      <c r="G3542" s="6">
        <v>0.872</v>
      </c>
    </row>
    <row r="3543" spans="1:7">
      <c r="A3543" s="6" t="s">
        <v>365</v>
      </c>
      <c r="B3543" s="6" t="s">
        <v>53</v>
      </c>
      <c r="C3543" s="6" t="s">
        <v>190</v>
      </c>
      <c r="D3543" s="6" t="s">
        <v>177</v>
      </c>
      <c r="E3543" s="6" t="s">
        <v>44</v>
      </c>
      <c r="F3543" s="6" t="b">
        <v>0</v>
      </c>
      <c r="G3543" s="6">
        <v>8.96025</v>
      </c>
    </row>
    <row r="3544" spans="1:7">
      <c r="A3544" s="6" t="s">
        <v>331</v>
      </c>
      <c r="B3544" s="6" t="s">
        <v>58</v>
      </c>
      <c r="C3544" s="6" t="s">
        <v>181</v>
      </c>
      <c r="D3544" s="6" t="s">
        <v>88</v>
      </c>
      <c r="E3544" s="6" t="s">
        <v>88</v>
      </c>
      <c r="F3544" s="6" t="b">
        <v>0</v>
      </c>
      <c r="G3544" s="6">
        <v>22.39116666666667</v>
      </c>
    </row>
    <row r="3545" spans="1:7">
      <c r="A3545" s="6" t="s">
        <v>331</v>
      </c>
      <c r="B3545" s="6" t="s">
        <v>58</v>
      </c>
      <c r="C3545" s="6" t="s">
        <v>181</v>
      </c>
      <c r="D3545" s="6" t="s">
        <v>90</v>
      </c>
      <c r="E3545" s="6" t="s">
        <v>90</v>
      </c>
      <c r="F3545" s="6" t="b">
        <v>0</v>
      </c>
      <c r="G3545" s="6">
        <v>0.02275</v>
      </c>
    </row>
    <row r="3546" spans="1:7">
      <c r="A3546" s="6" t="s">
        <v>331</v>
      </c>
      <c r="B3546" s="6" t="s">
        <v>58</v>
      </c>
      <c r="C3546" s="6" t="s">
        <v>182</v>
      </c>
      <c r="D3546" s="6" t="s">
        <v>88</v>
      </c>
      <c r="E3546" s="6" t="s">
        <v>88</v>
      </c>
      <c r="F3546" s="6" t="b">
        <v>0</v>
      </c>
      <c r="G3546" s="6">
        <v>0.5775</v>
      </c>
    </row>
    <row r="3547" spans="1:7">
      <c r="A3547" s="6" t="s">
        <v>331</v>
      </c>
      <c r="B3547" s="6" t="s">
        <v>58</v>
      </c>
      <c r="C3547" s="6" t="s">
        <v>183</v>
      </c>
      <c r="D3547" s="6" t="s">
        <v>86</v>
      </c>
      <c r="E3547" s="6" t="s">
        <v>86</v>
      </c>
      <c r="F3547" s="6" t="b">
        <v>0</v>
      </c>
      <c r="G3547" s="6">
        <v>0.00425</v>
      </c>
    </row>
    <row r="3548" spans="1:7">
      <c r="A3548" s="6" t="s">
        <v>331</v>
      </c>
      <c r="B3548" s="6" t="s">
        <v>58</v>
      </c>
      <c r="C3548" s="6" t="s">
        <v>183</v>
      </c>
      <c r="D3548" s="6" t="s">
        <v>88</v>
      </c>
      <c r="E3548" s="6" t="s">
        <v>88</v>
      </c>
      <c r="F3548" s="6" t="b">
        <v>0</v>
      </c>
      <c r="G3548" s="6">
        <v>0.4423333333333333</v>
      </c>
    </row>
    <row r="3549" spans="1:7">
      <c r="A3549" s="6" t="s">
        <v>331</v>
      </c>
      <c r="B3549" s="6" t="s">
        <v>58</v>
      </c>
      <c r="C3549" s="6" t="s">
        <v>183</v>
      </c>
      <c r="D3549" s="6" t="s">
        <v>90</v>
      </c>
      <c r="E3549" s="6" t="s">
        <v>86</v>
      </c>
      <c r="F3549" s="6" t="b">
        <v>0</v>
      </c>
      <c r="G3549" s="6">
        <v>0.1841666666666667</v>
      </c>
    </row>
    <row r="3550" spans="1:7">
      <c r="A3550" s="6" t="s">
        <v>331</v>
      </c>
      <c r="B3550" s="6" t="s">
        <v>58</v>
      </c>
      <c r="C3550" s="6" t="s">
        <v>183</v>
      </c>
      <c r="D3550" s="6" t="s">
        <v>90</v>
      </c>
      <c r="E3550" s="6" t="s">
        <v>90</v>
      </c>
      <c r="F3550" s="6" t="b">
        <v>0</v>
      </c>
      <c r="G3550" s="6">
        <v>0.254</v>
      </c>
    </row>
    <row r="3551" spans="1:7">
      <c r="A3551" s="6" t="s">
        <v>331</v>
      </c>
      <c r="B3551" s="6" t="s">
        <v>58</v>
      </c>
      <c r="C3551" s="6" t="s">
        <v>183</v>
      </c>
      <c r="D3551" s="6" t="s">
        <v>177</v>
      </c>
      <c r="E3551" s="6" t="s">
        <v>86</v>
      </c>
      <c r="F3551" s="6" t="b">
        <v>0</v>
      </c>
      <c r="G3551" s="6">
        <v>0.0065</v>
      </c>
    </row>
    <row r="3552" spans="1:7">
      <c r="A3552" s="6" t="s">
        <v>331</v>
      </c>
      <c r="B3552" s="6" t="s">
        <v>58</v>
      </c>
      <c r="C3552" s="6" t="s">
        <v>183</v>
      </c>
      <c r="D3552" s="6" t="s">
        <v>177</v>
      </c>
      <c r="E3552" s="6" t="s">
        <v>685</v>
      </c>
      <c r="F3552" s="6" t="b">
        <v>1</v>
      </c>
      <c r="G3552" s="6">
        <v>0.0075</v>
      </c>
    </row>
    <row r="3553" spans="1:7">
      <c r="A3553" s="6" t="s">
        <v>331</v>
      </c>
      <c r="B3553" s="6" t="s">
        <v>58</v>
      </c>
      <c r="C3553" s="6" t="s">
        <v>184</v>
      </c>
      <c r="D3553" s="6" t="s">
        <v>44</v>
      </c>
      <c r="E3553" s="6" t="s">
        <v>44</v>
      </c>
      <c r="F3553" s="6" t="b">
        <v>0</v>
      </c>
      <c r="G3553" s="6">
        <v>373.7851666666666</v>
      </c>
    </row>
    <row r="3554" spans="1:7">
      <c r="A3554" s="6" t="s">
        <v>331</v>
      </c>
      <c r="B3554" s="6" t="s">
        <v>58</v>
      </c>
      <c r="C3554" s="6" t="s">
        <v>184</v>
      </c>
      <c r="D3554" s="6" t="s">
        <v>88</v>
      </c>
      <c r="E3554" s="6" t="s">
        <v>88</v>
      </c>
      <c r="F3554" s="6" t="b">
        <v>0</v>
      </c>
      <c r="G3554" s="6">
        <v>0.2101666666666667</v>
      </c>
    </row>
    <row r="3555" spans="1:7">
      <c r="A3555" s="6" t="s">
        <v>331</v>
      </c>
      <c r="B3555" s="6" t="s">
        <v>58</v>
      </c>
      <c r="C3555" s="6" t="s">
        <v>184</v>
      </c>
      <c r="D3555" s="6" t="s">
        <v>90</v>
      </c>
      <c r="E3555" s="6" t="s">
        <v>90</v>
      </c>
      <c r="F3555" s="6" t="b">
        <v>0</v>
      </c>
      <c r="G3555" s="6">
        <v>0.3786666666666667</v>
      </c>
    </row>
    <row r="3556" spans="1:7">
      <c r="A3556" s="6" t="s">
        <v>331</v>
      </c>
      <c r="B3556" s="6" t="s">
        <v>58</v>
      </c>
      <c r="C3556" s="6" t="s">
        <v>184</v>
      </c>
      <c r="D3556" s="6" t="s">
        <v>90</v>
      </c>
      <c r="E3556" s="6" t="s">
        <v>685</v>
      </c>
      <c r="F3556" s="6" t="b">
        <v>1</v>
      </c>
      <c r="G3556" s="6">
        <v>0.2794166666666667</v>
      </c>
    </row>
    <row r="3557" spans="1:7">
      <c r="A3557" s="6" t="s">
        <v>331</v>
      </c>
      <c r="B3557" s="6" t="s">
        <v>58</v>
      </c>
      <c r="C3557" s="6" t="s">
        <v>184</v>
      </c>
      <c r="D3557" s="6" t="s">
        <v>177</v>
      </c>
      <c r="E3557" s="6" t="s">
        <v>44</v>
      </c>
      <c r="F3557" s="6" t="b">
        <v>0</v>
      </c>
      <c r="G3557" s="6">
        <v>139.63875</v>
      </c>
    </row>
    <row r="3558" spans="1:7">
      <c r="A3558" s="6" t="s">
        <v>331</v>
      </c>
      <c r="B3558" s="6" t="s">
        <v>58</v>
      </c>
      <c r="C3558" s="6" t="s">
        <v>184</v>
      </c>
      <c r="D3558" s="6" t="s">
        <v>177</v>
      </c>
      <c r="E3558" s="6" t="s">
        <v>86</v>
      </c>
      <c r="F3558" s="6" t="b">
        <v>0</v>
      </c>
      <c r="G3558" s="6">
        <v>0.2</v>
      </c>
    </row>
    <row r="3559" spans="1:7">
      <c r="A3559" s="6" t="s">
        <v>331</v>
      </c>
      <c r="B3559" s="6" t="s">
        <v>58</v>
      </c>
      <c r="C3559" s="6" t="s">
        <v>184</v>
      </c>
      <c r="D3559" s="6" t="s">
        <v>177</v>
      </c>
      <c r="E3559" s="6" t="s">
        <v>685</v>
      </c>
      <c r="F3559" s="6" t="b">
        <v>1</v>
      </c>
      <c r="G3559" s="6">
        <v>3.724583333333333</v>
      </c>
    </row>
    <row r="3560" spans="1:7">
      <c r="A3560" s="6" t="s">
        <v>331</v>
      </c>
      <c r="B3560" s="6" t="s">
        <v>58</v>
      </c>
      <c r="C3560" s="6" t="s">
        <v>185</v>
      </c>
      <c r="D3560" s="6" t="s">
        <v>44</v>
      </c>
      <c r="E3560" s="6" t="s">
        <v>685</v>
      </c>
      <c r="F3560" s="6" t="b">
        <v>1</v>
      </c>
      <c r="G3560" s="6">
        <v>251.2989166666667</v>
      </c>
    </row>
    <row r="3561" spans="1:7">
      <c r="A3561" s="6" t="s">
        <v>331</v>
      </c>
      <c r="B3561" s="6" t="s">
        <v>58</v>
      </c>
      <c r="C3561" s="6" t="s">
        <v>186</v>
      </c>
      <c r="D3561" s="6" t="s">
        <v>86</v>
      </c>
      <c r="E3561" s="6" t="s">
        <v>86</v>
      </c>
      <c r="F3561" s="6" t="b">
        <v>0</v>
      </c>
      <c r="G3561" s="6">
        <v>63.82808333333333</v>
      </c>
    </row>
    <row r="3562" spans="1:7">
      <c r="A3562" s="6" t="s">
        <v>331</v>
      </c>
      <c r="B3562" s="6" t="s">
        <v>58</v>
      </c>
      <c r="C3562" s="6" t="s">
        <v>186</v>
      </c>
      <c r="D3562" s="6" t="s">
        <v>88</v>
      </c>
      <c r="E3562" s="6" t="s">
        <v>88</v>
      </c>
      <c r="F3562" s="6" t="b">
        <v>0</v>
      </c>
      <c r="G3562" s="6">
        <v>4.65875</v>
      </c>
    </row>
    <row r="3563" spans="1:7">
      <c r="A3563" s="6" t="s">
        <v>331</v>
      </c>
      <c r="B3563" s="6" t="s">
        <v>58</v>
      </c>
      <c r="C3563" s="6" t="s">
        <v>186</v>
      </c>
      <c r="D3563" s="6" t="s">
        <v>90</v>
      </c>
      <c r="E3563" s="6" t="s">
        <v>86</v>
      </c>
      <c r="F3563" s="6" t="b">
        <v>0</v>
      </c>
      <c r="G3563" s="6">
        <v>0.005666666666666667</v>
      </c>
    </row>
    <row r="3564" spans="1:7">
      <c r="A3564" s="6" t="s">
        <v>331</v>
      </c>
      <c r="B3564" s="6" t="s">
        <v>58</v>
      </c>
      <c r="C3564" s="6" t="s">
        <v>186</v>
      </c>
      <c r="D3564" s="6" t="s">
        <v>90</v>
      </c>
      <c r="E3564" s="6" t="s">
        <v>90</v>
      </c>
      <c r="F3564" s="6" t="b">
        <v>0</v>
      </c>
      <c r="G3564" s="6">
        <v>20.61516666666667</v>
      </c>
    </row>
    <row r="3565" spans="1:7">
      <c r="A3565" s="6" t="s">
        <v>331</v>
      </c>
      <c r="B3565" s="6" t="s">
        <v>58</v>
      </c>
      <c r="C3565" s="6" t="s">
        <v>186</v>
      </c>
      <c r="D3565" s="6" t="s">
        <v>177</v>
      </c>
      <c r="E3565" s="6" t="s">
        <v>86</v>
      </c>
      <c r="F3565" s="6" t="b">
        <v>0</v>
      </c>
      <c r="G3565" s="6">
        <v>0.8360833333333333</v>
      </c>
    </row>
    <row r="3566" spans="1:7">
      <c r="A3566" s="6" t="s">
        <v>331</v>
      </c>
      <c r="B3566" s="6" t="s">
        <v>58</v>
      </c>
      <c r="C3566" s="6" t="s">
        <v>188</v>
      </c>
      <c r="D3566" s="6" t="s">
        <v>86</v>
      </c>
      <c r="E3566" s="6" t="s">
        <v>86</v>
      </c>
      <c r="F3566" s="6" t="b">
        <v>0</v>
      </c>
      <c r="G3566" s="6">
        <v>1.05</v>
      </c>
    </row>
    <row r="3567" spans="1:7">
      <c r="A3567" s="6" t="s">
        <v>331</v>
      </c>
      <c r="B3567" s="6" t="s">
        <v>58</v>
      </c>
      <c r="C3567" s="6" t="s">
        <v>188</v>
      </c>
      <c r="D3567" s="6" t="s">
        <v>88</v>
      </c>
      <c r="E3567" s="6" t="s">
        <v>88</v>
      </c>
      <c r="F3567" s="6" t="b">
        <v>0</v>
      </c>
      <c r="G3567" s="6">
        <v>17.79666666666667</v>
      </c>
    </row>
    <row r="3568" spans="1:7">
      <c r="A3568" s="6" t="s">
        <v>331</v>
      </c>
      <c r="B3568" s="6" t="s">
        <v>58</v>
      </c>
      <c r="C3568" s="6" t="s">
        <v>189</v>
      </c>
      <c r="D3568" s="6" t="s">
        <v>86</v>
      </c>
      <c r="E3568" s="6" t="s">
        <v>86</v>
      </c>
      <c r="F3568" s="6" t="b">
        <v>0</v>
      </c>
      <c r="G3568" s="6">
        <v>1.734666666666667</v>
      </c>
    </row>
    <row r="3569" spans="1:7">
      <c r="A3569" s="6" t="s">
        <v>331</v>
      </c>
      <c r="B3569" s="6" t="s">
        <v>58</v>
      </c>
      <c r="C3569" s="6" t="s">
        <v>189</v>
      </c>
      <c r="D3569" s="6" t="s">
        <v>88</v>
      </c>
      <c r="E3569" s="6" t="s">
        <v>88</v>
      </c>
      <c r="F3569" s="6" t="b">
        <v>0</v>
      </c>
      <c r="G3569" s="6">
        <v>6.218666666666667</v>
      </c>
    </row>
    <row r="3570" spans="1:7">
      <c r="A3570" s="6" t="s">
        <v>331</v>
      </c>
      <c r="B3570" s="6" t="s">
        <v>58</v>
      </c>
      <c r="C3570" s="6" t="s">
        <v>189</v>
      </c>
      <c r="D3570" s="6" t="s">
        <v>90</v>
      </c>
      <c r="E3570" s="6" t="s">
        <v>90</v>
      </c>
      <c r="F3570" s="6" t="b">
        <v>0</v>
      </c>
      <c r="G3570" s="6">
        <v>0.3365</v>
      </c>
    </row>
    <row r="3571" spans="1:7">
      <c r="A3571" s="6" t="s">
        <v>331</v>
      </c>
      <c r="B3571" s="6" t="s">
        <v>58</v>
      </c>
      <c r="C3571" s="6" t="s">
        <v>190</v>
      </c>
      <c r="D3571" s="6" t="s">
        <v>44</v>
      </c>
      <c r="E3571" s="6" t="s">
        <v>44</v>
      </c>
      <c r="F3571" s="6" t="b">
        <v>0</v>
      </c>
      <c r="G3571" s="6">
        <v>19.72233333333334</v>
      </c>
    </row>
    <row r="3572" spans="1:7">
      <c r="A3572" s="6" t="s">
        <v>331</v>
      </c>
      <c r="B3572" s="6" t="s">
        <v>58</v>
      </c>
      <c r="C3572" s="6" t="s">
        <v>190</v>
      </c>
      <c r="D3572" s="6" t="s">
        <v>86</v>
      </c>
      <c r="E3572" s="6" t="s">
        <v>44</v>
      </c>
      <c r="F3572" s="6" t="b">
        <v>0</v>
      </c>
      <c r="G3572" s="6">
        <v>5.736583333333333</v>
      </c>
    </row>
    <row r="3573" spans="1:7">
      <c r="A3573" s="6" t="s">
        <v>331</v>
      </c>
      <c r="B3573" s="6" t="s">
        <v>58</v>
      </c>
      <c r="C3573" s="6" t="s">
        <v>190</v>
      </c>
      <c r="D3573" s="6" t="s">
        <v>86</v>
      </c>
      <c r="E3573" s="6" t="s">
        <v>86</v>
      </c>
      <c r="F3573" s="6" t="b">
        <v>0</v>
      </c>
      <c r="G3573" s="6">
        <v>0.2100833333333333</v>
      </c>
    </row>
    <row r="3574" spans="1:7">
      <c r="A3574" s="6" t="s">
        <v>331</v>
      </c>
      <c r="B3574" s="6" t="s">
        <v>58</v>
      </c>
      <c r="C3574" s="6" t="s">
        <v>190</v>
      </c>
      <c r="D3574" s="6" t="s">
        <v>90</v>
      </c>
      <c r="E3574" s="6" t="s">
        <v>44</v>
      </c>
      <c r="F3574" s="6" t="b">
        <v>0</v>
      </c>
      <c r="G3574" s="6">
        <v>4.738916666666666</v>
      </c>
    </row>
    <row r="3575" spans="1:7">
      <c r="A3575" s="6" t="s">
        <v>331</v>
      </c>
      <c r="B3575" s="6" t="s">
        <v>58</v>
      </c>
      <c r="C3575" s="6" t="s">
        <v>190</v>
      </c>
      <c r="D3575" s="6" t="s">
        <v>90</v>
      </c>
      <c r="E3575" s="6" t="s">
        <v>90</v>
      </c>
      <c r="F3575" s="6" t="b">
        <v>0</v>
      </c>
      <c r="G3575" s="6">
        <v>1.0845</v>
      </c>
    </row>
    <row r="3576" spans="1:7">
      <c r="A3576" s="6" t="s">
        <v>331</v>
      </c>
      <c r="B3576" s="6" t="s">
        <v>58</v>
      </c>
      <c r="C3576" s="6" t="s">
        <v>190</v>
      </c>
      <c r="D3576" s="6" t="s">
        <v>177</v>
      </c>
      <c r="E3576" s="6" t="s">
        <v>44</v>
      </c>
      <c r="F3576" s="6" t="b">
        <v>0</v>
      </c>
      <c r="G3576" s="6">
        <v>15.558</v>
      </c>
    </row>
    <row r="3577" spans="1:7">
      <c r="A3577" s="6" t="s">
        <v>331</v>
      </c>
      <c r="B3577" s="6" t="s">
        <v>58</v>
      </c>
      <c r="C3577" s="6" t="s">
        <v>190</v>
      </c>
      <c r="D3577" s="6" t="s">
        <v>177</v>
      </c>
      <c r="E3577" s="6" t="s">
        <v>86</v>
      </c>
      <c r="F3577" s="6" t="b">
        <v>0</v>
      </c>
      <c r="G3577" s="6">
        <v>0.1413333333333333</v>
      </c>
    </row>
    <row r="3578" spans="1:7">
      <c r="A3578" s="6" t="s">
        <v>331</v>
      </c>
      <c r="B3578" s="6" t="s">
        <v>58</v>
      </c>
      <c r="C3578" s="6" t="s">
        <v>190</v>
      </c>
      <c r="D3578" s="6" t="s">
        <v>92</v>
      </c>
      <c r="E3578" s="6" t="s">
        <v>92</v>
      </c>
      <c r="F3578" s="6" t="b">
        <v>0</v>
      </c>
      <c r="G3578" s="6">
        <v>0.56225</v>
      </c>
    </row>
    <row r="3579" spans="1:7">
      <c r="A3579" s="6" t="s">
        <v>332</v>
      </c>
      <c r="B3579" s="6" t="s">
        <v>55</v>
      </c>
      <c r="C3579" s="6" t="s">
        <v>181</v>
      </c>
      <c r="D3579" s="6" t="s">
        <v>88</v>
      </c>
      <c r="E3579" s="6" t="s">
        <v>88</v>
      </c>
      <c r="F3579" s="6" t="b">
        <v>0</v>
      </c>
      <c r="G3579" s="6">
        <v>66.77708333333334</v>
      </c>
    </row>
    <row r="3580" spans="1:7">
      <c r="A3580" s="6" t="s">
        <v>332</v>
      </c>
      <c r="B3580" s="6" t="s">
        <v>55</v>
      </c>
      <c r="C3580" s="6" t="s">
        <v>181</v>
      </c>
      <c r="D3580" s="6" t="s">
        <v>90</v>
      </c>
      <c r="E3580" s="6" t="s">
        <v>90</v>
      </c>
      <c r="F3580" s="6" t="b">
        <v>0</v>
      </c>
      <c r="G3580" s="6">
        <v>0.03025</v>
      </c>
    </row>
    <row r="3581" spans="1:7">
      <c r="A3581" s="6" t="s">
        <v>332</v>
      </c>
      <c r="B3581" s="6" t="s">
        <v>55</v>
      </c>
      <c r="C3581" s="6" t="s">
        <v>183</v>
      </c>
      <c r="D3581" s="6" t="s">
        <v>86</v>
      </c>
      <c r="E3581" s="6" t="s">
        <v>86</v>
      </c>
      <c r="F3581" s="6" t="b">
        <v>0</v>
      </c>
      <c r="G3581" s="6">
        <v>0.1094166666666667</v>
      </c>
    </row>
    <row r="3582" spans="1:7">
      <c r="A3582" s="6" t="s">
        <v>332</v>
      </c>
      <c r="B3582" s="6" t="s">
        <v>55</v>
      </c>
      <c r="C3582" s="6" t="s">
        <v>183</v>
      </c>
      <c r="D3582" s="6" t="s">
        <v>88</v>
      </c>
      <c r="E3582" s="6" t="s">
        <v>88</v>
      </c>
      <c r="F3582" s="6" t="b">
        <v>0</v>
      </c>
      <c r="G3582" s="6">
        <v>1.53075</v>
      </c>
    </row>
    <row r="3583" spans="1:7">
      <c r="A3583" s="6" t="s">
        <v>332</v>
      </c>
      <c r="B3583" s="6" t="s">
        <v>55</v>
      </c>
      <c r="C3583" s="6" t="s">
        <v>183</v>
      </c>
      <c r="D3583" s="6" t="s">
        <v>90</v>
      </c>
      <c r="E3583" s="6" t="s">
        <v>86</v>
      </c>
      <c r="F3583" s="6" t="b">
        <v>0</v>
      </c>
      <c r="G3583" s="6">
        <v>0.4523333333333333</v>
      </c>
    </row>
    <row r="3584" spans="1:7">
      <c r="A3584" s="6" t="s">
        <v>332</v>
      </c>
      <c r="B3584" s="6" t="s">
        <v>55</v>
      </c>
      <c r="C3584" s="6" t="s">
        <v>183</v>
      </c>
      <c r="D3584" s="6" t="s">
        <v>90</v>
      </c>
      <c r="E3584" s="6" t="s">
        <v>90</v>
      </c>
      <c r="F3584" s="6" t="b">
        <v>0</v>
      </c>
      <c r="G3584" s="6">
        <v>0.3045833333333334</v>
      </c>
    </row>
    <row r="3585" spans="1:7">
      <c r="A3585" s="6" t="s">
        <v>332</v>
      </c>
      <c r="B3585" s="6" t="s">
        <v>55</v>
      </c>
      <c r="C3585" s="6" t="s">
        <v>183</v>
      </c>
      <c r="D3585" s="6" t="s">
        <v>177</v>
      </c>
      <c r="E3585" s="6" t="s">
        <v>86</v>
      </c>
      <c r="F3585" s="6" t="b">
        <v>0</v>
      </c>
      <c r="G3585" s="6">
        <v>0.112</v>
      </c>
    </row>
    <row r="3586" spans="1:7">
      <c r="A3586" s="6" t="s">
        <v>332</v>
      </c>
      <c r="B3586" s="6" t="s">
        <v>55</v>
      </c>
      <c r="C3586" s="6" t="s">
        <v>183</v>
      </c>
      <c r="D3586" s="6" t="s">
        <v>177</v>
      </c>
      <c r="E3586" s="6" t="s">
        <v>685</v>
      </c>
      <c r="F3586" s="6" t="b">
        <v>1</v>
      </c>
      <c r="G3586" s="6">
        <v>0.0615</v>
      </c>
    </row>
    <row r="3587" spans="1:7">
      <c r="A3587" s="6" t="s">
        <v>332</v>
      </c>
      <c r="B3587" s="6" t="s">
        <v>55</v>
      </c>
      <c r="C3587" s="6" t="s">
        <v>184</v>
      </c>
      <c r="D3587" s="6" t="s">
        <v>44</v>
      </c>
      <c r="E3587" s="6" t="s">
        <v>44</v>
      </c>
      <c r="F3587" s="6" t="b">
        <v>0</v>
      </c>
      <c r="G3587" s="6">
        <v>848.0015</v>
      </c>
    </row>
    <row r="3588" spans="1:7">
      <c r="A3588" s="6" t="s">
        <v>332</v>
      </c>
      <c r="B3588" s="6" t="s">
        <v>55</v>
      </c>
      <c r="C3588" s="6" t="s">
        <v>184</v>
      </c>
      <c r="D3588" s="6" t="s">
        <v>86</v>
      </c>
      <c r="E3588" s="6" t="s">
        <v>86</v>
      </c>
      <c r="F3588" s="6" t="b">
        <v>0</v>
      </c>
      <c r="G3588" s="6">
        <v>1.125</v>
      </c>
    </row>
    <row r="3589" spans="1:7">
      <c r="A3589" s="6" t="s">
        <v>332</v>
      </c>
      <c r="B3589" s="6" t="s">
        <v>55</v>
      </c>
      <c r="C3589" s="6" t="s">
        <v>184</v>
      </c>
      <c r="D3589" s="6" t="s">
        <v>88</v>
      </c>
      <c r="E3589" s="6" t="s">
        <v>88</v>
      </c>
      <c r="F3589" s="6" t="b">
        <v>0</v>
      </c>
      <c r="G3589" s="6">
        <v>0.6881666666666667</v>
      </c>
    </row>
    <row r="3590" spans="1:7">
      <c r="A3590" s="6" t="s">
        <v>332</v>
      </c>
      <c r="B3590" s="6" t="s">
        <v>55</v>
      </c>
      <c r="C3590" s="6" t="s">
        <v>184</v>
      </c>
      <c r="D3590" s="6" t="s">
        <v>90</v>
      </c>
      <c r="E3590" s="6" t="s">
        <v>90</v>
      </c>
      <c r="F3590" s="6" t="b">
        <v>0</v>
      </c>
      <c r="G3590" s="6">
        <v>1.8995</v>
      </c>
    </row>
    <row r="3591" spans="1:7">
      <c r="A3591" s="6" t="s">
        <v>332</v>
      </c>
      <c r="B3591" s="6" t="s">
        <v>55</v>
      </c>
      <c r="C3591" s="6" t="s">
        <v>184</v>
      </c>
      <c r="D3591" s="6" t="s">
        <v>90</v>
      </c>
      <c r="E3591" s="6" t="s">
        <v>685</v>
      </c>
      <c r="F3591" s="6" t="b">
        <v>1</v>
      </c>
      <c r="G3591" s="6">
        <v>2.282333333333333</v>
      </c>
    </row>
    <row r="3592" spans="1:7">
      <c r="A3592" s="6" t="s">
        <v>332</v>
      </c>
      <c r="B3592" s="6" t="s">
        <v>55</v>
      </c>
      <c r="C3592" s="6" t="s">
        <v>184</v>
      </c>
      <c r="D3592" s="6" t="s">
        <v>177</v>
      </c>
      <c r="E3592" s="6" t="s">
        <v>44</v>
      </c>
      <c r="F3592" s="6" t="b">
        <v>0</v>
      </c>
      <c r="G3592" s="6">
        <v>757.5367500000001</v>
      </c>
    </row>
    <row r="3593" spans="1:7">
      <c r="A3593" s="6" t="s">
        <v>332</v>
      </c>
      <c r="B3593" s="6" t="s">
        <v>55</v>
      </c>
      <c r="C3593" s="6" t="s">
        <v>184</v>
      </c>
      <c r="D3593" s="6" t="s">
        <v>177</v>
      </c>
      <c r="E3593" s="6" t="s">
        <v>86</v>
      </c>
      <c r="F3593" s="6" t="b">
        <v>0</v>
      </c>
      <c r="G3593" s="6">
        <v>1.38875</v>
      </c>
    </row>
    <row r="3594" spans="1:7">
      <c r="A3594" s="6" t="s">
        <v>332</v>
      </c>
      <c r="B3594" s="6" t="s">
        <v>55</v>
      </c>
      <c r="C3594" s="6" t="s">
        <v>184</v>
      </c>
      <c r="D3594" s="6" t="s">
        <v>177</v>
      </c>
      <c r="E3594" s="6" t="s">
        <v>685</v>
      </c>
      <c r="F3594" s="6" t="b">
        <v>1</v>
      </c>
      <c r="G3594" s="6">
        <v>28.22</v>
      </c>
    </row>
    <row r="3595" spans="1:7">
      <c r="A3595" s="6" t="s">
        <v>332</v>
      </c>
      <c r="B3595" s="6" t="s">
        <v>55</v>
      </c>
      <c r="C3595" s="6" t="s">
        <v>186</v>
      </c>
      <c r="D3595" s="6" t="s">
        <v>86</v>
      </c>
      <c r="E3595" s="6" t="s">
        <v>86</v>
      </c>
      <c r="F3595" s="6" t="b">
        <v>0</v>
      </c>
      <c r="G3595" s="6">
        <v>269.3424166666667</v>
      </c>
    </row>
    <row r="3596" spans="1:7">
      <c r="A3596" s="6" t="s">
        <v>332</v>
      </c>
      <c r="B3596" s="6" t="s">
        <v>55</v>
      </c>
      <c r="C3596" s="6" t="s">
        <v>186</v>
      </c>
      <c r="D3596" s="6" t="s">
        <v>88</v>
      </c>
      <c r="E3596" s="6" t="s">
        <v>88</v>
      </c>
      <c r="F3596" s="6" t="b">
        <v>0</v>
      </c>
      <c r="G3596" s="6">
        <v>9.756416666666667</v>
      </c>
    </row>
    <row r="3597" spans="1:7">
      <c r="A3597" s="6" t="s">
        <v>332</v>
      </c>
      <c r="B3597" s="6" t="s">
        <v>55</v>
      </c>
      <c r="C3597" s="6" t="s">
        <v>186</v>
      </c>
      <c r="D3597" s="6" t="s">
        <v>90</v>
      </c>
      <c r="E3597" s="6" t="s">
        <v>86</v>
      </c>
      <c r="F3597" s="6" t="b">
        <v>0</v>
      </c>
      <c r="G3597" s="6">
        <v>0.01416666666666667</v>
      </c>
    </row>
    <row r="3598" spans="1:7">
      <c r="A3598" s="6" t="s">
        <v>332</v>
      </c>
      <c r="B3598" s="6" t="s">
        <v>55</v>
      </c>
      <c r="C3598" s="6" t="s">
        <v>186</v>
      </c>
      <c r="D3598" s="6" t="s">
        <v>90</v>
      </c>
      <c r="E3598" s="6" t="s">
        <v>90</v>
      </c>
      <c r="F3598" s="6" t="b">
        <v>0</v>
      </c>
      <c r="G3598" s="6">
        <v>74.21333333333332</v>
      </c>
    </row>
    <row r="3599" spans="1:7">
      <c r="A3599" s="6" t="s">
        <v>332</v>
      </c>
      <c r="B3599" s="6" t="s">
        <v>55</v>
      </c>
      <c r="C3599" s="6" t="s">
        <v>186</v>
      </c>
      <c r="D3599" s="6" t="s">
        <v>177</v>
      </c>
      <c r="E3599" s="6" t="s">
        <v>86</v>
      </c>
      <c r="F3599" s="6" t="b">
        <v>0</v>
      </c>
      <c r="G3599" s="6">
        <v>1.976666666666667</v>
      </c>
    </row>
    <row r="3600" spans="1:7">
      <c r="A3600" s="6" t="s">
        <v>332</v>
      </c>
      <c r="B3600" s="6" t="s">
        <v>55</v>
      </c>
      <c r="C3600" s="6" t="s">
        <v>187</v>
      </c>
      <c r="D3600" s="6" t="s">
        <v>86</v>
      </c>
      <c r="E3600" s="6" t="s">
        <v>86</v>
      </c>
      <c r="F3600" s="6" t="b">
        <v>0</v>
      </c>
      <c r="G3600" s="6">
        <v>76.61366666666667</v>
      </c>
    </row>
    <row r="3601" spans="1:7">
      <c r="A3601" s="6" t="s">
        <v>332</v>
      </c>
      <c r="B3601" s="6" t="s">
        <v>55</v>
      </c>
      <c r="C3601" s="6" t="s">
        <v>187</v>
      </c>
      <c r="D3601" s="6" t="s">
        <v>88</v>
      </c>
      <c r="E3601" s="6" t="s">
        <v>88</v>
      </c>
      <c r="F3601" s="6" t="b">
        <v>0</v>
      </c>
      <c r="G3601" s="6">
        <v>236.7689166666667</v>
      </c>
    </row>
    <row r="3602" spans="1:7">
      <c r="A3602" s="6" t="s">
        <v>332</v>
      </c>
      <c r="B3602" s="6" t="s">
        <v>55</v>
      </c>
      <c r="C3602" s="6" t="s">
        <v>188</v>
      </c>
      <c r="D3602" s="6" t="s">
        <v>86</v>
      </c>
      <c r="E3602" s="6" t="s">
        <v>86</v>
      </c>
      <c r="F3602" s="6" t="b">
        <v>0</v>
      </c>
      <c r="G3602" s="6">
        <v>86.22166666666668</v>
      </c>
    </row>
    <row r="3603" spans="1:7">
      <c r="A3603" s="6" t="s">
        <v>332</v>
      </c>
      <c r="B3603" s="6" t="s">
        <v>55</v>
      </c>
      <c r="C3603" s="6" t="s">
        <v>188</v>
      </c>
      <c r="D3603" s="6" t="s">
        <v>88</v>
      </c>
      <c r="E3603" s="6" t="s">
        <v>88</v>
      </c>
      <c r="F3603" s="6" t="b">
        <v>0</v>
      </c>
      <c r="G3603" s="6">
        <v>443.4735</v>
      </c>
    </row>
    <row r="3604" spans="1:7">
      <c r="A3604" s="6" t="s">
        <v>332</v>
      </c>
      <c r="B3604" s="6" t="s">
        <v>55</v>
      </c>
      <c r="C3604" s="6" t="s">
        <v>189</v>
      </c>
      <c r="D3604" s="6" t="s">
        <v>86</v>
      </c>
      <c r="E3604" s="6" t="s">
        <v>86</v>
      </c>
      <c r="F3604" s="6" t="b">
        <v>0</v>
      </c>
      <c r="G3604" s="6">
        <v>29.76591666666667</v>
      </c>
    </row>
    <row r="3605" spans="1:7">
      <c r="A3605" s="6" t="s">
        <v>332</v>
      </c>
      <c r="B3605" s="6" t="s">
        <v>55</v>
      </c>
      <c r="C3605" s="6" t="s">
        <v>189</v>
      </c>
      <c r="D3605" s="6" t="s">
        <v>88</v>
      </c>
      <c r="E3605" s="6" t="s">
        <v>88</v>
      </c>
      <c r="F3605" s="6" t="b">
        <v>0</v>
      </c>
      <c r="G3605" s="6">
        <v>48.22433333333333</v>
      </c>
    </row>
    <row r="3606" spans="1:7">
      <c r="A3606" s="6" t="s">
        <v>332</v>
      </c>
      <c r="B3606" s="6" t="s">
        <v>55</v>
      </c>
      <c r="C3606" s="6" t="s">
        <v>189</v>
      </c>
      <c r="D3606" s="6" t="s">
        <v>90</v>
      </c>
      <c r="E3606" s="6" t="s">
        <v>90</v>
      </c>
      <c r="F3606" s="6" t="b">
        <v>0</v>
      </c>
      <c r="G3606" s="6">
        <v>7.127416666666666</v>
      </c>
    </row>
    <row r="3607" spans="1:7">
      <c r="A3607" s="6" t="s">
        <v>332</v>
      </c>
      <c r="B3607" s="6" t="s">
        <v>55</v>
      </c>
      <c r="C3607" s="6" t="s">
        <v>190</v>
      </c>
      <c r="D3607" s="6" t="s">
        <v>44</v>
      </c>
      <c r="E3607" s="6" t="s">
        <v>44</v>
      </c>
      <c r="F3607" s="6" t="b">
        <v>0</v>
      </c>
      <c r="G3607" s="6">
        <v>37.82733333333334</v>
      </c>
    </row>
    <row r="3608" spans="1:7">
      <c r="A3608" s="6" t="s">
        <v>332</v>
      </c>
      <c r="B3608" s="6" t="s">
        <v>55</v>
      </c>
      <c r="C3608" s="6" t="s">
        <v>190</v>
      </c>
      <c r="D3608" s="6" t="s">
        <v>86</v>
      </c>
      <c r="E3608" s="6" t="s">
        <v>44</v>
      </c>
      <c r="F3608" s="6" t="b">
        <v>0</v>
      </c>
      <c r="G3608" s="6">
        <v>0.9634999999999999</v>
      </c>
    </row>
    <row r="3609" spans="1:7">
      <c r="A3609" s="6" t="s">
        <v>332</v>
      </c>
      <c r="B3609" s="6" t="s">
        <v>55</v>
      </c>
      <c r="C3609" s="6" t="s">
        <v>190</v>
      </c>
      <c r="D3609" s="6" t="s">
        <v>86</v>
      </c>
      <c r="E3609" s="6" t="s">
        <v>86</v>
      </c>
      <c r="F3609" s="6" t="b">
        <v>0</v>
      </c>
      <c r="G3609" s="6">
        <v>0.03083333333333333</v>
      </c>
    </row>
    <row r="3610" spans="1:7">
      <c r="A3610" s="6" t="s">
        <v>332</v>
      </c>
      <c r="B3610" s="6" t="s">
        <v>55</v>
      </c>
      <c r="C3610" s="6" t="s">
        <v>190</v>
      </c>
      <c r="D3610" s="6" t="s">
        <v>90</v>
      </c>
      <c r="E3610" s="6" t="s">
        <v>44</v>
      </c>
      <c r="F3610" s="6" t="b">
        <v>0</v>
      </c>
      <c r="G3610" s="6">
        <v>1.233416666666667</v>
      </c>
    </row>
    <row r="3611" spans="1:7">
      <c r="A3611" s="6" t="s">
        <v>332</v>
      </c>
      <c r="B3611" s="6" t="s">
        <v>55</v>
      </c>
      <c r="C3611" s="6" t="s">
        <v>190</v>
      </c>
      <c r="D3611" s="6" t="s">
        <v>90</v>
      </c>
      <c r="E3611" s="6" t="s">
        <v>90</v>
      </c>
      <c r="F3611" s="6" t="b">
        <v>0</v>
      </c>
      <c r="G3611" s="6">
        <v>5.551416666666667</v>
      </c>
    </row>
    <row r="3612" spans="1:7">
      <c r="A3612" s="6" t="s">
        <v>332</v>
      </c>
      <c r="B3612" s="6" t="s">
        <v>55</v>
      </c>
      <c r="C3612" s="6" t="s">
        <v>190</v>
      </c>
      <c r="D3612" s="6" t="s">
        <v>177</v>
      </c>
      <c r="E3612" s="6" t="s">
        <v>44</v>
      </c>
      <c r="F3612" s="6" t="b">
        <v>0</v>
      </c>
      <c r="G3612" s="6">
        <v>29.79225</v>
      </c>
    </row>
    <row r="3613" spans="1:7">
      <c r="A3613" s="6" t="s">
        <v>332</v>
      </c>
      <c r="B3613" s="6" t="s">
        <v>55</v>
      </c>
      <c r="C3613" s="6" t="s">
        <v>190</v>
      </c>
      <c r="D3613" s="6" t="s">
        <v>177</v>
      </c>
      <c r="E3613" s="6" t="s">
        <v>86</v>
      </c>
      <c r="F3613" s="6" t="b">
        <v>0</v>
      </c>
      <c r="G3613" s="6">
        <v>0.2866666666666667</v>
      </c>
    </row>
    <row r="3614" spans="1:7">
      <c r="A3614" s="6" t="s">
        <v>332</v>
      </c>
      <c r="B3614" s="6" t="s">
        <v>55</v>
      </c>
      <c r="C3614" s="6" t="s">
        <v>190</v>
      </c>
      <c r="D3614" s="6" t="s">
        <v>92</v>
      </c>
      <c r="E3614" s="6" t="s">
        <v>92</v>
      </c>
      <c r="F3614" s="6" t="b">
        <v>0</v>
      </c>
      <c r="G3614" s="6">
        <v>1.032916666666667</v>
      </c>
    </row>
    <row r="3615" spans="1:7">
      <c r="A3615" s="6" t="s">
        <v>375</v>
      </c>
      <c r="B3615" s="6" t="s">
        <v>55</v>
      </c>
      <c r="C3615" s="6" t="s">
        <v>181</v>
      </c>
      <c r="D3615" s="6" t="s">
        <v>88</v>
      </c>
      <c r="E3615" s="6" t="s">
        <v>88</v>
      </c>
      <c r="F3615" s="6" t="b">
        <v>0</v>
      </c>
      <c r="G3615" s="6">
        <v>0.3616666666666666</v>
      </c>
    </row>
    <row r="3616" spans="1:7">
      <c r="A3616" s="6" t="s">
        <v>375</v>
      </c>
      <c r="B3616" s="6" t="s">
        <v>55</v>
      </c>
      <c r="C3616" s="6" t="s">
        <v>183</v>
      </c>
      <c r="D3616" s="6" t="s">
        <v>88</v>
      </c>
      <c r="E3616" s="6" t="s">
        <v>88</v>
      </c>
      <c r="F3616" s="6" t="b">
        <v>0</v>
      </c>
      <c r="G3616" s="6">
        <v>0.012</v>
      </c>
    </row>
    <row r="3617" spans="1:7">
      <c r="A3617" s="6" t="s">
        <v>375</v>
      </c>
      <c r="B3617" s="6" t="s">
        <v>55</v>
      </c>
      <c r="C3617" s="6" t="s">
        <v>183</v>
      </c>
      <c r="D3617" s="6" t="s">
        <v>90</v>
      </c>
      <c r="E3617" s="6" t="s">
        <v>86</v>
      </c>
      <c r="F3617" s="6" t="b">
        <v>0</v>
      </c>
      <c r="G3617" s="6">
        <v>0.006416666666666667</v>
      </c>
    </row>
    <row r="3618" spans="1:7">
      <c r="A3618" s="6" t="s">
        <v>375</v>
      </c>
      <c r="B3618" s="6" t="s">
        <v>55</v>
      </c>
      <c r="C3618" s="6" t="s">
        <v>183</v>
      </c>
      <c r="D3618" s="6" t="s">
        <v>90</v>
      </c>
      <c r="E3618" s="6" t="s">
        <v>90</v>
      </c>
      <c r="F3618" s="6" t="b">
        <v>0</v>
      </c>
      <c r="G3618" s="6">
        <v>0.0015</v>
      </c>
    </row>
    <row r="3619" spans="1:7">
      <c r="A3619" s="6" t="s">
        <v>375</v>
      </c>
      <c r="B3619" s="6" t="s">
        <v>55</v>
      </c>
      <c r="C3619" s="6" t="s">
        <v>183</v>
      </c>
      <c r="D3619" s="6" t="s">
        <v>177</v>
      </c>
      <c r="E3619" s="6" t="s">
        <v>685</v>
      </c>
      <c r="F3619" s="6" t="b">
        <v>1</v>
      </c>
      <c r="G3619" s="6">
        <v>0.0005</v>
      </c>
    </row>
    <row r="3620" spans="1:7">
      <c r="A3620" s="6" t="s">
        <v>375</v>
      </c>
      <c r="B3620" s="6" t="s">
        <v>55</v>
      </c>
      <c r="C3620" s="6" t="s">
        <v>184</v>
      </c>
      <c r="D3620" s="6" t="s">
        <v>44</v>
      </c>
      <c r="E3620" s="6" t="s">
        <v>44</v>
      </c>
      <c r="F3620" s="6" t="b">
        <v>0</v>
      </c>
      <c r="G3620" s="6">
        <v>0.6135</v>
      </c>
    </row>
    <row r="3621" spans="1:7">
      <c r="A3621" s="6" t="s">
        <v>375</v>
      </c>
      <c r="B3621" s="6" t="s">
        <v>55</v>
      </c>
      <c r="C3621" s="6" t="s">
        <v>184</v>
      </c>
      <c r="D3621" s="6" t="s">
        <v>88</v>
      </c>
      <c r="E3621" s="6" t="s">
        <v>88</v>
      </c>
      <c r="F3621" s="6" t="b">
        <v>0</v>
      </c>
      <c r="G3621" s="6">
        <v>0.01633333333333334</v>
      </c>
    </row>
    <row r="3622" spans="1:7">
      <c r="A3622" s="6" t="s">
        <v>375</v>
      </c>
      <c r="B3622" s="6" t="s">
        <v>55</v>
      </c>
      <c r="C3622" s="6" t="s">
        <v>184</v>
      </c>
      <c r="D3622" s="6" t="s">
        <v>177</v>
      </c>
      <c r="E3622" s="6" t="s">
        <v>44</v>
      </c>
      <c r="F3622" s="6" t="b">
        <v>0</v>
      </c>
      <c r="G3622" s="6">
        <v>3.157</v>
      </c>
    </row>
    <row r="3623" spans="1:7">
      <c r="A3623" s="6" t="s">
        <v>375</v>
      </c>
      <c r="B3623" s="6" t="s">
        <v>55</v>
      </c>
      <c r="C3623" s="6" t="s">
        <v>184</v>
      </c>
      <c r="D3623" s="6" t="s">
        <v>177</v>
      </c>
      <c r="E3623" s="6" t="s">
        <v>685</v>
      </c>
      <c r="F3623" s="6" t="b">
        <v>1</v>
      </c>
      <c r="G3623" s="6">
        <v>0.1354166666666667</v>
      </c>
    </row>
    <row r="3624" spans="1:7">
      <c r="A3624" s="6" t="s">
        <v>375</v>
      </c>
      <c r="B3624" s="6" t="s">
        <v>55</v>
      </c>
      <c r="C3624" s="6" t="s">
        <v>186</v>
      </c>
      <c r="D3624" s="6" t="s">
        <v>86</v>
      </c>
      <c r="E3624" s="6" t="s">
        <v>86</v>
      </c>
      <c r="F3624" s="6" t="b">
        <v>0</v>
      </c>
      <c r="G3624" s="6">
        <v>1.182</v>
      </c>
    </row>
    <row r="3625" spans="1:7">
      <c r="A3625" s="6" t="s">
        <v>375</v>
      </c>
      <c r="B3625" s="6" t="s">
        <v>55</v>
      </c>
      <c r="C3625" s="6" t="s">
        <v>186</v>
      </c>
      <c r="D3625" s="6" t="s">
        <v>88</v>
      </c>
      <c r="E3625" s="6" t="s">
        <v>88</v>
      </c>
      <c r="F3625" s="6" t="b">
        <v>0</v>
      </c>
      <c r="G3625" s="6">
        <v>0.02783333333333333</v>
      </c>
    </row>
    <row r="3626" spans="1:7">
      <c r="A3626" s="6" t="s">
        <v>375</v>
      </c>
      <c r="B3626" s="6" t="s">
        <v>55</v>
      </c>
      <c r="C3626" s="6" t="s">
        <v>186</v>
      </c>
      <c r="D3626" s="6" t="s">
        <v>90</v>
      </c>
      <c r="E3626" s="6" t="s">
        <v>90</v>
      </c>
      <c r="F3626" s="6" t="b">
        <v>0</v>
      </c>
      <c r="G3626" s="6">
        <v>0.39025</v>
      </c>
    </row>
    <row r="3627" spans="1:7">
      <c r="A3627" s="6" t="s">
        <v>375</v>
      </c>
      <c r="B3627" s="6" t="s">
        <v>55</v>
      </c>
      <c r="C3627" s="6" t="s">
        <v>186</v>
      </c>
      <c r="D3627" s="6" t="s">
        <v>177</v>
      </c>
      <c r="E3627" s="6" t="s">
        <v>86</v>
      </c>
      <c r="F3627" s="6" t="b">
        <v>0</v>
      </c>
      <c r="G3627" s="6">
        <v>0.01233333333333333</v>
      </c>
    </row>
    <row r="3628" spans="1:7">
      <c r="A3628" s="6" t="s">
        <v>375</v>
      </c>
      <c r="B3628" s="6" t="s">
        <v>55</v>
      </c>
      <c r="C3628" s="6" t="s">
        <v>189</v>
      </c>
      <c r="D3628" s="6" t="s">
        <v>86</v>
      </c>
      <c r="E3628" s="6" t="s">
        <v>86</v>
      </c>
      <c r="F3628" s="6" t="b">
        <v>0</v>
      </c>
      <c r="G3628" s="6">
        <v>0.22825</v>
      </c>
    </row>
    <row r="3629" spans="1:7">
      <c r="A3629" s="6" t="s">
        <v>375</v>
      </c>
      <c r="B3629" s="6" t="s">
        <v>55</v>
      </c>
      <c r="C3629" s="6" t="s">
        <v>189</v>
      </c>
      <c r="D3629" s="6" t="s">
        <v>88</v>
      </c>
      <c r="E3629" s="6" t="s">
        <v>88</v>
      </c>
      <c r="F3629" s="6" t="b">
        <v>0</v>
      </c>
      <c r="G3629" s="6">
        <v>0.006249999999999999</v>
      </c>
    </row>
    <row r="3630" spans="1:7">
      <c r="A3630" s="6" t="s">
        <v>375</v>
      </c>
      <c r="B3630" s="6" t="s">
        <v>55</v>
      </c>
      <c r="C3630" s="6" t="s">
        <v>189</v>
      </c>
      <c r="D3630" s="6" t="s">
        <v>90</v>
      </c>
      <c r="E3630" s="6" t="s">
        <v>90</v>
      </c>
      <c r="F3630" s="6" t="b">
        <v>0</v>
      </c>
      <c r="G3630" s="6">
        <v>0.005500000000000001</v>
      </c>
    </row>
    <row r="3631" spans="1:7">
      <c r="A3631" s="6" t="s">
        <v>333</v>
      </c>
      <c r="B3631" s="6" t="s">
        <v>51</v>
      </c>
      <c r="C3631" s="6" t="s">
        <v>181</v>
      </c>
      <c r="D3631" s="6" t="s">
        <v>88</v>
      </c>
      <c r="E3631" s="6" t="s">
        <v>88</v>
      </c>
      <c r="F3631" s="6" t="b">
        <v>0</v>
      </c>
      <c r="G3631" s="6">
        <v>21.54908333333333</v>
      </c>
    </row>
    <row r="3632" spans="1:7">
      <c r="A3632" s="6" t="s">
        <v>333</v>
      </c>
      <c r="B3632" s="6" t="s">
        <v>51</v>
      </c>
      <c r="C3632" s="6" t="s">
        <v>181</v>
      </c>
      <c r="D3632" s="6" t="s">
        <v>90</v>
      </c>
      <c r="E3632" s="6" t="s">
        <v>90</v>
      </c>
      <c r="F3632" s="6" t="b">
        <v>0</v>
      </c>
      <c r="G3632" s="6">
        <v>0.01583333333333333</v>
      </c>
    </row>
    <row r="3633" spans="1:7">
      <c r="A3633" s="6" t="s">
        <v>333</v>
      </c>
      <c r="B3633" s="6" t="s">
        <v>51</v>
      </c>
      <c r="C3633" s="6" t="s">
        <v>183</v>
      </c>
      <c r="D3633" s="6" t="s">
        <v>86</v>
      </c>
      <c r="E3633" s="6" t="s">
        <v>86</v>
      </c>
      <c r="F3633" s="6" t="b">
        <v>0</v>
      </c>
      <c r="G3633" s="6">
        <v>0.001833333333333333</v>
      </c>
    </row>
    <row r="3634" spans="1:7">
      <c r="A3634" s="6" t="s">
        <v>333</v>
      </c>
      <c r="B3634" s="6" t="s">
        <v>51</v>
      </c>
      <c r="C3634" s="6" t="s">
        <v>183</v>
      </c>
      <c r="D3634" s="6" t="s">
        <v>88</v>
      </c>
      <c r="E3634" s="6" t="s">
        <v>88</v>
      </c>
      <c r="F3634" s="6" t="b">
        <v>0</v>
      </c>
      <c r="G3634" s="6">
        <v>0.1778333333333333</v>
      </c>
    </row>
    <row r="3635" spans="1:7">
      <c r="A3635" s="6" t="s">
        <v>333</v>
      </c>
      <c r="B3635" s="6" t="s">
        <v>51</v>
      </c>
      <c r="C3635" s="6" t="s">
        <v>183</v>
      </c>
      <c r="D3635" s="6" t="s">
        <v>90</v>
      </c>
      <c r="E3635" s="6" t="s">
        <v>86</v>
      </c>
      <c r="F3635" s="6" t="b">
        <v>0</v>
      </c>
      <c r="G3635" s="6">
        <v>0.03441666666666666</v>
      </c>
    </row>
    <row r="3636" spans="1:7">
      <c r="A3636" s="6" t="s">
        <v>333</v>
      </c>
      <c r="B3636" s="6" t="s">
        <v>51</v>
      </c>
      <c r="C3636" s="6" t="s">
        <v>183</v>
      </c>
      <c r="D3636" s="6" t="s">
        <v>90</v>
      </c>
      <c r="E3636" s="6" t="s">
        <v>90</v>
      </c>
      <c r="F3636" s="6" t="b">
        <v>0</v>
      </c>
      <c r="G3636" s="6">
        <v>0.04508333333333334</v>
      </c>
    </row>
    <row r="3637" spans="1:7">
      <c r="A3637" s="6" t="s">
        <v>333</v>
      </c>
      <c r="B3637" s="6" t="s">
        <v>51</v>
      </c>
      <c r="C3637" s="6" t="s">
        <v>183</v>
      </c>
      <c r="D3637" s="6" t="s">
        <v>177</v>
      </c>
      <c r="E3637" s="6" t="s">
        <v>86</v>
      </c>
      <c r="F3637" s="6" t="b">
        <v>0</v>
      </c>
      <c r="G3637" s="6">
        <v>0.002166666666666667</v>
      </c>
    </row>
    <row r="3638" spans="1:7">
      <c r="A3638" s="6" t="s">
        <v>333</v>
      </c>
      <c r="B3638" s="6" t="s">
        <v>51</v>
      </c>
      <c r="C3638" s="6" t="s">
        <v>183</v>
      </c>
      <c r="D3638" s="6" t="s">
        <v>177</v>
      </c>
      <c r="E3638" s="6" t="s">
        <v>685</v>
      </c>
      <c r="F3638" s="6" t="b">
        <v>1</v>
      </c>
      <c r="G3638" s="6">
        <v>0.008</v>
      </c>
    </row>
    <row r="3639" spans="1:7">
      <c r="A3639" s="6" t="s">
        <v>333</v>
      </c>
      <c r="B3639" s="6" t="s">
        <v>51</v>
      </c>
      <c r="C3639" s="6" t="s">
        <v>184</v>
      </c>
      <c r="D3639" s="6" t="s">
        <v>44</v>
      </c>
      <c r="E3639" s="6" t="s">
        <v>44</v>
      </c>
      <c r="F3639" s="6" t="b">
        <v>0</v>
      </c>
      <c r="G3639" s="6">
        <v>243.7320833333333</v>
      </c>
    </row>
    <row r="3640" spans="1:7">
      <c r="A3640" s="6" t="s">
        <v>333</v>
      </c>
      <c r="B3640" s="6" t="s">
        <v>51</v>
      </c>
      <c r="C3640" s="6" t="s">
        <v>184</v>
      </c>
      <c r="D3640" s="6" t="s">
        <v>88</v>
      </c>
      <c r="E3640" s="6" t="s">
        <v>88</v>
      </c>
      <c r="F3640" s="6" t="b">
        <v>0</v>
      </c>
      <c r="G3640" s="6">
        <v>0.07516666666666667</v>
      </c>
    </row>
    <row r="3641" spans="1:7">
      <c r="A3641" s="6" t="s">
        <v>333</v>
      </c>
      <c r="B3641" s="6" t="s">
        <v>51</v>
      </c>
      <c r="C3641" s="6" t="s">
        <v>184</v>
      </c>
      <c r="D3641" s="6" t="s">
        <v>90</v>
      </c>
      <c r="E3641" s="6" t="s">
        <v>90</v>
      </c>
      <c r="F3641" s="6" t="b">
        <v>0</v>
      </c>
      <c r="G3641" s="6">
        <v>0.9625833333333333</v>
      </c>
    </row>
    <row r="3642" spans="1:7">
      <c r="A3642" s="6" t="s">
        <v>333</v>
      </c>
      <c r="B3642" s="6" t="s">
        <v>51</v>
      </c>
      <c r="C3642" s="6" t="s">
        <v>184</v>
      </c>
      <c r="D3642" s="6" t="s">
        <v>90</v>
      </c>
      <c r="E3642" s="6" t="s">
        <v>685</v>
      </c>
      <c r="F3642" s="6" t="b">
        <v>1</v>
      </c>
      <c r="G3642" s="6">
        <v>1.126666666666667</v>
      </c>
    </row>
    <row r="3643" spans="1:7">
      <c r="A3643" s="6" t="s">
        <v>333</v>
      </c>
      <c r="B3643" s="6" t="s">
        <v>51</v>
      </c>
      <c r="C3643" s="6" t="s">
        <v>184</v>
      </c>
      <c r="D3643" s="6" t="s">
        <v>177</v>
      </c>
      <c r="E3643" s="6" t="s">
        <v>44</v>
      </c>
      <c r="F3643" s="6" t="b">
        <v>0</v>
      </c>
      <c r="G3643" s="6">
        <v>128.94725</v>
      </c>
    </row>
    <row r="3644" spans="1:7">
      <c r="A3644" s="6" t="s">
        <v>333</v>
      </c>
      <c r="B3644" s="6" t="s">
        <v>51</v>
      </c>
      <c r="C3644" s="6" t="s">
        <v>184</v>
      </c>
      <c r="D3644" s="6" t="s">
        <v>177</v>
      </c>
      <c r="E3644" s="6" t="s">
        <v>86</v>
      </c>
      <c r="F3644" s="6" t="b">
        <v>0</v>
      </c>
      <c r="G3644" s="6">
        <v>0.20375</v>
      </c>
    </row>
    <row r="3645" spans="1:7">
      <c r="A3645" s="6" t="s">
        <v>333</v>
      </c>
      <c r="B3645" s="6" t="s">
        <v>51</v>
      </c>
      <c r="C3645" s="6" t="s">
        <v>184</v>
      </c>
      <c r="D3645" s="6" t="s">
        <v>177</v>
      </c>
      <c r="E3645" s="6" t="s">
        <v>685</v>
      </c>
      <c r="F3645" s="6" t="b">
        <v>1</v>
      </c>
      <c r="G3645" s="6">
        <v>1.5785</v>
      </c>
    </row>
    <row r="3646" spans="1:7">
      <c r="A3646" s="6" t="s">
        <v>333</v>
      </c>
      <c r="B3646" s="6" t="s">
        <v>51</v>
      </c>
      <c r="C3646" s="6" t="s">
        <v>186</v>
      </c>
      <c r="D3646" s="6" t="s">
        <v>86</v>
      </c>
      <c r="E3646" s="6" t="s">
        <v>86</v>
      </c>
      <c r="F3646" s="6" t="b">
        <v>0</v>
      </c>
      <c r="G3646" s="6">
        <v>50.14975</v>
      </c>
    </row>
    <row r="3647" spans="1:7">
      <c r="A3647" s="6" t="s">
        <v>333</v>
      </c>
      <c r="B3647" s="6" t="s">
        <v>51</v>
      </c>
      <c r="C3647" s="6" t="s">
        <v>186</v>
      </c>
      <c r="D3647" s="6" t="s">
        <v>88</v>
      </c>
      <c r="E3647" s="6" t="s">
        <v>88</v>
      </c>
      <c r="F3647" s="6" t="b">
        <v>0</v>
      </c>
      <c r="G3647" s="6">
        <v>3.48725</v>
      </c>
    </row>
    <row r="3648" spans="1:7">
      <c r="A3648" s="6" t="s">
        <v>333</v>
      </c>
      <c r="B3648" s="6" t="s">
        <v>51</v>
      </c>
      <c r="C3648" s="6" t="s">
        <v>186</v>
      </c>
      <c r="D3648" s="6" t="s">
        <v>90</v>
      </c>
      <c r="E3648" s="6" t="s">
        <v>90</v>
      </c>
      <c r="F3648" s="6" t="b">
        <v>0</v>
      </c>
      <c r="G3648" s="6">
        <v>17.37066666666667</v>
      </c>
    </row>
    <row r="3649" spans="1:7">
      <c r="A3649" s="6" t="s">
        <v>333</v>
      </c>
      <c r="B3649" s="6" t="s">
        <v>51</v>
      </c>
      <c r="C3649" s="6" t="s">
        <v>186</v>
      </c>
      <c r="D3649" s="6" t="s">
        <v>177</v>
      </c>
      <c r="E3649" s="6" t="s">
        <v>86</v>
      </c>
      <c r="F3649" s="6" t="b">
        <v>0</v>
      </c>
      <c r="G3649" s="6">
        <v>0.27475</v>
      </c>
    </row>
    <row r="3650" spans="1:7">
      <c r="A3650" s="6" t="s">
        <v>333</v>
      </c>
      <c r="B3650" s="6" t="s">
        <v>51</v>
      </c>
      <c r="C3650" s="6" t="s">
        <v>189</v>
      </c>
      <c r="D3650" s="6" t="s">
        <v>86</v>
      </c>
      <c r="E3650" s="6" t="s">
        <v>86</v>
      </c>
      <c r="F3650" s="6" t="b">
        <v>0</v>
      </c>
      <c r="G3650" s="6">
        <v>2.338083333333333</v>
      </c>
    </row>
    <row r="3651" spans="1:7">
      <c r="A3651" s="6" t="s">
        <v>333</v>
      </c>
      <c r="B3651" s="6" t="s">
        <v>51</v>
      </c>
      <c r="C3651" s="6" t="s">
        <v>189</v>
      </c>
      <c r="D3651" s="6" t="s">
        <v>88</v>
      </c>
      <c r="E3651" s="6" t="s">
        <v>88</v>
      </c>
      <c r="F3651" s="6" t="b">
        <v>0</v>
      </c>
      <c r="G3651" s="6">
        <v>2.52475</v>
      </c>
    </row>
    <row r="3652" spans="1:7">
      <c r="A3652" s="6" t="s">
        <v>333</v>
      </c>
      <c r="B3652" s="6" t="s">
        <v>51</v>
      </c>
      <c r="C3652" s="6" t="s">
        <v>189</v>
      </c>
      <c r="D3652" s="6" t="s">
        <v>90</v>
      </c>
      <c r="E3652" s="6" t="s">
        <v>90</v>
      </c>
      <c r="F3652" s="6" t="b">
        <v>0</v>
      </c>
      <c r="G3652" s="6">
        <v>0.4915833333333333</v>
      </c>
    </row>
    <row r="3653" spans="1:7">
      <c r="A3653" s="6" t="s">
        <v>333</v>
      </c>
      <c r="B3653" s="6" t="s">
        <v>51</v>
      </c>
      <c r="C3653" s="6" t="s">
        <v>190</v>
      </c>
      <c r="D3653" s="6" t="s">
        <v>44</v>
      </c>
      <c r="E3653" s="6" t="s">
        <v>44</v>
      </c>
      <c r="F3653" s="6" t="b">
        <v>0</v>
      </c>
      <c r="G3653" s="6">
        <v>5.97275</v>
      </c>
    </row>
    <row r="3654" spans="1:7">
      <c r="A3654" s="6" t="s">
        <v>333</v>
      </c>
      <c r="B3654" s="6" t="s">
        <v>51</v>
      </c>
      <c r="C3654" s="6" t="s">
        <v>190</v>
      </c>
      <c r="D3654" s="6" t="s">
        <v>86</v>
      </c>
      <c r="E3654" s="6" t="s">
        <v>44</v>
      </c>
      <c r="F3654" s="6" t="b">
        <v>0</v>
      </c>
      <c r="G3654" s="6">
        <v>1.48625</v>
      </c>
    </row>
    <row r="3655" spans="1:7">
      <c r="A3655" s="6" t="s">
        <v>333</v>
      </c>
      <c r="B3655" s="6" t="s">
        <v>51</v>
      </c>
      <c r="C3655" s="6" t="s">
        <v>190</v>
      </c>
      <c r="D3655" s="6" t="s">
        <v>90</v>
      </c>
      <c r="E3655" s="6" t="s">
        <v>44</v>
      </c>
      <c r="F3655" s="6" t="b">
        <v>0</v>
      </c>
      <c r="G3655" s="6">
        <v>1.469166666666667</v>
      </c>
    </row>
    <row r="3656" spans="1:7">
      <c r="A3656" s="6" t="s">
        <v>333</v>
      </c>
      <c r="B3656" s="6" t="s">
        <v>51</v>
      </c>
      <c r="C3656" s="6" t="s">
        <v>190</v>
      </c>
      <c r="D3656" s="6" t="s">
        <v>90</v>
      </c>
      <c r="E3656" s="6" t="s">
        <v>90</v>
      </c>
      <c r="F3656" s="6" t="b">
        <v>0</v>
      </c>
      <c r="G3656" s="6">
        <v>0.07866666666666666</v>
      </c>
    </row>
    <row r="3657" spans="1:7">
      <c r="A3657" s="6" t="s">
        <v>333</v>
      </c>
      <c r="B3657" s="6" t="s">
        <v>51</v>
      </c>
      <c r="C3657" s="6" t="s">
        <v>190</v>
      </c>
      <c r="D3657" s="6" t="s">
        <v>177</v>
      </c>
      <c r="E3657" s="6" t="s">
        <v>44</v>
      </c>
      <c r="F3657" s="6" t="b">
        <v>0</v>
      </c>
      <c r="G3657" s="6">
        <v>3.263583333333333</v>
      </c>
    </row>
    <row r="3658" spans="1:7">
      <c r="A3658" s="6" t="s">
        <v>333</v>
      </c>
      <c r="B3658" s="6" t="s">
        <v>51</v>
      </c>
      <c r="C3658" s="6" t="s">
        <v>190</v>
      </c>
      <c r="D3658" s="6" t="s">
        <v>92</v>
      </c>
      <c r="E3658" s="6" t="s">
        <v>92</v>
      </c>
      <c r="F3658" s="6" t="b">
        <v>0</v>
      </c>
      <c r="G3658" s="6">
        <v>0.3538333333333334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>
  <dimension ref="A1:B17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50.7109375" customWidth="1"/>
    <col min="2" max="2" width="60.7109375" customWidth="1"/>
  </cols>
  <sheetData>
    <row r="1" spans="1:2">
      <c r="A1" s="1" t="s">
        <v>686</v>
      </c>
    </row>
    <row r="3" spans="1:2">
      <c r="A3" t="s">
        <v>687</v>
      </c>
      <c r="B3" t="s">
        <v>688</v>
      </c>
    </row>
    <row r="4" spans="1:2">
      <c r="A4" s="6" t="s">
        <v>689</v>
      </c>
      <c r="B4" s="6" t="s">
        <v>690</v>
      </c>
    </row>
    <row r="5" spans="1:2">
      <c r="A5" s="6" t="s">
        <v>691</v>
      </c>
      <c r="B5" s="6" t="s">
        <v>692</v>
      </c>
    </row>
    <row r="6" spans="1:2">
      <c r="A6" s="6" t="s">
        <v>693</v>
      </c>
      <c r="B6" s="6" t="s">
        <v>694</v>
      </c>
    </row>
    <row r="7" spans="1:2">
      <c r="A7" s="6" t="s">
        <v>695</v>
      </c>
      <c r="B7" s="6" t="s">
        <v>696</v>
      </c>
    </row>
    <row r="8" spans="1:2">
      <c r="A8" s="6" t="s">
        <v>697</v>
      </c>
      <c r="B8" s="6" t="s">
        <v>698</v>
      </c>
    </row>
    <row r="9" spans="1:2">
      <c r="A9" s="6" t="s">
        <v>699</v>
      </c>
      <c r="B9" s="6" t="s">
        <v>700</v>
      </c>
    </row>
    <row r="10" spans="1:2">
      <c r="A10" s="6" t="s">
        <v>701</v>
      </c>
      <c r="B10" s="6" t="s">
        <v>702</v>
      </c>
    </row>
    <row r="11" spans="1:2">
      <c r="A11" s="6" t="s">
        <v>703</v>
      </c>
      <c r="B11" s="6" t="s">
        <v>704</v>
      </c>
    </row>
    <row r="12" spans="1:2">
      <c r="A12" s="6" t="s">
        <v>705</v>
      </c>
      <c r="B12" s="6" t="s">
        <v>706</v>
      </c>
    </row>
    <row r="13" spans="1:2">
      <c r="A13" s="6" t="s">
        <v>707</v>
      </c>
      <c r="B13" s="6" t="s">
        <v>708</v>
      </c>
    </row>
    <row r="14" spans="1:2">
      <c r="A14" s="6" t="s">
        <v>709</v>
      </c>
      <c r="B14" s="6" t="s">
        <v>710</v>
      </c>
    </row>
    <row r="15" spans="1:2">
      <c r="A15" s="6" t="s">
        <v>711</v>
      </c>
      <c r="B15" s="6" t="s">
        <v>712</v>
      </c>
    </row>
    <row r="16" spans="1:2">
      <c r="A16" s="6" t="s">
        <v>713</v>
      </c>
      <c r="B16" s="6" t="s">
        <v>714</v>
      </c>
    </row>
    <row r="17" spans="1:2">
      <c r="A17" s="6" t="s">
        <v>715</v>
      </c>
      <c r="B17" s="6" t="s">
        <v>716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>
  <dimension ref="A1:L9"/>
  <sheetViews>
    <sheetView workbookViewId="0"/>
  </sheetViews>
  <sheetFormatPr defaultRowHeight="15"/>
  <cols>
    <col min="1" max="12" width="14.7109375" customWidth="1"/>
  </cols>
  <sheetData>
    <row r="1" spans="1:12">
      <c r="A1" s="5" t="s">
        <v>717</v>
      </c>
      <c r="B1" s="5" t="s">
        <v>44</v>
      </c>
      <c r="C1" s="5" t="s">
        <v>86</v>
      </c>
      <c r="D1" s="5" t="s">
        <v>88</v>
      </c>
      <c r="E1" s="5" t="s">
        <v>90</v>
      </c>
      <c r="F1" s="5" t="s">
        <v>92</v>
      </c>
      <c r="G1" s="5" t="s">
        <v>94</v>
      </c>
      <c r="H1" s="5" t="s">
        <v>97</v>
      </c>
      <c r="I1" s="5" t="s">
        <v>99</v>
      </c>
      <c r="J1" s="5" t="s">
        <v>101</v>
      </c>
      <c r="K1" s="5" t="s">
        <v>104</v>
      </c>
      <c r="L1" s="5" t="s">
        <v>107</v>
      </c>
    </row>
    <row r="2" spans="1:12">
      <c r="A2" s="5" t="s">
        <v>44</v>
      </c>
      <c r="B2" s="7">
        <v>0</v>
      </c>
      <c r="C2" s="7">
        <v>35640.84469488203</v>
      </c>
      <c r="D2" s="7">
        <v>52859.34539655018</v>
      </c>
      <c r="E2" s="7">
        <v>41083.34548092828</v>
      </c>
      <c r="F2" s="7">
        <v>44563.38112591431</v>
      </c>
      <c r="G2" s="7">
        <v>102263.6610382099</v>
      </c>
      <c r="H2" s="7">
        <v>43596.32951948451</v>
      </c>
      <c r="I2" s="7">
        <v>31220.98818415667</v>
      </c>
      <c r="J2" s="7">
        <v>11593.33947465767</v>
      </c>
      <c r="K2" s="7">
        <v>38268.21611460039</v>
      </c>
      <c r="L2" s="7">
        <v>11593.33947465767</v>
      </c>
    </row>
    <row r="3" spans="1:12">
      <c r="A3" s="5" t="s">
        <v>86</v>
      </c>
      <c r="B3" s="7">
        <v>41857.78138198124</v>
      </c>
      <c r="C3" s="7">
        <v>0</v>
      </c>
      <c r="D3" s="7">
        <v>55146.25938254119</v>
      </c>
      <c r="E3" s="7">
        <v>20002.03176047888</v>
      </c>
      <c r="F3" s="7">
        <v>52761.34240083248</v>
      </c>
      <c r="G3" s="7">
        <v>91600.09972554294</v>
      </c>
      <c r="H3" s="7">
        <v>48680.82884548551</v>
      </c>
      <c r="I3" s="7">
        <v>45418.66631707671</v>
      </c>
      <c r="J3" s="7">
        <v>36686.59913848782</v>
      </c>
      <c r="K3" s="7">
        <v>12767.15126032129</v>
      </c>
      <c r="L3" s="7">
        <v>36298.78925716144</v>
      </c>
    </row>
    <row r="4" spans="1:12">
      <c r="A4" s="5" t="s">
        <v>88</v>
      </c>
      <c r="B4" s="7">
        <v>48050.2115894932</v>
      </c>
      <c r="C4" s="7">
        <v>41717.65688276003</v>
      </c>
      <c r="D4" s="7">
        <v>0</v>
      </c>
      <c r="E4" s="7">
        <v>49448.30423940453</v>
      </c>
      <c r="F4" s="7">
        <v>10792.23304629758</v>
      </c>
      <c r="G4" s="7">
        <v>124790.0603567579</v>
      </c>
      <c r="H4" s="7">
        <v>83384.31501727358</v>
      </c>
      <c r="I4" s="7">
        <v>34547.59450669454</v>
      </c>
      <c r="J4" s="7">
        <v>53801.23211405675</v>
      </c>
      <c r="K4" s="7">
        <v>53996.9855991128</v>
      </c>
      <c r="L4" s="7">
        <v>48116.4228499249</v>
      </c>
    </row>
    <row r="5" spans="1:12">
      <c r="A5" s="5" t="s">
        <v>90</v>
      </c>
      <c r="B5" s="7">
        <v>45856.36164677217</v>
      </c>
      <c r="C5" s="7">
        <v>21348.0032501936</v>
      </c>
      <c r="D5" s="7">
        <v>57630.26972790182</v>
      </c>
      <c r="E5" s="7">
        <v>0</v>
      </c>
      <c r="F5" s="7">
        <v>50142.46520402802</v>
      </c>
      <c r="G5" s="7">
        <v>90260.67777461947</v>
      </c>
      <c r="H5" s="7">
        <v>43026.70146404926</v>
      </c>
      <c r="I5" s="7">
        <v>50172.93084934166</v>
      </c>
      <c r="J5" s="7">
        <v>39591.85709440702</v>
      </c>
      <c r="K5" s="7">
        <v>13088.41002465219</v>
      </c>
      <c r="L5" s="7">
        <v>39435.42515173487</v>
      </c>
    </row>
    <row r="6" spans="1:12">
      <c r="A6" s="5" t="s">
        <v>177</v>
      </c>
      <c r="B6" s="7">
        <v>40446.25056194521</v>
      </c>
      <c r="C6" s="7">
        <v>18043.39400177965</v>
      </c>
      <c r="D6" s="7">
        <v>54490.06366352288</v>
      </c>
      <c r="E6" s="7">
        <v>16776.41395292685</v>
      </c>
      <c r="F6" s="7">
        <v>38863.40813435364</v>
      </c>
      <c r="G6" s="7">
        <v>79676.83031260756</v>
      </c>
      <c r="H6" s="7">
        <v>47300.91179362831</v>
      </c>
      <c r="I6" s="7">
        <v>48539.08412498063</v>
      </c>
      <c r="J6" s="7">
        <v>39344.58082333329</v>
      </c>
      <c r="K6" s="7">
        <v>9779.177185337567</v>
      </c>
      <c r="L6" s="7">
        <v>38567.71775731251</v>
      </c>
    </row>
    <row r="7" spans="1:12">
      <c r="A7" s="5" t="s">
        <v>92</v>
      </c>
      <c r="B7" s="7">
        <v>49149.02210098812</v>
      </c>
      <c r="C7" s="7">
        <v>52842.39527092231</v>
      </c>
      <c r="D7" s="7">
        <v>12461.56959765477</v>
      </c>
      <c r="E7" s="7">
        <v>53907.40118619232</v>
      </c>
      <c r="F7" s="7">
        <v>0</v>
      </c>
      <c r="G7" s="7">
        <v>127322.2174918169</v>
      </c>
      <c r="H7" s="7">
        <v>80923.84753167475</v>
      </c>
      <c r="I7" s="7">
        <v>55369.30039514524</v>
      </c>
      <c r="J7" s="7">
        <v>52574.66180888461</v>
      </c>
      <c r="K7" s="7">
        <v>50001.67326820589</v>
      </c>
      <c r="L7" s="7">
        <v>46989.36239895941</v>
      </c>
    </row>
    <row r="9" spans="1:12">
      <c r="A9" s="2" t="s">
        <v>718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L15"/>
  <sheetViews>
    <sheetView workbookViewId="0"/>
  </sheetViews>
  <sheetFormatPr defaultRowHeight="15"/>
  <cols>
    <col min="1" max="1" width="28.7109375" customWidth="1"/>
    <col min="2" max="12" width="14.7109375" customWidth="1"/>
  </cols>
  <sheetData>
    <row r="1" spans="1:12">
      <c r="A1" s="5" t="s">
        <v>719</v>
      </c>
      <c r="B1" s="5" t="s">
        <v>44</v>
      </c>
      <c r="C1" s="5" t="s">
        <v>86</v>
      </c>
      <c r="D1" s="5" t="s">
        <v>88</v>
      </c>
      <c r="E1" s="5" t="s">
        <v>90</v>
      </c>
      <c r="F1" s="5" t="s">
        <v>92</v>
      </c>
      <c r="G1" s="5" t="s">
        <v>94</v>
      </c>
      <c r="H1" s="5" t="s">
        <v>97</v>
      </c>
      <c r="I1" s="5" t="s">
        <v>99</v>
      </c>
      <c r="J1" s="5" t="s">
        <v>101</v>
      </c>
      <c r="K1" s="5" t="s">
        <v>104</v>
      </c>
      <c r="L1" s="5" t="s">
        <v>107</v>
      </c>
    </row>
    <row r="2" spans="1:12">
      <c r="A2" s="5" t="s">
        <v>51</v>
      </c>
      <c r="B2" s="7">
        <v>24542.15003287994</v>
      </c>
      <c r="C2" s="7">
        <v>49217.61741252195</v>
      </c>
      <c r="D2" s="7">
        <v>36417.50417242778</v>
      </c>
      <c r="E2" s="7">
        <v>49545.86414010054</v>
      </c>
      <c r="F2" s="7">
        <v>45636.30293845109</v>
      </c>
      <c r="G2" s="7">
        <v>139380.5132801676</v>
      </c>
      <c r="H2" s="7">
        <v>111757.3618746457</v>
      </c>
      <c r="I2" s="7">
        <v>40422.34925805757</v>
      </c>
      <c r="J2" s="7">
        <v>24542.15003287994</v>
      </c>
      <c r="K2" s="7">
        <v>49217.61741252195</v>
      </c>
      <c r="L2" s="7">
        <v>24542.15003287994</v>
      </c>
    </row>
    <row r="3" spans="1:12">
      <c r="A3" s="5" t="s">
        <v>52</v>
      </c>
      <c r="B3" s="7">
        <v>65839.27306100979</v>
      </c>
      <c r="C3" s="7">
        <v>68729.23786898634</v>
      </c>
      <c r="D3" s="7">
        <v>40043.41716730605</v>
      </c>
      <c r="E3" s="7">
        <v>65576.1974310064</v>
      </c>
      <c r="F3" s="7">
        <v>76904.07507783687</v>
      </c>
      <c r="G3" s="7">
        <v>71067.62823175517</v>
      </c>
      <c r="H3" s="7">
        <v>112036.6329632929</v>
      </c>
      <c r="I3" s="7">
        <v>75347.59556716606</v>
      </c>
      <c r="J3" s="7">
        <v>65839.27306100979</v>
      </c>
      <c r="K3" s="7">
        <v>68729.23786898634</v>
      </c>
      <c r="L3" s="7">
        <v>65839.27306100979</v>
      </c>
    </row>
    <row r="4" spans="1:12">
      <c r="A4" s="5" t="s">
        <v>53</v>
      </c>
      <c r="B4" s="7">
        <v>49088.791088906</v>
      </c>
      <c r="C4" s="7">
        <v>30590.76536939454</v>
      </c>
      <c r="D4" s="7">
        <v>30086.51872610619</v>
      </c>
      <c r="E4" s="7">
        <v>25531.94507974209</v>
      </c>
      <c r="F4" s="7">
        <v>51314.86607104985</v>
      </c>
      <c r="G4" s="7">
        <v>113065.2318683373</v>
      </c>
      <c r="H4" s="7">
        <v>107548.9717063522</v>
      </c>
      <c r="I4" s="7">
        <v>48148.78200169063</v>
      </c>
      <c r="J4" s="7">
        <v>49088.791088906</v>
      </c>
      <c r="K4" s="7">
        <v>30590.76536939454</v>
      </c>
      <c r="L4" s="7">
        <v>49088.791088906</v>
      </c>
    </row>
    <row r="5" spans="1:12">
      <c r="A5" s="5" t="s">
        <v>54</v>
      </c>
      <c r="B5" s="7">
        <v>97303.13299365007</v>
      </c>
      <c r="C5" s="7">
        <v>90007.37297823517</v>
      </c>
      <c r="D5" s="7">
        <v>50648.22180370574</v>
      </c>
      <c r="E5" s="7">
        <v>90008.4215863673</v>
      </c>
      <c r="F5" s="7">
        <v>97686.47465496387</v>
      </c>
      <c r="G5" s="7">
        <v>58227.30686472222</v>
      </c>
      <c r="H5" s="7">
        <v>136309.5995689864</v>
      </c>
      <c r="I5" s="7">
        <v>85886.97302686414</v>
      </c>
      <c r="J5" s="7">
        <v>97303.13299365007</v>
      </c>
      <c r="K5" s="7">
        <v>90007.37297823517</v>
      </c>
      <c r="L5" s="7">
        <v>97303.13299365007</v>
      </c>
    </row>
    <row r="6" spans="1:12">
      <c r="A6" s="5" t="s">
        <v>55</v>
      </c>
      <c r="B6" s="7">
        <v>57401.80039320079</v>
      </c>
      <c r="C6" s="7">
        <v>60385.66573421025</v>
      </c>
      <c r="D6" s="7">
        <v>18733.36023506614</v>
      </c>
      <c r="E6" s="7">
        <v>56759.90903118699</v>
      </c>
      <c r="F6" s="7">
        <v>30676.87322282852</v>
      </c>
      <c r="G6" s="7">
        <v>161783.1632879296</v>
      </c>
      <c r="H6" s="7">
        <v>158206.2275904491</v>
      </c>
      <c r="I6" s="7">
        <v>47866.17306966365</v>
      </c>
      <c r="J6" s="7">
        <v>57401.80039320079</v>
      </c>
      <c r="K6" s="7">
        <v>60385.66573421025</v>
      </c>
      <c r="L6" s="7">
        <v>57401.80039320079</v>
      </c>
    </row>
    <row r="7" spans="1:12">
      <c r="A7" s="5" t="s">
        <v>56</v>
      </c>
      <c r="B7" s="7">
        <v>52140.56667852834</v>
      </c>
      <c r="C7" s="7">
        <v>63795.51775818858</v>
      </c>
      <c r="D7" s="7">
        <v>39938.49296686905</v>
      </c>
      <c r="E7" s="7">
        <v>60230.59112056499</v>
      </c>
      <c r="F7" s="7">
        <v>83537.77138058185</v>
      </c>
      <c r="G7" s="7">
        <v>104422.7805820038</v>
      </c>
      <c r="H7" s="7">
        <v>65998.06919415538</v>
      </c>
      <c r="I7" s="7">
        <v>63930.77644535822</v>
      </c>
      <c r="J7" s="7">
        <v>52140.56667852834</v>
      </c>
      <c r="K7" s="7">
        <v>63795.51775818858</v>
      </c>
      <c r="L7" s="7">
        <v>52140.56667852834</v>
      </c>
    </row>
    <row r="8" spans="1:12">
      <c r="A8" s="5" t="s">
        <v>57</v>
      </c>
      <c r="B8" s="7">
        <v>55240.01000293064</v>
      </c>
      <c r="C8" s="7">
        <v>56688.89981613742</v>
      </c>
      <c r="D8" s="7">
        <v>23281.98449696044</v>
      </c>
      <c r="E8" s="7">
        <v>60396.88624798045</v>
      </c>
      <c r="F8" s="7">
        <v>50532.39368522935</v>
      </c>
      <c r="G8" s="7">
        <v>134851.65298995</v>
      </c>
      <c r="H8" s="7">
        <v>121649.3730762234</v>
      </c>
      <c r="I8" s="7">
        <v>35452.97375739532</v>
      </c>
      <c r="J8" s="7">
        <v>55240.01000293064</v>
      </c>
      <c r="K8" s="7">
        <v>56688.89981613742</v>
      </c>
      <c r="L8" s="7">
        <v>55240.01000293064</v>
      </c>
    </row>
    <row r="9" spans="1:12">
      <c r="A9" s="5" t="s">
        <v>58</v>
      </c>
      <c r="B9" s="7">
        <v>63323.26055664256</v>
      </c>
      <c r="C9" s="7">
        <v>86377.86225292161</v>
      </c>
      <c r="D9" s="7">
        <v>32192.69675701882</v>
      </c>
      <c r="E9" s="7">
        <v>62112.25552170069</v>
      </c>
      <c r="F9" s="7">
        <v>66037.23162833755</v>
      </c>
      <c r="G9" s="7">
        <v>141188.191107418</v>
      </c>
      <c r="H9" s="7">
        <v>109167.832245046</v>
      </c>
      <c r="I9" s="7">
        <v>50975.78393889128</v>
      </c>
      <c r="J9" s="7">
        <v>63323.26055664256</v>
      </c>
      <c r="K9" s="7">
        <v>86377.86225292161</v>
      </c>
      <c r="L9" s="7">
        <v>63323.26055664256</v>
      </c>
    </row>
    <row r="10" spans="1:12">
      <c r="A10" s="5" t="s">
        <v>59</v>
      </c>
      <c r="B10" s="7">
        <v>63528.98688737859</v>
      </c>
      <c r="C10" s="7">
        <v>54121.83181812525</v>
      </c>
      <c r="D10" s="7">
        <v>24995.64144302141</v>
      </c>
      <c r="E10" s="7">
        <v>55798.81758980348</v>
      </c>
      <c r="F10" s="7">
        <v>47532.98998121931</v>
      </c>
      <c r="G10" s="7">
        <v>184207.8508387501</v>
      </c>
      <c r="H10" s="7">
        <v>175288.3035913463</v>
      </c>
      <c r="I10" s="7">
        <v>48424.4282858805</v>
      </c>
      <c r="J10" s="7">
        <v>63528.98688737859</v>
      </c>
      <c r="K10" s="7">
        <v>54121.83181812525</v>
      </c>
      <c r="L10" s="7">
        <v>63528.98688737859</v>
      </c>
    </row>
    <row r="11" spans="1:12">
      <c r="A11" s="5" t="s">
        <v>60</v>
      </c>
      <c r="B11" s="7">
        <v>50100.63171043061</v>
      </c>
      <c r="C11" s="7">
        <v>70718.26491100938</v>
      </c>
      <c r="D11" s="7">
        <v>26404.9419190886</v>
      </c>
      <c r="E11" s="7">
        <v>44402.32112778664</v>
      </c>
      <c r="F11" s="7">
        <v>44697.22384667303</v>
      </c>
      <c r="G11" s="7">
        <v>126296.3028240359</v>
      </c>
      <c r="H11" s="7">
        <v>130469.6141035212</v>
      </c>
      <c r="I11" s="7">
        <v>47798.15776390068</v>
      </c>
      <c r="J11" s="7">
        <v>50100.63171043061</v>
      </c>
      <c r="K11" s="7">
        <v>70718.26491100938</v>
      </c>
      <c r="L11" s="7">
        <v>50100.63171043061</v>
      </c>
    </row>
    <row r="12" spans="1:12">
      <c r="A12" s="5" t="s">
        <v>61</v>
      </c>
      <c r="B12" s="7">
        <v>88892.92063005883</v>
      </c>
      <c r="C12" s="7">
        <v>79361.07970771569</v>
      </c>
      <c r="D12" s="7">
        <v>65711.5724136577</v>
      </c>
      <c r="E12" s="7">
        <v>58003.92647416519</v>
      </c>
      <c r="F12" s="7">
        <v>53088.58925206317</v>
      </c>
      <c r="G12" s="7">
        <v>69013.18353849441</v>
      </c>
      <c r="H12" s="7">
        <v>250708.4363864566</v>
      </c>
      <c r="I12" s="7">
        <v>54050.92289209261</v>
      </c>
      <c r="J12" s="7">
        <v>88892.92063005883</v>
      </c>
      <c r="K12" s="7">
        <v>79361.07970771569</v>
      </c>
      <c r="L12" s="7">
        <v>88892.92063005883</v>
      </c>
    </row>
    <row r="13" spans="1:12">
      <c r="A13" s="5" t="s">
        <v>62</v>
      </c>
      <c r="B13" s="7">
        <v>168164.8115996341</v>
      </c>
      <c r="C13" s="7">
        <v>95841.24286506617</v>
      </c>
      <c r="D13" s="7">
        <v>105446.1641947958</v>
      </c>
      <c r="E13" s="7">
        <v>192264.5385633038</v>
      </c>
      <c r="F13" s="7">
        <v>186897.9446874106</v>
      </c>
      <c r="G13" s="7">
        <v>220293.0418481535</v>
      </c>
      <c r="H13" s="7">
        <v>363495.4320799336</v>
      </c>
      <c r="I13" s="7">
        <v>202722.1779111934</v>
      </c>
      <c r="J13" s="7">
        <v>168164.8115996341</v>
      </c>
      <c r="K13" s="7">
        <v>95841.24286506617</v>
      </c>
      <c r="L13" s="7">
        <v>168164.8115996341</v>
      </c>
    </row>
    <row r="15" spans="1:12">
      <c r="A15" s="2" t="s">
        <v>720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Resumen</vt:lpstr>
      <vt:lpstr>Simulador</vt:lpstr>
      <vt:lpstr>Escenarios</vt:lpstr>
      <vt:lpstr>Sensibilidad</vt:lpstr>
      <vt:lpstr>Flujos_traslado</vt:lpstr>
      <vt:lpstr>Flujos_distribucion</vt:lpstr>
      <vt:lpstr>Almacenes</vt:lpstr>
      <vt:lpstr>Calidad_datos</vt:lpstr>
      <vt:lpstr>Plantas</vt:lpstr>
      <vt:lpstr>Nodos</vt:lpstr>
      <vt:lpstr>Tarifas_observadas</vt:lpstr>
      <vt:lpstr>Tiempos_TMS</vt:lpstr>
      <vt:lpstr>Homologaciones</vt:lpstr>
      <vt:lpstr>Demanda</vt:lpstr>
      <vt:lpstr>Parametros</vt:lpstr>
      <vt:lpstr>Tarifas_traslado</vt:lpstr>
      <vt:lpstr>Tarifas_zona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2026-10-12T00:48:13Z</dcterms:created>
  <dcterms:modified xsi:type="dcterms:W3CDTF">2026-10-12T00:48:13Z</dcterms:modified>
</cp:coreProperties>
</file>